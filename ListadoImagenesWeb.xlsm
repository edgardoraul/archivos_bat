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4000" windowHeight="9630" activeTab="1"/>
  </bookViews>
  <sheets>
    <sheet name="Listado" sheetId="1" r:id="rId1"/>
    <sheet name="Variables" sheetId="3" r:id="rId2"/>
    <sheet name="Con Color" sheetId="4" r:id="rId3"/>
    <sheet name="Simples" sheetId="2" r:id="rId4"/>
    <sheet name="Constantes" sheetId="6" r:id="rId5"/>
    <sheet name="Producteca" sheetId="7" r:id="rId6"/>
    <sheet name="DF" sheetId="8" r:id="rId7"/>
  </sheets>
  <functionGroups builtInGroupCount="18"/>
  <definedNames>
    <definedName name="_xlnm._FilterDatabase" localSheetId="2" hidden="1">'Con Color'!$A$1:$K$202</definedName>
    <definedName name="_xlnm._FilterDatabase" localSheetId="6" hidden="1">DF!$A$1:$B$4032</definedName>
    <definedName name="_xlnm._FilterDatabase" localSheetId="0" hidden="1">Listado!$A$1:$J$3443</definedName>
    <definedName name="_xlnm._FilterDatabase" localSheetId="5" hidden="1">Producteca!$B$1:$G$4540</definedName>
    <definedName name="_xlnm._FilterDatabase" localSheetId="3" hidden="1">Simples!$A$1:$J$326</definedName>
    <definedName name="_xlnm._FilterDatabase" localSheetId="1" hidden="1">Variables!$A$1:$J$206</definedName>
  </definedNames>
  <calcPr calcId="162913"/>
</workbook>
</file>

<file path=xl/calcChain.xml><?xml version="1.0" encoding="utf-8"?>
<calcChain xmlns="http://schemas.openxmlformats.org/spreadsheetml/2006/main">
  <c r="E333" i="3" l="1"/>
  <c r="C332" i="3"/>
  <c r="E332" i="3"/>
  <c r="C496" i="2" l="1"/>
  <c r="E496" i="2" s="1"/>
  <c r="C495" i="2"/>
  <c r="E495" i="2" s="1"/>
  <c r="E375" i="3" l="1"/>
  <c r="C372" i="3"/>
  <c r="E372" i="3" s="1"/>
  <c r="E373" i="3"/>
  <c r="E374" i="3"/>
  <c r="C368" i="3"/>
  <c r="E368" i="3" s="1"/>
  <c r="E369" i="3"/>
  <c r="E370" i="3"/>
  <c r="E371" i="3"/>
  <c r="E365" i="3"/>
  <c r="E366" i="3"/>
  <c r="E367" i="3"/>
  <c r="C364" i="3"/>
  <c r="E364" i="3" s="1"/>
  <c r="E361" i="3"/>
  <c r="E362" i="3"/>
  <c r="E363" i="3"/>
  <c r="C360" i="3"/>
  <c r="E360" i="3" s="1"/>
  <c r="E357" i="3"/>
  <c r="E358" i="3"/>
  <c r="E359" i="3"/>
  <c r="C356" i="3"/>
  <c r="E356" i="3" s="1"/>
  <c r="E351" i="3" l="1"/>
  <c r="E355" i="3"/>
  <c r="E354" i="3"/>
  <c r="E353" i="3"/>
  <c r="C352" i="3"/>
  <c r="E352" i="3" s="1"/>
  <c r="E348" i="3"/>
  <c r="E349" i="3"/>
  <c r="E350" i="3"/>
  <c r="C347" i="3"/>
  <c r="E347" i="3" s="1"/>
  <c r="C340" i="3" l="1"/>
  <c r="E340" i="3" s="1"/>
  <c r="E341" i="3"/>
  <c r="E342" i="3"/>
  <c r="C343" i="3"/>
  <c r="E343" i="3" s="1"/>
  <c r="E344" i="3"/>
  <c r="E345" i="3"/>
  <c r="E346" i="3"/>
  <c r="C339" i="3"/>
  <c r="E339" i="3" s="1"/>
  <c r="E338" i="3"/>
  <c r="E337" i="3"/>
  <c r="C337" i="3"/>
  <c r="E336" i="3"/>
  <c r="C335" i="3"/>
  <c r="E335" i="3" s="1"/>
  <c r="E334" i="3"/>
  <c r="C331" i="3"/>
  <c r="E331" i="3" s="1"/>
  <c r="E330" i="3"/>
  <c r="E328" i="3"/>
  <c r="E329" i="3"/>
  <c r="C328" i="3"/>
  <c r="C265" i="2"/>
  <c r="E265" i="2" s="1"/>
  <c r="C263" i="2"/>
  <c r="E263" i="2" s="1"/>
  <c r="C266" i="2"/>
  <c r="E266" i="2" s="1"/>
  <c r="C331" i="2"/>
  <c r="E331" i="2" s="1"/>
  <c r="C144" i="2"/>
  <c r="E144" i="2" s="1"/>
  <c r="C264" i="2"/>
  <c r="E264" i="2" s="1"/>
  <c r="C262" i="2"/>
  <c r="E262" i="2" s="1"/>
  <c r="E327" i="3" l="1"/>
  <c r="C326" i="3"/>
  <c r="E326" i="3" s="1"/>
  <c r="E325" i="3"/>
  <c r="C324" i="3"/>
  <c r="E324" i="3" s="1"/>
  <c r="E321" i="3" l="1"/>
  <c r="E322" i="3"/>
  <c r="E323" i="3"/>
  <c r="C320" i="3"/>
  <c r="E320" i="3" s="1"/>
  <c r="E317" i="3"/>
  <c r="E318" i="3"/>
  <c r="E319" i="3"/>
  <c r="C316" i="3"/>
  <c r="E316" i="3" s="1"/>
  <c r="E313" i="3"/>
  <c r="E314" i="3"/>
  <c r="E315" i="3"/>
  <c r="C312" i="3"/>
  <c r="E312" i="3" s="1"/>
  <c r="E309" i="3"/>
  <c r="E310" i="3"/>
  <c r="E311" i="3"/>
  <c r="C308" i="3"/>
  <c r="E308" i="3" s="1"/>
  <c r="E306" i="3"/>
  <c r="E307" i="3"/>
  <c r="C305" i="3"/>
  <c r="E305" i="3" s="1"/>
  <c r="E302" i="3"/>
  <c r="E303" i="3"/>
  <c r="E304" i="3"/>
  <c r="C301" i="3"/>
  <c r="E301" i="3" s="1"/>
  <c r="E300" i="3"/>
  <c r="C299" i="3"/>
  <c r="E299" i="3" s="1"/>
  <c r="E296" i="3"/>
  <c r="E297" i="3"/>
  <c r="E298" i="3"/>
  <c r="C295" i="3"/>
  <c r="E295" i="3" s="1"/>
  <c r="E294" i="3"/>
  <c r="E293" i="3"/>
  <c r="C292" i="3"/>
  <c r="E292" i="3" s="1"/>
  <c r="E291" i="3"/>
  <c r="E290" i="3"/>
  <c r="C289" i="3"/>
  <c r="E289" i="3" s="1"/>
  <c r="E288" i="3"/>
  <c r="E287" i="3"/>
  <c r="E286" i="3"/>
  <c r="C285" i="3"/>
  <c r="E285" i="3" s="1"/>
  <c r="E284" i="3"/>
  <c r="E283" i="3"/>
  <c r="E282" i="3"/>
  <c r="C281" i="3"/>
  <c r="E281" i="3" s="1"/>
  <c r="C312" i="2" l="1"/>
  <c r="E312" i="2" s="1"/>
  <c r="C306" i="2"/>
  <c r="E306" i="2" s="1"/>
  <c r="C90" i="2" l="1"/>
  <c r="E90" i="2" s="1"/>
  <c r="C83" i="2"/>
  <c r="E83" i="2" s="1"/>
  <c r="C66" i="2" l="1"/>
  <c r="E66" i="2" s="1"/>
  <c r="C123" i="2" l="1"/>
  <c r="E123" i="2" s="1"/>
  <c r="C455" i="2"/>
  <c r="E455" i="2" s="1"/>
  <c r="C84" i="2" l="1"/>
  <c r="E84" i="2" s="1"/>
  <c r="C80" i="2" l="1"/>
  <c r="E80" i="2" s="1"/>
  <c r="C93" i="2"/>
  <c r="E93" i="2" s="1"/>
  <c r="C97" i="2"/>
  <c r="E97" i="2" s="1"/>
  <c r="C99" i="2"/>
  <c r="E99" i="2" s="1"/>
  <c r="C94" i="2"/>
  <c r="E94" i="2" s="1"/>
  <c r="C79" i="2"/>
  <c r="E79" i="2" s="1"/>
  <c r="C101" i="2"/>
  <c r="E101" i="2" s="1"/>
  <c r="C81" i="2"/>
  <c r="E81" i="2" s="1"/>
  <c r="C95" i="2"/>
  <c r="E95" i="2" s="1"/>
  <c r="C87" i="2"/>
  <c r="E87" i="2" s="1"/>
  <c r="C82" i="2"/>
  <c r="E82" i="2" s="1"/>
  <c r="C96" i="2"/>
  <c r="E96" i="2" s="1"/>
  <c r="C77" i="2" l="1"/>
  <c r="E77" i="2" s="1"/>
  <c r="C100" i="2"/>
  <c r="E100" i="2" s="1"/>
  <c r="C92" i="2"/>
  <c r="E92" i="2" s="1"/>
  <c r="C85" i="2" l="1"/>
  <c r="E85" i="2" s="1"/>
  <c r="C98" i="2" l="1"/>
  <c r="E98" i="2" s="1"/>
  <c r="C91" i="2" l="1"/>
  <c r="E91" i="2" s="1"/>
  <c r="C261" i="2"/>
  <c r="E261" i="2" s="1"/>
  <c r="C145" i="2" l="1"/>
  <c r="E145" i="2" s="1"/>
  <c r="C328" i="2"/>
  <c r="E328" i="2" s="1"/>
  <c r="E326" i="2"/>
  <c r="C330" i="2"/>
  <c r="E330" i="2" s="1"/>
  <c r="E329" i="2"/>
  <c r="C327" i="2"/>
  <c r="E327" i="2" s="1"/>
  <c r="C351" i="2"/>
  <c r="E351" i="2" s="1"/>
  <c r="C353" i="2"/>
  <c r="E353" i="2" s="1"/>
  <c r="C352" i="2"/>
  <c r="E352" i="2" s="1"/>
  <c r="C355" i="2"/>
  <c r="E355" i="2" s="1"/>
  <c r="C354" i="2"/>
  <c r="E354" i="2" s="1"/>
  <c r="C175" i="2" l="1"/>
  <c r="E175" i="2" s="1"/>
  <c r="C234" i="2"/>
  <c r="E234" i="2" s="1"/>
  <c r="C160" i="2"/>
  <c r="E160" i="2" s="1"/>
  <c r="C231" i="2" l="1"/>
  <c r="E231" i="2" s="1"/>
  <c r="C232" i="2"/>
  <c r="E232" i="2" s="1"/>
  <c r="C239" i="2" l="1"/>
  <c r="E239" i="2" s="1"/>
  <c r="C236" i="2"/>
  <c r="E236" i="2" s="1"/>
  <c r="C237" i="2"/>
  <c r="E237" i="2" s="1"/>
  <c r="C235" i="2"/>
  <c r="E235" i="2" s="1"/>
  <c r="C3" i="2"/>
  <c r="E3" i="2" s="1"/>
  <c r="C406" i="2" l="1"/>
  <c r="E406" i="2" s="1"/>
  <c r="C447" i="2" l="1"/>
  <c r="E447" i="2" s="1"/>
  <c r="C441" i="2" l="1"/>
  <c r="E441" i="2" s="1"/>
  <c r="C439" i="2" l="1"/>
  <c r="E439" i="2" s="1"/>
  <c r="C438" i="2" l="1"/>
  <c r="E438" i="2" s="1"/>
  <c r="C427" i="2" l="1"/>
  <c r="E427" i="2" s="1"/>
  <c r="C413" i="2" l="1"/>
  <c r="E413" i="2" s="1"/>
  <c r="C340" i="2"/>
  <c r="E340" i="2" s="1"/>
  <c r="C338" i="2"/>
  <c r="E338" i="2" s="1"/>
  <c r="C339" i="2"/>
  <c r="E339" i="2" s="1"/>
  <c r="C419" i="2" l="1"/>
  <c r="E419" i="2" s="1"/>
  <c r="C414" i="2" l="1"/>
  <c r="E414" i="2" s="1"/>
  <c r="C440" i="2"/>
  <c r="E440" i="2" s="1"/>
  <c r="C421" i="2" l="1"/>
  <c r="E421" i="2" s="1"/>
  <c r="C426" i="2"/>
  <c r="E426" i="2" s="1"/>
  <c r="C157" i="2" l="1"/>
  <c r="E157" i="2" s="1"/>
  <c r="C224" i="2"/>
  <c r="E224" i="2" s="1"/>
  <c r="C233" i="2"/>
  <c r="E233" i="2" s="1"/>
  <c r="C253" i="2" l="1"/>
  <c r="E253" i="2" s="1"/>
  <c r="C228" i="2" l="1"/>
  <c r="E228" i="2" s="1"/>
  <c r="C227" i="2"/>
  <c r="E227" i="2" s="1"/>
  <c r="C249" i="2"/>
  <c r="E249" i="2" s="1"/>
  <c r="C241" i="2" l="1"/>
  <c r="E241" i="2" s="1"/>
  <c r="C240" i="2"/>
  <c r="E240" i="2" s="1"/>
  <c r="C159" i="2"/>
  <c r="C379" i="2"/>
  <c r="E379" i="2" s="1"/>
  <c r="C362" i="2"/>
  <c r="E362" i="2" s="1"/>
  <c r="C358" i="2"/>
  <c r="E358" i="2" s="1"/>
  <c r="C360" i="2"/>
  <c r="E360" i="2" s="1"/>
  <c r="C366" i="2"/>
  <c r="E366" i="2" s="1"/>
  <c r="C359" i="2"/>
  <c r="E359" i="2" s="1"/>
  <c r="C364" i="2"/>
  <c r="E364" i="2" s="1"/>
  <c r="C382" i="2"/>
  <c r="E382" i="2" s="1"/>
  <c r="C380" i="2"/>
  <c r="C4" i="2" l="1"/>
  <c r="C252" i="2"/>
  <c r="C238" i="2"/>
  <c r="C318" i="2" l="1"/>
  <c r="E318" i="2" s="1"/>
  <c r="C305" i="2"/>
  <c r="E305" i="2" s="1"/>
  <c r="C225" i="2" l="1"/>
  <c r="E225" i="2" s="1"/>
  <c r="C226" i="2"/>
  <c r="E226" i="2" s="1"/>
  <c r="C294" i="2"/>
  <c r="C302" i="2"/>
  <c r="C317" i="2"/>
  <c r="C301" i="2"/>
  <c r="C295" i="2"/>
  <c r="E295" i="2" s="1"/>
  <c r="C292" i="2"/>
  <c r="E292" i="2" s="1"/>
  <c r="C293" i="2"/>
  <c r="E293" i="2" s="1"/>
  <c r="C300" i="2"/>
  <c r="E300" i="2" s="1"/>
  <c r="C297" i="2"/>
  <c r="E297" i="2" s="1"/>
  <c r="C296" i="2"/>
  <c r="E296" i="2" s="1"/>
  <c r="C303" i="2"/>
  <c r="E303" i="2" s="1"/>
  <c r="C307" i="2"/>
  <c r="E307" i="2" s="1"/>
  <c r="C309" i="2"/>
  <c r="E309" i="2" s="1"/>
  <c r="C308" i="2"/>
  <c r="E308" i="2" s="1"/>
  <c r="C304" i="2"/>
  <c r="E304" i="2" s="1"/>
  <c r="C298" i="2"/>
  <c r="E298" i="2" s="1"/>
  <c r="C299" i="2"/>
  <c r="E299" i="2" s="1"/>
  <c r="C315" i="2" l="1"/>
  <c r="E315" i="2" s="1"/>
  <c r="C229" i="2" l="1"/>
  <c r="E229" i="2" s="1"/>
  <c r="C172" i="2"/>
  <c r="E172" i="2" s="1"/>
  <c r="C182" i="2"/>
  <c r="E182" i="2" s="1"/>
  <c r="C180" i="2"/>
  <c r="E180" i="2" s="1"/>
  <c r="C218" i="2"/>
  <c r="E218" i="2" s="1"/>
  <c r="C178" i="2"/>
  <c r="E178" i="2" s="1"/>
  <c r="C156" i="2"/>
  <c r="E156" i="2" s="1"/>
  <c r="C154" i="2"/>
  <c r="E154" i="2" s="1"/>
  <c r="E301" i="2"/>
  <c r="E317" i="2"/>
  <c r="E302" i="2"/>
  <c r="E294" i="2"/>
  <c r="E238" i="2"/>
  <c r="E252" i="2"/>
  <c r="E4" i="2"/>
  <c r="E380" i="2"/>
  <c r="E159" i="2"/>
  <c r="C186" i="2"/>
  <c r="E186" i="2" s="1"/>
  <c r="C183" i="2"/>
  <c r="E183" i="2" s="1"/>
  <c r="C146" i="2"/>
  <c r="E146" i="2" s="1"/>
  <c r="C148" i="2"/>
  <c r="E148" i="2" s="1"/>
  <c r="C147" i="2"/>
  <c r="E147" i="2" s="1"/>
  <c r="C30" i="2" l="1"/>
  <c r="E30" i="2" s="1"/>
  <c r="C314" i="2"/>
  <c r="E314" i="2" s="1"/>
  <c r="C313" i="2"/>
  <c r="E313" i="2" s="1"/>
  <c r="C319" i="2"/>
  <c r="E319" i="2" s="1"/>
  <c r="C316" i="2"/>
  <c r="E316" i="2" s="1"/>
  <c r="C311" i="2"/>
  <c r="E311" i="2" s="1"/>
  <c r="C310" i="2"/>
  <c r="E310" i="2" s="1"/>
  <c r="C378" i="2" l="1"/>
  <c r="E378" i="2" s="1"/>
  <c r="C2" i="2"/>
  <c r="E2" i="2" s="1"/>
  <c r="C289" i="2"/>
  <c r="E289" i="2" s="1"/>
  <c r="C288" i="2"/>
  <c r="E288" i="2" s="1"/>
  <c r="C285" i="2" l="1"/>
  <c r="E285" i="2" s="1"/>
  <c r="C368" i="2"/>
  <c r="E368" i="2" s="1"/>
  <c r="C401" i="2"/>
  <c r="E401" i="2" s="1"/>
  <c r="C85" i="4" l="1"/>
  <c r="E85" i="4" s="1"/>
  <c r="C86" i="4"/>
  <c r="E86" i="4" s="1"/>
  <c r="C87" i="4"/>
  <c r="E87" i="4" s="1"/>
  <c r="C88" i="4"/>
  <c r="E88" i="4" s="1"/>
  <c r="C89" i="4"/>
  <c r="E89" i="4" s="1"/>
  <c r="C90" i="4"/>
  <c r="E90" i="4" s="1"/>
  <c r="C91" i="4"/>
  <c r="E91" i="4" s="1"/>
  <c r="C92" i="4"/>
  <c r="E92" i="4" s="1"/>
  <c r="C93" i="4"/>
  <c r="E93" i="4" s="1"/>
  <c r="C151" i="2" l="1"/>
  <c r="E151" i="2" s="1"/>
  <c r="E193" i="3" l="1"/>
  <c r="E176" i="3"/>
  <c r="C181" i="3"/>
  <c r="E181" i="3" s="1"/>
  <c r="E182" i="3"/>
  <c r="E183" i="3"/>
  <c r="E184" i="3"/>
  <c r="C185" i="3"/>
  <c r="E185" i="3" s="1"/>
  <c r="E186" i="3"/>
  <c r="E187" i="3"/>
  <c r="C191" i="3"/>
  <c r="E191" i="3" s="1"/>
  <c r="E192" i="3"/>
  <c r="E178" i="3"/>
  <c r="E153" i="3"/>
  <c r="E154" i="3"/>
  <c r="C157" i="3"/>
  <c r="E157" i="3" s="1"/>
  <c r="E158" i="3"/>
  <c r="E159" i="3"/>
  <c r="E160" i="3"/>
  <c r="C168" i="3"/>
  <c r="E168" i="3" s="1"/>
  <c r="E169" i="3"/>
  <c r="E170" i="3"/>
  <c r="E171" i="3"/>
  <c r="E172" i="3"/>
  <c r="C177" i="3"/>
  <c r="E177" i="3" s="1"/>
  <c r="E179" i="3"/>
  <c r="E180" i="3"/>
  <c r="C173" i="3"/>
  <c r="E173" i="3" s="1"/>
  <c r="E174" i="3"/>
  <c r="E175" i="3"/>
  <c r="C152" i="3"/>
  <c r="E152" i="3" s="1"/>
  <c r="E167" i="3"/>
  <c r="C98" i="3" l="1"/>
  <c r="E98" i="3" s="1"/>
  <c r="E99" i="3"/>
  <c r="E100" i="3"/>
  <c r="C122" i="3"/>
  <c r="E122" i="3" s="1"/>
  <c r="E123" i="3"/>
  <c r="E124" i="3"/>
  <c r="C129" i="3"/>
  <c r="C71" i="3"/>
  <c r="E71" i="3" s="1"/>
  <c r="E72" i="3"/>
  <c r="E73" i="3"/>
  <c r="C94" i="3"/>
  <c r="E94" i="3" s="1"/>
  <c r="E95" i="3"/>
  <c r="E96" i="3"/>
  <c r="E97" i="3"/>
  <c r="C85" i="3"/>
  <c r="E85" i="3" s="1"/>
  <c r="E86" i="3"/>
  <c r="E87" i="3"/>
  <c r="E88" i="3"/>
  <c r="C115" i="3"/>
  <c r="E115" i="3" s="1"/>
  <c r="E116" i="3"/>
  <c r="E117" i="3"/>
  <c r="E118" i="3"/>
  <c r="E129" i="3"/>
  <c r="E130" i="3"/>
  <c r="E131" i="3"/>
  <c r="C74" i="3"/>
  <c r="E74" i="3" s="1"/>
  <c r="E75" i="3"/>
  <c r="E76" i="3"/>
  <c r="E149" i="3"/>
  <c r="E150" i="3"/>
  <c r="E151" i="3"/>
  <c r="C148" i="3"/>
  <c r="E148" i="3" s="1"/>
  <c r="E145" i="3"/>
  <c r="E146" i="3"/>
  <c r="E147" i="3"/>
  <c r="C144" i="3"/>
  <c r="E144" i="3" s="1"/>
  <c r="E70" i="3" l="1"/>
  <c r="E69" i="3"/>
  <c r="E68" i="3"/>
  <c r="C67" i="3"/>
  <c r="E67" i="3" s="1"/>
  <c r="E143" i="3"/>
  <c r="E142" i="3"/>
  <c r="E141" i="3"/>
  <c r="C140" i="3"/>
  <c r="E140" i="3" s="1"/>
  <c r="E137" i="3"/>
  <c r="E138" i="3"/>
  <c r="E139" i="3"/>
  <c r="C136" i="3"/>
  <c r="E136" i="3" s="1"/>
  <c r="E128" i="3"/>
  <c r="E111" i="3"/>
  <c r="E113" i="3"/>
  <c r="C109" i="3"/>
  <c r="E109" i="3" s="1"/>
  <c r="E135" i="3"/>
  <c r="E108" i="3"/>
  <c r="E93" i="3"/>
  <c r="E80" i="3"/>
  <c r="E84" i="3"/>
  <c r="C43" i="2" l="1"/>
  <c r="E43" i="2" s="1"/>
  <c r="C453" i="2" l="1"/>
  <c r="E453" i="2" s="1"/>
  <c r="C452" i="2"/>
  <c r="E452" i="2" s="1"/>
  <c r="E112" i="3" l="1"/>
  <c r="E114" i="3"/>
  <c r="C110" i="3"/>
  <c r="E110" i="3" s="1"/>
  <c r="C102" i="2"/>
  <c r="E102" i="2" s="1"/>
  <c r="E140" i="2"/>
  <c r="E141" i="2"/>
  <c r="C376" i="2" l="1"/>
  <c r="E376" i="2" s="1"/>
  <c r="C372" i="2"/>
  <c r="E372" i="2" s="1"/>
  <c r="C375" i="2"/>
  <c r="E375" i="2" s="1"/>
  <c r="C374" i="2"/>
  <c r="E374" i="2" s="1"/>
  <c r="C377" i="2"/>
  <c r="E377" i="2" s="1"/>
  <c r="C373" i="2"/>
  <c r="E373" i="2" s="1"/>
  <c r="C142" i="2"/>
  <c r="E142" i="2" s="1"/>
  <c r="C143" i="2"/>
  <c r="E143" i="2" s="1"/>
  <c r="E156" i="3"/>
  <c r="C155" i="3"/>
  <c r="E155" i="3" s="1"/>
  <c r="C402" i="2" l="1"/>
  <c r="E402" i="2" s="1"/>
  <c r="E37" i="3" l="1"/>
  <c r="E35" i="3"/>
  <c r="E36" i="3"/>
  <c r="E163" i="3"/>
  <c r="E162" i="3"/>
  <c r="C161" i="3"/>
  <c r="E161" i="3" s="1"/>
  <c r="E190" i="3"/>
  <c r="B1" i="6"/>
  <c r="C188" i="3"/>
  <c r="E188" i="3" s="1"/>
  <c r="E189" i="3"/>
  <c r="C34" i="2"/>
  <c r="E34" i="2" s="1"/>
  <c r="C47" i="2"/>
  <c r="E47" i="2" s="1"/>
  <c r="C44" i="2"/>
  <c r="E44" i="2" s="1"/>
  <c r="C46" i="2"/>
  <c r="E46" i="2" s="1"/>
  <c r="C48" i="2"/>
  <c r="E48" i="2" s="1"/>
  <c r="C49" i="2"/>
  <c r="E49" i="2" s="1"/>
  <c r="C45" i="2"/>
  <c r="E45" i="2" s="1"/>
  <c r="C59" i="2"/>
  <c r="E59" i="2" s="1"/>
  <c r="C58" i="2"/>
  <c r="E58" i="2" s="1"/>
  <c r="C55" i="2"/>
  <c r="E55" i="2" s="1"/>
  <c r="E56" i="2"/>
  <c r="C57" i="2"/>
  <c r="E57" i="2" s="1"/>
  <c r="C63" i="2"/>
  <c r="E63" i="2" s="1"/>
  <c r="C60" i="2"/>
  <c r="E60" i="2" s="1"/>
  <c r="C61" i="2"/>
  <c r="E61" i="2" s="1"/>
  <c r="C62" i="2"/>
  <c r="E62" i="2" s="1"/>
  <c r="C64" i="2"/>
  <c r="E64" i="2" s="1"/>
  <c r="C65" i="2"/>
  <c r="E65" i="2" s="1"/>
  <c r="C88" i="2"/>
  <c r="E88" i="2" s="1"/>
  <c r="C86" i="2"/>
  <c r="E86" i="2" s="1"/>
  <c r="C74" i="2"/>
  <c r="E74" i="2" s="1"/>
  <c r="C105" i="2"/>
  <c r="E105" i="2" s="1"/>
  <c r="C107" i="2"/>
  <c r="E107" i="2" s="1"/>
  <c r="C108" i="2"/>
  <c r="E108" i="2" s="1"/>
  <c r="C118" i="2"/>
  <c r="E118" i="2" s="1"/>
  <c r="C106" i="2"/>
  <c r="E106" i="2" s="1"/>
  <c r="C109" i="2"/>
  <c r="E109" i="2" s="1"/>
  <c r="C110" i="2"/>
  <c r="E110" i="2" s="1"/>
  <c r="C112" i="2"/>
  <c r="E112" i="2" s="1"/>
  <c r="C113" i="2"/>
  <c r="E113" i="2" s="1"/>
  <c r="C111" i="2"/>
  <c r="E111" i="2" s="1"/>
  <c r="C116" i="2"/>
  <c r="E116" i="2" s="1"/>
  <c r="C117" i="2"/>
  <c r="E117" i="2" s="1"/>
  <c r="C120" i="2"/>
  <c r="E120" i="2" s="1"/>
  <c r="C121" i="2"/>
  <c r="E121" i="2" s="1"/>
  <c r="C130" i="2"/>
  <c r="E130" i="2" s="1"/>
  <c r="C442" i="2"/>
  <c r="E442" i="2" s="1"/>
  <c r="C258" i="2"/>
  <c r="E258" i="2" s="1"/>
  <c r="C257" i="2"/>
  <c r="E257" i="2" s="1"/>
  <c r="C259" i="2"/>
  <c r="E259" i="2" s="1"/>
  <c r="C268" i="2"/>
  <c r="E268" i="2" s="1"/>
  <c r="C267" i="2"/>
  <c r="E267" i="2" s="1"/>
  <c r="C269" i="2"/>
  <c r="E269" i="2" s="1"/>
  <c r="C272" i="2"/>
  <c r="E272" i="2" s="1"/>
  <c r="C276" i="2"/>
  <c r="E276" i="2" s="1"/>
  <c r="C332" i="2"/>
  <c r="E332" i="2" s="1"/>
  <c r="C333" i="2"/>
  <c r="E333" i="2" s="1"/>
  <c r="C411" i="2"/>
  <c r="E411" i="2" s="1"/>
  <c r="C416" i="2"/>
  <c r="E416" i="2" s="1"/>
  <c r="C423" i="2"/>
  <c r="E423" i="2" s="1"/>
  <c r="C415" i="2"/>
  <c r="E415" i="2" s="1"/>
  <c r="C425" i="2"/>
  <c r="E425" i="2" s="1"/>
  <c r="C424" i="2"/>
  <c r="E424" i="2" s="1"/>
  <c r="C429" i="2"/>
  <c r="E429" i="2" s="1"/>
  <c r="C430" i="2"/>
  <c r="E430" i="2" s="1"/>
  <c r="C431" i="2"/>
  <c r="E431" i="2" s="1"/>
  <c r="C432" i="2"/>
  <c r="E432" i="2" s="1"/>
  <c r="C434" i="2"/>
  <c r="E434" i="2" s="1"/>
  <c r="C459" i="2"/>
  <c r="E459" i="2" s="1"/>
  <c r="C460" i="2"/>
  <c r="E460" i="2" s="1"/>
  <c r="C456" i="2"/>
  <c r="E456" i="2" s="1"/>
  <c r="C457" i="2"/>
  <c r="E457" i="2" s="1"/>
  <c r="C458" i="2"/>
  <c r="E458" i="2" s="1"/>
  <c r="C461" i="2"/>
  <c r="E461" i="2" s="1"/>
  <c r="C463" i="2"/>
  <c r="E463" i="2" s="1"/>
  <c r="C462" i="2"/>
  <c r="E462" i="2" s="1"/>
  <c r="C464" i="2"/>
  <c r="E464" i="2" s="1"/>
  <c r="C465" i="2"/>
  <c r="E465" i="2" s="1"/>
  <c r="C466" i="2"/>
  <c r="E466" i="2" s="1"/>
  <c r="C467" i="2"/>
  <c r="E467" i="2" s="1"/>
  <c r="C468" i="2"/>
  <c r="E468" i="2" s="1"/>
  <c r="C484" i="2"/>
  <c r="E484" i="2" s="1"/>
  <c r="C485" i="2"/>
  <c r="E485" i="2" s="1"/>
  <c r="C486" i="2"/>
  <c r="E486" i="2" s="1"/>
  <c r="C487" i="2"/>
  <c r="E487" i="2" s="1"/>
  <c r="C488" i="2"/>
  <c r="E488" i="2" s="1"/>
  <c r="C489" i="2"/>
  <c r="E489" i="2" s="1"/>
  <c r="C490" i="2"/>
  <c r="E490" i="2" s="1"/>
  <c r="C491" i="2"/>
  <c r="E491" i="2" s="1"/>
  <c r="C492" i="2"/>
  <c r="E492" i="2" s="1"/>
  <c r="C481" i="2"/>
  <c r="E481" i="2" s="1"/>
  <c r="C482" i="2"/>
  <c r="E482" i="2" s="1"/>
  <c r="C483" i="2"/>
  <c r="E483" i="2" s="1"/>
  <c r="C493" i="2"/>
  <c r="E493" i="2" s="1"/>
  <c r="C494" i="2"/>
  <c r="E494" i="2" s="1"/>
  <c r="C367" i="2" l="1"/>
  <c r="E367" i="2" s="1"/>
  <c r="C404" i="2"/>
  <c r="E404" i="2" s="1"/>
  <c r="C405" i="2"/>
  <c r="E405" i="2" s="1"/>
  <c r="C383" i="2"/>
  <c r="E383" i="2" s="1"/>
  <c r="C370" i="2"/>
  <c r="E370" i="2" s="1"/>
  <c r="C407" i="2"/>
  <c r="E407" i="2" s="1"/>
  <c r="C363" i="2"/>
  <c r="E363" i="2" s="1"/>
  <c r="C357" i="2"/>
  <c r="E357" i="2" s="1"/>
  <c r="C391" i="2"/>
  <c r="E391" i="2" s="1"/>
  <c r="C392" i="2"/>
  <c r="E392" i="2" s="1"/>
  <c r="C361" i="2"/>
  <c r="E361" i="2" s="1"/>
  <c r="C393" i="2"/>
  <c r="E393" i="2" s="1"/>
  <c r="C394" i="2"/>
  <c r="E394" i="2" s="1"/>
  <c r="C365" i="2"/>
  <c r="E365" i="2" s="1"/>
  <c r="C381" i="2"/>
  <c r="E381" i="2" s="1"/>
  <c r="C395" i="2"/>
  <c r="E395" i="2" s="1"/>
  <c r="C396" i="2"/>
  <c r="E396" i="2" s="1"/>
  <c r="C384" i="2"/>
  <c r="E384" i="2" s="1"/>
  <c r="C397" i="2"/>
  <c r="E397" i="2" s="1"/>
  <c r="C399" i="2"/>
  <c r="E399" i="2" s="1"/>
  <c r="C398" i="2"/>
  <c r="E398" i="2" s="1"/>
  <c r="C403" i="2"/>
  <c r="E403" i="2" s="1"/>
  <c r="C400" i="2"/>
  <c r="E400" i="2" s="1"/>
  <c r="C408" i="2"/>
  <c r="E408" i="2" s="1"/>
  <c r="C369" i="2"/>
  <c r="E369" i="2" s="1"/>
  <c r="C349" i="2"/>
  <c r="E349" i="2" s="1"/>
  <c r="C371" i="2"/>
  <c r="E371" i="2" s="1"/>
  <c r="C385" i="2"/>
  <c r="E385" i="2" s="1"/>
  <c r="C386" i="2"/>
  <c r="E386" i="2" s="1"/>
  <c r="C387" i="2"/>
  <c r="E387" i="2" s="1"/>
  <c r="C388" i="2"/>
  <c r="E388" i="2" s="1"/>
  <c r="C389" i="2"/>
  <c r="E389" i="2" s="1"/>
  <c r="C390" i="2"/>
  <c r="E390" i="2" s="1"/>
  <c r="C243" i="2" l="1"/>
  <c r="E243" i="2" s="1"/>
  <c r="C247" i="2"/>
  <c r="E247" i="2" s="1"/>
  <c r="C245" i="2"/>
  <c r="E245" i="2" s="1"/>
  <c r="C246" i="2"/>
  <c r="E246" i="2" s="1"/>
  <c r="C242" i="2"/>
  <c r="E242" i="2" s="1"/>
  <c r="C244" i="2"/>
  <c r="E244" i="2" s="1"/>
  <c r="C197" i="2"/>
  <c r="E197" i="2" s="1"/>
  <c r="C194" i="2"/>
  <c r="E194" i="2" s="1"/>
  <c r="C162" i="2"/>
  <c r="E162" i="2" s="1"/>
  <c r="C161" i="2"/>
  <c r="E161" i="2" s="1"/>
  <c r="C179" i="2"/>
  <c r="E179" i="2" s="1"/>
  <c r="C153" i="2"/>
  <c r="E153" i="2" s="1"/>
  <c r="C185" i="2"/>
  <c r="E185" i="2" s="1"/>
  <c r="C198" i="2"/>
  <c r="E198" i="2" s="1"/>
  <c r="C170" i="2"/>
  <c r="E170" i="2" s="1"/>
  <c r="C158" i="2"/>
  <c r="E158" i="2" s="1"/>
  <c r="C196" i="2"/>
  <c r="E196" i="2" s="1"/>
  <c r="C171" i="2"/>
  <c r="E171" i="2" s="1"/>
  <c r="C177" i="2"/>
  <c r="E177" i="2" s="1"/>
  <c r="C176" i="2"/>
  <c r="E176" i="2" s="1"/>
  <c r="C192" i="2"/>
  <c r="E192" i="2" s="1"/>
  <c r="C181" i="2"/>
  <c r="E181" i="2" s="1"/>
  <c r="C184" i="2"/>
  <c r="E184" i="2" s="1"/>
  <c r="C187" i="2"/>
  <c r="E187" i="2" s="1"/>
  <c r="C188" i="2"/>
  <c r="E188" i="2" s="1"/>
  <c r="C191" i="2"/>
  <c r="E191" i="2" s="1"/>
  <c r="C201" i="2"/>
  <c r="E201" i="2" s="1"/>
  <c r="C200" i="2"/>
  <c r="E200" i="2" s="1"/>
  <c r="C250" i="2"/>
  <c r="E250" i="2" s="1"/>
  <c r="C199" i="2"/>
  <c r="E199" i="2" s="1"/>
  <c r="C202" i="2"/>
  <c r="E202" i="2" s="1"/>
  <c r="C174" i="2"/>
  <c r="E174" i="2" s="1"/>
  <c r="C208" i="2"/>
  <c r="E208" i="2" s="1"/>
  <c r="C213" i="2"/>
  <c r="E213" i="2" s="1"/>
  <c r="C204" i="2"/>
  <c r="E204" i="2" s="1"/>
  <c r="C173" i="2"/>
  <c r="E173" i="2" s="1"/>
  <c r="C217" i="2"/>
  <c r="E217" i="2" s="1"/>
  <c r="C203" i="2"/>
  <c r="E203" i="2" s="1"/>
  <c r="C195" i="2"/>
  <c r="E195" i="2" s="1"/>
  <c r="C193" i="2"/>
  <c r="E193" i="2" s="1"/>
  <c r="C254" i="2"/>
  <c r="E254" i="2" s="1"/>
  <c r="C211" i="2"/>
  <c r="E211" i="2" s="1"/>
  <c r="C209" i="2"/>
  <c r="E209" i="2" s="1"/>
  <c r="C214" i="2"/>
  <c r="E214" i="2" s="1"/>
  <c r="C216" i="2"/>
  <c r="E216" i="2" s="1"/>
  <c r="C190" i="2"/>
  <c r="E190" i="2" s="1"/>
  <c r="C205" i="2"/>
  <c r="E205" i="2" s="1"/>
  <c r="C164" i="2"/>
  <c r="E164" i="2" s="1"/>
  <c r="C166" i="2"/>
  <c r="E166" i="2" s="1"/>
  <c r="C167" i="2"/>
  <c r="E167" i="2" s="1"/>
  <c r="C163" i="2"/>
  <c r="E163" i="2" s="1"/>
  <c r="C168" i="2"/>
  <c r="E168" i="2" s="1"/>
  <c r="C230" i="2"/>
  <c r="E230" i="2" s="1"/>
  <c r="C165" i="2"/>
  <c r="E165" i="2" s="1"/>
  <c r="C169" i="2"/>
  <c r="E169" i="2" s="1"/>
  <c r="C207" i="2"/>
  <c r="E207" i="2" s="1"/>
  <c r="C212" i="2"/>
  <c r="E212" i="2" s="1"/>
  <c r="C210" i="2"/>
  <c r="E210" i="2" s="1"/>
  <c r="C215" i="2"/>
  <c r="E215" i="2" s="1"/>
  <c r="C189" i="2" l="1"/>
  <c r="E189" i="2" s="1"/>
  <c r="C248" i="2"/>
  <c r="E248" i="2" s="1"/>
  <c r="C206" i="2"/>
  <c r="E206" i="2" s="1"/>
  <c r="C219" i="2" l="1"/>
  <c r="E219" i="2" s="1"/>
  <c r="C221" i="2"/>
  <c r="E221" i="2" s="1"/>
  <c r="C223" i="2" l="1"/>
  <c r="E223" i="2" s="1"/>
  <c r="C251" i="2"/>
  <c r="E251" i="2" s="1"/>
  <c r="C220" i="2"/>
  <c r="E220" i="2" s="1"/>
  <c r="C222" i="2"/>
  <c r="E222" i="2" s="1"/>
  <c r="C22" i="2" l="1"/>
  <c r="E22" i="2" s="1"/>
  <c r="C27" i="2"/>
  <c r="E27" i="2" s="1"/>
  <c r="C17" i="2"/>
  <c r="E17" i="2" s="1"/>
  <c r="C19" i="2"/>
  <c r="E19" i="2" s="1"/>
  <c r="C23" i="2"/>
  <c r="E23" i="2" s="1"/>
  <c r="C24" i="2"/>
  <c r="E24" i="2" s="1"/>
  <c r="C25" i="2"/>
  <c r="E25" i="2" s="1"/>
  <c r="C20" i="2"/>
  <c r="E20" i="2" s="1"/>
  <c r="C21" i="2"/>
  <c r="E21" i="2" s="1"/>
  <c r="C12" i="2"/>
  <c r="E12" i="2" s="1"/>
  <c r="C26" i="2"/>
  <c r="E26" i="2" s="1"/>
  <c r="C11" i="2"/>
  <c r="E11" i="2" s="1"/>
  <c r="C15" i="2"/>
  <c r="E15" i="2" s="1"/>
  <c r="C28" i="2"/>
  <c r="E28" i="2" s="1"/>
  <c r="C16" i="2"/>
  <c r="E16" i="2" s="1"/>
  <c r="C18" i="2"/>
  <c r="E18" i="2" s="1"/>
  <c r="C13" i="2"/>
  <c r="E13" i="2" s="1"/>
  <c r="C14" i="2"/>
  <c r="E14" i="2" s="1"/>
  <c r="C433" i="2" l="1"/>
  <c r="E433" i="2" s="1"/>
  <c r="C443" i="2"/>
  <c r="E443" i="2" s="1"/>
  <c r="C75" i="2"/>
  <c r="E75" i="2" s="1"/>
  <c r="C76" i="2"/>
  <c r="E76" i="2" s="1"/>
  <c r="C29" i="2" l="1"/>
  <c r="E29" i="2" s="1"/>
  <c r="C256" i="2" l="1"/>
  <c r="E256" i="2" s="1"/>
  <c r="C149" i="2" l="1"/>
  <c r="E149" i="2" s="1"/>
  <c r="C436" i="2" l="1"/>
  <c r="E436" i="2" s="1"/>
  <c r="C260" i="2" l="1"/>
  <c r="E260" i="2" s="1"/>
  <c r="C54" i="2" l="1"/>
  <c r="E54" i="2" s="1"/>
  <c r="C51" i="2"/>
  <c r="E51" i="2" s="1"/>
  <c r="C50" i="2"/>
  <c r="E50" i="2" s="1"/>
  <c r="C71" i="2" l="1"/>
  <c r="E71" i="2" s="1"/>
  <c r="C72" i="2"/>
  <c r="E72" i="2" s="1"/>
  <c r="C73" i="2"/>
  <c r="E73" i="2" s="1"/>
  <c r="C41" i="2"/>
  <c r="E41" i="2" s="1"/>
  <c r="C42" i="2"/>
  <c r="E42" i="2" s="1"/>
  <c r="C40" i="2"/>
  <c r="E40" i="2" s="1"/>
  <c r="E227" i="3" l="1"/>
  <c r="C341" i="2"/>
  <c r="E341" i="2" s="1"/>
  <c r="C78" i="2" l="1"/>
  <c r="E78" i="2" s="1"/>
  <c r="C270" i="2" l="1"/>
  <c r="E270" i="2" s="1"/>
  <c r="C274" i="2"/>
  <c r="E274" i="2" s="1"/>
  <c r="C275" i="2"/>
  <c r="E275" i="2" s="1"/>
  <c r="C271" i="2"/>
  <c r="E271" i="2" s="1"/>
  <c r="C273" i="2"/>
  <c r="E273" i="2" s="1"/>
  <c r="C84" i="4"/>
  <c r="E84" i="4" s="1"/>
  <c r="C83" i="4"/>
  <c r="E83" i="4" s="1"/>
  <c r="C82" i="4"/>
  <c r="E82" i="4" s="1"/>
  <c r="C80" i="4"/>
  <c r="E80" i="4" s="1"/>
  <c r="C81" i="4"/>
  <c r="E81" i="4" s="1"/>
  <c r="C150" i="2" l="1"/>
  <c r="E150" i="2" s="1"/>
  <c r="C348" i="2" l="1"/>
  <c r="E348" i="2" s="1"/>
  <c r="C114" i="2" l="1"/>
  <c r="E114" i="2" s="1"/>
  <c r="C38" i="2"/>
  <c r="E38" i="2" s="1"/>
  <c r="C39" i="2"/>
  <c r="E39" i="2" s="1"/>
  <c r="C451" i="2" l="1"/>
  <c r="E451" i="2" s="1"/>
  <c r="C33" i="2" l="1"/>
  <c r="E33" i="2" s="1"/>
  <c r="C119" i="2"/>
  <c r="E119" i="2" s="1"/>
  <c r="C344" i="2"/>
  <c r="E344" i="2" s="1"/>
  <c r="C343" i="2" l="1"/>
  <c r="E343" i="2" s="1"/>
  <c r="C325" i="2" l="1"/>
  <c r="E325" i="2" s="1"/>
  <c r="C75" i="4" l="1"/>
  <c r="E75" i="4" s="1"/>
  <c r="C76" i="4"/>
  <c r="E76" i="4" s="1"/>
  <c r="C77" i="4"/>
  <c r="E77" i="4" s="1"/>
  <c r="C78" i="4"/>
  <c r="E78" i="4" s="1"/>
  <c r="C79" i="4"/>
  <c r="E79" i="4" s="1"/>
  <c r="C410" i="2" l="1"/>
  <c r="E410" i="2" s="1"/>
  <c r="C409" i="2"/>
  <c r="E409" i="2" s="1"/>
  <c r="C35" i="2" l="1"/>
  <c r="E35" i="2" s="1"/>
  <c r="C37" i="2"/>
  <c r="E37" i="2" s="1"/>
  <c r="C36" i="2"/>
  <c r="E36" i="2" s="1"/>
  <c r="C412" i="2" l="1"/>
  <c r="E412" i="2" s="1"/>
  <c r="C89" i="2" l="1"/>
  <c r="E89" i="2" s="1"/>
  <c r="C68" i="4" l="1"/>
  <c r="E68" i="4" s="1"/>
  <c r="C69" i="4"/>
  <c r="E69" i="4" s="1"/>
  <c r="C70" i="4"/>
  <c r="E70" i="4" s="1"/>
  <c r="C71" i="4"/>
  <c r="E71" i="4" s="1"/>
  <c r="C72" i="4"/>
  <c r="E72" i="4" s="1"/>
  <c r="C73" i="4"/>
  <c r="E73" i="4" s="1"/>
  <c r="C74" i="4"/>
  <c r="E74" i="4" s="1"/>
  <c r="C356" i="2" l="1"/>
  <c r="E356" i="2" s="1"/>
  <c r="C67" i="4"/>
  <c r="E67" i="4" s="1"/>
  <c r="C66" i="4"/>
  <c r="E66" i="4" s="1"/>
  <c r="C61" i="4"/>
  <c r="E61" i="4" s="1"/>
  <c r="C62" i="4"/>
  <c r="E62" i="4" s="1"/>
  <c r="C63" i="4"/>
  <c r="E63" i="4" s="1"/>
  <c r="C64" i="4"/>
  <c r="E64" i="4" s="1"/>
  <c r="C65" i="4"/>
  <c r="E65" i="4" s="1"/>
  <c r="C350" i="2"/>
  <c r="E350" i="2" s="1"/>
  <c r="C450" i="2" l="1"/>
  <c r="E450" i="2" s="1"/>
  <c r="C32" i="2" l="1"/>
  <c r="E32" i="2" s="1"/>
  <c r="C437" i="2"/>
  <c r="E437" i="2" s="1"/>
  <c r="C345" i="2" l="1"/>
  <c r="E345" i="2" s="1"/>
  <c r="C70" i="2" l="1"/>
  <c r="E70" i="2" s="1"/>
  <c r="C59" i="4" l="1"/>
  <c r="E59" i="4" s="1"/>
  <c r="C60" i="4"/>
  <c r="E60" i="4" s="1"/>
  <c r="C9" i="2"/>
  <c r="E9" i="2" s="1"/>
  <c r="C7" i="2"/>
  <c r="E7" i="2" s="1"/>
  <c r="C6" i="2"/>
  <c r="E6" i="2" s="1"/>
  <c r="C8" i="2"/>
  <c r="E8" i="2" s="1"/>
  <c r="C5" i="2" l="1"/>
  <c r="E5" i="2" s="1"/>
  <c r="C10" i="2" l="1"/>
  <c r="E10" i="2" s="1"/>
  <c r="C134" i="2" l="1"/>
  <c r="E134" i="2" s="1"/>
  <c r="C128" i="2"/>
  <c r="E128" i="2" s="1"/>
  <c r="C58" i="4" l="1"/>
  <c r="E58" i="4" s="1"/>
  <c r="C57" i="4"/>
  <c r="E57" i="4" s="1"/>
  <c r="C56" i="4"/>
  <c r="E56" i="4" s="1"/>
  <c r="C68" i="2" l="1"/>
  <c r="E68" i="2" s="1"/>
  <c r="C417" i="2"/>
  <c r="E417" i="2" s="1"/>
  <c r="C54" i="4" l="1"/>
  <c r="E54" i="4" s="1"/>
  <c r="C55" i="4"/>
  <c r="E55" i="4" s="1"/>
  <c r="C50" i="4" l="1"/>
  <c r="E50" i="4" s="1"/>
  <c r="C51" i="4"/>
  <c r="E51" i="4" s="1"/>
  <c r="C52" i="4"/>
  <c r="E52" i="4" s="1"/>
  <c r="C53" i="4"/>
  <c r="E53" i="4" s="1"/>
  <c r="C139" i="2" l="1"/>
  <c r="E139" i="2" s="1"/>
  <c r="C336" i="2" l="1"/>
  <c r="E336" i="2" s="1"/>
  <c r="C335" i="2"/>
  <c r="E335" i="2" s="1"/>
  <c r="C334" i="2" l="1"/>
  <c r="E334" i="2" s="1"/>
  <c r="C435" i="2"/>
  <c r="E435" i="2" s="1"/>
  <c r="C446" i="2"/>
  <c r="E446" i="2" s="1"/>
  <c r="C337" i="2" l="1"/>
  <c r="E337" i="2" s="1"/>
  <c r="C122" i="2"/>
  <c r="E122" i="2" s="1"/>
  <c r="C52" i="2" l="1"/>
  <c r="E52" i="2" s="1"/>
  <c r="E53" i="2"/>
  <c r="C69" i="2" l="1"/>
  <c r="E69" i="2" s="1"/>
  <c r="C152" i="2"/>
  <c r="E152" i="2" s="1"/>
  <c r="C41" i="4" l="1"/>
  <c r="E41" i="4" s="1"/>
  <c r="C133" i="2" l="1"/>
  <c r="E133" i="2" s="1"/>
  <c r="C132" i="2"/>
  <c r="E132" i="2" s="1"/>
  <c r="C131" i="2"/>
  <c r="E131" i="2" s="1"/>
  <c r="C243" i="3"/>
  <c r="E243" i="3" s="1"/>
  <c r="C321" i="2" l="1"/>
  <c r="E321" i="2" s="1"/>
  <c r="C444" i="2" l="1"/>
  <c r="E444" i="2" s="1"/>
  <c r="C445" i="2"/>
  <c r="E445" i="2" s="1"/>
  <c r="C428" i="2"/>
  <c r="E428" i="2" s="1"/>
  <c r="C246" i="3" l="1"/>
  <c r="E246" i="3" s="1"/>
  <c r="C248" i="3"/>
  <c r="E248" i="3" s="1"/>
  <c r="C245" i="3"/>
  <c r="E245" i="3" s="1"/>
  <c r="C104" i="2"/>
  <c r="E104" i="2" s="1"/>
  <c r="C103" i="2"/>
  <c r="E103" i="2" s="1"/>
  <c r="C115" i="2"/>
  <c r="E115" i="2" s="1"/>
  <c r="C454" i="2" l="1"/>
  <c r="E454" i="2" s="1"/>
  <c r="C420" i="2" l="1"/>
  <c r="E420" i="2" s="1"/>
  <c r="C48" i="4"/>
  <c r="E48" i="4" s="1"/>
  <c r="C49" i="4"/>
  <c r="E49" i="4" s="1"/>
  <c r="E260" i="3" l="1"/>
  <c r="C259" i="3"/>
  <c r="E259" i="3" s="1"/>
  <c r="E29" i="3"/>
  <c r="E30" i="3"/>
  <c r="E31" i="3"/>
  <c r="C28" i="3"/>
  <c r="E28" i="3" s="1"/>
  <c r="C480" i="2" l="1"/>
  <c r="E480" i="2" s="1"/>
  <c r="C346" i="2" l="1"/>
  <c r="E346" i="2" s="1"/>
  <c r="C342" i="2"/>
  <c r="E342" i="2" s="1"/>
  <c r="C60" i="3" l="1"/>
  <c r="E60" i="3" s="1"/>
  <c r="E61" i="3"/>
  <c r="E65" i="3"/>
  <c r="E64" i="3"/>
  <c r="E39" i="3"/>
  <c r="E230" i="3"/>
  <c r="E232" i="3"/>
  <c r="E252" i="3"/>
  <c r="E254" i="3"/>
  <c r="E256" i="3"/>
  <c r="E126" i="3"/>
  <c r="E127" i="3"/>
  <c r="E90" i="3"/>
  <c r="E91" i="3"/>
  <c r="E92" i="3"/>
  <c r="E102" i="3"/>
  <c r="E103" i="3"/>
  <c r="E120" i="3"/>
  <c r="E121" i="3"/>
  <c r="E105" i="3"/>
  <c r="E106" i="3"/>
  <c r="E107" i="3"/>
  <c r="E78" i="3"/>
  <c r="E79" i="3"/>
  <c r="E133" i="3"/>
  <c r="E134" i="3"/>
  <c r="E82" i="3"/>
  <c r="E83" i="3"/>
  <c r="E195" i="3"/>
  <c r="E196" i="3"/>
  <c r="E265" i="3"/>
  <c r="E267" i="3"/>
  <c r="E202" i="3"/>
  <c r="E240" i="3"/>
  <c r="E234" i="3"/>
  <c r="E236" i="3"/>
  <c r="E7" i="3"/>
  <c r="E8" i="3"/>
  <c r="E9" i="3"/>
  <c r="E20" i="3"/>
  <c r="E21" i="3"/>
  <c r="E19" i="3"/>
  <c r="E11" i="3"/>
  <c r="E12" i="3"/>
  <c r="E13" i="3"/>
  <c r="E15" i="3"/>
  <c r="E16" i="3"/>
  <c r="E17" i="3"/>
  <c r="E212" i="3"/>
  <c r="E208" i="3"/>
  <c r="E210" i="3"/>
  <c r="E225" i="3"/>
  <c r="E23" i="3"/>
  <c r="E33" i="3"/>
  <c r="E25" i="3"/>
  <c r="E27" i="3"/>
  <c r="E3" i="3"/>
  <c r="E4" i="3"/>
  <c r="E5" i="3"/>
  <c r="E262" i="3"/>
  <c r="E165" i="3"/>
  <c r="E166" i="3"/>
  <c r="E45" i="3"/>
  <c r="E46" i="3"/>
  <c r="E47" i="3"/>
  <c r="E41" i="3"/>
  <c r="E42" i="3"/>
  <c r="E43" i="3"/>
  <c r="C138" i="2" l="1"/>
  <c r="E138" i="2" s="1"/>
  <c r="C324" i="2" l="1"/>
  <c r="E324" i="2" s="1"/>
  <c r="C422" i="2" l="1"/>
  <c r="E422" i="2" s="1"/>
  <c r="C469" i="2" l="1"/>
  <c r="E469" i="2" s="1"/>
  <c r="C126" i="2" l="1"/>
  <c r="E126" i="2" s="1"/>
  <c r="C127" i="2"/>
  <c r="E127" i="2" s="1"/>
  <c r="C125" i="2"/>
  <c r="E125" i="2" s="1"/>
  <c r="C124" i="2" l="1"/>
  <c r="E124" i="2" s="1"/>
  <c r="C67" i="2"/>
  <c r="E67" i="2" s="1"/>
  <c r="C323" i="2" l="1"/>
  <c r="E323" i="2" s="1"/>
  <c r="C322" i="2"/>
  <c r="E322" i="2" s="1"/>
  <c r="C418" i="2" l="1"/>
  <c r="E418" i="2" s="1"/>
  <c r="C40" i="3"/>
  <c r="E40" i="3" s="1"/>
  <c r="C44" i="3" l="1"/>
  <c r="E44" i="3" s="1"/>
  <c r="C164" i="3"/>
  <c r="E164" i="3" s="1"/>
  <c r="C31" i="2" l="1"/>
  <c r="E31" i="2" s="1"/>
  <c r="C347" i="2" l="1"/>
  <c r="E347" i="2" s="1"/>
  <c r="C45" i="4"/>
  <c r="E45" i="4" s="1"/>
  <c r="C46" i="4"/>
  <c r="E46" i="4" s="1"/>
  <c r="C47" i="4"/>
  <c r="E47" i="4" s="1"/>
  <c r="C261" i="3" l="1"/>
  <c r="E261" i="3" s="1"/>
  <c r="C135" i="2"/>
  <c r="E135" i="2" s="1"/>
  <c r="C42" i="4"/>
  <c r="E42" i="4" s="1"/>
  <c r="C43" i="4"/>
  <c r="E43" i="4" s="1"/>
  <c r="C44" i="4"/>
  <c r="E44" i="4" s="1"/>
  <c r="C39" i="4" l="1"/>
  <c r="E39" i="4" s="1"/>
  <c r="C40" i="4"/>
  <c r="E40" i="4" s="1"/>
  <c r="C36" i="4"/>
  <c r="E36" i="4" s="1"/>
  <c r="C37" i="4"/>
  <c r="E37" i="4" s="1"/>
  <c r="C38" i="4"/>
  <c r="E38" i="4" s="1"/>
  <c r="C35" i="4"/>
  <c r="E35" i="4" s="1"/>
  <c r="C32" i="4"/>
  <c r="E32" i="4" s="1"/>
  <c r="C33" i="4"/>
  <c r="E33" i="4" s="1"/>
  <c r="C34" i="4"/>
  <c r="E34" i="4" s="1"/>
  <c r="C31" i="4" l="1"/>
  <c r="E31" i="4" s="1"/>
  <c r="C27" i="4"/>
  <c r="E27" i="4" s="1"/>
  <c r="C28" i="4"/>
  <c r="E28" i="4" s="1"/>
  <c r="C29" i="4"/>
  <c r="E29" i="4" s="1"/>
  <c r="C30" i="4"/>
  <c r="E30" i="4" s="1"/>
  <c r="C24" i="4"/>
  <c r="E24" i="4" s="1"/>
  <c r="C25" i="4"/>
  <c r="E25" i="4" s="1"/>
  <c r="C26" i="4"/>
  <c r="E26" i="4" s="1"/>
  <c r="C320" i="2" l="1"/>
  <c r="E320" i="2" s="1"/>
  <c r="C2" i="3" l="1"/>
  <c r="E2" i="3" s="1"/>
  <c r="C449" i="2" l="1"/>
  <c r="E449" i="2" s="1"/>
  <c r="C448" i="2" l="1"/>
  <c r="E448" i="2" s="1"/>
  <c r="C3" i="4" l="1"/>
  <c r="E3" i="4" s="1"/>
  <c r="C4" i="4"/>
  <c r="E4" i="4" s="1"/>
  <c r="C5" i="4"/>
  <c r="E5" i="4" s="1"/>
  <c r="C6" i="4"/>
  <c r="E6" i="4" s="1"/>
  <c r="C7" i="4"/>
  <c r="E7" i="4" s="1"/>
  <c r="C8" i="4"/>
  <c r="E8" i="4" s="1"/>
  <c r="C9" i="4"/>
  <c r="E9" i="4" s="1"/>
  <c r="C10" i="4"/>
  <c r="E10" i="4" s="1"/>
  <c r="C11" i="4"/>
  <c r="E11" i="4" s="1"/>
  <c r="C12" i="4"/>
  <c r="E12" i="4" s="1"/>
  <c r="C13" i="4"/>
  <c r="E13" i="4" s="1"/>
  <c r="C14" i="4"/>
  <c r="E14" i="4" s="1"/>
  <c r="C15" i="4"/>
  <c r="E15" i="4" s="1"/>
  <c r="C16" i="4"/>
  <c r="E16" i="4" s="1"/>
  <c r="C17" i="4"/>
  <c r="E17" i="4" s="1"/>
  <c r="C18" i="4"/>
  <c r="E18" i="4" s="1"/>
  <c r="C19" i="4"/>
  <c r="E19" i="4" s="1"/>
  <c r="C20" i="4"/>
  <c r="E20" i="4" s="1"/>
  <c r="C21" i="4"/>
  <c r="E21" i="4" s="1"/>
  <c r="C22" i="4"/>
  <c r="E22" i="4" s="1"/>
  <c r="C23" i="4"/>
  <c r="E23" i="4" s="1"/>
  <c r="C476" i="2" l="1"/>
  <c r="E476" i="2" s="1"/>
  <c r="C479" i="2"/>
  <c r="E479" i="2" s="1"/>
  <c r="C471" i="2"/>
  <c r="E471" i="2" s="1"/>
  <c r="C473" i="2"/>
  <c r="E473" i="2" s="1"/>
  <c r="C472" i="2"/>
  <c r="E472" i="2" s="1"/>
  <c r="C470" i="2"/>
  <c r="E470" i="2" s="1"/>
  <c r="C475" i="2"/>
  <c r="E475" i="2" s="1"/>
  <c r="C474" i="2"/>
  <c r="E474" i="2" s="1"/>
  <c r="C478" i="2"/>
  <c r="E478" i="2" s="1"/>
  <c r="C477" i="2"/>
  <c r="E477" i="2" s="1"/>
  <c r="C269" i="3" l="1"/>
  <c r="E269" i="3" s="1"/>
  <c r="C270" i="3"/>
  <c r="E270" i="3" s="1"/>
  <c r="C26" i="3" l="1"/>
  <c r="E26" i="3" s="1"/>
  <c r="C24" i="3"/>
  <c r="E24" i="3" s="1"/>
  <c r="C137" i="2" l="1"/>
  <c r="E137" i="2" s="1"/>
  <c r="C136" i="2"/>
  <c r="E136" i="2" s="1"/>
  <c r="C129" i="2"/>
  <c r="E129" i="2" s="1"/>
  <c r="C255" i="2" l="1"/>
  <c r="E255" i="2" s="1"/>
  <c r="C63" i="3" l="1"/>
  <c r="E63" i="3" s="1"/>
  <c r="C32" i="3" l="1"/>
  <c r="E32" i="3" s="1"/>
  <c r="C22" i="3"/>
  <c r="E22" i="3" s="1"/>
  <c r="C251" i="3" l="1"/>
  <c r="E251" i="3" s="1"/>
  <c r="C284" i="2" l="1"/>
  <c r="E284" i="2" s="1"/>
  <c r="C287" i="2"/>
  <c r="E287" i="2" s="1"/>
  <c r="C286" i="2"/>
  <c r="E286" i="2" s="1"/>
  <c r="C222" i="3" l="1"/>
  <c r="E222" i="3" s="1"/>
  <c r="C263" i="3" l="1"/>
  <c r="E263" i="3" s="1"/>
  <c r="C268" i="3" l="1"/>
  <c r="E268" i="3" s="1"/>
  <c r="C258" i="3"/>
  <c r="E258" i="3" s="1"/>
  <c r="C207" i="3" l="1"/>
  <c r="E207" i="3" s="1"/>
  <c r="C209" i="3"/>
  <c r="E209" i="3" s="1"/>
  <c r="C228" i="3"/>
  <c r="E228" i="3" s="1"/>
  <c r="C226" i="3"/>
  <c r="E226" i="3" s="1"/>
  <c r="C211" i="3"/>
  <c r="E211" i="3" s="1"/>
  <c r="C14" i="3" l="1"/>
  <c r="E14" i="3" s="1"/>
  <c r="C10" i="3"/>
  <c r="E10" i="3" s="1"/>
  <c r="C6" i="3"/>
  <c r="E6" i="3" s="1"/>
  <c r="C18" i="3"/>
  <c r="E18" i="3" s="1"/>
  <c r="C217" i="3" l="1"/>
  <c r="E217" i="3" s="1"/>
  <c r="C242" i="3"/>
  <c r="E242" i="3" s="1"/>
  <c r="C216" i="3"/>
  <c r="E216" i="3" s="1"/>
  <c r="C215" i="3"/>
  <c r="E215" i="3" s="1"/>
  <c r="C214" i="3"/>
  <c r="E214" i="3" s="1"/>
  <c r="C213" i="3"/>
  <c r="E213" i="3" s="1"/>
  <c r="C206" i="3"/>
  <c r="E206" i="3" s="1"/>
  <c r="C221" i="3"/>
  <c r="E221" i="3" s="1"/>
  <c r="C155" i="2" l="1"/>
  <c r="E155" i="2" s="1"/>
  <c r="C238" i="3"/>
  <c r="E238" i="3" s="1"/>
  <c r="C241" i="3"/>
  <c r="E241" i="3" s="1"/>
  <c r="C237" i="3"/>
  <c r="E237" i="3" s="1"/>
  <c r="C235" i="3"/>
  <c r="E235" i="3" s="1"/>
  <c r="C239" i="3"/>
  <c r="E239" i="3" s="1"/>
  <c r="C233" i="3"/>
  <c r="E233" i="3" s="1"/>
  <c r="C290" i="2" l="1"/>
  <c r="E290" i="2" s="1"/>
  <c r="C291" i="2"/>
  <c r="E291" i="2" s="1"/>
  <c r="C199" i="3" l="1"/>
  <c r="E199" i="3" s="1"/>
  <c r="C200" i="3" l="1"/>
  <c r="E200" i="3" s="1"/>
  <c r="C201" i="3" l="1"/>
  <c r="E201" i="3" s="1"/>
  <c r="C197" i="3"/>
  <c r="E197" i="3" s="1"/>
  <c r="C198" i="3"/>
  <c r="E198" i="3" s="1"/>
  <c r="C277" i="2" l="1"/>
  <c r="E277" i="2" s="1"/>
  <c r="C278" i="2"/>
  <c r="E278" i="2" s="1"/>
  <c r="C283" i="2"/>
  <c r="E283" i="2" s="1"/>
  <c r="C279" i="2"/>
  <c r="E279" i="2" s="1"/>
  <c r="C280" i="2"/>
  <c r="E280" i="2" s="1"/>
  <c r="C282" i="2"/>
  <c r="E282" i="2" s="1"/>
  <c r="C266" i="3"/>
  <c r="E266" i="3" s="1"/>
  <c r="C264" i="3"/>
  <c r="E264" i="3" s="1"/>
  <c r="C194" i="3" l="1"/>
  <c r="E194" i="3" s="1"/>
  <c r="C247" i="3" l="1"/>
  <c r="E247" i="3" s="1"/>
  <c r="C125" i="3" l="1"/>
  <c r="E125" i="3" s="1"/>
  <c r="C89" i="3"/>
  <c r="E89" i="3" s="1"/>
  <c r="C101" i="3"/>
  <c r="E101" i="3" s="1"/>
  <c r="C119" i="3"/>
  <c r="E119" i="3" s="1"/>
  <c r="C104" i="3"/>
  <c r="E104" i="3" s="1"/>
  <c r="C77" i="3"/>
  <c r="E77" i="3" s="1"/>
  <c r="C132" i="3"/>
  <c r="E132" i="3" s="1"/>
  <c r="C81" i="3"/>
  <c r="E81" i="3" s="1"/>
  <c r="C250" i="3" l="1"/>
  <c r="E250" i="3" s="1"/>
  <c r="C244" i="3"/>
  <c r="E244" i="3" s="1"/>
  <c r="C271" i="3"/>
  <c r="E271" i="3" s="1"/>
  <c r="C280" i="3"/>
  <c r="E280" i="3" s="1"/>
  <c r="C279" i="3"/>
  <c r="E279" i="3" s="1"/>
  <c r="C255" i="3" l="1"/>
  <c r="E255" i="3" s="1"/>
  <c r="C257" i="3"/>
  <c r="E257" i="3" s="1"/>
  <c r="C253" i="3"/>
  <c r="E253" i="3" s="1"/>
  <c r="C231" i="3" l="1"/>
  <c r="E231" i="3" s="1"/>
  <c r="C229" i="3"/>
  <c r="E229" i="3" s="1"/>
  <c r="C38" i="3" l="1"/>
  <c r="E38" i="3" s="1"/>
  <c r="C49" i="3" l="1"/>
  <c r="E49" i="3" s="1"/>
  <c r="C59" i="3"/>
  <c r="E59" i="3" s="1"/>
  <c r="C51" i="3"/>
  <c r="E51" i="3" s="1"/>
  <c r="C50" i="3"/>
  <c r="E50" i="3" s="1"/>
  <c r="C54" i="3"/>
  <c r="E54" i="3" s="1"/>
  <c r="C56" i="3"/>
  <c r="E56" i="3" s="1"/>
  <c r="C58" i="3"/>
  <c r="E58" i="3" s="1"/>
  <c r="C53" i="3"/>
  <c r="E53" i="3" s="1"/>
  <c r="C52" i="3"/>
  <c r="E52" i="3" s="1"/>
  <c r="C55" i="3"/>
  <c r="E55" i="3" s="1"/>
  <c r="C48" i="3"/>
  <c r="E48" i="3" s="1"/>
  <c r="C57" i="3"/>
  <c r="E57" i="3" s="1"/>
  <c r="C204" i="3" l="1"/>
  <c r="E204" i="3" s="1"/>
  <c r="C205" i="3"/>
  <c r="E205" i="3" s="1"/>
  <c r="C203" i="3"/>
  <c r="E203" i="3" s="1"/>
  <c r="C249" i="3" l="1"/>
  <c r="E249" i="3" s="1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271" i="7"/>
  <c r="A272" i="7"/>
  <c r="A273" i="7"/>
  <c r="A274" i="7"/>
  <c r="A275" i="7"/>
  <c r="A276" i="7"/>
  <c r="A277" i="7"/>
  <c r="A278" i="7"/>
  <c r="A279" i="7"/>
  <c r="A280" i="7"/>
  <c r="A281" i="7"/>
  <c r="A282" i="7"/>
  <c r="A283" i="7"/>
  <c r="A284" i="7"/>
  <c r="A285" i="7"/>
  <c r="A286" i="7"/>
  <c r="A287" i="7"/>
  <c r="A288" i="7"/>
  <c r="A289" i="7"/>
  <c r="A290" i="7"/>
  <c r="A291" i="7"/>
  <c r="A292" i="7"/>
  <c r="A293" i="7"/>
  <c r="A294" i="7"/>
  <c r="A295" i="7"/>
  <c r="A296" i="7"/>
  <c r="A297" i="7"/>
  <c r="A298" i="7"/>
  <c r="A299" i="7"/>
  <c r="A300" i="7"/>
  <c r="A301" i="7"/>
  <c r="A302" i="7"/>
  <c r="A303" i="7"/>
  <c r="A304" i="7"/>
  <c r="A305" i="7"/>
  <c r="A306" i="7"/>
  <c r="A307" i="7"/>
  <c r="A308" i="7"/>
  <c r="A309" i="7"/>
  <c r="A310" i="7"/>
  <c r="A311" i="7"/>
  <c r="A312" i="7"/>
  <c r="A313" i="7"/>
  <c r="A314" i="7"/>
  <c r="A315" i="7"/>
  <c r="A316" i="7"/>
  <c r="A317" i="7"/>
  <c r="A318" i="7"/>
  <c r="A319" i="7"/>
  <c r="A320" i="7"/>
  <c r="A321" i="7"/>
  <c r="A322" i="7"/>
  <c r="A323" i="7"/>
  <c r="A324" i="7"/>
  <c r="A325" i="7"/>
  <c r="A326" i="7"/>
  <c r="A327" i="7"/>
  <c r="A328" i="7"/>
  <c r="A329" i="7"/>
  <c r="A330" i="7"/>
  <c r="A331" i="7"/>
  <c r="A332" i="7"/>
  <c r="A333" i="7"/>
  <c r="A334" i="7"/>
  <c r="A335" i="7"/>
  <c r="A336" i="7"/>
  <c r="A337" i="7"/>
  <c r="A338" i="7"/>
  <c r="A339" i="7"/>
  <c r="A340" i="7"/>
  <c r="A341" i="7"/>
  <c r="A342" i="7"/>
  <c r="A343" i="7"/>
  <c r="A344" i="7"/>
  <c r="A345" i="7"/>
  <c r="A346" i="7"/>
  <c r="A347" i="7"/>
  <c r="A348" i="7"/>
  <c r="A349" i="7"/>
  <c r="A350" i="7"/>
  <c r="A351" i="7"/>
  <c r="A352" i="7"/>
  <c r="A353" i="7"/>
  <c r="A354" i="7"/>
  <c r="A355" i="7"/>
  <c r="A356" i="7"/>
  <c r="A357" i="7"/>
  <c r="A358" i="7"/>
  <c r="A359" i="7"/>
  <c r="A360" i="7"/>
  <c r="A361" i="7"/>
  <c r="A362" i="7"/>
  <c r="A363" i="7"/>
  <c r="A364" i="7"/>
  <c r="A365" i="7"/>
  <c r="A366" i="7"/>
  <c r="A367" i="7"/>
  <c r="A368" i="7"/>
  <c r="A369" i="7"/>
  <c r="A370" i="7"/>
  <c r="A371" i="7"/>
  <c r="A372" i="7"/>
  <c r="A373" i="7"/>
  <c r="A374" i="7"/>
  <c r="A375" i="7"/>
  <c r="A376" i="7"/>
  <c r="A377" i="7"/>
  <c r="A378" i="7"/>
  <c r="A379" i="7"/>
  <c r="A380" i="7"/>
  <c r="A381" i="7"/>
  <c r="A382" i="7"/>
  <c r="A383" i="7"/>
  <c r="A384" i="7"/>
  <c r="A385" i="7"/>
  <c r="A386" i="7"/>
  <c r="A387" i="7"/>
  <c r="A388" i="7"/>
  <c r="A389" i="7"/>
  <c r="A390" i="7"/>
  <c r="A391" i="7"/>
  <c r="A392" i="7"/>
  <c r="A393" i="7"/>
  <c r="A394" i="7"/>
  <c r="A395" i="7"/>
  <c r="A396" i="7"/>
  <c r="A397" i="7"/>
  <c r="A398" i="7"/>
  <c r="A399" i="7"/>
  <c r="A400" i="7"/>
  <c r="A401" i="7"/>
  <c r="A402" i="7"/>
  <c r="A403" i="7"/>
  <c r="A404" i="7"/>
  <c r="A405" i="7"/>
  <c r="A406" i="7"/>
  <c r="A407" i="7"/>
  <c r="A408" i="7"/>
  <c r="A409" i="7"/>
  <c r="A410" i="7"/>
  <c r="A411" i="7"/>
  <c r="A412" i="7"/>
  <c r="A413" i="7"/>
  <c r="A414" i="7"/>
  <c r="A415" i="7"/>
  <c r="A416" i="7"/>
  <c r="A417" i="7"/>
  <c r="A418" i="7"/>
  <c r="A419" i="7"/>
  <c r="A420" i="7"/>
  <c r="A421" i="7"/>
  <c r="A422" i="7"/>
  <c r="A423" i="7"/>
  <c r="A424" i="7"/>
  <c r="A425" i="7"/>
  <c r="A426" i="7"/>
  <c r="A427" i="7"/>
  <c r="A428" i="7"/>
  <c r="A429" i="7"/>
  <c r="A430" i="7"/>
  <c r="A431" i="7"/>
  <c r="A432" i="7"/>
  <c r="A433" i="7"/>
  <c r="A434" i="7"/>
  <c r="A435" i="7"/>
  <c r="A436" i="7"/>
  <c r="A437" i="7"/>
  <c r="A438" i="7"/>
  <c r="A439" i="7"/>
  <c r="A440" i="7"/>
  <c r="A441" i="7"/>
  <c r="A442" i="7"/>
  <c r="A443" i="7"/>
  <c r="A444" i="7"/>
  <c r="A445" i="7"/>
  <c r="A446" i="7"/>
  <c r="A447" i="7"/>
  <c r="A448" i="7"/>
  <c r="A449" i="7"/>
  <c r="A450" i="7"/>
  <c r="A451" i="7"/>
  <c r="A452" i="7"/>
  <c r="A453" i="7"/>
  <c r="A454" i="7"/>
  <c r="A455" i="7"/>
  <c r="A456" i="7"/>
  <c r="A457" i="7"/>
  <c r="A458" i="7"/>
  <c r="A459" i="7"/>
  <c r="A460" i="7"/>
  <c r="A461" i="7"/>
  <c r="A462" i="7"/>
  <c r="A463" i="7"/>
  <c r="A464" i="7"/>
  <c r="A465" i="7"/>
  <c r="A466" i="7"/>
  <c r="A467" i="7"/>
  <c r="A468" i="7"/>
  <c r="A469" i="7"/>
  <c r="A470" i="7"/>
  <c r="A471" i="7"/>
  <c r="A472" i="7"/>
  <c r="A473" i="7"/>
  <c r="A474" i="7"/>
  <c r="A475" i="7"/>
  <c r="A476" i="7"/>
  <c r="A477" i="7"/>
  <c r="A478" i="7"/>
  <c r="A479" i="7"/>
  <c r="A480" i="7"/>
  <c r="A481" i="7"/>
  <c r="A482" i="7"/>
  <c r="A483" i="7"/>
  <c r="A484" i="7"/>
  <c r="A485" i="7"/>
  <c r="A486" i="7"/>
  <c r="A487" i="7"/>
  <c r="A488" i="7"/>
  <c r="A489" i="7"/>
  <c r="A490" i="7"/>
  <c r="A491" i="7"/>
  <c r="A492" i="7"/>
  <c r="A493" i="7"/>
  <c r="A494" i="7"/>
  <c r="A495" i="7"/>
  <c r="A496" i="7"/>
  <c r="A497" i="7"/>
  <c r="A498" i="7"/>
  <c r="A499" i="7"/>
  <c r="A500" i="7"/>
  <c r="A501" i="7"/>
  <c r="A502" i="7"/>
  <c r="A503" i="7"/>
  <c r="A504" i="7"/>
  <c r="A505" i="7"/>
  <c r="A506" i="7"/>
  <c r="A507" i="7"/>
  <c r="A508" i="7"/>
  <c r="A509" i="7"/>
  <c r="A510" i="7"/>
  <c r="A511" i="7"/>
  <c r="A512" i="7"/>
  <c r="A513" i="7"/>
  <c r="A514" i="7"/>
  <c r="A515" i="7"/>
  <c r="A516" i="7"/>
  <c r="A517" i="7"/>
  <c r="A518" i="7"/>
  <c r="A519" i="7"/>
  <c r="A520" i="7"/>
  <c r="A521" i="7"/>
  <c r="A522" i="7"/>
  <c r="A523" i="7"/>
  <c r="A524" i="7"/>
  <c r="A525" i="7"/>
  <c r="A526" i="7"/>
  <c r="A527" i="7"/>
  <c r="A528" i="7"/>
  <c r="A529" i="7"/>
  <c r="A530" i="7"/>
  <c r="A531" i="7"/>
  <c r="A532" i="7"/>
  <c r="A533" i="7"/>
  <c r="A534" i="7"/>
  <c r="A535" i="7"/>
  <c r="A536" i="7"/>
  <c r="A537" i="7"/>
  <c r="A538" i="7"/>
  <c r="A539" i="7"/>
  <c r="A540" i="7"/>
  <c r="A541" i="7"/>
  <c r="A542" i="7"/>
  <c r="A543" i="7"/>
  <c r="A544" i="7"/>
  <c r="A545" i="7"/>
  <c r="A546" i="7"/>
  <c r="A547" i="7"/>
  <c r="A548" i="7"/>
  <c r="A549" i="7"/>
  <c r="A550" i="7"/>
  <c r="A551" i="7"/>
  <c r="A552" i="7"/>
  <c r="A553" i="7"/>
  <c r="A554" i="7"/>
  <c r="A555" i="7"/>
  <c r="A556" i="7"/>
  <c r="A557" i="7"/>
  <c r="A558" i="7"/>
  <c r="A559" i="7"/>
  <c r="A560" i="7"/>
  <c r="A561" i="7"/>
  <c r="A562" i="7"/>
  <c r="A563" i="7"/>
  <c r="A564" i="7"/>
  <c r="A565" i="7"/>
  <c r="A566" i="7"/>
  <c r="A567" i="7"/>
  <c r="A568" i="7"/>
  <c r="A569" i="7"/>
  <c r="A570" i="7"/>
  <c r="A571" i="7"/>
  <c r="A572" i="7"/>
  <c r="A573" i="7"/>
  <c r="A574" i="7"/>
  <c r="A575" i="7"/>
  <c r="A576" i="7"/>
  <c r="A577" i="7"/>
  <c r="A578" i="7"/>
  <c r="A579" i="7"/>
  <c r="A580" i="7"/>
  <c r="A581" i="7"/>
  <c r="A582" i="7"/>
  <c r="A583" i="7"/>
  <c r="A584" i="7"/>
  <c r="A585" i="7"/>
  <c r="A586" i="7"/>
  <c r="A587" i="7"/>
  <c r="A588" i="7"/>
  <c r="A589" i="7"/>
  <c r="A590" i="7"/>
  <c r="A591" i="7"/>
  <c r="A592" i="7"/>
  <c r="A593" i="7"/>
  <c r="A594" i="7"/>
  <c r="A595" i="7"/>
  <c r="A596" i="7"/>
  <c r="A597" i="7"/>
  <c r="A598" i="7"/>
  <c r="A599" i="7"/>
  <c r="A600" i="7"/>
  <c r="A601" i="7"/>
  <c r="A602" i="7"/>
  <c r="A603" i="7"/>
  <c r="A604" i="7"/>
  <c r="A605" i="7"/>
  <c r="A606" i="7"/>
  <c r="A607" i="7"/>
  <c r="A608" i="7"/>
  <c r="A609" i="7"/>
  <c r="A610" i="7"/>
  <c r="A611" i="7"/>
  <c r="A612" i="7"/>
  <c r="A613" i="7"/>
  <c r="A614" i="7"/>
  <c r="A615" i="7"/>
  <c r="A616" i="7"/>
  <c r="A617" i="7"/>
  <c r="A618" i="7"/>
  <c r="A619" i="7"/>
  <c r="A620" i="7"/>
  <c r="A621" i="7"/>
  <c r="A622" i="7"/>
  <c r="A623" i="7"/>
  <c r="A624" i="7"/>
  <c r="A625" i="7"/>
  <c r="A626" i="7"/>
  <c r="A627" i="7"/>
  <c r="A628" i="7"/>
  <c r="A629" i="7"/>
  <c r="A630" i="7"/>
  <c r="A631" i="7"/>
  <c r="A632" i="7"/>
  <c r="A633" i="7"/>
  <c r="A634" i="7"/>
  <c r="A635" i="7"/>
  <c r="A636" i="7"/>
  <c r="A637" i="7"/>
  <c r="A638" i="7"/>
  <c r="A639" i="7"/>
  <c r="A640" i="7"/>
  <c r="A641" i="7"/>
  <c r="A642" i="7"/>
  <c r="A643" i="7"/>
  <c r="A644" i="7"/>
  <c r="A645" i="7"/>
  <c r="A646" i="7"/>
  <c r="A647" i="7"/>
  <c r="A648" i="7"/>
  <c r="A649" i="7"/>
  <c r="A650" i="7"/>
  <c r="A651" i="7"/>
  <c r="A652" i="7"/>
  <c r="A653" i="7"/>
  <c r="A654" i="7"/>
  <c r="A655" i="7"/>
  <c r="A656" i="7"/>
  <c r="A657" i="7"/>
  <c r="A658" i="7"/>
  <c r="A659" i="7"/>
  <c r="A660" i="7"/>
  <c r="A661" i="7"/>
  <c r="A662" i="7"/>
  <c r="A663" i="7"/>
  <c r="A664" i="7"/>
  <c r="A665" i="7"/>
  <c r="A666" i="7"/>
  <c r="A667" i="7"/>
  <c r="A668" i="7"/>
  <c r="A669" i="7"/>
  <c r="A670" i="7"/>
  <c r="A671" i="7"/>
  <c r="A672" i="7"/>
  <c r="A673" i="7"/>
  <c r="A674" i="7"/>
  <c r="A675" i="7"/>
  <c r="A676" i="7"/>
  <c r="A677" i="7"/>
  <c r="A678" i="7"/>
  <c r="A679" i="7"/>
  <c r="A680" i="7"/>
  <c r="A681" i="7"/>
  <c r="A682" i="7"/>
  <c r="A683" i="7"/>
  <c r="A684" i="7"/>
  <c r="A685" i="7"/>
  <c r="A686" i="7"/>
  <c r="A687" i="7"/>
  <c r="A688" i="7"/>
  <c r="A689" i="7"/>
  <c r="A690" i="7"/>
  <c r="A691" i="7"/>
  <c r="A692" i="7"/>
  <c r="A693" i="7"/>
  <c r="A694" i="7"/>
  <c r="A695" i="7"/>
  <c r="A696" i="7"/>
  <c r="A697" i="7"/>
  <c r="A698" i="7"/>
  <c r="A699" i="7"/>
  <c r="A700" i="7"/>
  <c r="A701" i="7"/>
  <c r="A702" i="7"/>
  <c r="A703" i="7"/>
  <c r="A704" i="7"/>
  <c r="A705" i="7"/>
  <c r="A706" i="7"/>
  <c r="A707" i="7"/>
  <c r="A708" i="7"/>
  <c r="A709" i="7"/>
  <c r="A710" i="7"/>
  <c r="A711" i="7"/>
  <c r="A712" i="7"/>
  <c r="A713" i="7"/>
  <c r="A714" i="7"/>
  <c r="A715" i="7"/>
  <c r="A716" i="7"/>
  <c r="A717" i="7"/>
  <c r="A718" i="7"/>
  <c r="A719" i="7"/>
  <c r="A720" i="7"/>
  <c r="A721" i="7"/>
  <c r="A722" i="7"/>
  <c r="A723" i="7"/>
  <c r="A724" i="7"/>
  <c r="A725" i="7"/>
  <c r="A726" i="7"/>
  <c r="A727" i="7"/>
  <c r="A728" i="7"/>
  <c r="A729" i="7"/>
  <c r="A730" i="7"/>
  <c r="A731" i="7"/>
  <c r="A732" i="7"/>
  <c r="A733" i="7"/>
  <c r="A734" i="7"/>
  <c r="A735" i="7"/>
  <c r="A736" i="7"/>
  <c r="A737" i="7"/>
  <c r="A738" i="7"/>
  <c r="A739" i="7"/>
  <c r="A740" i="7"/>
  <c r="A741" i="7"/>
  <c r="A742" i="7"/>
  <c r="A743" i="7"/>
  <c r="A744" i="7"/>
  <c r="A745" i="7"/>
  <c r="A746" i="7"/>
  <c r="A747" i="7"/>
  <c r="A748" i="7"/>
  <c r="A749" i="7"/>
  <c r="A750" i="7"/>
  <c r="A751" i="7"/>
  <c r="A752" i="7"/>
  <c r="A753" i="7"/>
  <c r="A754" i="7"/>
  <c r="A755" i="7"/>
  <c r="A756" i="7"/>
  <c r="A757" i="7"/>
  <c r="A758" i="7"/>
  <c r="A759" i="7"/>
  <c r="A760" i="7"/>
  <c r="A761" i="7"/>
  <c r="A762" i="7"/>
  <c r="A763" i="7"/>
  <c r="A764" i="7"/>
  <c r="A765" i="7"/>
  <c r="A766" i="7"/>
  <c r="A767" i="7"/>
  <c r="A768" i="7"/>
  <c r="A769" i="7"/>
  <c r="A770" i="7"/>
  <c r="A771" i="7"/>
  <c r="A772" i="7"/>
  <c r="A773" i="7"/>
  <c r="A774" i="7"/>
  <c r="A775" i="7"/>
  <c r="A776" i="7"/>
  <c r="A777" i="7"/>
  <c r="A778" i="7"/>
  <c r="A779" i="7"/>
  <c r="A780" i="7"/>
  <c r="A781" i="7"/>
  <c r="A782" i="7"/>
  <c r="A783" i="7"/>
  <c r="A784" i="7"/>
  <c r="A785" i="7"/>
  <c r="A786" i="7"/>
  <c r="A787" i="7"/>
  <c r="A788" i="7"/>
  <c r="A789" i="7"/>
  <c r="A790" i="7"/>
  <c r="A791" i="7"/>
  <c r="A792" i="7"/>
  <c r="A793" i="7"/>
  <c r="A794" i="7"/>
  <c r="A795" i="7"/>
  <c r="A796" i="7"/>
  <c r="A797" i="7"/>
  <c r="A798" i="7"/>
  <c r="A799" i="7"/>
  <c r="A800" i="7"/>
  <c r="A801" i="7"/>
  <c r="A802" i="7"/>
  <c r="A803" i="7"/>
  <c r="A804" i="7"/>
  <c r="A805" i="7"/>
  <c r="A806" i="7"/>
  <c r="A807" i="7"/>
  <c r="A808" i="7"/>
  <c r="A809" i="7"/>
  <c r="A810" i="7"/>
  <c r="A811" i="7"/>
  <c r="A812" i="7"/>
  <c r="A813" i="7"/>
  <c r="A814" i="7"/>
  <c r="A815" i="7"/>
  <c r="A816" i="7"/>
  <c r="A817" i="7"/>
  <c r="A818" i="7"/>
  <c r="A819" i="7"/>
  <c r="A820" i="7"/>
  <c r="A821" i="7"/>
  <c r="A822" i="7"/>
  <c r="A823" i="7"/>
  <c r="A824" i="7"/>
  <c r="A825" i="7"/>
  <c r="A826" i="7"/>
  <c r="A827" i="7"/>
  <c r="A828" i="7"/>
  <c r="A829" i="7"/>
  <c r="A830" i="7"/>
  <c r="A831" i="7"/>
  <c r="A832" i="7"/>
  <c r="A833" i="7"/>
  <c r="A834" i="7"/>
  <c r="A835" i="7"/>
  <c r="A836" i="7"/>
  <c r="A837" i="7"/>
  <c r="A838" i="7"/>
  <c r="A839" i="7"/>
  <c r="A840" i="7"/>
  <c r="A841" i="7"/>
  <c r="A842" i="7"/>
  <c r="A843" i="7"/>
  <c r="A844" i="7"/>
  <c r="A845" i="7"/>
  <c r="A846" i="7"/>
  <c r="A847" i="7"/>
  <c r="A848" i="7"/>
  <c r="A849" i="7"/>
  <c r="A850" i="7"/>
  <c r="A851" i="7"/>
  <c r="A852" i="7"/>
  <c r="A853" i="7"/>
  <c r="A854" i="7"/>
  <c r="A855" i="7"/>
  <c r="A856" i="7"/>
  <c r="A857" i="7"/>
  <c r="A858" i="7"/>
  <c r="A859" i="7"/>
  <c r="A860" i="7"/>
  <c r="A861" i="7"/>
  <c r="A862" i="7"/>
  <c r="A863" i="7"/>
  <c r="A864" i="7"/>
  <c r="A865" i="7"/>
  <c r="A866" i="7"/>
  <c r="A867" i="7"/>
  <c r="A868" i="7"/>
  <c r="A869" i="7"/>
  <c r="A870" i="7"/>
  <c r="A871" i="7"/>
  <c r="A872" i="7"/>
  <c r="A873" i="7"/>
  <c r="A874" i="7"/>
  <c r="A875" i="7"/>
  <c r="A876" i="7"/>
  <c r="A877" i="7"/>
  <c r="A878" i="7"/>
  <c r="A879" i="7"/>
  <c r="A880" i="7"/>
  <c r="A881" i="7"/>
  <c r="A882" i="7"/>
  <c r="A883" i="7"/>
  <c r="A884" i="7"/>
  <c r="A885" i="7"/>
  <c r="A886" i="7"/>
  <c r="A887" i="7"/>
  <c r="A888" i="7"/>
  <c r="A889" i="7"/>
  <c r="A890" i="7"/>
  <c r="A891" i="7"/>
  <c r="A892" i="7"/>
  <c r="A893" i="7"/>
  <c r="A894" i="7"/>
  <c r="A895" i="7"/>
  <c r="A896" i="7"/>
  <c r="A897" i="7"/>
  <c r="A898" i="7"/>
  <c r="A899" i="7"/>
  <c r="A900" i="7"/>
  <c r="A901" i="7"/>
  <c r="A902" i="7"/>
  <c r="A903" i="7"/>
  <c r="A904" i="7"/>
  <c r="A905" i="7"/>
  <c r="A906" i="7"/>
  <c r="A907" i="7"/>
  <c r="A908" i="7"/>
  <c r="A909" i="7"/>
  <c r="A910" i="7"/>
  <c r="A911" i="7"/>
  <c r="A912" i="7"/>
  <c r="A913" i="7"/>
  <c r="A914" i="7"/>
  <c r="A915" i="7"/>
  <c r="A916" i="7"/>
  <c r="A917" i="7"/>
  <c r="A918" i="7"/>
  <c r="A919" i="7"/>
  <c r="A920" i="7"/>
  <c r="A921" i="7"/>
  <c r="A922" i="7"/>
  <c r="A923" i="7"/>
  <c r="A924" i="7"/>
  <c r="A925" i="7"/>
  <c r="A926" i="7"/>
  <c r="A927" i="7"/>
  <c r="A928" i="7"/>
  <c r="A929" i="7"/>
  <c r="A930" i="7"/>
  <c r="A931" i="7"/>
  <c r="A932" i="7"/>
  <c r="A933" i="7"/>
  <c r="A934" i="7"/>
  <c r="A935" i="7"/>
  <c r="A936" i="7"/>
  <c r="A937" i="7"/>
  <c r="A938" i="7"/>
  <c r="A939" i="7"/>
  <c r="A940" i="7"/>
  <c r="A941" i="7"/>
  <c r="A942" i="7"/>
  <c r="A943" i="7"/>
  <c r="A944" i="7"/>
  <c r="A945" i="7"/>
  <c r="A946" i="7"/>
  <c r="A947" i="7"/>
  <c r="A948" i="7"/>
  <c r="A949" i="7"/>
  <c r="A950" i="7"/>
  <c r="A951" i="7"/>
  <c r="A952" i="7"/>
  <c r="A953" i="7"/>
  <c r="A954" i="7"/>
  <c r="A955" i="7"/>
  <c r="A956" i="7"/>
  <c r="A957" i="7"/>
  <c r="A958" i="7"/>
  <c r="A959" i="7"/>
  <c r="A960" i="7"/>
  <c r="A961" i="7"/>
  <c r="A962" i="7"/>
  <c r="A963" i="7"/>
  <c r="A964" i="7"/>
  <c r="A965" i="7"/>
  <c r="A966" i="7"/>
  <c r="A967" i="7"/>
  <c r="A968" i="7"/>
  <c r="A969" i="7"/>
  <c r="A970" i="7"/>
  <c r="A971" i="7"/>
  <c r="A972" i="7"/>
  <c r="A973" i="7"/>
  <c r="A974" i="7"/>
  <c r="A975" i="7"/>
  <c r="A976" i="7"/>
  <c r="A977" i="7"/>
  <c r="A978" i="7"/>
  <c r="A979" i="7"/>
  <c r="A980" i="7"/>
  <c r="A981" i="7"/>
  <c r="A982" i="7"/>
  <c r="A983" i="7"/>
  <c r="A984" i="7"/>
  <c r="A985" i="7"/>
  <c r="A986" i="7"/>
  <c r="A987" i="7"/>
  <c r="A988" i="7"/>
  <c r="A989" i="7"/>
  <c r="A990" i="7"/>
  <c r="A991" i="7"/>
  <c r="A992" i="7"/>
  <c r="A993" i="7"/>
  <c r="A994" i="7"/>
  <c r="A995" i="7"/>
  <c r="A996" i="7"/>
  <c r="A997" i="7"/>
  <c r="A998" i="7"/>
  <c r="A999" i="7"/>
  <c r="A1000" i="7"/>
  <c r="A1001" i="7"/>
  <c r="A1002" i="7"/>
  <c r="A1003" i="7"/>
  <c r="A1004" i="7"/>
  <c r="A1005" i="7"/>
  <c r="A1006" i="7"/>
  <c r="A1007" i="7"/>
  <c r="A1008" i="7"/>
  <c r="A1009" i="7"/>
  <c r="A1010" i="7"/>
  <c r="A1011" i="7"/>
  <c r="A1012" i="7"/>
  <c r="A1013" i="7"/>
  <c r="A1014" i="7"/>
  <c r="A1015" i="7"/>
  <c r="A1016" i="7"/>
  <c r="A1017" i="7"/>
  <c r="A1018" i="7"/>
  <c r="A1019" i="7"/>
  <c r="A1020" i="7"/>
  <c r="A1021" i="7"/>
  <c r="A1022" i="7"/>
  <c r="A1023" i="7"/>
  <c r="A1024" i="7"/>
  <c r="A1025" i="7"/>
  <c r="A1026" i="7"/>
  <c r="A1027" i="7"/>
  <c r="A1028" i="7"/>
  <c r="A1029" i="7"/>
  <c r="A1030" i="7"/>
  <c r="A1031" i="7"/>
  <c r="A1032" i="7"/>
  <c r="A1033" i="7"/>
  <c r="A1034" i="7"/>
  <c r="A1035" i="7"/>
  <c r="A1036" i="7"/>
  <c r="A1037" i="7"/>
  <c r="A1038" i="7"/>
  <c r="A1039" i="7"/>
  <c r="A1040" i="7"/>
  <c r="A1041" i="7"/>
  <c r="A1042" i="7"/>
  <c r="A1043" i="7"/>
  <c r="A1044" i="7"/>
  <c r="A1045" i="7"/>
  <c r="A1046" i="7"/>
  <c r="A1047" i="7"/>
  <c r="A1048" i="7"/>
  <c r="A1049" i="7"/>
  <c r="A1050" i="7"/>
  <c r="A1051" i="7"/>
  <c r="A1052" i="7"/>
  <c r="A1053" i="7"/>
  <c r="A1054" i="7"/>
  <c r="A1055" i="7"/>
  <c r="A1056" i="7"/>
  <c r="A1057" i="7"/>
  <c r="A1058" i="7"/>
  <c r="A1059" i="7"/>
  <c r="A1060" i="7"/>
  <c r="A1061" i="7"/>
  <c r="A1062" i="7"/>
  <c r="A1063" i="7"/>
  <c r="A1064" i="7"/>
  <c r="A1065" i="7"/>
  <c r="A1066" i="7"/>
  <c r="A1067" i="7"/>
  <c r="A1068" i="7"/>
  <c r="A1069" i="7"/>
  <c r="A1070" i="7"/>
  <c r="A1071" i="7"/>
  <c r="A1072" i="7"/>
  <c r="A1073" i="7"/>
  <c r="A1074" i="7"/>
  <c r="A1075" i="7"/>
  <c r="A1076" i="7"/>
  <c r="A1077" i="7"/>
  <c r="A1078" i="7"/>
  <c r="A1079" i="7"/>
  <c r="A1080" i="7"/>
  <c r="A1081" i="7"/>
  <c r="A1082" i="7"/>
  <c r="A1083" i="7"/>
  <c r="A1084" i="7"/>
  <c r="A1085" i="7"/>
  <c r="A1086" i="7"/>
  <c r="A1087" i="7"/>
  <c r="A1088" i="7"/>
  <c r="A1089" i="7"/>
  <c r="A1090" i="7"/>
  <c r="A1091" i="7"/>
  <c r="A1092" i="7"/>
  <c r="A1093" i="7"/>
  <c r="A1094" i="7"/>
  <c r="A1095" i="7"/>
  <c r="A1096" i="7"/>
  <c r="A1097" i="7"/>
  <c r="A1098" i="7"/>
  <c r="A1099" i="7"/>
  <c r="A1100" i="7"/>
  <c r="A1101" i="7"/>
  <c r="A1102" i="7"/>
  <c r="A1103" i="7"/>
  <c r="A1104" i="7"/>
  <c r="A1105" i="7"/>
  <c r="A1106" i="7"/>
  <c r="A1107" i="7"/>
  <c r="A1108" i="7"/>
  <c r="A1109" i="7"/>
  <c r="A1110" i="7"/>
  <c r="A1111" i="7"/>
  <c r="A1112" i="7"/>
  <c r="A1113" i="7"/>
  <c r="A1114" i="7"/>
  <c r="A1115" i="7"/>
  <c r="A1116" i="7"/>
  <c r="A1117" i="7"/>
  <c r="A1118" i="7"/>
  <c r="A1119" i="7"/>
  <c r="A1120" i="7"/>
  <c r="A1121" i="7"/>
  <c r="A1122" i="7"/>
  <c r="A1123" i="7"/>
  <c r="A1124" i="7"/>
  <c r="A1125" i="7"/>
  <c r="A1126" i="7"/>
  <c r="A1127" i="7"/>
  <c r="A1128" i="7"/>
  <c r="A1129" i="7"/>
  <c r="A1130" i="7"/>
  <c r="A1131" i="7"/>
  <c r="A1132" i="7"/>
  <c r="A1133" i="7"/>
  <c r="A1134" i="7"/>
  <c r="A1135" i="7"/>
  <c r="A1136" i="7"/>
  <c r="A1137" i="7"/>
  <c r="A1138" i="7"/>
  <c r="A1139" i="7"/>
  <c r="A1140" i="7"/>
  <c r="A1141" i="7"/>
  <c r="A1142" i="7"/>
  <c r="A1143" i="7"/>
  <c r="A1144" i="7"/>
  <c r="A1145" i="7"/>
  <c r="A1146" i="7"/>
  <c r="A1147" i="7"/>
  <c r="A1148" i="7"/>
  <c r="A1149" i="7"/>
  <c r="A1150" i="7"/>
  <c r="A1151" i="7"/>
  <c r="A1152" i="7"/>
  <c r="A1153" i="7"/>
  <c r="A1154" i="7"/>
  <c r="A1155" i="7"/>
  <c r="A1156" i="7"/>
  <c r="A1157" i="7"/>
  <c r="A1158" i="7"/>
  <c r="A1159" i="7"/>
  <c r="A1160" i="7"/>
  <c r="A1161" i="7"/>
  <c r="A1162" i="7"/>
  <c r="A1163" i="7"/>
  <c r="A1164" i="7"/>
  <c r="A1165" i="7"/>
  <c r="A1166" i="7"/>
  <c r="A1167" i="7"/>
  <c r="A1168" i="7"/>
  <c r="A1169" i="7"/>
  <c r="A1170" i="7"/>
  <c r="A1171" i="7"/>
  <c r="A1172" i="7"/>
  <c r="A1173" i="7"/>
  <c r="A1174" i="7"/>
  <c r="A1175" i="7"/>
  <c r="A1176" i="7"/>
  <c r="A1177" i="7"/>
  <c r="A1178" i="7"/>
  <c r="A1179" i="7"/>
  <c r="A1180" i="7"/>
  <c r="A1181" i="7"/>
  <c r="A1182" i="7"/>
  <c r="A1183" i="7"/>
  <c r="A1184" i="7"/>
  <c r="A1185" i="7"/>
  <c r="A1186" i="7"/>
  <c r="A1187" i="7"/>
  <c r="A1188" i="7"/>
  <c r="A1189" i="7"/>
  <c r="A1190" i="7"/>
  <c r="A1191" i="7"/>
  <c r="A1192" i="7"/>
  <c r="A1193" i="7"/>
  <c r="A1194" i="7"/>
  <c r="A1195" i="7"/>
  <c r="A1196" i="7"/>
  <c r="A1197" i="7"/>
  <c r="A1198" i="7"/>
  <c r="A1199" i="7"/>
  <c r="A1200" i="7"/>
  <c r="A1201" i="7"/>
  <c r="A1202" i="7"/>
  <c r="A1203" i="7"/>
  <c r="A1204" i="7"/>
  <c r="A1205" i="7"/>
  <c r="A1206" i="7"/>
  <c r="A1207" i="7"/>
  <c r="A1208" i="7"/>
  <c r="A1209" i="7"/>
  <c r="A1210" i="7"/>
  <c r="A1211" i="7"/>
  <c r="A1212" i="7"/>
  <c r="A1213" i="7"/>
  <c r="A1214" i="7"/>
  <c r="A1215" i="7"/>
  <c r="A1216" i="7"/>
  <c r="A1217" i="7"/>
  <c r="A1218" i="7"/>
  <c r="A1219" i="7"/>
  <c r="A1220" i="7"/>
  <c r="A1221" i="7"/>
  <c r="A1222" i="7"/>
  <c r="A1223" i="7"/>
  <c r="A1224" i="7"/>
  <c r="A1225" i="7"/>
  <c r="A1226" i="7"/>
  <c r="A1227" i="7"/>
  <c r="A1228" i="7"/>
  <c r="A1229" i="7"/>
  <c r="A1230" i="7"/>
  <c r="A1231" i="7"/>
  <c r="A1232" i="7"/>
  <c r="A1233" i="7"/>
  <c r="A1234" i="7"/>
  <c r="A1235" i="7"/>
  <c r="A1236" i="7"/>
  <c r="A1237" i="7"/>
  <c r="A1238" i="7"/>
  <c r="A1239" i="7"/>
  <c r="A1240" i="7"/>
  <c r="A1241" i="7"/>
  <c r="A1242" i="7"/>
  <c r="A1243" i="7"/>
  <c r="A1244" i="7"/>
  <c r="A1245" i="7"/>
  <c r="A1246" i="7"/>
  <c r="A1247" i="7"/>
  <c r="A1248" i="7"/>
  <c r="A1249" i="7"/>
  <c r="A1250" i="7"/>
  <c r="A1251" i="7"/>
  <c r="A1252" i="7"/>
  <c r="A1253" i="7"/>
  <c r="A1254" i="7"/>
  <c r="A1255" i="7"/>
  <c r="A1256" i="7"/>
  <c r="A1257" i="7"/>
  <c r="A1258" i="7"/>
  <c r="A1259" i="7"/>
  <c r="A1260" i="7"/>
  <c r="A1261" i="7"/>
  <c r="A1262" i="7"/>
  <c r="A1263" i="7"/>
  <c r="A1264" i="7"/>
  <c r="A1265" i="7"/>
  <c r="A1266" i="7"/>
  <c r="A1267" i="7"/>
  <c r="A1268" i="7"/>
  <c r="A1269" i="7"/>
  <c r="A1270" i="7"/>
  <c r="A1271" i="7"/>
  <c r="A1272" i="7"/>
  <c r="A1273" i="7"/>
  <c r="A1274" i="7"/>
  <c r="A1275" i="7"/>
  <c r="A1276" i="7"/>
  <c r="A1277" i="7"/>
  <c r="A1278" i="7"/>
  <c r="A1279" i="7"/>
  <c r="A1280" i="7"/>
  <c r="A1281" i="7"/>
  <c r="A1282" i="7"/>
  <c r="A1283" i="7"/>
  <c r="A1284" i="7"/>
  <c r="A1285" i="7"/>
  <c r="A1286" i="7"/>
  <c r="A1287" i="7"/>
  <c r="A1288" i="7"/>
  <c r="A1289" i="7"/>
  <c r="A1290" i="7"/>
  <c r="A1291" i="7"/>
  <c r="A1292" i="7"/>
  <c r="A1293" i="7"/>
  <c r="A1294" i="7"/>
  <c r="A1295" i="7"/>
  <c r="A1296" i="7"/>
  <c r="A1297" i="7"/>
  <c r="A1298" i="7"/>
  <c r="A1299" i="7"/>
  <c r="A1300" i="7"/>
  <c r="A1301" i="7"/>
  <c r="A1302" i="7"/>
  <c r="A1303" i="7"/>
  <c r="A1304" i="7"/>
  <c r="A1305" i="7"/>
  <c r="A1306" i="7"/>
  <c r="A1307" i="7"/>
  <c r="A1308" i="7"/>
  <c r="A1309" i="7"/>
  <c r="A1310" i="7"/>
  <c r="A1311" i="7"/>
  <c r="A1312" i="7"/>
  <c r="A1313" i="7"/>
  <c r="A1314" i="7"/>
  <c r="A1315" i="7"/>
  <c r="A1316" i="7"/>
  <c r="A1317" i="7"/>
  <c r="A1318" i="7"/>
  <c r="A1319" i="7"/>
  <c r="A1320" i="7"/>
  <c r="A1321" i="7"/>
  <c r="A1322" i="7"/>
  <c r="A1323" i="7"/>
  <c r="A1324" i="7"/>
  <c r="A1325" i="7"/>
  <c r="A1326" i="7"/>
  <c r="A1327" i="7"/>
  <c r="A1328" i="7"/>
  <c r="A1329" i="7"/>
  <c r="A1330" i="7"/>
  <c r="A1331" i="7"/>
  <c r="A1332" i="7"/>
  <c r="A1333" i="7"/>
  <c r="A1334" i="7"/>
  <c r="A1335" i="7"/>
  <c r="A1336" i="7"/>
  <c r="A1337" i="7"/>
  <c r="A1338" i="7"/>
  <c r="A1339" i="7"/>
  <c r="A1340" i="7"/>
  <c r="A1341" i="7"/>
  <c r="A1342" i="7"/>
  <c r="A1343" i="7"/>
  <c r="A1344" i="7"/>
  <c r="A1345" i="7"/>
  <c r="A1346" i="7"/>
  <c r="A1347" i="7"/>
  <c r="A1348" i="7"/>
  <c r="A1349" i="7"/>
  <c r="A1350" i="7"/>
  <c r="A1351" i="7"/>
  <c r="A1352" i="7"/>
  <c r="A1353" i="7"/>
  <c r="A1354" i="7"/>
  <c r="A1355" i="7"/>
  <c r="A1356" i="7"/>
  <c r="A1357" i="7"/>
  <c r="A1358" i="7"/>
  <c r="A1359" i="7"/>
  <c r="A1360" i="7"/>
  <c r="A1361" i="7"/>
  <c r="A1362" i="7"/>
  <c r="A1363" i="7"/>
  <c r="A1364" i="7"/>
  <c r="A1365" i="7"/>
  <c r="A1366" i="7"/>
  <c r="A1367" i="7"/>
  <c r="A1368" i="7"/>
  <c r="A1369" i="7"/>
  <c r="A1370" i="7"/>
  <c r="A1371" i="7"/>
  <c r="A1372" i="7"/>
  <c r="A1373" i="7"/>
  <c r="A1374" i="7"/>
  <c r="A1375" i="7"/>
  <c r="A1376" i="7"/>
  <c r="A1377" i="7"/>
  <c r="A1378" i="7"/>
  <c r="A1379" i="7"/>
  <c r="A1380" i="7"/>
  <c r="A1381" i="7"/>
  <c r="A1382" i="7"/>
  <c r="A1383" i="7"/>
  <c r="A1384" i="7"/>
  <c r="A1385" i="7"/>
  <c r="A1386" i="7"/>
  <c r="A1387" i="7"/>
  <c r="A1388" i="7"/>
  <c r="A1389" i="7"/>
  <c r="A1390" i="7"/>
  <c r="A1391" i="7"/>
  <c r="A1392" i="7"/>
  <c r="A1393" i="7"/>
  <c r="A1394" i="7"/>
  <c r="A1395" i="7"/>
  <c r="A1396" i="7"/>
  <c r="A1397" i="7"/>
  <c r="A1398" i="7"/>
  <c r="A1399" i="7"/>
  <c r="A1400" i="7"/>
  <c r="A1401" i="7"/>
  <c r="A1402" i="7"/>
  <c r="A1403" i="7"/>
  <c r="A1404" i="7"/>
  <c r="A1405" i="7"/>
  <c r="A1406" i="7"/>
  <c r="A1407" i="7"/>
  <c r="A1408" i="7"/>
  <c r="A1409" i="7"/>
  <c r="A1410" i="7"/>
  <c r="A1411" i="7"/>
  <c r="A1412" i="7"/>
  <c r="A1413" i="7"/>
  <c r="A1414" i="7"/>
  <c r="A1415" i="7"/>
  <c r="A1416" i="7"/>
  <c r="A1417" i="7"/>
  <c r="A1418" i="7"/>
  <c r="A1419" i="7"/>
  <c r="A1420" i="7"/>
  <c r="A1421" i="7"/>
  <c r="A1422" i="7"/>
  <c r="A1423" i="7"/>
  <c r="A1424" i="7"/>
  <c r="A1425" i="7"/>
  <c r="A1426" i="7"/>
  <c r="A1427" i="7"/>
  <c r="A1428" i="7"/>
  <c r="A1429" i="7"/>
  <c r="A1430" i="7"/>
  <c r="A1431" i="7"/>
  <c r="A1432" i="7"/>
  <c r="A1433" i="7"/>
  <c r="A1434" i="7"/>
  <c r="A1435" i="7"/>
  <c r="A1436" i="7"/>
  <c r="A1437" i="7"/>
  <c r="A1438" i="7"/>
  <c r="A1439" i="7"/>
  <c r="A1440" i="7"/>
  <c r="A1441" i="7"/>
  <c r="A1442" i="7"/>
  <c r="A1443" i="7"/>
  <c r="A1444" i="7"/>
  <c r="A1445" i="7"/>
  <c r="A1446" i="7"/>
  <c r="A1447" i="7"/>
  <c r="A1448" i="7"/>
  <c r="A1449" i="7"/>
  <c r="A1450" i="7"/>
  <c r="A1451" i="7"/>
  <c r="A1452" i="7"/>
  <c r="A1453" i="7"/>
  <c r="A1454" i="7"/>
  <c r="A1455" i="7"/>
  <c r="A1456" i="7"/>
  <c r="A1457" i="7"/>
  <c r="A1458" i="7"/>
  <c r="A1459" i="7"/>
  <c r="A1460" i="7"/>
  <c r="A1461" i="7"/>
  <c r="A1462" i="7"/>
  <c r="A1463" i="7"/>
  <c r="A1464" i="7"/>
  <c r="A1465" i="7"/>
  <c r="A1466" i="7"/>
  <c r="A1467" i="7"/>
  <c r="A1468" i="7"/>
  <c r="A1469" i="7"/>
  <c r="A1470" i="7"/>
  <c r="A1471" i="7"/>
  <c r="A1472" i="7"/>
  <c r="A1473" i="7"/>
  <c r="A1474" i="7"/>
  <c r="A1475" i="7"/>
  <c r="A1476" i="7"/>
  <c r="A1477" i="7"/>
  <c r="A1478" i="7"/>
  <c r="A1479" i="7"/>
  <c r="A1480" i="7"/>
  <c r="A1481" i="7"/>
  <c r="A1482" i="7"/>
  <c r="A1483" i="7"/>
  <c r="A1484" i="7"/>
  <c r="A1485" i="7"/>
  <c r="A1486" i="7"/>
  <c r="A1487" i="7"/>
  <c r="A1488" i="7"/>
  <c r="A1489" i="7"/>
  <c r="A1490" i="7"/>
  <c r="A1491" i="7"/>
  <c r="A1492" i="7"/>
  <c r="A1493" i="7"/>
  <c r="A1494" i="7"/>
  <c r="A1495" i="7"/>
  <c r="A1496" i="7"/>
  <c r="A1497" i="7"/>
  <c r="A1498" i="7"/>
  <c r="A1499" i="7"/>
  <c r="A1500" i="7"/>
  <c r="A1501" i="7"/>
  <c r="A1502" i="7"/>
  <c r="A1503" i="7"/>
  <c r="A1504" i="7"/>
  <c r="A1505" i="7"/>
  <c r="A1506" i="7"/>
  <c r="A1507" i="7"/>
  <c r="A1508" i="7"/>
  <c r="A1509" i="7"/>
  <c r="A1510" i="7"/>
  <c r="A1511" i="7"/>
  <c r="A1512" i="7"/>
  <c r="A1513" i="7"/>
  <c r="A1514" i="7"/>
  <c r="A1515" i="7"/>
  <c r="A1516" i="7"/>
  <c r="A1517" i="7"/>
  <c r="A1518" i="7"/>
  <c r="A1519" i="7"/>
  <c r="A1520" i="7"/>
  <c r="A1521" i="7"/>
  <c r="A1522" i="7"/>
  <c r="A1523" i="7"/>
  <c r="A1524" i="7"/>
  <c r="A1525" i="7"/>
  <c r="A1526" i="7"/>
  <c r="A1527" i="7"/>
  <c r="A1528" i="7"/>
  <c r="A1529" i="7"/>
  <c r="A1530" i="7"/>
  <c r="A1531" i="7"/>
  <c r="A1532" i="7"/>
  <c r="A1533" i="7"/>
  <c r="A1534" i="7"/>
  <c r="A1535" i="7"/>
  <c r="A1536" i="7"/>
  <c r="A1537" i="7"/>
  <c r="A1538" i="7"/>
  <c r="A1539" i="7"/>
  <c r="A1540" i="7"/>
  <c r="A1541" i="7"/>
  <c r="A1542" i="7"/>
  <c r="A1543" i="7"/>
  <c r="A1544" i="7"/>
  <c r="A1545" i="7"/>
  <c r="A1546" i="7"/>
  <c r="A1547" i="7"/>
  <c r="A1548" i="7"/>
  <c r="A1549" i="7"/>
  <c r="A1550" i="7"/>
  <c r="A1551" i="7"/>
  <c r="A1552" i="7"/>
  <c r="A1553" i="7"/>
  <c r="A1554" i="7"/>
  <c r="A1555" i="7"/>
  <c r="A1556" i="7"/>
  <c r="A1557" i="7"/>
  <c r="A1558" i="7"/>
  <c r="A1559" i="7"/>
  <c r="A1560" i="7"/>
  <c r="A1561" i="7"/>
  <c r="A1562" i="7"/>
  <c r="A1563" i="7"/>
  <c r="A1564" i="7"/>
  <c r="A1565" i="7"/>
  <c r="A1566" i="7"/>
  <c r="A1567" i="7"/>
  <c r="A1568" i="7"/>
  <c r="A1569" i="7"/>
  <c r="A1570" i="7"/>
  <c r="A1571" i="7"/>
  <c r="A1572" i="7"/>
  <c r="A1573" i="7"/>
  <c r="A1574" i="7"/>
  <c r="A1575" i="7"/>
  <c r="A1576" i="7"/>
  <c r="A1577" i="7"/>
  <c r="A1578" i="7"/>
  <c r="A1579" i="7"/>
  <c r="A1580" i="7"/>
  <c r="A1581" i="7"/>
  <c r="A1582" i="7"/>
  <c r="A1583" i="7"/>
  <c r="A1584" i="7"/>
  <c r="A1585" i="7"/>
  <c r="A1586" i="7"/>
  <c r="A1587" i="7"/>
  <c r="A1588" i="7"/>
  <c r="A1589" i="7"/>
  <c r="A1590" i="7"/>
  <c r="A1591" i="7"/>
  <c r="A1592" i="7"/>
  <c r="A1593" i="7"/>
  <c r="A1594" i="7"/>
  <c r="A1595" i="7"/>
  <c r="A1596" i="7"/>
  <c r="A1597" i="7"/>
  <c r="A1598" i="7"/>
  <c r="A1599" i="7"/>
  <c r="A1600" i="7"/>
  <c r="A1601" i="7"/>
  <c r="A1602" i="7"/>
  <c r="A1603" i="7"/>
  <c r="A1604" i="7"/>
  <c r="A1605" i="7"/>
  <c r="A1606" i="7"/>
  <c r="A1607" i="7"/>
  <c r="A1608" i="7"/>
  <c r="A1609" i="7"/>
  <c r="A1610" i="7"/>
  <c r="A1611" i="7"/>
  <c r="A1612" i="7"/>
  <c r="A1613" i="7"/>
  <c r="A1614" i="7"/>
  <c r="A1615" i="7"/>
  <c r="A1616" i="7"/>
  <c r="A1617" i="7"/>
  <c r="A1618" i="7"/>
  <c r="A1619" i="7"/>
  <c r="A1620" i="7"/>
  <c r="A1621" i="7"/>
  <c r="A1622" i="7"/>
  <c r="A1623" i="7"/>
  <c r="A1624" i="7"/>
  <c r="A1625" i="7"/>
  <c r="A1626" i="7"/>
  <c r="A1627" i="7"/>
  <c r="A1628" i="7"/>
  <c r="A1629" i="7"/>
  <c r="A1630" i="7"/>
  <c r="A1631" i="7"/>
  <c r="A1632" i="7"/>
  <c r="A1633" i="7"/>
  <c r="A1634" i="7"/>
  <c r="A1635" i="7"/>
  <c r="A1636" i="7"/>
  <c r="A1637" i="7"/>
  <c r="A1638" i="7"/>
  <c r="A1639" i="7"/>
  <c r="A1640" i="7"/>
  <c r="A1641" i="7"/>
  <c r="A1642" i="7"/>
  <c r="A1643" i="7"/>
  <c r="A1644" i="7"/>
  <c r="A1645" i="7"/>
  <c r="A1646" i="7"/>
  <c r="A1647" i="7"/>
  <c r="A1648" i="7"/>
  <c r="A1649" i="7"/>
  <c r="A1650" i="7"/>
  <c r="A1651" i="7"/>
  <c r="A1652" i="7"/>
  <c r="A1653" i="7"/>
  <c r="A1654" i="7"/>
  <c r="A1655" i="7"/>
  <c r="A1656" i="7"/>
  <c r="A1657" i="7"/>
  <c r="A1658" i="7"/>
  <c r="A1659" i="7"/>
  <c r="A1660" i="7"/>
  <c r="A1661" i="7"/>
  <c r="A1662" i="7"/>
  <c r="A1663" i="7"/>
  <c r="A1664" i="7"/>
  <c r="A1665" i="7"/>
  <c r="A1666" i="7"/>
  <c r="A1667" i="7"/>
  <c r="A1668" i="7"/>
  <c r="A1669" i="7"/>
  <c r="A1670" i="7"/>
  <c r="A1671" i="7"/>
  <c r="A1672" i="7"/>
  <c r="A1673" i="7"/>
  <c r="A1674" i="7"/>
  <c r="A1675" i="7"/>
  <c r="A1676" i="7"/>
  <c r="A1677" i="7"/>
  <c r="A1678" i="7"/>
  <c r="A1679" i="7"/>
  <c r="A1680" i="7"/>
  <c r="A1681" i="7"/>
  <c r="A1682" i="7"/>
  <c r="A1683" i="7"/>
  <c r="A1684" i="7"/>
  <c r="A1685" i="7"/>
  <c r="A1686" i="7"/>
  <c r="A1687" i="7"/>
  <c r="A1688" i="7"/>
  <c r="A1689" i="7"/>
  <c r="A1690" i="7"/>
  <c r="A1691" i="7"/>
  <c r="A1692" i="7"/>
  <c r="A1693" i="7"/>
  <c r="A1694" i="7"/>
  <c r="A1695" i="7"/>
  <c r="A1696" i="7"/>
  <c r="A1697" i="7"/>
  <c r="A1698" i="7"/>
  <c r="A1699" i="7"/>
  <c r="A1700" i="7"/>
  <c r="A1701" i="7"/>
  <c r="A1702" i="7"/>
  <c r="A1703" i="7"/>
  <c r="A1704" i="7"/>
  <c r="A1705" i="7"/>
  <c r="A1706" i="7"/>
  <c r="A1707" i="7"/>
  <c r="A1708" i="7"/>
  <c r="A1709" i="7"/>
  <c r="A1710" i="7"/>
  <c r="A1711" i="7"/>
  <c r="A1712" i="7"/>
  <c r="A1713" i="7"/>
  <c r="A1714" i="7"/>
  <c r="A1715" i="7"/>
  <c r="A1716" i="7"/>
  <c r="A1717" i="7"/>
  <c r="A1718" i="7"/>
  <c r="A1719" i="7"/>
  <c r="A1720" i="7"/>
  <c r="A1721" i="7"/>
  <c r="A1722" i="7"/>
  <c r="A1723" i="7"/>
  <c r="A1724" i="7"/>
  <c r="A1725" i="7"/>
  <c r="A1726" i="7"/>
  <c r="A1727" i="7"/>
  <c r="A1728" i="7"/>
  <c r="A1729" i="7"/>
  <c r="A1730" i="7"/>
  <c r="A1731" i="7"/>
  <c r="A1732" i="7"/>
  <c r="A1733" i="7"/>
  <c r="A1734" i="7"/>
  <c r="A1735" i="7"/>
  <c r="A1736" i="7"/>
  <c r="A1737" i="7"/>
  <c r="A1738" i="7"/>
  <c r="A1739" i="7"/>
  <c r="A1740" i="7"/>
  <c r="A1741" i="7"/>
  <c r="A1742" i="7"/>
  <c r="A1743" i="7"/>
  <c r="A1744" i="7"/>
  <c r="A1745" i="7"/>
  <c r="A1746" i="7"/>
  <c r="A1747" i="7"/>
  <c r="A1748" i="7"/>
  <c r="A1749" i="7"/>
  <c r="A1750" i="7"/>
  <c r="A1751" i="7"/>
  <c r="A1752" i="7"/>
  <c r="A1753" i="7"/>
  <c r="A1754" i="7"/>
  <c r="A1755" i="7"/>
  <c r="A1756" i="7"/>
  <c r="A1757" i="7"/>
  <c r="A1758" i="7"/>
  <c r="A1759" i="7"/>
  <c r="A1760" i="7"/>
  <c r="A1761" i="7"/>
  <c r="A1762" i="7"/>
  <c r="A1763" i="7"/>
  <c r="A1764" i="7"/>
  <c r="A1765" i="7"/>
  <c r="A1766" i="7"/>
  <c r="A1767" i="7"/>
  <c r="A1768" i="7"/>
  <c r="A1769" i="7"/>
  <c r="A1770" i="7"/>
  <c r="A1771" i="7"/>
  <c r="A1772" i="7"/>
  <c r="A1773" i="7"/>
  <c r="A1774" i="7"/>
  <c r="A1775" i="7"/>
  <c r="A1776" i="7"/>
  <c r="A1777" i="7"/>
  <c r="A1778" i="7"/>
  <c r="A1779" i="7"/>
  <c r="A1780" i="7"/>
  <c r="A1781" i="7"/>
  <c r="A1782" i="7"/>
  <c r="A1783" i="7"/>
  <c r="A1784" i="7"/>
  <c r="A1785" i="7"/>
  <c r="A1786" i="7"/>
  <c r="A1787" i="7"/>
  <c r="A1788" i="7"/>
  <c r="A1789" i="7"/>
  <c r="A1790" i="7"/>
  <c r="A1791" i="7"/>
  <c r="A1792" i="7"/>
  <c r="A1793" i="7"/>
  <c r="A1794" i="7"/>
  <c r="A1795" i="7"/>
  <c r="A1796" i="7"/>
  <c r="A1797" i="7"/>
  <c r="A1798" i="7"/>
  <c r="A1799" i="7"/>
  <c r="A1800" i="7"/>
  <c r="A1801" i="7"/>
  <c r="A1802" i="7"/>
  <c r="A1803" i="7"/>
  <c r="A1804" i="7"/>
  <c r="A1805" i="7"/>
  <c r="A1806" i="7"/>
  <c r="A1807" i="7"/>
  <c r="A1808" i="7"/>
  <c r="A1809" i="7"/>
  <c r="A1810" i="7"/>
  <c r="A1811" i="7"/>
  <c r="A1812" i="7"/>
  <c r="A1813" i="7"/>
  <c r="A1814" i="7"/>
  <c r="A1815" i="7"/>
  <c r="A1816" i="7"/>
  <c r="A1817" i="7"/>
  <c r="A1818" i="7"/>
  <c r="A1819" i="7"/>
  <c r="A1820" i="7"/>
  <c r="A1821" i="7"/>
  <c r="A1822" i="7"/>
  <c r="A1823" i="7"/>
  <c r="A1824" i="7"/>
  <c r="A1825" i="7"/>
  <c r="A1826" i="7"/>
  <c r="A1827" i="7"/>
  <c r="A1828" i="7"/>
  <c r="A1829" i="7"/>
  <c r="A1830" i="7"/>
  <c r="A1831" i="7"/>
  <c r="A1832" i="7"/>
  <c r="A1833" i="7"/>
  <c r="A1834" i="7"/>
  <c r="A1835" i="7"/>
  <c r="A1836" i="7"/>
  <c r="A1837" i="7"/>
  <c r="A1838" i="7"/>
  <c r="A1839" i="7"/>
  <c r="A1840" i="7"/>
  <c r="A1841" i="7"/>
  <c r="A1842" i="7"/>
  <c r="A1843" i="7"/>
  <c r="A1844" i="7"/>
  <c r="A1845" i="7"/>
  <c r="A1846" i="7"/>
  <c r="A1847" i="7"/>
  <c r="A1848" i="7"/>
  <c r="A1849" i="7"/>
  <c r="A1850" i="7"/>
  <c r="A1851" i="7"/>
  <c r="A1852" i="7"/>
  <c r="A1853" i="7"/>
  <c r="A1854" i="7"/>
  <c r="A1855" i="7"/>
  <c r="A1856" i="7"/>
  <c r="A1857" i="7"/>
  <c r="A1858" i="7"/>
  <c r="A1859" i="7"/>
  <c r="A1860" i="7"/>
  <c r="A1861" i="7"/>
  <c r="A1862" i="7"/>
  <c r="A1863" i="7"/>
  <c r="A1864" i="7"/>
  <c r="A1865" i="7"/>
  <c r="A1866" i="7"/>
  <c r="A1867" i="7"/>
  <c r="A1868" i="7"/>
  <c r="A1869" i="7"/>
  <c r="A1870" i="7"/>
  <c r="A1871" i="7"/>
  <c r="A1872" i="7"/>
  <c r="A1873" i="7"/>
  <c r="A1874" i="7"/>
  <c r="A1875" i="7"/>
  <c r="A1876" i="7"/>
  <c r="A1877" i="7"/>
  <c r="A1878" i="7"/>
  <c r="A1879" i="7"/>
  <c r="A1880" i="7"/>
  <c r="A1881" i="7"/>
  <c r="A1882" i="7"/>
  <c r="A1883" i="7"/>
  <c r="A1884" i="7"/>
  <c r="A1885" i="7"/>
  <c r="A1886" i="7"/>
  <c r="A1887" i="7"/>
  <c r="A1888" i="7"/>
  <c r="A1889" i="7"/>
  <c r="A1890" i="7"/>
  <c r="A1891" i="7"/>
  <c r="A1892" i="7"/>
  <c r="A1893" i="7"/>
  <c r="A1894" i="7"/>
  <c r="A1895" i="7"/>
  <c r="A1896" i="7"/>
  <c r="A1897" i="7"/>
  <c r="A1898" i="7"/>
  <c r="A1899" i="7"/>
  <c r="A1900" i="7"/>
  <c r="A1901" i="7"/>
  <c r="A1902" i="7"/>
  <c r="A1903" i="7"/>
  <c r="A1904" i="7"/>
  <c r="A1905" i="7"/>
  <c r="A1906" i="7"/>
  <c r="A1907" i="7"/>
  <c r="A1908" i="7"/>
  <c r="A1909" i="7"/>
  <c r="A1910" i="7"/>
  <c r="A1911" i="7"/>
  <c r="A1912" i="7"/>
  <c r="A1913" i="7"/>
  <c r="A1914" i="7"/>
  <c r="A1915" i="7"/>
  <c r="A1916" i="7"/>
  <c r="A1917" i="7"/>
  <c r="A1918" i="7"/>
  <c r="A1919" i="7"/>
  <c r="A1920" i="7"/>
  <c r="A1921" i="7"/>
  <c r="A1922" i="7"/>
  <c r="A1923" i="7"/>
  <c r="A1924" i="7"/>
  <c r="A1925" i="7"/>
  <c r="A1926" i="7"/>
  <c r="A1927" i="7"/>
  <c r="A1928" i="7"/>
  <c r="A1929" i="7"/>
  <c r="A1930" i="7"/>
  <c r="A1931" i="7"/>
  <c r="A1932" i="7"/>
  <c r="A1933" i="7"/>
  <c r="A1934" i="7"/>
  <c r="A1935" i="7"/>
  <c r="A1936" i="7"/>
  <c r="A1937" i="7"/>
  <c r="A1938" i="7"/>
  <c r="A1939" i="7"/>
  <c r="A1940" i="7"/>
  <c r="A1941" i="7"/>
  <c r="A1942" i="7"/>
  <c r="A1943" i="7"/>
  <c r="A1944" i="7"/>
  <c r="A1945" i="7"/>
  <c r="A1946" i="7"/>
  <c r="A1947" i="7"/>
  <c r="A1948" i="7"/>
  <c r="A1949" i="7"/>
  <c r="A1950" i="7"/>
  <c r="A1951" i="7"/>
  <c r="A1952" i="7"/>
  <c r="A1953" i="7"/>
  <c r="A1954" i="7"/>
  <c r="A1955" i="7"/>
  <c r="A1956" i="7"/>
  <c r="A1957" i="7"/>
  <c r="A1958" i="7"/>
  <c r="A1959" i="7"/>
  <c r="A1960" i="7"/>
  <c r="A1961" i="7"/>
  <c r="A1962" i="7"/>
  <c r="A1963" i="7"/>
  <c r="A1964" i="7"/>
  <c r="A1965" i="7"/>
  <c r="A1966" i="7"/>
  <c r="A1967" i="7"/>
  <c r="A1968" i="7"/>
  <c r="A1969" i="7"/>
  <c r="A1970" i="7"/>
  <c r="A1971" i="7"/>
  <c r="A1972" i="7"/>
  <c r="A1973" i="7"/>
  <c r="A1974" i="7"/>
  <c r="A1975" i="7"/>
  <c r="A1976" i="7"/>
  <c r="A1977" i="7"/>
  <c r="A1978" i="7"/>
  <c r="A1979" i="7"/>
  <c r="A1980" i="7"/>
  <c r="A1981" i="7"/>
  <c r="A1982" i="7"/>
  <c r="A1983" i="7"/>
  <c r="A1984" i="7"/>
  <c r="A1985" i="7"/>
  <c r="A1986" i="7"/>
  <c r="A1987" i="7"/>
  <c r="A1988" i="7"/>
  <c r="A1989" i="7"/>
  <c r="A1990" i="7"/>
  <c r="A1991" i="7"/>
  <c r="A1992" i="7"/>
  <c r="A1993" i="7"/>
  <c r="A1994" i="7"/>
  <c r="A1995" i="7"/>
  <c r="A1996" i="7"/>
  <c r="A1997" i="7"/>
  <c r="A1998" i="7"/>
  <c r="A1999" i="7"/>
  <c r="A2000" i="7"/>
  <c r="A2001" i="7"/>
  <c r="A2002" i="7"/>
  <c r="A2003" i="7"/>
  <c r="A2004" i="7"/>
  <c r="A2005" i="7"/>
  <c r="A2006" i="7"/>
  <c r="A2007" i="7"/>
  <c r="A2008" i="7"/>
  <c r="A2009" i="7"/>
  <c r="A2010" i="7"/>
  <c r="A2011" i="7"/>
  <c r="A2012" i="7"/>
  <c r="A2013" i="7"/>
  <c r="A2014" i="7"/>
  <c r="A2015" i="7"/>
  <c r="A2016" i="7"/>
  <c r="A2017" i="7"/>
  <c r="A2018" i="7"/>
  <c r="A2019" i="7"/>
  <c r="A2020" i="7"/>
  <c r="A2021" i="7"/>
  <c r="A2022" i="7"/>
  <c r="A2023" i="7"/>
  <c r="A2024" i="7"/>
  <c r="A2025" i="7"/>
  <c r="A2026" i="7"/>
  <c r="A2027" i="7"/>
  <c r="A2028" i="7"/>
  <c r="A2029" i="7"/>
  <c r="A2030" i="7"/>
  <c r="A2031" i="7"/>
  <c r="A2032" i="7"/>
  <c r="A2033" i="7"/>
  <c r="A2034" i="7"/>
  <c r="A2035" i="7"/>
  <c r="A2036" i="7"/>
  <c r="A2037" i="7"/>
  <c r="A2038" i="7"/>
  <c r="A2039" i="7"/>
  <c r="A2040" i="7"/>
  <c r="A2041" i="7"/>
  <c r="A2042" i="7"/>
  <c r="A2043" i="7"/>
  <c r="A2044" i="7"/>
  <c r="A2045" i="7"/>
  <c r="A2046" i="7"/>
  <c r="A2047" i="7"/>
  <c r="A2048" i="7"/>
  <c r="A2049" i="7"/>
  <c r="A2050" i="7"/>
  <c r="A2051" i="7"/>
  <c r="A2052" i="7"/>
  <c r="A2053" i="7"/>
  <c r="A2054" i="7"/>
  <c r="A2055" i="7"/>
  <c r="A2056" i="7"/>
  <c r="A2057" i="7"/>
  <c r="A2058" i="7"/>
  <c r="A2059" i="7"/>
  <c r="A2060" i="7"/>
  <c r="A2061" i="7"/>
  <c r="A2062" i="7"/>
  <c r="A2063" i="7"/>
  <c r="A2064" i="7"/>
  <c r="A2065" i="7"/>
  <c r="A2066" i="7"/>
  <c r="A2067" i="7"/>
  <c r="A2068" i="7"/>
  <c r="A2069" i="7"/>
  <c r="A2070" i="7"/>
  <c r="A2071" i="7"/>
  <c r="A2072" i="7"/>
  <c r="A2073" i="7"/>
  <c r="A2074" i="7"/>
  <c r="A2075" i="7"/>
  <c r="A2076" i="7"/>
  <c r="A2077" i="7"/>
  <c r="A2078" i="7"/>
  <c r="A2079" i="7"/>
  <c r="A2080" i="7"/>
  <c r="A2081" i="7"/>
  <c r="A2082" i="7"/>
  <c r="A2083" i="7"/>
  <c r="A2084" i="7"/>
  <c r="A2085" i="7"/>
  <c r="A2086" i="7"/>
  <c r="A2087" i="7"/>
  <c r="A2088" i="7"/>
  <c r="A2089" i="7"/>
  <c r="A2090" i="7"/>
  <c r="A2091" i="7"/>
  <c r="A2092" i="7"/>
  <c r="A2093" i="7"/>
  <c r="A2094" i="7"/>
  <c r="A2095" i="7"/>
  <c r="A2096" i="7"/>
  <c r="A2097" i="7"/>
  <c r="A2098" i="7"/>
  <c r="A2099" i="7"/>
  <c r="A2100" i="7"/>
  <c r="A2101" i="7"/>
  <c r="A2102" i="7"/>
  <c r="A2103" i="7"/>
  <c r="A2104" i="7"/>
  <c r="A2105" i="7"/>
  <c r="A2106" i="7"/>
  <c r="A2107" i="7"/>
  <c r="A2108" i="7"/>
  <c r="A2109" i="7"/>
  <c r="A2110" i="7"/>
  <c r="A2111" i="7"/>
  <c r="A2112" i="7"/>
  <c r="A2113" i="7"/>
  <c r="A2114" i="7"/>
  <c r="A2115" i="7"/>
  <c r="A2116" i="7"/>
  <c r="A2117" i="7"/>
  <c r="A2118" i="7"/>
  <c r="A2119" i="7"/>
  <c r="A2120" i="7"/>
  <c r="A2121" i="7"/>
  <c r="A2122" i="7"/>
  <c r="A2123" i="7"/>
  <c r="A2124" i="7"/>
  <c r="A2125" i="7"/>
  <c r="A2126" i="7"/>
  <c r="A2127" i="7"/>
  <c r="A2128" i="7"/>
  <c r="A2129" i="7"/>
  <c r="A2130" i="7"/>
  <c r="A2131" i="7"/>
  <c r="A2132" i="7"/>
  <c r="A2133" i="7"/>
  <c r="A2134" i="7"/>
  <c r="A2135" i="7"/>
  <c r="A2136" i="7"/>
  <c r="A2137" i="7"/>
  <c r="A2138" i="7"/>
  <c r="A2139" i="7"/>
  <c r="A2140" i="7"/>
  <c r="A2141" i="7"/>
  <c r="A2142" i="7"/>
  <c r="A2143" i="7"/>
  <c r="A2144" i="7"/>
  <c r="A2145" i="7"/>
  <c r="A2146" i="7"/>
  <c r="A2147" i="7"/>
  <c r="A2148" i="7"/>
  <c r="A2149" i="7"/>
  <c r="A2150" i="7"/>
  <c r="A2151" i="7"/>
  <c r="A2152" i="7"/>
  <c r="A2153" i="7"/>
  <c r="A2154" i="7"/>
  <c r="A2155" i="7"/>
  <c r="A2156" i="7"/>
  <c r="A2157" i="7"/>
  <c r="A2158" i="7"/>
  <c r="A2159" i="7"/>
  <c r="A2160" i="7"/>
  <c r="A2161" i="7"/>
  <c r="A2162" i="7"/>
  <c r="A2163" i="7"/>
  <c r="A2164" i="7"/>
  <c r="A2165" i="7"/>
  <c r="A2166" i="7"/>
  <c r="A2167" i="7"/>
  <c r="A2168" i="7"/>
  <c r="A2169" i="7"/>
  <c r="A2170" i="7"/>
  <c r="A2171" i="7"/>
  <c r="A2172" i="7"/>
  <c r="A2173" i="7"/>
  <c r="A2174" i="7"/>
  <c r="A2175" i="7"/>
  <c r="A2176" i="7"/>
  <c r="A2177" i="7"/>
  <c r="A2178" i="7"/>
  <c r="A2179" i="7"/>
  <c r="A2180" i="7"/>
  <c r="A2181" i="7"/>
  <c r="A2182" i="7"/>
  <c r="A2183" i="7"/>
  <c r="A2184" i="7"/>
  <c r="A2185" i="7"/>
  <c r="A2186" i="7"/>
  <c r="A2187" i="7"/>
  <c r="A2188" i="7"/>
  <c r="A2189" i="7"/>
  <c r="A2190" i="7"/>
  <c r="A2191" i="7"/>
  <c r="A2192" i="7"/>
  <c r="A2193" i="7"/>
  <c r="A2194" i="7"/>
  <c r="A2195" i="7"/>
  <c r="A2196" i="7"/>
  <c r="A2197" i="7"/>
  <c r="A2198" i="7"/>
  <c r="A2199" i="7"/>
  <c r="A2200" i="7"/>
  <c r="A2201" i="7"/>
  <c r="A2202" i="7"/>
  <c r="A2203" i="7"/>
  <c r="A2204" i="7"/>
  <c r="A2205" i="7"/>
  <c r="A2206" i="7"/>
  <c r="A2207" i="7"/>
  <c r="A2208" i="7"/>
  <c r="A2209" i="7"/>
  <c r="A2210" i="7"/>
  <c r="A2211" i="7"/>
  <c r="A2212" i="7"/>
  <c r="A2213" i="7"/>
  <c r="A2214" i="7"/>
  <c r="A2215" i="7"/>
  <c r="A2216" i="7"/>
  <c r="A2217" i="7"/>
  <c r="A2218" i="7"/>
  <c r="A2219" i="7"/>
  <c r="A2220" i="7"/>
  <c r="A2221" i="7"/>
  <c r="A2222" i="7"/>
  <c r="A2223" i="7"/>
  <c r="A2224" i="7"/>
  <c r="A2225" i="7"/>
  <c r="A2226" i="7"/>
  <c r="A2227" i="7"/>
  <c r="A2228" i="7"/>
  <c r="A2229" i="7"/>
  <c r="A2230" i="7"/>
  <c r="A2231" i="7"/>
  <c r="A2232" i="7"/>
  <c r="A2233" i="7"/>
  <c r="A2234" i="7"/>
  <c r="A2235" i="7"/>
  <c r="A2236" i="7"/>
  <c r="A2237" i="7"/>
  <c r="A2238" i="7"/>
  <c r="A2239" i="7"/>
  <c r="A2240" i="7"/>
  <c r="A2241" i="7"/>
  <c r="A2242" i="7"/>
  <c r="A2243" i="7"/>
  <c r="A2244" i="7"/>
  <c r="A2245" i="7"/>
  <c r="A2246" i="7"/>
  <c r="A2247" i="7"/>
  <c r="A2248" i="7"/>
  <c r="A2249" i="7"/>
  <c r="A2250" i="7"/>
  <c r="A2251" i="7"/>
  <c r="A2252" i="7"/>
  <c r="A2253" i="7"/>
  <c r="A2254" i="7"/>
  <c r="A2255" i="7"/>
  <c r="A2256" i="7"/>
  <c r="A2257" i="7"/>
  <c r="A2258" i="7"/>
  <c r="A2259" i="7"/>
  <c r="A2260" i="7"/>
  <c r="A2261" i="7"/>
  <c r="A2262" i="7"/>
  <c r="A2263" i="7"/>
  <c r="A2264" i="7"/>
  <c r="A2265" i="7"/>
  <c r="A2266" i="7"/>
  <c r="A2267" i="7"/>
  <c r="A2268" i="7"/>
  <c r="A2269" i="7"/>
  <c r="A2270" i="7"/>
  <c r="A2271" i="7"/>
  <c r="A2272" i="7"/>
  <c r="A2273" i="7"/>
  <c r="A2274" i="7"/>
  <c r="A2275" i="7"/>
  <c r="A2276" i="7"/>
  <c r="A2277" i="7"/>
  <c r="A2278" i="7"/>
  <c r="A2279" i="7"/>
  <c r="A2280" i="7"/>
  <c r="A2281" i="7"/>
  <c r="A2282" i="7"/>
  <c r="A2283" i="7"/>
  <c r="A2284" i="7"/>
  <c r="A2285" i="7"/>
  <c r="A2286" i="7"/>
  <c r="A2287" i="7"/>
  <c r="A2288" i="7"/>
  <c r="A2289" i="7"/>
  <c r="A2290" i="7"/>
  <c r="A2291" i="7"/>
  <c r="A2292" i="7"/>
  <c r="A2293" i="7"/>
  <c r="A2294" i="7"/>
  <c r="A2295" i="7"/>
  <c r="A2296" i="7"/>
  <c r="A2297" i="7"/>
  <c r="A2298" i="7"/>
  <c r="A2299" i="7"/>
  <c r="A2300" i="7"/>
  <c r="A2301" i="7"/>
  <c r="A2302" i="7"/>
  <c r="A2303" i="7"/>
  <c r="A2304" i="7"/>
  <c r="A2305" i="7"/>
  <c r="A2306" i="7"/>
  <c r="A2307" i="7"/>
  <c r="A2308" i="7"/>
  <c r="A2309" i="7"/>
  <c r="A2310" i="7"/>
  <c r="A2311" i="7"/>
  <c r="A2312" i="7"/>
  <c r="A2313" i="7"/>
  <c r="A2314" i="7"/>
  <c r="A2315" i="7"/>
  <c r="A2316" i="7"/>
  <c r="A2317" i="7"/>
  <c r="A2318" i="7"/>
  <c r="A2319" i="7"/>
  <c r="A2320" i="7"/>
  <c r="A2321" i="7"/>
  <c r="A2322" i="7"/>
  <c r="A2323" i="7"/>
  <c r="A2324" i="7"/>
  <c r="A2325" i="7"/>
  <c r="A2326" i="7"/>
  <c r="A2327" i="7"/>
  <c r="A2328" i="7"/>
  <c r="A2329" i="7"/>
  <c r="A2330" i="7"/>
  <c r="A2331" i="7"/>
  <c r="A2332" i="7"/>
  <c r="A2333" i="7"/>
  <c r="A2334" i="7"/>
  <c r="A2335" i="7"/>
  <c r="A2336" i="7"/>
  <c r="A2337" i="7"/>
  <c r="A2338" i="7"/>
  <c r="A2339" i="7"/>
  <c r="A2340" i="7"/>
  <c r="A2341" i="7"/>
  <c r="A2342" i="7"/>
  <c r="A2343" i="7"/>
  <c r="A2344" i="7"/>
  <c r="A2345" i="7"/>
  <c r="A2346" i="7"/>
  <c r="A2347" i="7"/>
  <c r="A2348" i="7"/>
  <c r="A2349" i="7"/>
  <c r="A2350" i="7"/>
  <c r="A2351" i="7"/>
  <c r="A2352" i="7"/>
  <c r="A2353" i="7"/>
  <c r="A2354" i="7"/>
  <c r="A2355" i="7"/>
  <c r="A2356" i="7"/>
  <c r="A2357" i="7"/>
  <c r="A2358" i="7"/>
  <c r="A2359" i="7"/>
  <c r="A2360" i="7"/>
  <c r="A2361" i="7"/>
  <c r="A2362" i="7"/>
  <c r="A2363" i="7"/>
  <c r="A2364" i="7"/>
  <c r="A2365" i="7"/>
  <c r="A2366" i="7"/>
  <c r="A2367" i="7"/>
  <c r="A2368" i="7"/>
  <c r="A2369" i="7"/>
  <c r="A2370" i="7"/>
  <c r="A2371" i="7"/>
  <c r="A2372" i="7"/>
  <c r="A2373" i="7"/>
  <c r="A2374" i="7"/>
  <c r="A2375" i="7"/>
  <c r="A2376" i="7"/>
  <c r="A2377" i="7"/>
  <c r="A2378" i="7"/>
  <c r="A2379" i="7"/>
  <c r="A2380" i="7"/>
  <c r="A2381" i="7"/>
  <c r="A2382" i="7"/>
  <c r="A2383" i="7"/>
  <c r="A2384" i="7"/>
  <c r="A2385" i="7"/>
  <c r="A2386" i="7"/>
  <c r="A2387" i="7"/>
  <c r="A2388" i="7"/>
  <c r="A2389" i="7"/>
  <c r="A2390" i="7"/>
  <c r="A2391" i="7"/>
  <c r="A2392" i="7"/>
  <c r="A2393" i="7"/>
  <c r="A2394" i="7"/>
  <c r="A2395" i="7"/>
  <c r="A2396" i="7"/>
  <c r="A2397" i="7"/>
  <c r="A2398" i="7"/>
  <c r="A2399" i="7"/>
  <c r="A2400" i="7"/>
  <c r="A2401" i="7"/>
  <c r="A2402" i="7"/>
  <c r="A2403" i="7"/>
  <c r="A2404" i="7"/>
  <c r="A2405" i="7"/>
  <c r="A2406" i="7"/>
  <c r="A2407" i="7"/>
  <c r="A2408" i="7"/>
  <c r="A2409" i="7"/>
  <c r="A2410" i="7"/>
  <c r="A2411" i="7"/>
  <c r="A2412" i="7"/>
  <c r="A2413" i="7"/>
  <c r="A2414" i="7"/>
  <c r="A2415" i="7"/>
  <c r="A2416" i="7"/>
  <c r="A2417" i="7"/>
  <c r="A2418" i="7"/>
  <c r="A2419" i="7"/>
  <c r="A2420" i="7"/>
  <c r="A2421" i="7"/>
  <c r="A2422" i="7"/>
  <c r="A2423" i="7"/>
  <c r="A2424" i="7"/>
  <c r="A2425" i="7"/>
  <c r="A2426" i="7"/>
  <c r="A2427" i="7"/>
  <c r="A2428" i="7"/>
  <c r="A2429" i="7"/>
  <c r="A2430" i="7"/>
  <c r="A2431" i="7"/>
  <c r="A2432" i="7"/>
  <c r="A2433" i="7"/>
  <c r="A2434" i="7"/>
  <c r="A2435" i="7"/>
  <c r="A2436" i="7"/>
  <c r="A2437" i="7"/>
  <c r="A2438" i="7"/>
  <c r="A2439" i="7"/>
  <c r="A2440" i="7"/>
  <c r="A2441" i="7"/>
  <c r="A2442" i="7"/>
  <c r="A2443" i="7"/>
  <c r="A2444" i="7"/>
  <c r="A2445" i="7"/>
  <c r="A2446" i="7"/>
  <c r="A2447" i="7"/>
  <c r="A2448" i="7"/>
  <c r="A2449" i="7"/>
  <c r="A2450" i="7"/>
  <c r="A2451" i="7"/>
  <c r="A2452" i="7"/>
  <c r="A2453" i="7"/>
  <c r="A2454" i="7"/>
  <c r="A2455" i="7"/>
  <c r="A2456" i="7"/>
  <c r="A2457" i="7"/>
  <c r="A2458" i="7"/>
  <c r="A2459" i="7"/>
  <c r="A2460" i="7"/>
  <c r="A2461" i="7"/>
  <c r="A2462" i="7"/>
  <c r="A2463" i="7"/>
  <c r="A2464" i="7"/>
  <c r="A2465" i="7"/>
  <c r="A2466" i="7"/>
  <c r="A2467" i="7"/>
  <c r="A2" i="7"/>
  <c r="C2" i="4"/>
  <c r="E2" i="4" s="1"/>
  <c r="C223" i="3" l="1"/>
  <c r="E223" i="3" s="1"/>
  <c r="C224" i="3"/>
  <c r="E224" i="3" s="1"/>
  <c r="C219" i="3"/>
  <c r="E219" i="3" s="1"/>
  <c r="C218" i="3"/>
  <c r="E218" i="3" s="1"/>
  <c r="C220" i="3"/>
  <c r="E220" i="3" s="1"/>
  <c r="C66" i="3"/>
  <c r="E66" i="3" s="1"/>
  <c r="C62" i="3"/>
  <c r="E62" i="3" s="1"/>
  <c r="C276" i="3" l="1"/>
  <c r="E276" i="3" s="1"/>
  <c r="C277" i="3"/>
  <c r="E277" i="3" s="1"/>
  <c r="C278" i="3"/>
  <c r="E278" i="3" s="1"/>
  <c r="C273" i="3" l="1"/>
  <c r="E273" i="3" s="1"/>
  <c r="C275" i="3"/>
  <c r="E275" i="3" s="1"/>
  <c r="C272" i="3"/>
  <c r="E272" i="3" s="1"/>
  <c r="C274" i="3"/>
  <c r="E274" i="3" s="1"/>
  <c r="C281" i="2" l="1"/>
  <c r="E281" i="2" s="1"/>
  <c r="F1076" i="1" l="1"/>
  <c r="F1902" i="1" l="1"/>
  <c r="F1844" i="1"/>
  <c r="F1903" i="1"/>
  <c r="D2981" i="1" l="1"/>
  <c r="F2981" i="1"/>
  <c r="F3024" i="1" l="1"/>
  <c r="F3025" i="1"/>
  <c r="D2769" i="1" l="1"/>
  <c r="D2768" i="1"/>
  <c r="F2395" i="1" l="1"/>
  <c r="F2377" i="1" l="1"/>
  <c r="F2346" i="1" l="1"/>
  <c r="F1948" i="1" l="1"/>
  <c r="D2446" i="1" l="1"/>
  <c r="F2446" i="1"/>
  <c r="D2447" i="1"/>
  <c r="F2447" i="1"/>
  <c r="D1336" i="1" l="1"/>
  <c r="F1336" i="1"/>
  <c r="F3206" i="1" l="1"/>
  <c r="H2597" i="1"/>
  <c r="H1926" i="1"/>
  <c r="H3015" i="1"/>
  <c r="H2996" i="1" s="1"/>
  <c r="H1922" i="1"/>
  <c r="H2577" i="1"/>
  <c r="H2476" i="1"/>
  <c r="H2479" i="1"/>
  <c r="H2501" i="1"/>
  <c r="H2485" i="1" s="1"/>
  <c r="H2565" i="1"/>
  <c r="H2550" i="1" s="1"/>
  <c r="H2543" i="1" s="1"/>
  <c r="H2533" i="1" s="1"/>
  <c r="H1898" i="1"/>
  <c r="H1904" i="1"/>
  <c r="H2472" i="1"/>
  <c r="H2633" i="1"/>
  <c r="H2613" i="1"/>
  <c r="D2598" i="1"/>
  <c r="D2599" i="1"/>
  <c r="D2600" i="1"/>
  <c r="D2601" i="1"/>
  <c r="D2008" i="1"/>
  <c r="D2011" i="1"/>
  <c r="D1619" i="1"/>
  <c r="D1374" i="1"/>
  <c r="D1381" i="1"/>
  <c r="D1379" i="1"/>
  <c r="D1377" i="1"/>
  <c r="D1376" i="1"/>
  <c r="D1375" i="1"/>
  <c r="D1378" i="1"/>
  <c r="D1380" i="1"/>
  <c r="D2889" i="1"/>
  <c r="D2890" i="1"/>
  <c r="D2891" i="1"/>
  <c r="D2844" i="1"/>
  <c r="D2845" i="1"/>
  <c r="D2846" i="1"/>
  <c r="D2847" i="1"/>
  <c r="D3409" i="1"/>
  <c r="D3420" i="1"/>
  <c r="D3418" i="1"/>
  <c r="D3416" i="1"/>
  <c r="D3415" i="1"/>
  <c r="D3414" i="1"/>
  <c r="D3417" i="1"/>
  <c r="D3419" i="1"/>
  <c r="D3410" i="1"/>
  <c r="D3412" i="1"/>
  <c r="D3413" i="1"/>
  <c r="D3411" i="1"/>
  <c r="D3321" i="1"/>
  <c r="D3332" i="1"/>
  <c r="D3330" i="1"/>
  <c r="D3328" i="1"/>
  <c r="D3327" i="1"/>
  <c r="D3326" i="1"/>
  <c r="D3329" i="1"/>
  <c r="D3331" i="1"/>
  <c r="D3322" i="1"/>
  <c r="D3324" i="1"/>
  <c r="D3325" i="1"/>
  <c r="D3323" i="1"/>
  <c r="D3353" i="1"/>
  <c r="D3364" i="1"/>
  <c r="D3362" i="1"/>
  <c r="D3360" i="1"/>
  <c r="D3359" i="1"/>
  <c r="D3358" i="1"/>
  <c r="D3361" i="1"/>
  <c r="D3363" i="1"/>
  <c r="D3354" i="1"/>
  <c r="D3356" i="1"/>
  <c r="D3357" i="1"/>
  <c r="D3355" i="1"/>
  <c r="D3381" i="1"/>
  <c r="D3390" i="1"/>
  <c r="D3388" i="1"/>
  <c r="D3386" i="1"/>
  <c r="D3385" i="1"/>
  <c r="D3384" i="1"/>
  <c r="D3387" i="1"/>
  <c r="D3389" i="1"/>
  <c r="D3382" i="1"/>
  <c r="D3383" i="1"/>
  <c r="D985" i="1"/>
  <c r="D986" i="1"/>
  <c r="D987" i="1"/>
  <c r="D988" i="1"/>
  <c r="D989" i="1"/>
  <c r="D990" i="1"/>
  <c r="D991" i="1"/>
  <c r="D992" i="1"/>
  <c r="D2770" i="1"/>
  <c r="D2771" i="1"/>
  <c r="D2772" i="1"/>
  <c r="D2773" i="1"/>
  <c r="D2774" i="1"/>
  <c r="D2775" i="1"/>
  <c r="D2776" i="1"/>
  <c r="D2777" i="1"/>
  <c r="D2778" i="1"/>
  <c r="D1337" i="1"/>
  <c r="D1342" i="1"/>
  <c r="D1348" i="1"/>
  <c r="D1346" i="1"/>
  <c r="D1345" i="1"/>
  <c r="D1347" i="1"/>
  <c r="D1344" i="1"/>
  <c r="D1343" i="1"/>
  <c r="D1338" i="1"/>
  <c r="D1340" i="1"/>
  <c r="D1341" i="1"/>
  <c r="D1339" i="1"/>
  <c r="D1415" i="1"/>
  <c r="D1421" i="1"/>
  <c r="D1419" i="1"/>
  <c r="D1418" i="1"/>
  <c r="D1417" i="1"/>
  <c r="D1420" i="1"/>
  <c r="D1422" i="1"/>
  <c r="D1416" i="1"/>
  <c r="D1423" i="1"/>
  <c r="D1495" i="1"/>
  <c r="D1503" i="1"/>
  <c r="D1501" i="1"/>
  <c r="D1499" i="1"/>
  <c r="D1498" i="1"/>
  <c r="D1497" i="1"/>
  <c r="D1500" i="1"/>
  <c r="D1502" i="1"/>
  <c r="D1496" i="1"/>
  <c r="D1613" i="1"/>
  <c r="D1615" i="1"/>
  <c r="D1614" i="1"/>
  <c r="D1616" i="1"/>
  <c r="D1545" i="1"/>
  <c r="D1546" i="1"/>
  <c r="D1553" i="1"/>
  <c r="D1551" i="1"/>
  <c r="D1549" i="1"/>
  <c r="D1548" i="1"/>
  <c r="D1547" i="1"/>
  <c r="D1550" i="1"/>
  <c r="D1552" i="1"/>
  <c r="D2435" i="1"/>
  <c r="D2441" i="1"/>
  <c r="D2440" i="1"/>
  <c r="D2438" i="1"/>
  <c r="D2437" i="1"/>
  <c r="D2436" i="1"/>
  <c r="D2439" i="1"/>
  <c r="D2686" i="1"/>
  <c r="D2691" i="1"/>
  <c r="D2689" i="1"/>
  <c r="D2688" i="1"/>
  <c r="D2687" i="1"/>
  <c r="D2690" i="1"/>
  <c r="D2692" i="1"/>
  <c r="D958" i="1"/>
  <c r="D959" i="1"/>
  <c r="D960" i="1"/>
  <c r="D961" i="1"/>
  <c r="D962" i="1"/>
  <c r="D963" i="1"/>
  <c r="D964" i="1"/>
  <c r="D965" i="1"/>
  <c r="D2081" i="1"/>
  <c r="D2088" i="1"/>
  <c r="D2086" i="1"/>
  <c r="D2084" i="1"/>
  <c r="D2083" i="1"/>
  <c r="D2082" i="1"/>
  <c r="D2085" i="1"/>
  <c r="D2087" i="1"/>
  <c r="D2090" i="1"/>
  <c r="D2097" i="1"/>
  <c r="D2095" i="1"/>
  <c r="D2093" i="1"/>
  <c r="D2092" i="1"/>
  <c r="D2091" i="1"/>
  <c r="D2094" i="1"/>
  <c r="D2096" i="1"/>
  <c r="D2038" i="1"/>
  <c r="D2042" i="1"/>
  <c r="D2044" i="1"/>
  <c r="D2039" i="1"/>
  <c r="D2045" i="1"/>
  <c r="D2043" i="1"/>
  <c r="D2041" i="1"/>
  <c r="D2040" i="1"/>
  <c r="D2099" i="1"/>
  <c r="D2107" i="1"/>
  <c r="D2101" i="1"/>
  <c r="D2104" i="1"/>
  <c r="D2106" i="1"/>
  <c r="D2105" i="1"/>
  <c r="D2103" i="1"/>
  <c r="D2102" i="1"/>
  <c r="D2100" i="1"/>
  <c r="D2144" i="1"/>
  <c r="D2147" i="1"/>
  <c r="D2146" i="1"/>
  <c r="D2145" i="1"/>
  <c r="D2148" i="1"/>
  <c r="D2150" i="1"/>
  <c r="D2151" i="1"/>
  <c r="D2149" i="1"/>
  <c r="D216" i="1"/>
  <c r="D217" i="1"/>
  <c r="D218" i="1"/>
  <c r="D219" i="1"/>
  <c r="D220" i="1"/>
  <c r="D221" i="1"/>
  <c r="D222" i="1"/>
  <c r="D223" i="1"/>
  <c r="D224" i="1"/>
  <c r="D169" i="1"/>
  <c r="D170" i="1"/>
  <c r="D171" i="1"/>
  <c r="D172" i="1"/>
  <c r="D173" i="1"/>
  <c r="D174" i="1"/>
  <c r="D175" i="1"/>
  <c r="D176" i="1"/>
  <c r="D177" i="1"/>
  <c r="D290" i="1"/>
  <c r="D291" i="1"/>
  <c r="D292" i="1"/>
  <c r="D293" i="1"/>
  <c r="D294" i="1"/>
  <c r="D295" i="1"/>
  <c r="D296" i="1"/>
  <c r="D297" i="1"/>
  <c r="D298" i="1"/>
  <c r="D574" i="1"/>
  <c r="D575" i="1"/>
  <c r="D576" i="1"/>
  <c r="D577" i="1"/>
  <c r="D578" i="1"/>
  <c r="D579" i="1"/>
  <c r="D580" i="1"/>
  <c r="D581" i="1"/>
  <c r="D582" i="1"/>
  <c r="D482" i="1"/>
  <c r="D483" i="1"/>
  <c r="D484" i="1"/>
  <c r="D485" i="1"/>
  <c r="D486" i="1"/>
  <c r="D487" i="1"/>
  <c r="D488" i="1"/>
  <c r="D489" i="1"/>
  <c r="D393" i="1"/>
  <c r="D394" i="1"/>
  <c r="D395" i="1"/>
  <c r="D396" i="1"/>
  <c r="D397" i="1"/>
  <c r="D398" i="1"/>
  <c r="D399" i="1"/>
  <c r="D400" i="1"/>
  <c r="D401" i="1"/>
  <c r="D359" i="1"/>
  <c r="D360" i="1"/>
  <c r="D361" i="1"/>
  <c r="D362" i="1"/>
  <c r="D363" i="1"/>
  <c r="D364" i="1"/>
  <c r="D365" i="1"/>
  <c r="D366" i="1"/>
  <c r="D367" i="1"/>
  <c r="D764" i="1"/>
  <c r="D765" i="1"/>
  <c r="D766" i="1"/>
  <c r="D767" i="1"/>
  <c r="D768" i="1"/>
  <c r="D769" i="1"/>
  <c r="D770" i="1"/>
  <c r="D771" i="1"/>
  <c r="D772" i="1"/>
  <c r="D550" i="1"/>
  <c r="D551" i="1"/>
  <c r="D552" i="1"/>
  <c r="D553" i="1"/>
  <c r="D554" i="1"/>
  <c r="D555" i="1"/>
  <c r="D556" i="1"/>
  <c r="D557" i="1"/>
  <c r="D558" i="1"/>
  <c r="D655" i="1"/>
  <c r="D656" i="1"/>
  <c r="D657" i="1"/>
  <c r="D658" i="1"/>
  <c r="D659" i="1"/>
  <c r="D660" i="1"/>
  <c r="D661" i="1"/>
  <c r="D662" i="1"/>
  <c r="D663" i="1"/>
  <c r="D638" i="1"/>
  <c r="D639" i="1"/>
  <c r="D640" i="1"/>
  <c r="D641" i="1"/>
  <c r="D642" i="1"/>
  <c r="D643" i="1"/>
  <c r="D644" i="1"/>
  <c r="D645" i="1"/>
  <c r="D646" i="1"/>
  <c r="D1277" i="1"/>
  <c r="D1278" i="1"/>
  <c r="D1279" i="1"/>
  <c r="D1280" i="1"/>
  <c r="D1281" i="1"/>
  <c r="D1282" i="1"/>
  <c r="D1283" i="1"/>
  <c r="D2975" i="1"/>
  <c r="D2963" i="1"/>
  <c r="D2950" i="1"/>
  <c r="D2955" i="1"/>
  <c r="D1115" i="1"/>
  <c r="D1116" i="1"/>
  <c r="D1117" i="1"/>
  <c r="D1118" i="1"/>
  <c r="D1119" i="1"/>
  <c r="D1120" i="1"/>
  <c r="D1121" i="1"/>
  <c r="D3247" i="1"/>
  <c r="D3254" i="1"/>
  <c r="D3252" i="1"/>
  <c r="D3250" i="1"/>
  <c r="D3249" i="1"/>
  <c r="D3248" i="1"/>
  <c r="D3251" i="1"/>
  <c r="D3253" i="1"/>
  <c r="D1788" i="1"/>
  <c r="D1795" i="1"/>
  <c r="D1793" i="1"/>
  <c r="D1791" i="1"/>
  <c r="D1790" i="1"/>
  <c r="D1789" i="1"/>
  <c r="D1792" i="1"/>
  <c r="D1794" i="1"/>
  <c r="D1737" i="1"/>
  <c r="D1716" i="1"/>
  <c r="D1719" i="1"/>
  <c r="D1718" i="1"/>
  <c r="D1717" i="1"/>
  <c r="D1720" i="1"/>
  <c r="D1721" i="1"/>
  <c r="D1744" i="1"/>
  <c r="D1747" i="1"/>
  <c r="D1746" i="1"/>
  <c r="D1745" i="1"/>
  <c r="D1748" i="1"/>
  <c r="D1671" i="1"/>
  <c r="D1674" i="1"/>
  <c r="D1673" i="1"/>
  <c r="D1672" i="1"/>
  <c r="D1675" i="1"/>
  <c r="D1676" i="1"/>
  <c r="D3057" i="1"/>
  <c r="D3065" i="1"/>
  <c r="D3063" i="1"/>
  <c r="D3061" i="1"/>
  <c r="D3060" i="1"/>
  <c r="D3059" i="1"/>
  <c r="D3062" i="1"/>
  <c r="D3064" i="1"/>
  <c r="D3058" i="1"/>
  <c r="D1915" i="1"/>
  <c r="D2898" i="1"/>
  <c r="D2884" i="1"/>
  <c r="D2857" i="1"/>
  <c r="D2651" i="1"/>
  <c r="D1996" i="1"/>
  <c r="D18" i="1"/>
  <c r="D2341" i="1"/>
  <c r="D19" i="1"/>
  <c r="D2355" i="1"/>
  <c r="D3269" i="1"/>
  <c r="D1629" i="1"/>
  <c r="D2495" i="1"/>
  <c r="D2672" i="1"/>
  <c r="D2680" i="1"/>
  <c r="D33" i="1"/>
  <c r="D2971" i="1"/>
  <c r="D2968" i="1"/>
  <c r="D2654" i="1"/>
  <c r="D2671" i="1"/>
  <c r="D1842" i="1"/>
  <c r="D2983" i="1"/>
  <c r="D2710" i="1"/>
  <c r="D2377" i="1"/>
  <c r="D1947" i="1"/>
  <c r="D2935" i="1"/>
  <c r="D2794" i="1"/>
  <c r="D2961" i="1"/>
  <c r="D2991" i="1"/>
  <c r="D36" i="1"/>
  <c r="D2969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934" i="1"/>
  <c r="D935" i="1"/>
  <c r="D936" i="1"/>
  <c r="D937" i="1"/>
  <c r="D938" i="1"/>
  <c r="D939" i="1"/>
  <c r="D940" i="1"/>
  <c r="D941" i="1"/>
  <c r="D909" i="1"/>
  <c r="D910" i="1"/>
  <c r="D911" i="1"/>
  <c r="D912" i="1"/>
  <c r="D913" i="1"/>
  <c r="D914" i="1"/>
  <c r="D915" i="1"/>
  <c r="D916" i="1"/>
  <c r="D2960" i="1"/>
  <c r="D2966" i="1"/>
  <c r="D2676" i="1"/>
  <c r="D2682" i="1"/>
  <c r="D2841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1984" i="1"/>
  <c r="D1981" i="1"/>
  <c r="D1951" i="1"/>
  <c r="D1980" i="1"/>
  <c r="D1950" i="1"/>
  <c r="D1979" i="1"/>
  <c r="D1983" i="1"/>
  <c r="D1982" i="1"/>
  <c r="D1949" i="1"/>
  <c r="D1948" i="1"/>
  <c r="D1944" i="1"/>
  <c r="D1943" i="1"/>
  <c r="D1953" i="1"/>
  <c r="D1952" i="1"/>
  <c r="D1987" i="1"/>
  <c r="D1986" i="1"/>
  <c r="D1972" i="1"/>
  <c r="D1974" i="1"/>
  <c r="D1985" i="1"/>
  <c r="D1997" i="1"/>
  <c r="D1946" i="1"/>
  <c r="D1909" i="1"/>
  <c r="D1625" i="1"/>
  <c r="D2369" i="1"/>
  <c r="D3285" i="1"/>
  <c r="D3284" i="1"/>
  <c r="D2253" i="1"/>
  <c r="D2252" i="1"/>
  <c r="D1965" i="1"/>
  <c r="D1966" i="1"/>
  <c r="D1967" i="1"/>
  <c r="D1959" i="1"/>
  <c r="D1973" i="1"/>
  <c r="D1964" i="1"/>
  <c r="D1991" i="1"/>
  <c r="D1989" i="1"/>
  <c r="D1992" i="1"/>
  <c r="D1990" i="1"/>
  <c r="D1968" i="1"/>
  <c r="D1955" i="1"/>
  <c r="D1978" i="1"/>
  <c r="D1970" i="1"/>
  <c r="D1958" i="1"/>
  <c r="D2848" i="1"/>
  <c r="D1863" i="1"/>
  <c r="D1869" i="1"/>
  <c r="D1870" i="1"/>
  <c r="D1871" i="1"/>
  <c r="D1872" i="1"/>
  <c r="D1873" i="1"/>
  <c r="D1874" i="1"/>
  <c r="D1864" i="1"/>
  <c r="D1865" i="1"/>
  <c r="D1866" i="1"/>
  <c r="D1867" i="1"/>
  <c r="D1868" i="1"/>
  <c r="D1875" i="1"/>
  <c r="D1883" i="1"/>
  <c r="D1884" i="1"/>
  <c r="D1885" i="1"/>
  <c r="D1886" i="1"/>
  <c r="D1876" i="1"/>
  <c r="D1877" i="1"/>
  <c r="D1878" i="1"/>
  <c r="D1879" i="1"/>
  <c r="D1880" i="1"/>
  <c r="D1881" i="1"/>
  <c r="D1882" i="1"/>
  <c r="D1957" i="1"/>
  <c r="D1988" i="1"/>
  <c r="D1956" i="1"/>
  <c r="D1975" i="1"/>
  <c r="D1954" i="1"/>
  <c r="D1962" i="1"/>
  <c r="D1971" i="1"/>
  <c r="D1961" i="1"/>
  <c r="D1960" i="1"/>
  <c r="D1969" i="1"/>
  <c r="D2822" i="1"/>
  <c r="D2823" i="1"/>
  <c r="D2824" i="1"/>
  <c r="D2825" i="1"/>
  <c r="D2826" i="1"/>
  <c r="D2827" i="1"/>
  <c r="D2828" i="1"/>
  <c r="D2829" i="1"/>
  <c r="D2830" i="1"/>
  <c r="D2384" i="1"/>
  <c r="D1963" i="1"/>
  <c r="D85" i="1"/>
  <c r="D86" i="1"/>
  <c r="D87" i="1"/>
  <c r="D88" i="1"/>
  <c r="D89" i="1"/>
  <c r="D90" i="1"/>
  <c r="D91" i="1"/>
  <c r="D92" i="1"/>
  <c r="D93" i="1"/>
  <c r="D1687" i="1"/>
  <c r="D1696" i="1"/>
  <c r="D1694" i="1"/>
  <c r="D1690" i="1"/>
  <c r="D1693" i="1"/>
  <c r="D1695" i="1"/>
  <c r="D1688" i="1"/>
  <c r="D1689" i="1"/>
  <c r="D1692" i="1"/>
  <c r="D1691" i="1"/>
  <c r="D3206" i="1"/>
  <c r="D3213" i="1"/>
  <c r="D3211" i="1"/>
  <c r="D3209" i="1"/>
  <c r="D3208" i="1"/>
  <c r="D3207" i="1"/>
  <c r="D3210" i="1"/>
  <c r="D3212" i="1"/>
  <c r="D2788" i="1"/>
  <c r="D2795" i="1"/>
  <c r="D2374" i="1"/>
  <c r="D2834" i="1"/>
  <c r="D2807" i="1"/>
  <c r="D2800" i="1"/>
  <c r="D2789" i="1"/>
  <c r="D2371" i="1"/>
  <c r="D2372" i="1"/>
  <c r="D2373" i="1"/>
  <c r="D2792" i="1"/>
  <c r="D3288" i="1"/>
  <c r="D2796" i="1"/>
  <c r="D2809" i="1"/>
  <c r="D2810" i="1"/>
  <c r="D2811" i="1"/>
  <c r="D2812" i="1"/>
  <c r="D2813" i="1"/>
  <c r="D2814" i="1"/>
  <c r="D2815" i="1"/>
  <c r="D2832" i="1"/>
  <c r="D2833" i="1"/>
  <c r="D2801" i="1"/>
  <c r="D2802" i="1"/>
  <c r="D2803" i="1"/>
  <c r="D10" i="1"/>
  <c r="D11" i="1"/>
  <c r="D15" i="1"/>
  <c r="D16" i="1"/>
  <c r="D2808" i="1"/>
  <c r="D3292" i="1"/>
  <c r="D2385" i="1"/>
  <c r="D2816" i="1"/>
  <c r="D2363" i="1"/>
  <c r="D2354" i="1"/>
  <c r="D2361" i="1"/>
  <c r="D2359" i="1"/>
  <c r="D2362" i="1"/>
  <c r="D2360" i="1"/>
  <c r="D2358" i="1"/>
  <c r="D2356" i="1"/>
  <c r="D2357" i="1"/>
  <c r="D2366" i="1"/>
  <c r="D2337" i="1"/>
  <c r="D2878" i="1"/>
  <c r="D2877" i="1"/>
  <c r="D2879" i="1"/>
  <c r="D2656" i="1"/>
  <c r="D2655" i="1"/>
  <c r="D2657" i="1"/>
  <c r="D2964" i="1"/>
  <c r="D2853" i="1"/>
  <c r="D2875" i="1"/>
  <c r="D2849" i="1"/>
  <c r="D2876" i="1"/>
  <c r="D2859" i="1"/>
  <c r="D2860" i="1"/>
  <c r="D2861" i="1"/>
  <c r="D972" i="1"/>
  <c r="D2957" i="1"/>
  <c r="D2972" i="1"/>
  <c r="D2668" i="1"/>
  <c r="D3005" i="1"/>
  <c r="D3283" i="1"/>
  <c r="D1826" i="1"/>
  <c r="D1829" i="1"/>
  <c r="D1828" i="1"/>
  <c r="D1827" i="1"/>
  <c r="D1830" i="1"/>
  <c r="D1999" i="1"/>
  <c r="D2001" i="1"/>
  <c r="D3294" i="1"/>
  <c r="D2835" i="1"/>
  <c r="D2000" i="1"/>
  <c r="D2002" i="1"/>
  <c r="D2003" i="1"/>
  <c r="D2978" i="1"/>
  <c r="D2988" i="1"/>
  <c r="D2993" i="1"/>
  <c r="D2959" i="1"/>
  <c r="D2653" i="1"/>
  <c r="D3255" i="1"/>
  <c r="D3258" i="1"/>
  <c r="D3257" i="1"/>
  <c r="D3256" i="1"/>
  <c r="D1617" i="1"/>
  <c r="D1921" i="1"/>
  <c r="D51" i="1"/>
  <c r="D52" i="1"/>
  <c r="D53" i="1"/>
  <c r="D54" i="1"/>
  <c r="D55" i="1"/>
  <c r="D56" i="1"/>
  <c r="D57" i="1"/>
  <c r="D2838" i="1"/>
  <c r="D2895" i="1"/>
  <c r="D2995" i="1"/>
  <c r="D1920" i="1"/>
  <c r="D2865" i="1"/>
  <c r="D2839" i="1"/>
  <c r="D3276" i="1"/>
  <c r="D3277" i="1"/>
  <c r="D3278" i="1"/>
  <c r="D3279" i="1"/>
  <c r="D2973" i="1"/>
  <c r="D2984" i="1"/>
  <c r="D2974" i="1"/>
  <c r="D2980" i="1"/>
  <c r="D2897" i="1"/>
  <c r="D2896" i="1"/>
  <c r="D2010" i="1"/>
  <c r="D2970" i="1"/>
  <c r="D3275" i="1"/>
  <c r="D2412" i="1"/>
  <c r="D17" i="1"/>
  <c r="D2787" i="1"/>
  <c r="D2403" i="1"/>
  <c r="D2402" i="1"/>
  <c r="D1749" i="1"/>
  <c r="D3011" i="1"/>
  <c r="D3298" i="1"/>
  <c r="D1668" i="1"/>
  <c r="D1669" i="1"/>
  <c r="D1670" i="1"/>
  <c r="D1722" i="1"/>
  <c r="D1725" i="1"/>
  <c r="D1724" i="1"/>
  <c r="D1723" i="1"/>
  <c r="D1726" i="1"/>
  <c r="D1727" i="1"/>
  <c r="D2396" i="1"/>
  <c r="D1919" i="1"/>
  <c r="D35" i="1"/>
  <c r="D2958" i="1"/>
  <c r="D2967" i="1"/>
  <c r="D2850" i="1"/>
  <c r="D1624" i="1"/>
  <c r="D1630" i="1"/>
  <c r="D1623" i="1"/>
  <c r="D1626" i="1"/>
  <c r="D2677" i="1"/>
  <c r="D2679" i="1"/>
  <c r="D1757" i="1"/>
  <c r="D3259" i="1"/>
  <c r="D3260" i="1"/>
  <c r="D3261" i="1"/>
  <c r="D3262" i="1"/>
  <c r="D2466" i="1"/>
  <c r="D3270" i="1"/>
  <c r="D3272" i="1"/>
  <c r="D1912" i="1"/>
  <c r="D2464" i="1"/>
  <c r="D2463" i="1"/>
  <c r="D2456" i="1"/>
  <c r="D966" i="1"/>
  <c r="D1931" i="1"/>
  <c r="D3274" i="1"/>
  <c r="D3013" i="1"/>
  <c r="D2004" i="1"/>
  <c r="D1998" i="1"/>
  <c r="D2012" i="1"/>
  <c r="D2399" i="1"/>
  <c r="D3301" i="1"/>
  <c r="D2401" i="1"/>
  <c r="D2457" i="1"/>
  <c r="D2332" i="1"/>
  <c r="D2459" i="1"/>
  <c r="D2458" i="1"/>
  <c r="D2334" i="1"/>
  <c r="D2470" i="1"/>
  <c r="D2469" i="1"/>
  <c r="D2409" i="1"/>
  <c r="D2985" i="1"/>
  <c r="D3007" i="1"/>
  <c r="D2468" i="1"/>
  <c r="D2460" i="1"/>
  <c r="D2461" i="1"/>
  <c r="D1994" i="1"/>
  <c r="D2685" i="1"/>
  <c r="D3263" i="1"/>
  <c r="D21" i="1"/>
  <c r="D2286" i="1"/>
  <c r="D2443" i="1"/>
  <c r="D2324" i="1"/>
  <c r="D2328" i="1"/>
  <c r="D2329" i="1"/>
  <c r="D2330" i="1"/>
  <c r="D2325" i="1"/>
  <c r="D2326" i="1"/>
  <c r="D2327" i="1"/>
  <c r="D2442" i="1"/>
  <c r="D2282" i="1"/>
  <c r="D3008" i="1"/>
  <c r="D2294" i="1"/>
  <c r="D2295" i="1"/>
  <c r="D2299" i="1"/>
  <c r="D2300" i="1"/>
  <c r="D2301" i="1"/>
  <c r="D2302" i="1"/>
  <c r="D2303" i="1"/>
  <c r="D2296" i="1"/>
  <c r="D2297" i="1"/>
  <c r="D2298" i="1"/>
  <c r="D1917" i="1"/>
  <c r="D2287" i="1"/>
  <c r="D2292" i="1"/>
  <c r="D2290" i="1"/>
  <c r="D2289" i="1"/>
  <c r="D2288" i="1"/>
  <c r="D2291" i="1"/>
  <c r="D2293" i="1"/>
  <c r="D2308" i="1"/>
  <c r="D1938" i="1"/>
  <c r="D1933" i="1"/>
  <c r="D1932" i="1"/>
  <c r="D1930" i="1"/>
  <c r="D1939" i="1"/>
  <c r="D3266" i="1"/>
  <c r="D2444" i="1"/>
  <c r="D2304" i="1"/>
  <c r="D2306" i="1"/>
  <c r="D2305" i="1"/>
  <c r="D2307" i="1"/>
  <c r="D3265" i="1"/>
  <c r="D2666" i="1"/>
  <c r="D63" i="1"/>
  <c r="D2650" i="1"/>
  <c r="D2646" i="1"/>
  <c r="D2987" i="1"/>
  <c r="D2431" i="1"/>
  <c r="D62" i="1"/>
  <c r="D2576" i="1"/>
  <c r="D2614" i="1"/>
  <c r="D2615" i="1"/>
  <c r="D2616" i="1"/>
  <c r="D2475" i="1"/>
  <c r="D2644" i="1"/>
  <c r="D2499" i="1"/>
  <c r="D3022" i="1"/>
  <c r="D1888" i="1"/>
  <c r="D2979" i="1"/>
  <c r="D1891" i="1"/>
  <c r="D2852" i="1"/>
  <c r="D1890" i="1"/>
  <c r="D2976" i="1"/>
  <c r="D2009" i="1"/>
  <c r="D1667" i="1"/>
  <c r="D1697" i="1"/>
  <c r="D1700" i="1"/>
  <c r="D1699" i="1"/>
  <c r="D1698" i="1"/>
  <c r="D1701" i="1"/>
  <c r="D1702" i="1"/>
  <c r="D1710" i="1"/>
  <c r="D1713" i="1"/>
  <c r="D1712" i="1"/>
  <c r="D1711" i="1"/>
  <c r="D1714" i="1"/>
  <c r="D1715" i="1"/>
  <c r="D1703" i="1"/>
  <c r="D1707" i="1"/>
  <c r="D1706" i="1"/>
  <c r="D1705" i="1"/>
  <c r="D1708" i="1"/>
  <c r="D1709" i="1"/>
  <c r="D1704" i="1"/>
  <c r="D2284" i="1"/>
  <c r="D1942" i="1"/>
  <c r="D3287" i="1"/>
  <c r="D2376" i="1"/>
  <c r="D1993" i="1"/>
  <c r="D825" i="1"/>
  <c r="D826" i="1"/>
  <c r="D827" i="1"/>
  <c r="D828" i="1"/>
  <c r="D829" i="1"/>
  <c r="D830" i="1"/>
  <c r="D831" i="1"/>
  <c r="D832" i="1"/>
  <c r="D833" i="1"/>
  <c r="D834" i="1"/>
  <c r="D835" i="1"/>
  <c r="D2283" i="1"/>
  <c r="D2989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2799" i="1"/>
  <c r="D3264" i="1"/>
  <c r="D1977" i="1"/>
  <c r="D2662" i="1"/>
  <c r="D1637" i="1"/>
  <c r="D1635" i="1"/>
  <c r="D1650" i="1"/>
  <c r="D1651" i="1"/>
  <c r="D1652" i="1"/>
  <c r="D1653" i="1"/>
  <c r="D1654" i="1"/>
  <c r="D1655" i="1"/>
  <c r="D1656" i="1"/>
  <c r="D1657" i="1"/>
  <c r="D2658" i="1"/>
  <c r="D2618" i="1"/>
  <c r="D2619" i="1"/>
  <c r="D2620" i="1"/>
  <c r="D2621" i="1"/>
  <c r="D2622" i="1"/>
  <c r="D1638" i="1"/>
  <c r="D1639" i="1"/>
  <c r="D1640" i="1"/>
  <c r="D1641" i="1"/>
  <c r="D1642" i="1"/>
  <c r="D2675" i="1"/>
  <c r="D2496" i="1"/>
  <c r="D3176" i="1"/>
  <c r="D3181" i="1"/>
  <c r="D3179" i="1"/>
  <c r="D3178" i="1"/>
  <c r="D3177" i="1"/>
  <c r="D3180" i="1"/>
  <c r="D3182" i="1"/>
  <c r="D3164" i="1"/>
  <c r="D3171" i="1"/>
  <c r="D3169" i="1"/>
  <c r="D3167" i="1"/>
  <c r="D3166" i="1"/>
  <c r="D3165" i="1"/>
  <c r="D3168" i="1"/>
  <c r="D3170" i="1"/>
  <c r="D3186" i="1"/>
  <c r="D3191" i="1"/>
  <c r="D3189" i="1"/>
  <c r="D3188" i="1"/>
  <c r="D3187" i="1"/>
  <c r="D3190" i="1"/>
  <c r="D3192" i="1"/>
  <c r="D3154" i="1"/>
  <c r="D3159" i="1"/>
  <c r="D3157" i="1"/>
  <c r="D3156" i="1"/>
  <c r="D3155" i="1"/>
  <c r="D3158" i="1"/>
  <c r="D3160" i="1"/>
  <c r="D3090" i="1"/>
  <c r="D3097" i="1"/>
  <c r="D3095" i="1"/>
  <c r="D3093" i="1"/>
  <c r="D3092" i="1"/>
  <c r="D3091" i="1"/>
  <c r="D3094" i="1"/>
  <c r="D3096" i="1"/>
  <c r="D2954" i="1"/>
  <c r="D2956" i="1"/>
  <c r="D1636" i="1"/>
  <c r="D12" i="1"/>
  <c r="D14" i="1"/>
  <c r="D13" i="1"/>
  <c r="D1976" i="1"/>
  <c r="D2806" i="1"/>
  <c r="D2805" i="1"/>
  <c r="D2336" i="1"/>
  <c r="D1292" i="1"/>
  <c r="D1303" i="1"/>
  <c r="D1305" i="1"/>
  <c r="D1304" i="1"/>
  <c r="D1306" i="1"/>
  <c r="D1310" i="1"/>
  <c r="D1312" i="1"/>
  <c r="D1311" i="1"/>
  <c r="D1313" i="1"/>
  <c r="D1314" i="1"/>
  <c r="D1307" i="1"/>
  <c r="D1309" i="1"/>
  <c r="D1308" i="1"/>
  <c r="D1293" i="1"/>
  <c r="D1296" i="1"/>
  <c r="D1295" i="1"/>
  <c r="D1297" i="1"/>
  <c r="D1298" i="1"/>
  <c r="D1294" i="1"/>
  <c r="D1315" i="1"/>
  <c r="D1299" i="1"/>
  <c r="D1301" i="1"/>
  <c r="D1300" i="1"/>
  <c r="D1302" i="1"/>
  <c r="D1658" i="1"/>
  <c r="D2234" i="1"/>
  <c r="D2232" i="1"/>
  <c r="D2842" i="1"/>
  <c r="D225" i="1"/>
  <c r="D226" i="1"/>
  <c r="D227" i="1"/>
  <c r="D228" i="1"/>
  <c r="D2398" i="1"/>
  <c r="D2836" i="1"/>
  <c r="D2281" i="1"/>
  <c r="D3372" i="1"/>
  <c r="D3380" i="1"/>
  <c r="D3377" i="1"/>
  <c r="D3376" i="1"/>
  <c r="D3375" i="1"/>
  <c r="D3378" i="1"/>
  <c r="D3379" i="1"/>
  <c r="D3373" i="1"/>
  <c r="D3374" i="1"/>
  <c r="D2339" i="1"/>
  <c r="D2367" i="1"/>
  <c r="D2338" i="1"/>
  <c r="D2365" i="1"/>
  <c r="D2790" i="1"/>
  <c r="D2793" i="1"/>
  <c r="D2791" i="1"/>
  <c r="D2798" i="1"/>
  <c r="D2797" i="1"/>
  <c r="D950" i="1"/>
  <c r="D951" i="1"/>
  <c r="D952" i="1"/>
  <c r="D953" i="1"/>
  <c r="D954" i="1"/>
  <c r="D955" i="1"/>
  <c r="D956" i="1"/>
  <c r="D957" i="1"/>
  <c r="D2678" i="1"/>
  <c r="D2465" i="1"/>
  <c r="D2335" i="1"/>
  <c r="D1554" i="1"/>
  <c r="D1555" i="1"/>
  <c r="D1556" i="1"/>
  <c r="D1557" i="1"/>
  <c r="D1411" i="1"/>
  <c r="D1412" i="1"/>
  <c r="D1413" i="1"/>
  <c r="D1414" i="1"/>
  <c r="D2108" i="1"/>
  <c r="D2109" i="1"/>
  <c r="D2110" i="1"/>
  <c r="D2111" i="1"/>
  <c r="D2936" i="1"/>
  <c r="D2937" i="1"/>
  <c r="D2938" i="1"/>
  <c r="D2939" i="1"/>
  <c r="D2940" i="1"/>
  <c r="D2941" i="1"/>
  <c r="D2942" i="1"/>
  <c r="D2943" i="1"/>
  <c r="D2944" i="1"/>
  <c r="D2945" i="1"/>
  <c r="D2946" i="1"/>
  <c r="D2013" i="1"/>
  <c r="D2962" i="1"/>
  <c r="D2404" i="1"/>
  <c r="D2429" i="1"/>
  <c r="D1797" i="1"/>
  <c r="D1803" i="1"/>
  <c r="D1804" i="1"/>
  <c r="D1802" i="1"/>
  <c r="D1800" i="1"/>
  <c r="D1799" i="1"/>
  <c r="D1798" i="1"/>
  <c r="D1801" i="1"/>
  <c r="D1002" i="1"/>
  <c r="D2902" i="1"/>
  <c r="D1936" i="1"/>
  <c r="D2584" i="1"/>
  <c r="D968" i="1"/>
  <c r="D970" i="1"/>
  <c r="D2333" i="1"/>
  <c r="D3281" i="1"/>
  <c r="D3280" i="1"/>
  <c r="D2368" i="1"/>
  <c r="D2661" i="1"/>
  <c r="D2343" i="1"/>
  <c r="D2344" i="1"/>
  <c r="D2342" i="1"/>
  <c r="D2345" i="1"/>
  <c r="D2462" i="1"/>
  <c r="D2870" i="1"/>
  <c r="D22" i="1"/>
  <c r="D1122" i="1"/>
  <c r="D1123" i="1"/>
  <c r="D1124" i="1"/>
  <c r="D1125" i="1"/>
  <c r="D1126" i="1"/>
  <c r="D1127" i="1"/>
  <c r="D1128" i="1"/>
  <c r="D1129" i="1"/>
  <c r="D2951" i="1"/>
  <c r="D2977" i="1"/>
  <c r="D2370" i="1"/>
  <c r="D2851" i="1"/>
  <c r="D2235" i="1"/>
  <c r="D3423" i="1"/>
  <c r="D3424" i="1"/>
  <c r="D3425" i="1"/>
  <c r="D3426" i="1"/>
  <c r="D3427" i="1"/>
  <c r="D3428" i="1"/>
  <c r="D3429" i="1"/>
  <c r="D3430" i="1"/>
  <c r="D2632" i="1"/>
  <c r="D2420" i="1"/>
  <c r="D2421" i="1"/>
  <c r="D2407" i="1"/>
  <c r="D2422" i="1"/>
  <c r="D2414" i="1"/>
  <c r="D3422" i="1"/>
  <c r="D3421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400" i="1"/>
  <c r="D3009" i="1"/>
  <c r="D1831" i="1"/>
  <c r="D1834" i="1"/>
  <c r="D1833" i="1"/>
  <c r="D1832" i="1"/>
  <c r="D1835" i="1"/>
  <c r="D1836" i="1"/>
  <c r="D1839" i="1"/>
  <c r="D1838" i="1"/>
  <c r="D1837" i="1"/>
  <c r="D1840" i="1"/>
  <c r="D1841" i="1"/>
  <c r="D1889" i="1"/>
  <c r="D3300" i="1"/>
  <c r="D229" i="1"/>
  <c r="D230" i="1"/>
  <c r="D231" i="1"/>
  <c r="D232" i="1"/>
  <c r="D1349" i="1"/>
  <c r="D1356" i="1"/>
  <c r="D1354" i="1"/>
  <c r="D1352" i="1"/>
  <c r="D1351" i="1"/>
  <c r="D1350" i="1"/>
  <c r="D1353" i="1"/>
  <c r="D1355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1468" i="1"/>
  <c r="D1469" i="1"/>
  <c r="D1470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64" i="1"/>
  <c r="D665" i="1"/>
  <c r="D666" i="1"/>
  <c r="D667" i="1"/>
  <c r="D1581" i="1"/>
  <c r="D1582" i="1"/>
  <c r="D1583" i="1"/>
  <c r="D1584" i="1"/>
  <c r="D1238" i="1"/>
  <c r="D1239" i="1"/>
  <c r="D1240" i="1"/>
  <c r="D1241" i="1"/>
  <c r="D1242" i="1"/>
  <c r="D1559" i="1"/>
  <c r="D1561" i="1"/>
  <c r="D1560" i="1"/>
  <c r="D1563" i="1"/>
  <c r="D1565" i="1"/>
  <c r="D1566" i="1"/>
  <c r="D1564" i="1"/>
  <c r="D1562" i="1"/>
  <c r="D1567" i="1"/>
  <c r="D1568" i="1"/>
  <c r="D1569" i="1"/>
  <c r="D1570" i="1"/>
  <c r="D1574" i="1"/>
  <c r="D1576" i="1"/>
  <c r="D1577" i="1"/>
  <c r="D1575" i="1"/>
  <c r="D1573" i="1"/>
  <c r="D1572" i="1"/>
  <c r="D1571" i="1"/>
  <c r="D1578" i="1"/>
  <c r="D1579" i="1"/>
  <c r="D1580" i="1"/>
  <c r="D2603" i="1"/>
  <c r="D2604" i="1"/>
  <c r="D2605" i="1"/>
  <c r="D2606" i="1"/>
  <c r="D2607" i="1"/>
  <c r="D1736" i="1"/>
  <c r="D1243" i="1"/>
  <c r="D1244" i="1"/>
  <c r="D1245" i="1"/>
  <c r="D1246" i="1"/>
  <c r="D3232" i="1"/>
  <c r="D3237" i="1"/>
  <c r="D3235" i="1"/>
  <c r="D3234" i="1"/>
  <c r="D3233" i="1"/>
  <c r="D3236" i="1"/>
  <c r="D3238" i="1"/>
  <c r="D2364" i="1"/>
  <c r="D2899" i="1"/>
  <c r="D2804" i="1"/>
  <c r="D3113" i="1"/>
  <c r="D3120" i="1"/>
  <c r="D3118" i="1"/>
  <c r="D3116" i="1"/>
  <c r="D3115" i="1"/>
  <c r="D3114" i="1"/>
  <c r="D3117" i="1"/>
  <c r="D3119" i="1"/>
  <c r="D3101" i="1"/>
  <c r="D3109" i="1"/>
  <c r="D3107" i="1"/>
  <c r="D3105" i="1"/>
  <c r="D3104" i="1"/>
  <c r="D3103" i="1"/>
  <c r="D3106" i="1"/>
  <c r="D3108" i="1"/>
  <c r="D3102" i="1"/>
  <c r="D3069" i="1"/>
  <c r="D3077" i="1"/>
  <c r="D3075" i="1"/>
  <c r="D3073" i="1"/>
  <c r="D3072" i="1"/>
  <c r="D3071" i="1"/>
  <c r="D3074" i="1"/>
  <c r="D3076" i="1"/>
  <c r="D3070" i="1"/>
  <c r="D1391" i="1"/>
  <c r="D1385" i="1"/>
  <c r="D1386" i="1"/>
  <c r="D1387" i="1"/>
  <c r="D1382" i="1"/>
  <c r="D1383" i="1"/>
  <c r="D1384" i="1"/>
  <c r="D1392" i="1"/>
  <c r="D1393" i="1"/>
  <c r="D1394" i="1"/>
  <c r="D1388" i="1"/>
  <c r="D1389" i="1"/>
  <c r="D1390" i="1"/>
  <c r="D1558" i="1"/>
  <c r="D1357" i="1"/>
  <c r="D1360" i="1"/>
  <c r="D1359" i="1"/>
  <c r="D1358" i="1"/>
  <c r="D1361" i="1"/>
  <c r="D1362" i="1"/>
  <c r="D698" i="1"/>
  <c r="D699" i="1"/>
  <c r="D700" i="1"/>
  <c r="D701" i="1"/>
  <c r="D647" i="1"/>
  <c r="D648" i="1"/>
  <c r="D649" i="1"/>
  <c r="D650" i="1"/>
  <c r="D651" i="1"/>
  <c r="D652" i="1"/>
  <c r="D653" i="1"/>
  <c r="D654" i="1"/>
  <c r="D1504" i="1"/>
  <c r="D1512" i="1"/>
  <c r="D1510" i="1"/>
  <c r="D1508" i="1"/>
  <c r="D1507" i="1"/>
  <c r="D1506" i="1"/>
  <c r="D1509" i="1"/>
  <c r="D1511" i="1"/>
  <c r="D1505" i="1"/>
  <c r="D1486" i="1"/>
  <c r="D1494" i="1"/>
  <c r="D1492" i="1"/>
  <c r="D1490" i="1"/>
  <c r="D1489" i="1"/>
  <c r="D1488" i="1"/>
  <c r="D1491" i="1"/>
  <c r="D1493" i="1"/>
  <c r="D1487" i="1"/>
  <c r="D583" i="1"/>
  <c r="D584" i="1"/>
  <c r="D585" i="1"/>
  <c r="D586" i="1"/>
  <c r="D3391" i="1"/>
  <c r="D3399" i="1"/>
  <c r="D3397" i="1"/>
  <c r="D3395" i="1"/>
  <c r="D3394" i="1"/>
  <c r="D3393" i="1"/>
  <c r="D3396" i="1"/>
  <c r="D3398" i="1"/>
  <c r="D3392" i="1"/>
  <c r="D3400" i="1"/>
  <c r="D3408" i="1"/>
  <c r="D3406" i="1"/>
  <c r="D3404" i="1"/>
  <c r="D3403" i="1"/>
  <c r="D3402" i="1"/>
  <c r="D3405" i="1"/>
  <c r="D3407" i="1"/>
  <c r="D3401" i="1"/>
  <c r="D967" i="1"/>
  <c r="D969" i="1"/>
  <c r="D971" i="1"/>
  <c r="D2737" i="1"/>
  <c r="D2738" i="1"/>
  <c r="D2739" i="1"/>
  <c r="D2740" i="1"/>
  <c r="D2741" i="1"/>
  <c r="D2742" i="1"/>
  <c r="D2743" i="1"/>
  <c r="D2744" i="1"/>
  <c r="D2745" i="1"/>
  <c r="D2755" i="1"/>
  <c r="D2756" i="1"/>
  <c r="D2757" i="1"/>
  <c r="D2758" i="1"/>
  <c r="D2759" i="1"/>
  <c r="D2760" i="1"/>
  <c r="D2761" i="1"/>
  <c r="D2762" i="1"/>
  <c r="D2763" i="1"/>
  <c r="D2783" i="1"/>
  <c r="D2784" i="1"/>
  <c r="D2785" i="1"/>
  <c r="D2786" i="1"/>
  <c r="D2746" i="1"/>
  <c r="D2747" i="1"/>
  <c r="D2748" i="1"/>
  <c r="D2749" i="1"/>
  <c r="D2750" i="1"/>
  <c r="D2751" i="1"/>
  <c r="D2752" i="1"/>
  <c r="D2753" i="1"/>
  <c r="D2754" i="1"/>
  <c r="D2764" i="1"/>
  <c r="D2765" i="1"/>
  <c r="D2766" i="1"/>
  <c r="D276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2200" i="1"/>
  <c r="D2206" i="1"/>
  <c r="D2207" i="1"/>
  <c r="D2205" i="1"/>
  <c r="D2203" i="1"/>
  <c r="D2202" i="1"/>
  <c r="D2201" i="1"/>
  <c r="D2204" i="1"/>
  <c r="D2191" i="1"/>
  <c r="D2198" i="1"/>
  <c r="D2196" i="1"/>
  <c r="D2194" i="1"/>
  <c r="D2193" i="1"/>
  <c r="D2192" i="1"/>
  <c r="D2195" i="1"/>
  <c r="D2197" i="1"/>
  <c r="D2168" i="1"/>
  <c r="D2169" i="1"/>
  <c r="D2172" i="1"/>
  <c r="D2173" i="1"/>
  <c r="D2171" i="1"/>
  <c r="D2170" i="1"/>
  <c r="D64" i="1"/>
  <c r="D65" i="1"/>
  <c r="D66" i="1"/>
  <c r="D67" i="1"/>
  <c r="D68" i="1"/>
  <c r="D69" i="1"/>
  <c r="D70" i="1"/>
  <c r="D71" i="1"/>
  <c r="D72" i="1"/>
  <c r="D106" i="1"/>
  <c r="D107" i="1"/>
  <c r="D108" i="1"/>
  <c r="D109" i="1"/>
  <c r="D110" i="1"/>
  <c r="D111" i="1"/>
  <c r="D112" i="1"/>
  <c r="D113" i="1"/>
  <c r="D114" i="1"/>
  <c r="D94" i="1"/>
  <c r="D95" i="1"/>
  <c r="D96" i="1"/>
  <c r="D97" i="1"/>
  <c r="D98" i="1"/>
  <c r="D99" i="1"/>
  <c r="D100" i="1"/>
  <c r="D101" i="1"/>
  <c r="D115" i="1"/>
  <c r="D116" i="1"/>
  <c r="D117" i="1"/>
  <c r="D118" i="1"/>
  <c r="D119" i="1"/>
  <c r="D120" i="1"/>
  <c r="D121" i="1"/>
  <c r="D122" i="1"/>
  <c r="D73" i="1"/>
  <c r="D74" i="1"/>
  <c r="D75" i="1"/>
  <c r="D76" i="1"/>
  <c r="D77" i="1"/>
  <c r="D78" i="1"/>
  <c r="D79" i="1"/>
  <c r="D80" i="1"/>
  <c r="D81" i="1"/>
  <c r="D82" i="1"/>
  <c r="D83" i="1"/>
  <c r="D84" i="1"/>
  <c r="D1441" i="1"/>
  <c r="D1448" i="1"/>
  <c r="D1442" i="1"/>
  <c r="D1447" i="1"/>
  <c r="D1445" i="1"/>
  <c r="D1444" i="1"/>
  <c r="D1443" i="1"/>
  <c r="D1446" i="1"/>
  <c r="D1449" i="1"/>
  <c r="D1428" i="1"/>
  <c r="D1436" i="1"/>
  <c r="D1434" i="1"/>
  <c r="D1432" i="1"/>
  <c r="D1431" i="1"/>
  <c r="D1430" i="1"/>
  <c r="D1433" i="1"/>
  <c r="D1435" i="1"/>
  <c r="D1429" i="1"/>
  <c r="D1437" i="1"/>
  <c r="D1438" i="1"/>
  <c r="D1439" i="1"/>
  <c r="D1440" i="1"/>
  <c r="D1424" i="1"/>
  <c r="D1425" i="1"/>
  <c r="D1426" i="1"/>
  <c r="D1427" i="1"/>
  <c r="D3054" i="1"/>
  <c r="D3055" i="1"/>
  <c r="D3056" i="1"/>
  <c r="D3110" i="1"/>
  <c r="D3111" i="1"/>
  <c r="D3112" i="1"/>
  <c r="D3098" i="1"/>
  <c r="D3099" i="1"/>
  <c r="D3100" i="1"/>
  <c r="D2892" i="1"/>
  <c r="D2893" i="1"/>
  <c r="D2894" i="1"/>
  <c r="D2880" i="1"/>
  <c r="D2881" i="1"/>
  <c r="D2882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2411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30" i="1"/>
  <c r="D1131" i="1"/>
  <c r="D1132" i="1"/>
  <c r="D1133" i="1"/>
  <c r="D1134" i="1"/>
  <c r="D1135" i="1"/>
  <c r="D1136" i="1"/>
  <c r="D1137" i="1"/>
  <c r="D1138" i="1"/>
  <c r="D1139" i="1"/>
  <c r="D1140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092" i="1"/>
  <c r="D1093" i="1"/>
  <c r="D1094" i="1"/>
  <c r="D1095" i="1"/>
  <c r="D1096" i="1"/>
  <c r="D1097" i="1"/>
  <c r="D1098" i="1"/>
  <c r="D1099" i="1"/>
  <c r="D1100" i="1"/>
  <c r="D1101" i="1"/>
  <c r="D1102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177" i="1"/>
  <c r="D1171" i="1"/>
  <c r="D1172" i="1"/>
  <c r="D1173" i="1"/>
  <c r="D1174" i="1"/>
  <c r="D1175" i="1"/>
  <c r="D1176" i="1"/>
  <c r="D2199" i="1"/>
  <c r="D2189" i="1"/>
  <c r="D2190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3344" i="1"/>
  <c r="D3352" i="1"/>
  <c r="D3350" i="1"/>
  <c r="D3348" i="1"/>
  <c r="D3347" i="1"/>
  <c r="D3346" i="1"/>
  <c r="D3349" i="1"/>
  <c r="D3351" i="1"/>
  <c r="D3345" i="1"/>
  <c r="D3365" i="1"/>
  <c r="D3370" i="1"/>
  <c r="D3368" i="1"/>
  <c r="D3367" i="1"/>
  <c r="D3366" i="1"/>
  <c r="D3369" i="1"/>
  <c r="D3371" i="1"/>
  <c r="D3302" i="1"/>
  <c r="D3310" i="1"/>
  <c r="D3308" i="1"/>
  <c r="D3306" i="1"/>
  <c r="D3305" i="1"/>
  <c r="D3304" i="1"/>
  <c r="D3307" i="1"/>
  <c r="D3309" i="1"/>
  <c r="D3303" i="1"/>
  <c r="D3333" i="1"/>
  <c r="D3343" i="1"/>
  <c r="D3341" i="1"/>
  <c r="D3339" i="1"/>
  <c r="D3338" i="1"/>
  <c r="D3337" i="1"/>
  <c r="D3340" i="1"/>
  <c r="D3342" i="1"/>
  <c r="D3334" i="1"/>
  <c r="D3335" i="1"/>
  <c r="D3336" i="1"/>
  <c r="D42" i="1"/>
  <c r="D43" i="1"/>
  <c r="D44" i="1"/>
  <c r="D45" i="1"/>
  <c r="D46" i="1"/>
  <c r="D47" i="1"/>
  <c r="D48" i="1"/>
  <c r="D49" i="1"/>
  <c r="D50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99" i="1"/>
  <c r="D300" i="1"/>
  <c r="D301" i="1"/>
  <c r="D302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3273" i="1"/>
  <c r="D534" i="1"/>
  <c r="D535" i="1"/>
  <c r="D536" i="1"/>
  <c r="D537" i="1"/>
  <c r="D538" i="1"/>
  <c r="D539" i="1"/>
  <c r="D540" i="1"/>
  <c r="D541" i="1"/>
  <c r="D542" i="1"/>
  <c r="D559" i="1"/>
  <c r="D560" i="1"/>
  <c r="D561" i="1"/>
  <c r="D562" i="1"/>
  <c r="D563" i="1"/>
  <c r="D564" i="1"/>
  <c r="D565" i="1"/>
  <c r="D543" i="1"/>
  <c r="D544" i="1"/>
  <c r="D545" i="1"/>
  <c r="D546" i="1"/>
  <c r="D547" i="1"/>
  <c r="D548" i="1"/>
  <c r="D549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123" i="1"/>
  <c r="D124" i="1"/>
  <c r="D125" i="1"/>
  <c r="D126" i="1"/>
  <c r="D2779" i="1"/>
  <c r="D2780" i="1"/>
  <c r="D2781" i="1"/>
  <c r="D2782" i="1"/>
  <c r="D1199" i="1"/>
  <c r="D1193" i="1"/>
  <c r="D1194" i="1"/>
  <c r="D1195" i="1"/>
  <c r="D1196" i="1"/>
  <c r="D1197" i="1"/>
  <c r="D1198" i="1"/>
  <c r="D1200" i="1"/>
  <c r="D1201" i="1"/>
  <c r="D1202" i="1"/>
  <c r="D1203" i="1"/>
  <c r="D3224" i="1"/>
  <c r="D3231" i="1"/>
  <c r="D3229" i="1"/>
  <c r="D3227" i="1"/>
  <c r="D3226" i="1"/>
  <c r="D3225" i="1"/>
  <c r="D3228" i="1"/>
  <c r="D3230" i="1"/>
  <c r="D3215" i="1"/>
  <c r="D3222" i="1"/>
  <c r="D3220" i="1"/>
  <c r="D3218" i="1"/>
  <c r="D3217" i="1"/>
  <c r="D3216" i="1"/>
  <c r="D3219" i="1"/>
  <c r="D3221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06" i="1"/>
  <c r="D407" i="1"/>
  <c r="D408" i="1"/>
  <c r="D409" i="1"/>
  <c r="D490" i="1"/>
  <c r="D491" i="1"/>
  <c r="D492" i="1"/>
  <c r="D493" i="1"/>
  <c r="D494" i="1"/>
  <c r="D495" i="1"/>
  <c r="D496" i="1"/>
  <c r="D497" i="1"/>
  <c r="D498" i="1"/>
  <c r="D499" i="1"/>
  <c r="D500" i="1"/>
  <c r="D1750" i="1"/>
  <c r="D1751" i="1"/>
  <c r="D1752" i="1"/>
  <c r="D1753" i="1"/>
  <c r="D1754" i="1"/>
  <c r="D1755" i="1"/>
  <c r="D1756" i="1"/>
  <c r="D2309" i="1"/>
  <c r="D2311" i="1"/>
  <c r="D2310" i="1"/>
  <c r="D2312" i="1"/>
  <c r="D2320" i="1"/>
  <c r="D2322" i="1"/>
  <c r="D2321" i="1"/>
  <c r="D2323" i="1"/>
  <c r="D3311" i="1"/>
  <c r="D3320" i="1"/>
  <c r="D3318" i="1"/>
  <c r="D3316" i="1"/>
  <c r="D3315" i="1"/>
  <c r="D3314" i="1"/>
  <c r="D3317" i="1"/>
  <c r="D3319" i="1"/>
  <c r="D3313" i="1"/>
  <c r="D3312" i="1"/>
  <c r="D2340" i="1"/>
  <c r="D1363" i="1"/>
  <c r="D1364" i="1"/>
  <c r="D1365" i="1"/>
  <c r="D20" i="1"/>
  <c r="D1914" i="1"/>
  <c r="D1916" i="1"/>
  <c r="D2430" i="1"/>
  <c r="D402" i="1"/>
  <c r="D403" i="1"/>
  <c r="D404" i="1"/>
  <c r="D405" i="1"/>
  <c r="D1644" i="1"/>
  <c r="D1643" i="1"/>
  <c r="D1631" i="1"/>
  <c r="D1632" i="1"/>
  <c r="D1633" i="1"/>
  <c r="D1634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2874" i="1"/>
  <c r="D1677" i="1"/>
  <c r="D1683" i="1"/>
  <c r="D1685" i="1"/>
  <c r="D1678" i="1"/>
  <c r="D1679" i="1"/>
  <c r="D1686" i="1"/>
  <c r="D1684" i="1"/>
  <c r="D1682" i="1"/>
  <c r="D1681" i="1"/>
  <c r="D1680" i="1"/>
  <c r="D1001" i="1"/>
  <c r="D2233" i="1"/>
  <c r="D322" i="1"/>
  <c r="D323" i="1"/>
  <c r="D324" i="1"/>
  <c r="D325" i="1"/>
  <c r="D326" i="1"/>
  <c r="D327" i="1"/>
  <c r="D328" i="1"/>
  <c r="D329" i="1"/>
  <c r="D334" i="1"/>
  <c r="D335" i="1"/>
  <c r="D336" i="1"/>
  <c r="D337" i="1"/>
  <c r="D338" i="1"/>
  <c r="D339" i="1"/>
  <c r="D340" i="1"/>
  <c r="D341" i="1"/>
  <c r="D2255" i="1"/>
  <c r="D2732" i="1"/>
  <c r="D2724" i="1"/>
  <c r="D2725" i="1"/>
  <c r="D2726" i="1"/>
  <c r="D2727" i="1"/>
  <c r="D2728" i="1"/>
  <c r="D2729" i="1"/>
  <c r="D2730" i="1"/>
  <c r="D2731" i="1"/>
  <c r="D3267" i="1"/>
  <c r="D3268" i="1"/>
  <c r="D2424" i="1"/>
  <c r="D1520" i="1"/>
  <c r="D1528" i="1"/>
  <c r="D1526" i="1"/>
  <c r="D1524" i="1"/>
  <c r="D1523" i="1"/>
  <c r="D1522" i="1"/>
  <c r="D1525" i="1"/>
  <c r="D1527" i="1"/>
  <c r="D1521" i="1"/>
  <c r="D2831" i="1"/>
  <c r="D1945" i="1"/>
  <c r="D1779" i="1"/>
  <c r="D1786" i="1"/>
  <c r="D1784" i="1"/>
  <c r="D1782" i="1"/>
  <c r="D1781" i="1"/>
  <c r="D1780" i="1"/>
  <c r="D1783" i="1"/>
  <c r="D1785" i="1"/>
  <c r="D1806" i="1"/>
  <c r="D1813" i="1"/>
  <c r="D1811" i="1"/>
  <c r="D1809" i="1"/>
  <c r="D1808" i="1"/>
  <c r="D1807" i="1"/>
  <c r="D1810" i="1"/>
  <c r="D1812" i="1"/>
  <c r="D1787" i="1"/>
  <c r="D1796" i="1"/>
  <c r="D1778" i="1"/>
  <c r="D1805" i="1"/>
  <c r="D1529" i="1"/>
  <c r="D1530" i="1"/>
  <c r="D1531" i="1"/>
  <c r="D1532" i="1"/>
  <c r="D1533" i="1"/>
  <c r="D1544" i="1"/>
  <c r="D1542" i="1"/>
  <c r="D1540" i="1"/>
  <c r="D1539" i="1"/>
  <c r="D1538" i="1"/>
  <c r="D1541" i="1"/>
  <c r="D1543" i="1"/>
  <c r="D1534" i="1"/>
  <c r="D1536" i="1"/>
  <c r="D1537" i="1"/>
  <c r="D1535" i="1"/>
  <c r="D1211" i="1"/>
  <c r="D1212" i="1"/>
  <c r="D1213" i="1"/>
  <c r="D1214" i="1"/>
  <c r="D1204" i="1"/>
  <c r="D1205" i="1"/>
  <c r="D1206" i="1"/>
  <c r="D1207" i="1"/>
  <c r="D1208" i="1"/>
  <c r="D1209" i="1"/>
  <c r="D1210" i="1"/>
  <c r="D2418" i="1"/>
  <c r="D2419" i="1"/>
  <c r="D2408" i="1"/>
  <c r="D2423" i="1"/>
  <c r="D3205" i="1"/>
  <c r="D3223" i="1"/>
  <c r="D3214" i="1"/>
  <c r="D2406" i="1"/>
  <c r="D2426" i="1"/>
  <c r="D2375" i="1"/>
  <c r="D2415" i="1"/>
  <c r="D2" i="1"/>
  <c r="D3" i="1"/>
  <c r="D3290" i="1"/>
  <c r="D3291" i="1"/>
  <c r="D3293" i="1"/>
  <c r="D3289" i="1"/>
  <c r="D2378" i="1"/>
  <c r="D2383" i="1"/>
  <c r="D2388" i="1"/>
  <c r="D2005" i="1"/>
  <c r="D2007" i="1"/>
  <c r="D2006" i="1"/>
  <c r="D37" i="1"/>
  <c r="D973" i="1"/>
  <c r="D974" i="1"/>
  <c r="D975" i="1"/>
  <c r="D976" i="1"/>
  <c r="D977" i="1"/>
  <c r="D978" i="1"/>
  <c r="D979" i="1"/>
  <c r="D980" i="1"/>
  <c r="D993" i="1"/>
  <c r="D994" i="1"/>
  <c r="D995" i="1"/>
  <c r="D996" i="1"/>
  <c r="D981" i="1"/>
  <c r="D982" i="1"/>
  <c r="D983" i="1"/>
  <c r="D984" i="1"/>
  <c r="D3271" i="1"/>
  <c r="D2381" i="1"/>
  <c r="D2382" i="1"/>
  <c r="D2393" i="1"/>
  <c r="D2394" i="1"/>
  <c r="D2391" i="1"/>
  <c r="D2387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2684" i="1"/>
  <c r="D4" i="1"/>
  <c r="D2386" i="1"/>
  <c r="D2390" i="1"/>
  <c r="D2389" i="1"/>
  <c r="D2392" i="1"/>
  <c r="D2379" i="1"/>
  <c r="D2380" i="1"/>
  <c r="D237" i="1"/>
  <c r="D238" i="1"/>
  <c r="D239" i="1"/>
  <c r="D240" i="1"/>
  <c r="D241" i="1"/>
  <c r="D242" i="1"/>
  <c r="D243" i="1"/>
  <c r="D244" i="1"/>
  <c r="D245" i="1"/>
  <c r="D246" i="1"/>
  <c r="D247" i="1"/>
  <c r="D892" i="1"/>
  <c r="D893" i="1"/>
  <c r="D894" i="1"/>
  <c r="D895" i="1"/>
  <c r="D896" i="1"/>
  <c r="D2885" i="1"/>
  <c r="D2886" i="1"/>
  <c r="D2887" i="1"/>
  <c r="D2888" i="1"/>
  <c r="D1621" i="1"/>
  <c r="D1622" i="1"/>
  <c r="D1627" i="1"/>
  <c r="D1628" i="1"/>
  <c r="D1618" i="1"/>
  <c r="D1462" i="1"/>
  <c r="D1465" i="1"/>
  <c r="D1464" i="1"/>
  <c r="D1463" i="1"/>
  <c r="D1466" i="1"/>
  <c r="D1467" i="1"/>
  <c r="D1032" i="1"/>
  <c r="D1033" i="1"/>
  <c r="D1034" i="1"/>
  <c r="D1035" i="1"/>
  <c r="D1036" i="1"/>
  <c r="D1037" i="1"/>
  <c r="D1038" i="1"/>
  <c r="D1039" i="1"/>
  <c r="D1040" i="1"/>
  <c r="D1041" i="1"/>
  <c r="D1042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43" i="1"/>
  <c r="D1044" i="1"/>
  <c r="D1045" i="1"/>
  <c r="D1046" i="1"/>
  <c r="D1047" i="1"/>
  <c r="D1048" i="1"/>
  <c r="D1049" i="1"/>
  <c r="D1050" i="1"/>
  <c r="D1051" i="1"/>
  <c r="D1052" i="1"/>
  <c r="D1053" i="1"/>
  <c r="D1215" i="1"/>
  <c r="D1216" i="1"/>
  <c r="D1217" i="1"/>
  <c r="D1218" i="1"/>
  <c r="D1145" i="1"/>
  <c r="D1146" i="1"/>
  <c r="D1147" i="1"/>
  <c r="D1148" i="1"/>
  <c r="D1149" i="1"/>
  <c r="D1150" i="1"/>
  <c r="D1151" i="1"/>
  <c r="D1152" i="1"/>
  <c r="D1153" i="1"/>
  <c r="D1154" i="1"/>
  <c r="D1155" i="1"/>
  <c r="D1646" i="1"/>
  <c r="D1647" i="1"/>
  <c r="D1648" i="1"/>
  <c r="D1649" i="1"/>
  <c r="D2428" i="1"/>
  <c r="D2992" i="1"/>
  <c r="D3006" i="1"/>
  <c r="D2702" i="1"/>
  <c r="D2709" i="1"/>
  <c r="D2707" i="1"/>
  <c r="D2705" i="1"/>
  <c r="D2704" i="1"/>
  <c r="D2703" i="1"/>
  <c r="D2706" i="1"/>
  <c r="D2708" i="1"/>
  <c r="D2693" i="1"/>
  <c r="D2701" i="1"/>
  <c r="D2699" i="1"/>
  <c r="D2697" i="1"/>
  <c r="D2696" i="1"/>
  <c r="D2695" i="1"/>
  <c r="D2698" i="1"/>
  <c r="D2700" i="1"/>
  <c r="D2694" i="1"/>
  <c r="D1995" i="1"/>
  <c r="D3035" i="1"/>
  <c r="D3044" i="1"/>
  <c r="D3042" i="1"/>
  <c r="D3040" i="1"/>
  <c r="D3039" i="1"/>
  <c r="D3038" i="1"/>
  <c r="D3041" i="1"/>
  <c r="D3043" i="1"/>
  <c r="D3036" i="1"/>
  <c r="D3037" i="1"/>
  <c r="D715" i="1"/>
  <c r="D716" i="1"/>
  <c r="D717" i="1"/>
  <c r="D718" i="1"/>
  <c r="D719" i="1"/>
  <c r="D720" i="1"/>
  <c r="D721" i="1"/>
  <c r="D722" i="1"/>
  <c r="D723" i="1"/>
  <c r="D724" i="1"/>
  <c r="D725" i="1"/>
  <c r="D2855" i="1"/>
  <c r="D2854" i="1"/>
  <c r="D2901" i="1"/>
  <c r="D3046" i="1"/>
  <c r="D3052" i="1"/>
  <c r="D3050" i="1"/>
  <c r="D3049" i="1"/>
  <c r="D3048" i="1"/>
  <c r="D3051" i="1"/>
  <c r="D3053" i="1"/>
  <c r="D3047" i="1"/>
  <c r="D3026" i="1"/>
  <c r="D3034" i="1"/>
  <c r="D3032" i="1"/>
  <c r="D3030" i="1"/>
  <c r="D3029" i="1"/>
  <c r="D3028" i="1"/>
  <c r="D3031" i="1"/>
  <c r="D3033" i="1"/>
  <c r="D3027" i="1"/>
  <c r="D3136" i="1"/>
  <c r="D3143" i="1"/>
  <c r="D3141" i="1"/>
  <c r="D3139" i="1"/>
  <c r="D3138" i="1"/>
  <c r="D3137" i="1"/>
  <c r="D3140" i="1"/>
  <c r="D3142" i="1"/>
  <c r="D3128" i="1"/>
  <c r="D3135" i="1"/>
  <c r="D3133" i="1"/>
  <c r="D3131" i="1"/>
  <c r="D3130" i="1"/>
  <c r="D3129" i="1"/>
  <c r="D3132" i="1"/>
  <c r="D3134" i="1"/>
  <c r="D3045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2050" i="1"/>
  <c r="D2057" i="1"/>
  <c r="D2055" i="1"/>
  <c r="D2053" i="1"/>
  <c r="D2052" i="1"/>
  <c r="D2051" i="1"/>
  <c r="D2054" i="1"/>
  <c r="D2056" i="1"/>
  <c r="D1234" i="1"/>
  <c r="D1235" i="1"/>
  <c r="D1236" i="1"/>
  <c r="D1237" i="1"/>
  <c r="D2432" i="1"/>
  <c r="D2434" i="1"/>
  <c r="D2433" i="1"/>
  <c r="D1324" i="1"/>
  <c r="D1335" i="1"/>
  <c r="D1333" i="1"/>
  <c r="D1331" i="1"/>
  <c r="D1330" i="1"/>
  <c r="D1329" i="1"/>
  <c r="D1332" i="1"/>
  <c r="D1334" i="1"/>
  <c r="D1325" i="1"/>
  <c r="D1327" i="1"/>
  <c r="D1328" i="1"/>
  <c r="D1326" i="1"/>
  <c r="D1482" i="1"/>
  <c r="D1485" i="1"/>
  <c r="D1484" i="1"/>
  <c r="D1483" i="1"/>
  <c r="D1475" i="1"/>
  <c r="D1479" i="1"/>
  <c r="D1478" i="1"/>
  <c r="D1477" i="1"/>
  <c r="D1480" i="1"/>
  <c r="D1481" i="1"/>
  <c r="D1476" i="1"/>
  <c r="D1471" i="1"/>
  <c r="D1473" i="1"/>
  <c r="D1472" i="1"/>
  <c r="D1474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1284" i="1"/>
  <c r="D1285" i="1"/>
  <c r="D1286" i="1"/>
  <c r="D1287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311" i="1"/>
  <c r="D312" i="1"/>
  <c r="D313" i="1"/>
  <c r="D314" i="1"/>
  <c r="D315" i="1"/>
  <c r="D316" i="1"/>
  <c r="D317" i="1"/>
  <c r="D2864" i="1"/>
  <c r="D2112" i="1"/>
  <c r="D2117" i="1"/>
  <c r="D2115" i="1"/>
  <c r="D2114" i="1"/>
  <c r="D2113" i="1"/>
  <c r="D2116" i="1"/>
  <c r="D2118" i="1"/>
  <c r="D2582" i="1"/>
  <c r="D997" i="1"/>
  <c r="D998" i="1"/>
  <c r="D999" i="1"/>
  <c r="D1000" i="1"/>
  <c r="D2285" i="1"/>
  <c r="D1913" i="1"/>
  <c r="D1911" i="1"/>
  <c r="D2660" i="1"/>
  <c r="D2670" i="1"/>
  <c r="D1893" i="1"/>
  <c r="D1895" i="1"/>
  <c r="D1894" i="1"/>
  <c r="D1896" i="1"/>
  <c r="D1897" i="1"/>
  <c r="D2254" i="1"/>
  <c r="D2238" i="1"/>
  <c r="D2270" i="1"/>
  <c r="D2271" i="1"/>
  <c r="D2272" i="1"/>
  <c r="D2273" i="1"/>
  <c r="D2274" i="1"/>
  <c r="D2275" i="1"/>
  <c r="D2276" i="1"/>
  <c r="D2277" i="1"/>
  <c r="D2278" i="1"/>
  <c r="D2279" i="1"/>
  <c r="D2280" i="1"/>
  <c r="D2256" i="1"/>
  <c r="D2251" i="1"/>
  <c r="D2177" i="1"/>
  <c r="D2184" i="1"/>
  <c r="D2182" i="1"/>
  <c r="D2180" i="1"/>
  <c r="D2179" i="1"/>
  <c r="D2178" i="1"/>
  <c r="D2181" i="1"/>
  <c r="D2183" i="1"/>
  <c r="D2185" i="1"/>
  <c r="D2186" i="1"/>
  <c r="D2187" i="1"/>
  <c r="D2188" i="1"/>
  <c r="D2156" i="1"/>
  <c r="D2163" i="1"/>
  <c r="D2161" i="1"/>
  <c r="D2159" i="1"/>
  <c r="D2158" i="1"/>
  <c r="D2157" i="1"/>
  <c r="D2160" i="1"/>
  <c r="D2162" i="1"/>
  <c r="D2164" i="1"/>
  <c r="D2165" i="1"/>
  <c r="D2166" i="1"/>
  <c r="D2167" i="1"/>
  <c r="D2119" i="1"/>
  <c r="D2058" i="1"/>
  <c r="D2152" i="1"/>
  <c r="D2153" i="1"/>
  <c r="D2154" i="1"/>
  <c r="D2155" i="1"/>
  <c r="D2174" i="1"/>
  <c r="D2175" i="1"/>
  <c r="D2176" i="1"/>
  <c r="D2208" i="1"/>
  <c r="D2209" i="1"/>
  <c r="D2210" i="1"/>
  <c r="D2089" i="1"/>
  <c r="D2098" i="1"/>
  <c r="D2046" i="1"/>
  <c r="D2047" i="1"/>
  <c r="D2048" i="1"/>
  <c r="D2049" i="1"/>
  <c r="D2223" i="1"/>
  <c r="D2226" i="1"/>
  <c r="D2225" i="1"/>
  <c r="D2224" i="1"/>
  <c r="D2227" i="1"/>
  <c r="D2228" i="1"/>
  <c r="D2229" i="1"/>
  <c r="D2230" i="1"/>
  <c r="D2231" i="1"/>
  <c r="D2120" i="1"/>
  <c r="D2127" i="1"/>
  <c r="D2125" i="1"/>
  <c r="D2123" i="1"/>
  <c r="D2122" i="1"/>
  <c r="D2121" i="1"/>
  <c r="D2124" i="1"/>
  <c r="D2126" i="1"/>
  <c r="D2128" i="1"/>
  <c r="D2129" i="1"/>
  <c r="D2130" i="1"/>
  <c r="D2131" i="1"/>
  <c r="D2132" i="1"/>
  <c r="D2139" i="1"/>
  <c r="D2137" i="1"/>
  <c r="D2135" i="1"/>
  <c r="D2134" i="1"/>
  <c r="D2133" i="1"/>
  <c r="D2136" i="1"/>
  <c r="D2138" i="1"/>
  <c r="D2140" i="1"/>
  <c r="D2141" i="1"/>
  <c r="D2142" i="1"/>
  <c r="D2143" i="1"/>
  <c r="D2077" i="1"/>
  <c r="D2080" i="1"/>
  <c r="D2079" i="1"/>
  <c r="D2078" i="1"/>
  <c r="D566" i="1"/>
  <c r="D567" i="1"/>
  <c r="D568" i="1"/>
  <c r="D569" i="1"/>
  <c r="D570" i="1"/>
  <c r="D571" i="1"/>
  <c r="D572" i="1"/>
  <c r="D573" i="1"/>
  <c r="D2211" i="1"/>
  <c r="D2218" i="1"/>
  <c r="D2216" i="1"/>
  <c r="D2214" i="1"/>
  <c r="D2213" i="1"/>
  <c r="D2212" i="1"/>
  <c r="D2215" i="1"/>
  <c r="D2217" i="1"/>
  <c r="D2219" i="1"/>
  <c r="D2220" i="1"/>
  <c r="D2221" i="1"/>
  <c r="D2222" i="1"/>
  <c r="D346" i="1"/>
  <c r="D347" i="1"/>
  <c r="D348" i="1"/>
  <c r="D349" i="1"/>
  <c r="D350" i="1"/>
  <c r="D351" i="1"/>
  <c r="D352" i="1"/>
  <c r="D353" i="1"/>
  <c r="D354" i="1"/>
  <c r="D1513" i="1"/>
  <c r="D1519" i="1"/>
  <c r="D1518" i="1"/>
  <c r="D1516" i="1"/>
  <c r="D1515" i="1"/>
  <c r="D1514" i="1"/>
  <c r="D1517" i="1"/>
  <c r="D1659" i="1"/>
  <c r="D1666" i="1"/>
  <c r="D1664" i="1"/>
  <c r="D1662" i="1"/>
  <c r="D1661" i="1"/>
  <c r="D1660" i="1"/>
  <c r="D1663" i="1"/>
  <c r="D1665" i="1"/>
  <c r="D3082" i="1"/>
  <c r="D3089" i="1"/>
  <c r="D3087" i="1"/>
  <c r="D3085" i="1"/>
  <c r="D3084" i="1"/>
  <c r="D3083" i="1"/>
  <c r="D3086" i="1"/>
  <c r="D3088" i="1"/>
  <c r="D3078" i="1"/>
  <c r="D3079" i="1"/>
  <c r="D3080" i="1"/>
  <c r="D3081" i="1"/>
  <c r="D2669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2840" i="1"/>
  <c r="D432" i="1"/>
  <c r="D433" i="1"/>
  <c r="D434" i="1"/>
  <c r="D435" i="1"/>
  <c r="D2236" i="1"/>
  <c r="D1141" i="1"/>
  <c r="D1142" i="1"/>
  <c r="D1143" i="1"/>
  <c r="D1144" i="1"/>
  <c r="D3183" i="1"/>
  <c r="D3184" i="1"/>
  <c r="D3185" i="1"/>
  <c r="D1728" i="1"/>
  <c r="D1735" i="1"/>
  <c r="D1733" i="1"/>
  <c r="D1731" i="1"/>
  <c r="D1730" i="1"/>
  <c r="D1729" i="1"/>
  <c r="D1732" i="1"/>
  <c r="D1734" i="1"/>
  <c r="D3172" i="1"/>
  <c r="D3173" i="1"/>
  <c r="D3174" i="1"/>
  <c r="D3175" i="1"/>
  <c r="D3161" i="1"/>
  <c r="D3162" i="1"/>
  <c r="D3163" i="1"/>
  <c r="D2331" i="1"/>
  <c r="D1892" i="1"/>
  <c r="D777" i="1"/>
  <c r="D778" i="1"/>
  <c r="D779" i="1"/>
  <c r="D780" i="1"/>
  <c r="D781" i="1"/>
  <c r="D782" i="1"/>
  <c r="D783" i="1"/>
  <c r="D784" i="1"/>
  <c r="D785" i="1"/>
  <c r="D786" i="1"/>
  <c r="D3066" i="1"/>
  <c r="D3067" i="1"/>
  <c r="D3068" i="1"/>
  <c r="D3121" i="1"/>
  <c r="D3126" i="1"/>
  <c r="D3124" i="1"/>
  <c r="D3123" i="1"/>
  <c r="D3122" i="1"/>
  <c r="D3125" i="1"/>
  <c r="D3127" i="1"/>
  <c r="D1288" i="1"/>
  <c r="D1289" i="1"/>
  <c r="D1290" i="1"/>
  <c r="D1291" i="1"/>
  <c r="D3144" i="1"/>
  <c r="D3153" i="1"/>
  <c r="D3151" i="1"/>
  <c r="D3149" i="1"/>
  <c r="D3148" i="1"/>
  <c r="D3147" i="1"/>
  <c r="D3150" i="1"/>
  <c r="D3152" i="1"/>
  <c r="D3145" i="1"/>
  <c r="D3146" i="1"/>
  <c r="D2473" i="1"/>
  <c r="D2474" i="1"/>
  <c r="D1818" i="1"/>
  <c r="D1825" i="1"/>
  <c r="D1823" i="1"/>
  <c r="D1821" i="1"/>
  <c r="D1820" i="1"/>
  <c r="D1819" i="1"/>
  <c r="D1822" i="1"/>
  <c r="D1824" i="1"/>
  <c r="D1814" i="1"/>
  <c r="D1815" i="1"/>
  <c r="D1816" i="1"/>
  <c r="D1817" i="1"/>
  <c r="D773" i="1"/>
  <c r="D774" i="1"/>
  <c r="D775" i="1"/>
  <c r="D776" i="1"/>
  <c r="D1003" i="1"/>
  <c r="D1008" i="1"/>
  <c r="D1006" i="1"/>
  <c r="D1005" i="1"/>
  <c r="D1004" i="1"/>
  <c r="D1007" i="1"/>
  <c r="D1009" i="1"/>
  <c r="D726" i="1"/>
  <c r="D727" i="1"/>
  <c r="D728" i="1"/>
  <c r="D729" i="1"/>
  <c r="D730" i="1"/>
  <c r="D731" i="1"/>
  <c r="D732" i="1"/>
  <c r="D733" i="1"/>
  <c r="D2237" i="1"/>
  <c r="D2257" i="1"/>
  <c r="D1738" i="1"/>
  <c r="D1741" i="1"/>
  <c r="D1740" i="1"/>
  <c r="D1739" i="1"/>
  <c r="D1742" i="1"/>
  <c r="D1743" i="1"/>
  <c r="D342" i="1"/>
  <c r="D343" i="1"/>
  <c r="D344" i="1"/>
  <c r="D345" i="1"/>
  <c r="D330" i="1"/>
  <c r="D331" i="1"/>
  <c r="D332" i="1"/>
  <c r="D333" i="1"/>
  <c r="D2673" i="1"/>
  <c r="D3296" i="1"/>
  <c r="D3295" i="1"/>
  <c r="D303" i="1"/>
  <c r="D304" i="1"/>
  <c r="D305" i="1"/>
  <c r="D306" i="1"/>
  <c r="D1010" i="1"/>
  <c r="D1015" i="1"/>
  <c r="D1013" i="1"/>
  <c r="D1012" i="1"/>
  <c r="D1011" i="1"/>
  <c r="D1014" i="1"/>
  <c r="D1016" i="1"/>
  <c r="D2413" i="1"/>
  <c r="D2014" i="1"/>
  <c r="D2021" i="1"/>
  <c r="D2019" i="1"/>
  <c r="D2017" i="1"/>
  <c r="D2016" i="1"/>
  <c r="D2015" i="1"/>
  <c r="D2018" i="1"/>
  <c r="D2020" i="1"/>
  <c r="D2026" i="1"/>
  <c r="D2033" i="1"/>
  <c r="D2031" i="1"/>
  <c r="D2029" i="1"/>
  <c r="D2028" i="1"/>
  <c r="D2027" i="1"/>
  <c r="D2030" i="1"/>
  <c r="D2032" i="1"/>
  <c r="D2022" i="1"/>
  <c r="D2023" i="1"/>
  <c r="D2024" i="1"/>
  <c r="D2025" i="1"/>
  <c r="D2034" i="1"/>
  <c r="D2035" i="1"/>
  <c r="D2036" i="1"/>
  <c r="D2037" i="1"/>
  <c r="D2471" i="1"/>
  <c r="D2837" i="1"/>
  <c r="D1620" i="1"/>
  <c r="D1918" i="1"/>
  <c r="D1905" i="1"/>
  <c r="D1906" i="1"/>
  <c r="D1907" i="1"/>
  <c r="D38" i="1"/>
  <c r="D39" i="1"/>
  <c r="D40" i="1"/>
  <c r="D41" i="1"/>
  <c r="D2986" i="1"/>
  <c r="D942" i="1"/>
  <c r="D943" i="1"/>
  <c r="D944" i="1"/>
  <c r="D945" i="1"/>
  <c r="D946" i="1"/>
  <c r="D947" i="1"/>
  <c r="D948" i="1"/>
  <c r="D949" i="1"/>
  <c r="D2497" i="1"/>
  <c r="D2581" i="1"/>
  <c r="D2583" i="1"/>
  <c r="D2580" i="1"/>
  <c r="D621" i="1"/>
  <c r="D622" i="1"/>
  <c r="D623" i="1"/>
  <c r="D624" i="1"/>
  <c r="D625" i="1"/>
  <c r="D626" i="1"/>
  <c r="D627" i="1"/>
  <c r="D628" i="1"/>
  <c r="D629" i="1"/>
  <c r="D734" i="1"/>
  <c r="D735" i="1"/>
  <c r="D736" i="1"/>
  <c r="D737" i="1"/>
  <c r="D2664" i="1"/>
  <c r="D2663" i="1"/>
  <c r="D2665" i="1"/>
  <c r="D2667" i="1"/>
  <c r="D2858" i="1"/>
  <c r="D1887" i="1"/>
  <c r="D2873" i="1"/>
  <c r="D668" i="1"/>
  <c r="D669" i="1"/>
  <c r="D670" i="1"/>
  <c r="D671" i="1"/>
  <c r="D2733" i="1"/>
  <c r="D2734" i="1"/>
  <c r="D2735" i="1"/>
  <c r="D2736" i="1"/>
  <c r="D318" i="1"/>
  <c r="D319" i="1"/>
  <c r="D320" i="1"/>
  <c r="D321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307" i="1"/>
  <c r="D308" i="1"/>
  <c r="D309" i="1"/>
  <c r="D310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30" i="1"/>
  <c r="D631" i="1"/>
  <c r="D632" i="1"/>
  <c r="D633" i="1"/>
  <c r="D634" i="1"/>
  <c r="D635" i="1"/>
  <c r="D636" i="1"/>
  <c r="D637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78" i="1"/>
  <c r="D179" i="1"/>
  <c r="D180" i="1"/>
  <c r="D181" i="1"/>
  <c r="D182" i="1"/>
  <c r="D183" i="1"/>
  <c r="D184" i="1"/>
  <c r="D185" i="1"/>
  <c r="D1940" i="1"/>
  <c r="D1941" i="1"/>
  <c r="D1937" i="1"/>
  <c r="D1935" i="1"/>
  <c r="D1934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2997" i="1"/>
  <c r="D2998" i="1"/>
  <c r="D2999" i="1"/>
  <c r="D3000" i="1"/>
  <c r="D3001" i="1"/>
  <c r="D3002" i="1"/>
  <c r="D3003" i="1"/>
  <c r="D3004" i="1"/>
  <c r="D2649" i="1"/>
  <c r="D2900" i="1"/>
  <c r="D3239" i="1"/>
  <c r="D3246" i="1"/>
  <c r="D3244" i="1"/>
  <c r="D3242" i="1"/>
  <c r="D3241" i="1"/>
  <c r="D3240" i="1"/>
  <c r="D3243" i="1"/>
  <c r="D3245" i="1"/>
  <c r="D2681" i="1"/>
  <c r="D1899" i="1"/>
  <c r="D1901" i="1"/>
  <c r="D1900" i="1"/>
  <c r="D9" i="1"/>
  <c r="D2817" i="1"/>
  <c r="D2818" i="1"/>
  <c r="D2819" i="1"/>
  <c r="D2820" i="1"/>
  <c r="D2821" i="1"/>
  <c r="D2586" i="1"/>
  <c r="D2587" i="1"/>
  <c r="D2588" i="1"/>
  <c r="D2589" i="1"/>
  <c r="D2590" i="1"/>
  <c r="D2591" i="1"/>
  <c r="D2592" i="1"/>
  <c r="D2593" i="1"/>
  <c r="D2594" i="1"/>
  <c r="D2595" i="1"/>
  <c r="D2596" i="1"/>
  <c r="D2566" i="1"/>
  <c r="D2567" i="1"/>
  <c r="D2568" i="1"/>
  <c r="D2569" i="1"/>
  <c r="D2570" i="1"/>
  <c r="D2571" i="1"/>
  <c r="D2572" i="1"/>
  <c r="D2573" i="1"/>
  <c r="D2574" i="1"/>
  <c r="D2575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44" i="1"/>
  <c r="D2545" i="1"/>
  <c r="D2546" i="1"/>
  <c r="D2547" i="1"/>
  <c r="D2548" i="1"/>
  <c r="D2549" i="1"/>
  <c r="D2534" i="1"/>
  <c r="D2535" i="1"/>
  <c r="D2536" i="1"/>
  <c r="D2537" i="1"/>
  <c r="D2538" i="1"/>
  <c r="D2539" i="1"/>
  <c r="D2540" i="1"/>
  <c r="D2541" i="1"/>
  <c r="D2542" i="1"/>
  <c r="D2486" i="1"/>
  <c r="D2487" i="1"/>
  <c r="D2488" i="1"/>
  <c r="D2489" i="1"/>
  <c r="D2490" i="1"/>
  <c r="D2491" i="1"/>
  <c r="D2492" i="1"/>
  <c r="D2494" i="1"/>
  <c r="D2493" i="1"/>
  <c r="D2502" i="1"/>
  <c r="D2503" i="1"/>
  <c r="D2504" i="1"/>
  <c r="D2505" i="1"/>
  <c r="D2506" i="1"/>
  <c r="D2507" i="1"/>
  <c r="D2508" i="1"/>
  <c r="D2509" i="1"/>
  <c r="D2510" i="1"/>
  <c r="D2480" i="1"/>
  <c r="D2481" i="1"/>
  <c r="D2482" i="1"/>
  <c r="D2483" i="1"/>
  <c r="D2484" i="1"/>
  <c r="D2477" i="1"/>
  <c r="D2478" i="1"/>
  <c r="D2500" i="1"/>
  <c r="D2578" i="1"/>
  <c r="D2579" i="1"/>
  <c r="D2623" i="1"/>
  <c r="D2498" i="1"/>
  <c r="D2609" i="1"/>
  <c r="D2610" i="1"/>
  <c r="D2611" i="1"/>
  <c r="D2612" i="1"/>
  <c r="D2625" i="1"/>
  <c r="D2626" i="1"/>
  <c r="D2627" i="1"/>
  <c r="D2628" i="1"/>
  <c r="D2629" i="1"/>
  <c r="D2630" i="1"/>
  <c r="D2631" i="1"/>
  <c r="D2512" i="1"/>
  <c r="D2513" i="1"/>
  <c r="D2514" i="1"/>
  <c r="D2634" i="1"/>
  <c r="D2635" i="1"/>
  <c r="D2636" i="1"/>
  <c r="D2637" i="1"/>
  <c r="D2638" i="1"/>
  <c r="D2639" i="1"/>
  <c r="D2640" i="1"/>
  <c r="D2641" i="1"/>
  <c r="D2642" i="1"/>
  <c r="D2643" i="1"/>
  <c r="D102" i="1"/>
  <c r="D103" i="1"/>
  <c r="D104" i="1"/>
  <c r="D105" i="1"/>
  <c r="D436" i="1"/>
  <c r="D437" i="1"/>
  <c r="D438" i="1"/>
  <c r="D439" i="1"/>
  <c r="D233" i="1"/>
  <c r="D234" i="1"/>
  <c r="D235" i="1"/>
  <c r="D236" i="1"/>
  <c r="D165" i="1"/>
  <c r="D166" i="1"/>
  <c r="D167" i="1"/>
  <c r="D168" i="1"/>
  <c r="D3023" i="1"/>
  <c r="D34" i="1"/>
  <c r="D3014" i="1"/>
  <c r="D2397" i="1"/>
  <c r="D6" i="1"/>
  <c r="D8" i="1"/>
  <c r="D7" i="1"/>
  <c r="D2410" i="1"/>
  <c r="D2416" i="1"/>
  <c r="D2427" i="1"/>
  <c r="D2405" i="1"/>
  <c r="D2467" i="1"/>
  <c r="D2683" i="1"/>
  <c r="D2417" i="1"/>
  <c r="D2425" i="1"/>
  <c r="D2674" i="1"/>
  <c r="D2994" i="1"/>
  <c r="D264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3012" i="1"/>
  <c r="D3286" i="1"/>
  <c r="D3297" i="1"/>
  <c r="D2648" i="1"/>
  <c r="D1366" i="1"/>
  <c r="D1373" i="1"/>
  <c r="D1371" i="1"/>
  <c r="D1369" i="1"/>
  <c r="D1368" i="1"/>
  <c r="D1367" i="1"/>
  <c r="D1370" i="1"/>
  <c r="D1372" i="1"/>
  <c r="D1316" i="1"/>
  <c r="D1323" i="1"/>
  <c r="D1321" i="1"/>
  <c r="D1319" i="1"/>
  <c r="D1318" i="1"/>
  <c r="D1317" i="1"/>
  <c r="D1320" i="1"/>
  <c r="D1322" i="1"/>
  <c r="D1910" i="1"/>
  <c r="D2872" i="1"/>
  <c r="D2843" i="1"/>
  <c r="D2863" i="1"/>
  <c r="D2867" i="1"/>
  <c r="D2869" i="1"/>
  <c r="D2659" i="1"/>
  <c r="D2862" i="1"/>
  <c r="D2883" i="1"/>
  <c r="D2871" i="1"/>
  <c r="D2866" i="1"/>
  <c r="D2947" i="1"/>
  <c r="D2948" i="1"/>
  <c r="D2949" i="1"/>
  <c r="D1923" i="1"/>
  <c r="D1924" i="1"/>
  <c r="D1925" i="1"/>
  <c r="D1927" i="1"/>
  <c r="D1928" i="1"/>
  <c r="D1929" i="1"/>
  <c r="D1592" i="1"/>
  <c r="D1600" i="1"/>
  <c r="D1598" i="1"/>
  <c r="D1597" i="1"/>
  <c r="D1596" i="1"/>
  <c r="D1599" i="1"/>
  <c r="D1601" i="1"/>
  <c r="D1593" i="1"/>
  <c r="D1594" i="1"/>
  <c r="D1595" i="1"/>
  <c r="D1602" i="1"/>
  <c r="D1612" i="1"/>
  <c r="D1610" i="1"/>
  <c r="D1608" i="1"/>
  <c r="D1607" i="1"/>
  <c r="D1606" i="1"/>
  <c r="D1609" i="1"/>
  <c r="D1611" i="1"/>
  <c r="D1603" i="1"/>
  <c r="D1604" i="1"/>
  <c r="D1605" i="1"/>
  <c r="D28" i="1"/>
  <c r="D29" i="1"/>
  <c r="D30" i="1"/>
  <c r="D31" i="1"/>
  <c r="D32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23" i="1"/>
  <c r="D24" i="1"/>
  <c r="D27" i="1"/>
  <c r="D1585" i="1"/>
  <c r="D1589" i="1"/>
  <c r="D1588" i="1"/>
  <c r="D1587" i="1"/>
  <c r="D1590" i="1"/>
  <c r="D1591" i="1"/>
  <c r="D1586" i="1"/>
  <c r="D1770" i="1"/>
  <c r="D1777" i="1"/>
  <c r="D1775" i="1"/>
  <c r="D1773" i="1"/>
  <c r="D1772" i="1"/>
  <c r="D1771" i="1"/>
  <c r="D1774" i="1"/>
  <c r="D1776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3010" i="1"/>
  <c r="D2903" i="1"/>
  <c r="D2910" i="1"/>
  <c r="D2908" i="1"/>
  <c r="D2906" i="1"/>
  <c r="D2905" i="1"/>
  <c r="D2904" i="1"/>
  <c r="D2907" i="1"/>
  <c r="D2909" i="1"/>
  <c r="D2911" i="1"/>
  <c r="D2918" i="1"/>
  <c r="D2916" i="1"/>
  <c r="D2914" i="1"/>
  <c r="D2913" i="1"/>
  <c r="D2912" i="1"/>
  <c r="D2915" i="1"/>
  <c r="D2917" i="1"/>
  <c r="D2927" i="1"/>
  <c r="D2934" i="1"/>
  <c r="D2932" i="1"/>
  <c r="D2930" i="1"/>
  <c r="D2929" i="1"/>
  <c r="D2928" i="1"/>
  <c r="D2931" i="1"/>
  <c r="D2933" i="1"/>
  <c r="D2919" i="1"/>
  <c r="D2926" i="1"/>
  <c r="D2924" i="1"/>
  <c r="D2922" i="1"/>
  <c r="D2921" i="1"/>
  <c r="D2920" i="1"/>
  <c r="D2923" i="1"/>
  <c r="D2925" i="1"/>
  <c r="D2965" i="1"/>
  <c r="D2448" i="1"/>
  <c r="D2451" i="1"/>
  <c r="D2450" i="1"/>
  <c r="D2449" i="1"/>
  <c r="D2452" i="1"/>
  <c r="D2455" i="1"/>
  <c r="D2454" i="1"/>
  <c r="D2453" i="1"/>
  <c r="D410" i="1"/>
  <c r="D411" i="1"/>
  <c r="D412" i="1"/>
  <c r="D413" i="1"/>
  <c r="D414" i="1"/>
  <c r="D415" i="1"/>
  <c r="D416" i="1"/>
  <c r="D417" i="1"/>
  <c r="D41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58" i="1"/>
  <c r="D59" i="1"/>
  <c r="D60" i="1"/>
  <c r="D61" i="1"/>
  <c r="D25" i="1"/>
  <c r="D1395" i="1"/>
  <c r="D1402" i="1"/>
  <c r="D1400" i="1"/>
  <c r="D1398" i="1"/>
  <c r="D1397" i="1"/>
  <c r="D1396" i="1"/>
  <c r="D1399" i="1"/>
  <c r="D1401" i="1"/>
  <c r="D1403" i="1"/>
  <c r="D1406" i="1"/>
  <c r="D1410" i="1"/>
  <c r="D1408" i="1"/>
  <c r="D1405" i="1"/>
  <c r="D1404" i="1"/>
  <c r="D1407" i="1"/>
  <c r="D1409" i="1"/>
  <c r="D3282" i="1"/>
  <c r="D26" i="1"/>
  <c r="D2347" i="1"/>
  <c r="D2348" i="1"/>
  <c r="D2349" i="1"/>
  <c r="D2350" i="1"/>
  <c r="D2351" i="1"/>
  <c r="D2352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2868" i="1"/>
  <c r="D2652" i="1"/>
  <c r="D2059" i="1"/>
  <c r="D2067" i="1"/>
  <c r="D2065" i="1"/>
  <c r="D2063" i="1"/>
  <c r="D2062" i="1"/>
  <c r="D2061" i="1"/>
  <c r="D2064" i="1"/>
  <c r="D2066" i="1"/>
  <c r="D2060" i="1"/>
  <c r="D1758" i="1"/>
  <c r="D1769" i="1"/>
  <c r="D1767" i="1"/>
  <c r="D1765" i="1"/>
  <c r="D1764" i="1"/>
  <c r="D1763" i="1"/>
  <c r="D1766" i="1"/>
  <c r="D1768" i="1"/>
  <c r="D1759" i="1"/>
  <c r="D1761" i="1"/>
  <c r="D1762" i="1"/>
  <c r="D1760" i="1"/>
  <c r="D2068" i="1"/>
  <c r="D2076" i="1"/>
  <c r="D2074" i="1"/>
  <c r="D2072" i="1"/>
  <c r="D2071" i="1"/>
  <c r="D2070" i="1"/>
  <c r="D2073" i="1"/>
  <c r="D2075" i="1"/>
  <c r="D2069" i="1"/>
  <c r="D2952" i="1"/>
  <c r="D2953" i="1"/>
  <c r="D1645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2313" i="1"/>
  <c r="D2314" i="1"/>
  <c r="D2315" i="1"/>
  <c r="D3299" i="1"/>
  <c r="D2990" i="1"/>
  <c r="D1450" i="1"/>
  <c r="D1461" i="1"/>
  <c r="D1459" i="1"/>
  <c r="D1457" i="1"/>
  <c r="D1456" i="1"/>
  <c r="D1455" i="1"/>
  <c r="D1458" i="1"/>
  <c r="D1460" i="1"/>
  <c r="D1451" i="1"/>
  <c r="D1453" i="1"/>
  <c r="D1454" i="1"/>
  <c r="D1452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355" i="1"/>
  <c r="D356" i="1"/>
  <c r="D357" i="1"/>
  <c r="D358" i="1"/>
  <c r="D199" i="1"/>
  <c r="D200" i="1"/>
  <c r="D201" i="1"/>
  <c r="D202" i="1"/>
  <c r="D203" i="1"/>
  <c r="D204" i="1"/>
  <c r="D205" i="1"/>
  <c r="D206" i="1"/>
  <c r="D207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208" i="1"/>
  <c r="D209" i="1"/>
  <c r="D210" i="1"/>
  <c r="D211" i="1"/>
  <c r="D212" i="1"/>
  <c r="D213" i="1"/>
  <c r="D214" i="1"/>
  <c r="D215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1908" i="1"/>
  <c r="D3193" i="1"/>
  <c r="D3204" i="1"/>
  <c r="D3202" i="1"/>
  <c r="D3200" i="1"/>
  <c r="D3199" i="1"/>
  <c r="D3198" i="1"/>
  <c r="D3201" i="1"/>
  <c r="D3203" i="1"/>
  <c r="D3194" i="1"/>
  <c r="D3196" i="1"/>
  <c r="D3197" i="1"/>
  <c r="D3195" i="1"/>
  <c r="D3016" i="1"/>
  <c r="D3017" i="1"/>
  <c r="D3018" i="1"/>
  <c r="D3019" i="1"/>
  <c r="D3020" i="1"/>
  <c r="D3021" i="1"/>
  <c r="D2316" i="1"/>
  <c r="D2318" i="1"/>
  <c r="D2317" i="1"/>
  <c r="D2319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1843" i="1"/>
  <c r="D2856" i="1"/>
  <c r="H2608" i="1" l="1"/>
  <c r="H2602" i="1" s="1"/>
  <c r="H2585" i="1"/>
  <c r="H2624" i="1"/>
  <c r="H2617" i="1" s="1"/>
  <c r="H2515" i="1"/>
  <c r="F2856" i="1"/>
  <c r="F2597" i="1"/>
  <c r="F2598" i="1"/>
  <c r="F2599" i="1"/>
  <c r="F3310" i="1" l="1"/>
  <c r="F3308" i="1"/>
  <c r="F3306" i="1"/>
  <c r="F3305" i="1"/>
  <c r="F3304" i="1"/>
  <c r="F3307" i="1"/>
  <c r="F3309" i="1"/>
  <c r="F3303" i="1"/>
  <c r="F3333" i="1"/>
  <c r="F3343" i="1"/>
  <c r="F3341" i="1"/>
  <c r="F3339" i="1"/>
  <c r="F3338" i="1"/>
  <c r="F3337" i="1"/>
  <c r="F3340" i="1"/>
  <c r="F3342" i="1"/>
  <c r="F3334" i="1"/>
  <c r="F3335" i="1"/>
  <c r="F3336" i="1"/>
  <c r="F42" i="1"/>
  <c r="F43" i="1"/>
  <c r="F44" i="1"/>
  <c r="F45" i="1"/>
  <c r="F46" i="1"/>
  <c r="F47" i="1"/>
  <c r="F48" i="1"/>
  <c r="F49" i="1"/>
  <c r="F50" i="1"/>
  <c r="F248" i="1"/>
  <c r="F249" i="1"/>
  <c r="F250" i="1"/>
  <c r="F251" i="1"/>
  <c r="F252" i="1"/>
  <c r="F253" i="1"/>
  <c r="F254" i="1"/>
  <c r="F255" i="1"/>
  <c r="F256" i="1"/>
  <c r="F258" i="1"/>
  <c r="F259" i="1"/>
  <c r="F260" i="1"/>
  <c r="F262" i="1"/>
  <c r="F263" i="1"/>
  <c r="F264" i="1"/>
  <c r="F266" i="1"/>
  <c r="F267" i="1"/>
  <c r="F268" i="1"/>
  <c r="F300" i="1"/>
  <c r="F301" i="1"/>
  <c r="F302" i="1"/>
  <c r="F751" i="1"/>
  <c r="F752" i="1"/>
  <c r="F753" i="1"/>
  <c r="F754" i="1"/>
  <c r="F755" i="1"/>
  <c r="F756" i="1"/>
  <c r="F757" i="1"/>
  <c r="F758" i="1"/>
  <c r="F759" i="1"/>
  <c r="F761" i="1"/>
  <c r="F762" i="1"/>
  <c r="F763" i="1"/>
  <c r="F3273" i="1"/>
  <c r="F534" i="1"/>
  <c r="F535" i="1"/>
  <c r="F536" i="1"/>
  <c r="F537" i="1"/>
  <c r="F538" i="1"/>
  <c r="F539" i="1"/>
  <c r="F540" i="1"/>
  <c r="F541" i="1"/>
  <c r="F542" i="1"/>
  <c r="F560" i="1"/>
  <c r="F561" i="1"/>
  <c r="F562" i="1"/>
  <c r="F564" i="1"/>
  <c r="F565" i="1"/>
  <c r="F544" i="1"/>
  <c r="F545" i="1"/>
  <c r="F546" i="1"/>
  <c r="F548" i="1"/>
  <c r="F549" i="1"/>
  <c r="F269" i="1"/>
  <c r="F270" i="1"/>
  <c r="F271" i="1"/>
  <c r="F272" i="1"/>
  <c r="F273" i="1"/>
  <c r="F274" i="1"/>
  <c r="F275" i="1"/>
  <c r="F276" i="1"/>
  <c r="F277" i="1"/>
  <c r="F279" i="1"/>
  <c r="F280" i="1"/>
  <c r="F281" i="1"/>
  <c r="F283" i="1"/>
  <c r="F284" i="1"/>
  <c r="F285" i="1"/>
  <c r="F287" i="1"/>
  <c r="F288" i="1"/>
  <c r="F289" i="1"/>
  <c r="F124" i="1"/>
  <c r="F125" i="1"/>
  <c r="F126" i="1"/>
  <c r="F2780" i="1"/>
  <c r="F2781" i="1"/>
  <c r="F2782" i="1"/>
  <c r="F1199" i="1"/>
  <c r="F1193" i="1"/>
  <c r="F1194" i="1"/>
  <c r="F1195" i="1"/>
  <c r="F1196" i="1"/>
  <c r="F1197" i="1"/>
  <c r="F1198" i="1"/>
  <c r="F1201" i="1"/>
  <c r="F1202" i="1"/>
  <c r="F1203" i="1"/>
  <c r="F3224" i="1"/>
  <c r="F3231" i="1"/>
  <c r="F3229" i="1"/>
  <c r="F3227" i="1"/>
  <c r="F3226" i="1"/>
  <c r="F3225" i="1"/>
  <c r="F3228" i="1"/>
  <c r="F3230" i="1"/>
  <c r="F3215" i="1"/>
  <c r="F3222" i="1"/>
  <c r="F3220" i="1"/>
  <c r="F3218" i="1"/>
  <c r="F3217" i="1"/>
  <c r="F3216" i="1"/>
  <c r="F3219" i="1"/>
  <c r="F3221" i="1"/>
  <c r="F501" i="1"/>
  <c r="F502" i="1"/>
  <c r="F503" i="1"/>
  <c r="F504" i="1"/>
  <c r="F505" i="1"/>
  <c r="F506" i="1"/>
  <c r="F507" i="1"/>
  <c r="F508" i="1"/>
  <c r="F509" i="1"/>
  <c r="F511" i="1"/>
  <c r="F512" i="1"/>
  <c r="F513" i="1"/>
  <c r="F515" i="1"/>
  <c r="F516" i="1"/>
  <c r="F517" i="1"/>
  <c r="F519" i="1"/>
  <c r="F520" i="1"/>
  <c r="F521" i="1"/>
  <c r="F461" i="1"/>
  <c r="F462" i="1"/>
  <c r="F463" i="1"/>
  <c r="F464" i="1"/>
  <c r="F465" i="1"/>
  <c r="F466" i="1"/>
  <c r="F467" i="1"/>
  <c r="F468" i="1"/>
  <c r="F469" i="1"/>
  <c r="F471" i="1"/>
  <c r="F472" i="1"/>
  <c r="F473" i="1"/>
  <c r="F475" i="1"/>
  <c r="F476" i="1"/>
  <c r="F477" i="1"/>
  <c r="F479" i="1"/>
  <c r="F480" i="1"/>
  <c r="F481" i="1"/>
  <c r="F407" i="1"/>
  <c r="F408" i="1"/>
  <c r="F409" i="1"/>
  <c r="F491" i="1"/>
  <c r="F492" i="1"/>
  <c r="F493" i="1"/>
  <c r="F495" i="1"/>
  <c r="F496" i="1"/>
  <c r="F497" i="1"/>
  <c r="F499" i="1"/>
  <c r="F500" i="1"/>
  <c r="F1750" i="1"/>
  <c r="F1751" i="1"/>
  <c r="F1752" i="1"/>
  <c r="F1753" i="1"/>
  <c r="F1754" i="1"/>
  <c r="F1755" i="1"/>
  <c r="F1756" i="1"/>
  <c r="F2309" i="1"/>
  <c r="F2311" i="1"/>
  <c r="F2310" i="1"/>
  <c r="F2312" i="1"/>
  <c r="F2320" i="1"/>
  <c r="F2322" i="1"/>
  <c r="F2321" i="1"/>
  <c r="F2323" i="1"/>
  <c r="F3311" i="1"/>
  <c r="F3320" i="1"/>
  <c r="F3318" i="1"/>
  <c r="F3316" i="1"/>
  <c r="F3315" i="1"/>
  <c r="F3314" i="1"/>
  <c r="F3317" i="1"/>
  <c r="F3319" i="1"/>
  <c r="F3313" i="1"/>
  <c r="F3312" i="1"/>
  <c r="F2340" i="1"/>
  <c r="F1363" i="1"/>
  <c r="F1364" i="1"/>
  <c r="F1365" i="1"/>
  <c r="F20" i="1"/>
  <c r="F1914" i="1"/>
  <c r="F1916" i="1"/>
  <c r="F2430" i="1"/>
  <c r="F403" i="1"/>
  <c r="F404" i="1"/>
  <c r="F405" i="1"/>
  <c r="F1644" i="1"/>
  <c r="F1643" i="1"/>
  <c r="F1631" i="1"/>
  <c r="F1632" i="1"/>
  <c r="F1633" i="1"/>
  <c r="F1634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2874" i="1"/>
  <c r="F1677" i="1"/>
  <c r="F1683" i="1"/>
  <c r="F1685" i="1"/>
  <c r="F1678" i="1"/>
  <c r="F1679" i="1"/>
  <c r="F1686" i="1"/>
  <c r="F1684" i="1"/>
  <c r="F1682" i="1"/>
  <c r="F1681" i="1"/>
  <c r="F1680" i="1"/>
  <c r="F1001" i="1"/>
  <c r="F2233" i="1"/>
  <c r="F322" i="1"/>
  <c r="F323" i="1"/>
  <c r="F324" i="1"/>
  <c r="F325" i="1"/>
  <c r="F326" i="1"/>
  <c r="F327" i="1"/>
  <c r="F328" i="1"/>
  <c r="F329" i="1"/>
  <c r="F334" i="1"/>
  <c r="F335" i="1"/>
  <c r="F336" i="1"/>
  <c r="F337" i="1"/>
  <c r="F338" i="1"/>
  <c r="F339" i="1"/>
  <c r="F340" i="1"/>
  <c r="F341" i="1"/>
  <c r="F2255" i="1"/>
  <c r="F2732" i="1"/>
  <c r="F2724" i="1"/>
  <c r="F2725" i="1"/>
  <c r="F2726" i="1"/>
  <c r="F2727" i="1"/>
  <c r="F2728" i="1"/>
  <c r="F2729" i="1"/>
  <c r="F2730" i="1"/>
  <c r="F2731" i="1"/>
  <c r="F3267" i="1"/>
  <c r="F3268" i="1"/>
  <c r="F2424" i="1"/>
  <c r="F1520" i="1"/>
  <c r="F1528" i="1"/>
  <c r="F1526" i="1"/>
  <c r="F1524" i="1"/>
  <c r="F1523" i="1"/>
  <c r="F1522" i="1"/>
  <c r="F1525" i="1"/>
  <c r="F1527" i="1"/>
  <c r="F1521" i="1"/>
  <c r="F2831" i="1"/>
  <c r="F1945" i="1"/>
  <c r="F1779" i="1"/>
  <c r="F1786" i="1"/>
  <c r="F1784" i="1"/>
  <c r="F1782" i="1"/>
  <c r="F1781" i="1"/>
  <c r="F1780" i="1"/>
  <c r="F1783" i="1"/>
  <c r="F1785" i="1"/>
  <c r="F1806" i="1"/>
  <c r="F1813" i="1"/>
  <c r="F1811" i="1"/>
  <c r="F1809" i="1"/>
  <c r="F1808" i="1"/>
  <c r="F1807" i="1"/>
  <c r="F1810" i="1"/>
  <c r="F1812" i="1"/>
  <c r="F1530" i="1"/>
  <c r="F1531" i="1"/>
  <c r="F1532" i="1"/>
  <c r="F1533" i="1"/>
  <c r="F1544" i="1"/>
  <c r="F1542" i="1"/>
  <c r="F1540" i="1"/>
  <c r="F1539" i="1"/>
  <c r="F1538" i="1"/>
  <c r="F1541" i="1"/>
  <c r="F1543" i="1"/>
  <c r="F1534" i="1"/>
  <c r="F1536" i="1"/>
  <c r="F1537" i="1"/>
  <c r="F1535" i="1"/>
  <c r="F1212" i="1"/>
  <c r="F1213" i="1"/>
  <c r="F1214" i="1"/>
  <c r="F1204" i="1"/>
  <c r="F1205" i="1"/>
  <c r="F1206" i="1"/>
  <c r="F1207" i="1"/>
  <c r="F1208" i="1"/>
  <c r="F1209" i="1"/>
  <c r="F1210" i="1"/>
  <c r="F2418" i="1"/>
  <c r="F2419" i="1"/>
  <c r="F2408" i="1"/>
  <c r="F2423" i="1"/>
  <c r="F2406" i="1"/>
  <c r="F2426" i="1"/>
  <c r="F2375" i="1"/>
  <c r="F2415" i="1"/>
  <c r="F2" i="1"/>
  <c r="F3" i="1"/>
  <c r="F3290" i="1"/>
  <c r="F3291" i="1"/>
  <c r="F3293" i="1"/>
  <c r="F3289" i="1"/>
  <c r="F2378" i="1"/>
  <c r="F2383" i="1"/>
  <c r="F2388" i="1"/>
  <c r="F2005" i="1"/>
  <c r="F2007" i="1"/>
  <c r="F2006" i="1"/>
  <c r="F37" i="1"/>
  <c r="F973" i="1"/>
  <c r="F974" i="1"/>
  <c r="F975" i="1"/>
  <c r="F976" i="1"/>
  <c r="F977" i="1"/>
  <c r="F978" i="1"/>
  <c r="F979" i="1"/>
  <c r="F980" i="1"/>
  <c r="F994" i="1"/>
  <c r="F995" i="1"/>
  <c r="F996" i="1"/>
  <c r="F982" i="1"/>
  <c r="F983" i="1"/>
  <c r="F984" i="1"/>
  <c r="F3271" i="1"/>
  <c r="F2381" i="1"/>
  <c r="F2382" i="1"/>
  <c r="F2393" i="1"/>
  <c r="F2394" i="1"/>
  <c r="F2391" i="1"/>
  <c r="F2387" i="1"/>
  <c r="F522" i="1"/>
  <c r="F523" i="1"/>
  <c r="F524" i="1"/>
  <c r="F525" i="1"/>
  <c r="F526" i="1"/>
  <c r="F527" i="1"/>
  <c r="F528" i="1"/>
  <c r="F529" i="1"/>
  <c r="F531" i="1"/>
  <c r="F532" i="1"/>
  <c r="F533" i="1"/>
  <c r="F2684" i="1"/>
  <c r="F4" i="1"/>
  <c r="F2386" i="1"/>
  <c r="F2390" i="1"/>
  <c r="F2389" i="1"/>
  <c r="F2392" i="1"/>
  <c r="F2379" i="1"/>
  <c r="F2380" i="1"/>
  <c r="F237" i="1"/>
  <c r="F238" i="1"/>
  <c r="F239" i="1"/>
  <c r="F240" i="1"/>
  <c r="F241" i="1"/>
  <c r="F242" i="1"/>
  <c r="F243" i="1"/>
  <c r="F245" i="1"/>
  <c r="F246" i="1"/>
  <c r="F247" i="1"/>
  <c r="F893" i="1"/>
  <c r="F894" i="1"/>
  <c r="F895" i="1"/>
  <c r="F896" i="1"/>
  <c r="F2885" i="1"/>
  <c r="F2886" i="1"/>
  <c r="F2887" i="1"/>
  <c r="F2888" i="1"/>
  <c r="F1621" i="1"/>
  <c r="F1627" i="1"/>
  <c r="F1618" i="1"/>
  <c r="F1462" i="1"/>
  <c r="F1465" i="1"/>
  <c r="F1464" i="1"/>
  <c r="F1463" i="1"/>
  <c r="F1466" i="1"/>
  <c r="F1467" i="1"/>
  <c r="F1032" i="1"/>
  <c r="F1033" i="1"/>
  <c r="F1034" i="1"/>
  <c r="F1035" i="1"/>
  <c r="F1036" i="1"/>
  <c r="F1037" i="1"/>
  <c r="F1038" i="1"/>
  <c r="F1040" i="1"/>
  <c r="F1041" i="1"/>
  <c r="F1042" i="1"/>
  <c r="F1054" i="1"/>
  <c r="F1055" i="1"/>
  <c r="F1056" i="1"/>
  <c r="F1057" i="1"/>
  <c r="F1058" i="1"/>
  <c r="F1059" i="1"/>
  <c r="F1060" i="1"/>
  <c r="F1062" i="1"/>
  <c r="F1063" i="1"/>
  <c r="F1064" i="1"/>
  <c r="F1066" i="1"/>
  <c r="F1067" i="1"/>
  <c r="F1068" i="1"/>
  <c r="F1069" i="1"/>
  <c r="F1070" i="1"/>
  <c r="F1071" i="1"/>
  <c r="F1073" i="1"/>
  <c r="F1074" i="1"/>
  <c r="F1075" i="1"/>
  <c r="F1043" i="1"/>
  <c r="F1044" i="1"/>
  <c r="F1045" i="1"/>
  <c r="F1046" i="1"/>
  <c r="F1047" i="1"/>
  <c r="F1048" i="1"/>
  <c r="F1049" i="1"/>
  <c r="F1051" i="1"/>
  <c r="F1052" i="1"/>
  <c r="F1053" i="1"/>
  <c r="F1216" i="1"/>
  <c r="F1217" i="1"/>
  <c r="F1218" i="1"/>
  <c r="F1145" i="1"/>
  <c r="F1146" i="1"/>
  <c r="F1147" i="1"/>
  <c r="F1148" i="1"/>
  <c r="F1149" i="1"/>
  <c r="F1150" i="1"/>
  <c r="F1151" i="1"/>
  <c r="F1153" i="1"/>
  <c r="F1154" i="1"/>
  <c r="F1155" i="1"/>
  <c r="F1646" i="1"/>
  <c r="F1647" i="1"/>
  <c r="F1648" i="1"/>
  <c r="F1649" i="1"/>
  <c r="F2428" i="1"/>
  <c r="F2992" i="1"/>
  <c r="F3006" i="1"/>
  <c r="F2702" i="1"/>
  <c r="F2709" i="1"/>
  <c r="F2707" i="1"/>
  <c r="F2705" i="1"/>
  <c r="F2704" i="1"/>
  <c r="F2703" i="1"/>
  <c r="F2706" i="1"/>
  <c r="F2708" i="1"/>
  <c r="F2693" i="1"/>
  <c r="F2701" i="1"/>
  <c r="F2699" i="1"/>
  <c r="F2697" i="1"/>
  <c r="F2696" i="1"/>
  <c r="F2695" i="1"/>
  <c r="F2698" i="1"/>
  <c r="F2700" i="1"/>
  <c r="F2694" i="1"/>
  <c r="F1995" i="1"/>
  <c r="F3035" i="1"/>
  <c r="F3044" i="1"/>
  <c r="F3042" i="1"/>
  <c r="F3040" i="1"/>
  <c r="F3039" i="1"/>
  <c r="F3038" i="1"/>
  <c r="F3041" i="1"/>
  <c r="F3043" i="1"/>
  <c r="F3036" i="1"/>
  <c r="F3037" i="1"/>
  <c r="F715" i="1"/>
  <c r="F716" i="1"/>
  <c r="F717" i="1"/>
  <c r="F718" i="1"/>
  <c r="F719" i="1"/>
  <c r="F720" i="1"/>
  <c r="F721" i="1"/>
  <c r="F723" i="1"/>
  <c r="F724" i="1"/>
  <c r="F725" i="1"/>
  <c r="F2855" i="1"/>
  <c r="F2854" i="1"/>
  <c r="F2901" i="1"/>
  <c r="F3046" i="1"/>
  <c r="F3052" i="1"/>
  <c r="F3050" i="1"/>
  <c r="F3049" i="1"/>
  <c r="F3048" i="1"/>
  <c r="F3051" i="1"/>
  <c r="F3053" i="1"/>
  <c r="F3047" i="1"/>
  <c r="F3026" i="1"/>
  <c r="F3034" i="1"/>
  <c r="F3032" i="1"/>
  <c r="F3030" i="1"/>
  <c r="F3029" i="1"/>
  <c r="F3028" i="1"/>
  <c r="F3031" i="1"/>
  <c r="F3033" i="1"/>
  <c r="F3027" i="1"/>
  <c r="F3136" i="1"/>
  <c r="F3143" i="1"/>
  <c r="F3141" i="1"/>
  <c r="F3139" i="1"/>
  <c r="F3138" i="1"/>
  <c r="F3137" i="1"/>
  <c r="F3140" i="1"/>
  <c r="F3142" i="1"/>
  <c r="F3128" i="1"/>
  <c r="F3135" i="1"/>
  <c r="F3133" i="1"/>
  <c r="F3131" i="1"/>
  <c r="F3130" i="1"/>
  <c r="F3129" i="1"/>
  <c r="F3132" i="1"/>
  <c r="F3134" i="1"/>
  <c r="F3045" i="1"/>
  <c r="F419" i="1"/>
  <c r="F420" i="1"/>
  <c r="F421" i="1"/>
  <c r="F422" i="1"/>
  <c r="F423" i="1"/>
  <c r="F424" i="1"/>
  <c r="F425" i="1"/>
  <c r="F426" i="1"/>
  <c r="F427" i="1"/>
  <c r="F429" i="1"/>
  <c r="F430" i="1"/>
  <c r="F431" i="1"/>
  <c r="F2445" i="1"/>
  <c r="F2050" i="1"/>
  <c r="F2057" i="1"/>
  <c r="F2055" i="1"/>
  <c r="F2053" i="1"/>
  <c r="F2052" i="1"/>
  <c r="F2051" i="1"/>
  <c r="F2054" i="1"/>
  <c r="F2056" i="1"/>
  <c r="F1235" i="1"/>
  <c r="F1236" i="1"/>
  <c r="F1237" i="1"/>
  <c r="F2434" i="1"/>
  <c r="F2433" i="1"/>
  <c r="F1324" i="1"/>
  <c r="F1335" i="1"/>
  <c r="F1333" i="1"/>
  <c r="F1331" i="1"/>
  <c r="F1330" i="1"/>
  <c r="F1329" i="1"/>
  <c r="F1332" i="1"/>
  <c r="F1334" i="1"/>
  <c r="F1325" i="1"/>
  <c r="F1327" i="1"/>
  <c r="F1328" i="1"/>
  <c r="F1326" i="1"/>
  <c r="F1482" i="1"/>
  <c r="F1485" i="1"/>
  <c r="F1484" i="1"/>
  <c r="F1483" i="1"/>
  <c r="F1475" i="1"/>
  <c r="F1479" i="1"/>
  <c r="F1478" i="1"/>
  <c r="F1477" i="1"/>
  <c r="F1480" i="1"/>
  <c r="F1481" i="1"/>
  <c r="F1476" i="1"/>
  <c r="F1471" i="1"/>
  <c r="F1473" i="1"/>
  <c r="F1472" i="1"/>
  <c r="F1474" i="1"/>
  <c r="F702" i="1"/>
  <c r="F703" i="1"/>
  <c r="F704" i="1"/>
  <c r="F705" i="1"/>
  <c r="F706" i="1"/>
  <c r="F707" i="1"/>
  <c r="F708" i="1"/>
  <c r="F709" i="1"/>
  <c r="F710" i="1"/>
  <c r="F712" i="1"/>
  <c r="F713" i="1"/>
  <c r="F714" i="1"/>
  <c r="F1285" i="1"/>
  <c r="F1286" i="1"/>
  <c r="F1287" i="1"/>
  <c r="F589" i="1"/>
  <c r="F590" i="1"/>
  <c r="F591" i="1"/>
  <c r="F592" i="1"/>
  <c r="F593" i="1"/>
  <c r="F594" i="1"/>
  <c r="F595" i="1"/>
  <c r="F596" i="1"/>
  <c r="F597" i="1"/>
  <c r="F599" i="1"/>
  <c r="F600" i="1"/>
  <c r="F601" i="1"/>
  <c r="F311" i="1"/>
  <c r="F312" i="1"/>
  <c r="F313" i="1"/>
  <c r="F314" i="1"/>
  <c r="F315" i="1"/>
  <c r="F316" i="1"/>
  <c r="F317" i="1"/>
  <c r="F2864" i="1"/>
  <c r="F2112" i="1"/>
  <c r="F2117" i="1"/>
  <c r="F2115" i="1"/>
  <c r="F2114" i="1"/>
  <c r="F2113" i="1"/>
  <c r="F2116" i="1"/>
  <c r="F2118" i="1"/>
  <c r="F2582" i="1"/>
  <c r="F998" i="1"/>
  <c r="F999" i="1"/>
  <c r="F1000" i="1"/>
  <c r="F2285" i="1"/>
  <c r="F1913" i="1"/>
  <c r="F1911" i="1"/>
  <c r="F2660" i="1"/>
  <c r="F2670" i="1"/>
  <c r="F1893" i="1"/>
  <c r="F1895" i="1"/>
  <c r="F1894" i="1"/>
  <c r="F1896" i="1"/>
  <c r="F1897" i="1"/>
  <c r="F2254" i="1"/>
  <c r="F2238" i="1"/>
  <c r="F2270" i="1"/>
  <c r="F2271" i="1"/>
  <c r="F2272" i="1"/>
  <c r="F2273" i="1"/>
  <c r="F2274" i="1"/>
  <c r="F2275" i="1"/>
  <c r="F2276" i="1"/>
  <c r="F2277" i="1"/>
  <c r="F2278" i="1"/>
  <c r="F2279" i="1"/>
  <c r="F2280" i="1"/>
  <c r="F2256" i="1"/>
  <c r="F2251" i="1"/>
  <c r="F2177" i="1"/>
  <c r="F2184" i="1"/>
  <c r="F2182" i="1"/>
  <c r="F2180" i="1"/>
  <c r="F2179" i="1"/>
  <c r="F2178" i="1"/>
  <c r="F2181" i="1"/>
  <c r="F2183" i="1"/>
  <c r="F2186" i="1"/>
  <c r="F2187" i="1"/>
  <c r="F2188" i="1"/>
  <c r="F2156" i="1"/>
  <c r="F2163" i="1"/>
  <c r="F2161" i="1"/>
  <c r="F2159" i="1"/>
  <c r="F2158" i="1"/>
  <c r="F2157" i="1"/>
  <c r="F2160" i="1"/>
  <c r="F2162" i="1"/>
  <c r="F2165" i="1"/>
  <c r="F2166" i="1"/>
  <c r="F2167" i="1"/>
  <c r="F2153" i="1"/>
  <c r="F2154" i="1"/>
  <c r="F2155" i="1"/>
  <c r="F2175" i="1"/>
  <c r="F2176" i="1"/>
  <c r="F2209" i="1"/>
  <c r="F2210" i="1"/>
  <c r="F2047" i="1"/>
  <c r="F2048" i="1"/>
  <c r="F2049" i="1"/>
  <c r="F2223" i="1"/>
  <c r="F2226" i="1"/>
  <c r="F2225" i="1"/>
  <c r="F2224" i="1"/>
  <c r="F2227" i="1"/>
  <c r="F2229" i="1"/>
  <c r="F2230" i="1"/>
  <c r="F2231" i="1"/>
  <c r="F2120" i="1"/>
  <c r="F2127" i="1"/>
  <c r="F2125" i="1"/>
  <c r="F2123" i="1"/>
  <c r="F2122" i="1"/>
  <c r="F2121" i="1"/>
  <c r="F2124" i="1"/>
  <c r="F2126" i="1"/>
  <c r="F2129" i="1"/>
  <c r="F2130" i="1"/>
  <c r="F2131" i="1"/>
  <c r="F2132" i="1"/>
  <c r="F2139" i="1"/>
  <c r="F2137" i="1"/>
  <c r="F2135" i="1"/>
  <c r="F2134" i="1"/>
  <c r="F2133" i="1"/>
  <c r="F2136" i="1"/>
  <c r="F2138" i="1"/>
  <c r="F2141" i="1"/>
  <c r="F2142" i="1"/>
  <c r="F2143" i="1"/>
  <c r="F2077" i="1"/>
  <c r="F2080" i="1"/>
  <c r="F2079" i="1"/>
  <c r="F2078" i="1"/>
  <c r="F566" i="1"/>
  <c r="F567" i="1"/>
  <c r="F568" i="1"/>
  <c r="F569" i="1"/>
  <c r="F570" i="1"/>
  <c r="F571" i="1"/>
  <c r="F572" i="1"/>
  <c r="F573" i="1"/>
  <c r="F2211" i="1"/>
  <c r="F2218" i="1"/>
  <c r="F2216" i="1"/>
  <c r="F2214" i="1"/>
  <c r="F2213" i="1"/>
  <c r="F2212" i="1"/>
  <c r="F2215" i="1"/>
  <c r="F2217" i="1"/>
  <c r="F2220" i="1"/>
  <c r="F2221" i="1"/>
  <c r="F2222" i="1"/>
  <c r="F346" i="1"/>
  <c r="F347" i="1"/>
  <c r="F348" i="1"/>
  <c r="F349" i="1"/>
  <c r="F350" i="1"/>
  <c r="F351" i="1"/>
  <c r="F352" i="1"/>
  <c r="F353" i="1"/>
  <c r="F354" i="1"/>
  <c r="F1513" i="1"/>
  <c r="F1519" i="1"/>
  <c r="F1518" i="1"/>
  <c r="F1516" i="1"/>
  <c r="F1515" i="1"/>
  <c r="F1514" i="1"/>
  <c r="F1517" i="1"/>
  <c r="F1659" i="1"/>
  <c r="F1666" i="1"/>
  <c r="F1664" i="1"/>
  <c r="F1662" i="1"/>
  <c r="F1661" i="1"/>
  <c r="F1660" i="1"/>
  <c r="F1663" i="1"/>
  <c r="F1665" i="1"/>
  <c r="F3082" i="1"/>
  <c r="F3089" i="1"/>
  <c r="F3087" i="1"/>
  <c r="F3085" i="1"/>
  <c r="F3084" i="1"/>
  <c r="F3083" i="1"/>
  <c r="F3086" i="1"/>
  <c r="F3088" i="1"/>
  <c r="F3079" i="1"/>
  <c r="F3080" i="1"/>
  <c r="F3081" i="1"/>
  <c r="F2669" i="1"/>
  <c r="F1017" i="1"/>
  <c r="F1018" i="1"/>
  <c r="F1019" i="1"/>
  <c r="F1020" i="1"/>
  <c r="F1021" i="1"/>
  <c r="F1022" i="1"/>
  <c r="F1023" i="1"/>
  <c r="F1025" i="1"/>
  <c r="F1026" i="1"/>
  <c r="F1027" i="1"/>
  <c r="F1029" i="1"/>
  <c r="F1030" i="1"/>
  <c r="F1031" i="1"/>
  <c r="F2840" i="1"/>
  <c r="F433" i="1"/>
  <c r="F434" i="1"/>
  <c r="F435" i="1"/>
  <c r="F2236" i="1"/>
  <c r="F1142" i="1"/>
  <c r="F1143" i="1"/>
  <c r="F1144" i="1"/>
  <c r="F3184" i="1"/>
  <c r="F3185" i="1"/>
  <c r="F1728" i="1"/>
  <c r="F1735" i="1"/>
  <c r="F1733" i="1"/>
  <c r="F1731" i="1"/>
  <c r="F1730" i="1"/>
  <c r="F1729" i="1"/>
  <c r="F1732" i="1"/>
  <c r="F1734" i="1"/>
  <c r="F3173" i="1"/>
  <c r="F3174" i="1"/>
  <c r="F3175" i="1"/>
  <c r="F3162" i="1"/>
  <c r="F3163" i="1"/>
  <c r="F2331" i="1"/>
  <c r="F1892" i="1"/>
  <c r="F777" i="1"/>
  <c r="F778" i="1"/>
  <c r="F779" i="1"/>
  <c r="F780" i="1"/>
  <c r="F781" i="1"/>
  <c r="F782" i="1"/>
  <c r="F783" i="1"/>
  <c r="F784" i="1"/>
  <c r="F785" i="1"/>
  <c r="F786" i="1"/>
  <c r="F3067" i="1"/>
  <c r="F3068" i="1"/>
  <c r="F3121" i="1"/>
  <c r="F3126" i="1"/>
  <c r="F3124" i="1"/>
  <c r="F3123" i="1"/>
  <c r="F3122" i="1"/>
  <c r="F3125" i="1"/>
  <c r="F3127" i="1"/>
  <c r="F1288" i="1"/>
  <c r="F1289" i="1"/>
  <c r="F1290" i="1"/>
  <c r="F1291" i="1"/>
  <c r="F3144" i="1"/>
  <c r="F3153" i="1"/>
  <c r="F3151" i="1"/>
  <c r="F3149" i="1"/>
  <c r="F3148" i="1"/>
  <c r="F3147" i="1"/>
  <c r="F3150" i="1"/>
  <c r="F3152" i="1"/>
  <c r="F3145" i="1"/>
  <c r="F3146" i="1"/>
  <c r="F2472" i="1"/>
  <c r="F2473" i="1"/>
  <c r="F2474" i="1"/>
  <c r="F1818" i="1"/>
  <c r="F1825" i="1"/>
  <c r="F1823" i="1"/>
  <c r="F1821" i="1"/>
  <c r="F1820" i="1"/>
  <c r="F1819" i="1"/>
  <c r="F1822" i="1"/>
  <c r="F1824" i="1"/>
  <c r="F1815" i="1"/>
  <c r="F1816" i="1"/>
  <c r="F1817" i="1"/>
  <c r="F774" i="1"/>
  <c r="F775" i="1"/>
  <c r="F776" i="1"/>
  <c r="F1003" i="1"/>
  <c r="F1008" i="1"/>
  <c r="F1006" i="1"/>
  <c r="F1005" i="1"/>
  <c r="F1004" i="1"/>
  <c r="F1007" i="1"/>
  <c r="F1009" i="1"/>
  <c r="F726" i="1"/>
  <c r="F727" i="1"/>
  <c r="F728" i="1"/>
  <c r="F729" i="1"/>
  <c r="F730" i="1"/>
  <c r="F731" i="1"/>
  <c r="F732" i="1"/>
  <c r="F733" i="1"/>
  <c r="F2237" i="1"/>
  <c r="F2257" i="1"/>
  <c r="F1738" i="1"/>
  <c r="F1741" i="1"/>
  <c r="F1740" i="1"/>
  <c r="F1739" i="1"/>
  <c r="F1742" i="1"/>
  <c r="F1743" i="1"/>
  <c r="F343" i="1"/>
  <c r="F344" i="1"/>
  <c r="F345" i="1"/>
  <c r="F331" i="1"/>
  <c r="F332" i="1"/>
  <c r="F333" i="1"/>
  <c r="F2673" i="1"/>
  <c r="F3296" i="1"/>
  <c r="F3295" i="1"/>
  <c r="F304" i="1"/>
  <c r="F305" i="1"/>
  <c r="F306" i="1"/>
  <c r="F1010" i="1"/>
  <c r="F1015" i="1"/>
  <c r="F1013" i="1"/>
  <c r="F1012" i="1"/>
  <c r="F1011" i="1"/>
  <c r="F1014" i="1"/>
  <c r="F1016" i="1"/>
  <c r="F2413" i="1"/>
  <c r="F2014" i="1"/>
  <c r="F2021" i="1"/>
  <c r="F2019" i="1"/>
  <c r="F2017" i="1"/>
  <c r="F2016" i="1"/>
  <c r="F2015" i="1"/>
  <c r="F2018" i="1"/>
  <c r="F2020" i="1"/>
  <c r="F2026" i="1"/>
  <c r="F2033" i="1"/>
  <c r="F2031" i="1"/>
  <c r="F2029" i="1"/>
  <c r="F2028" i="1"/>
  <c r="F2027" i="1"/>
  <c r="F2030" i="1"/>
  <c r="F2032" i="1"/>
  <c r="F2023" i="1"/>
  <c r="F2024" i="1"/>
  <c r="F2025" i="1"/>
  <c r="F2035" i="1"/>
  <c r="F2036" i="1"/>
  <c r="F2037" i="1"/>
  <c r="F2471" i="1"/>
  <c r="F2837" i="1"/>
  <c r="F1620" i="1"/>
  <c r="F1918" i="1"/>
  <c r="F1904" i="1"/>
  <c r="F1905" i="1"/>
  <c r="F1906" i="1"/>
  <c r="F1907" i="1"/>
  <c r="F38" i="1"/>
  <c r="F39" i="1"/>
  <c r="F40" i="1"/>
  <c r="F41" i="1"/>
  <c r="F2986" i="1"/>
  <c r="F942" i="1"/>
  <c r="F943" i="1"/>
  <c r="F944" i="1"/>
  <c r="F945" i="1"/>
  <c r="F946" i="1"/>
  <c r="F947" i="1"/>
  <c r="F948" i="1"/>
  <c r="F949" i="1"/>
  <c r="F2497" i="1"/>
  <c r="F2581" i="1"/>
  <c r="F2583" i="1"/>
  <c r="F2580" i="1"/>
  <c r="F621" i="1"/>
  <c r="F622" i="1"/>
  <c r="F623" i="1"/>
  <c r="F624" i="1"/>
  <c r="F625" i="1"/>
  <c r="F626" i="1"/>
  <c r="F627" i="1"/>
  <c r="F628" i="1"/>
  <c r="F629" i="1"/>
  <c r="F735" i="1"/>
  <c r="F736" i="1"/>
  <c r="F737" i="1"/>
  <c r="F2664" i="1"/>
  <c r="F2663" i="1"/>
  <c r="F2665" i="1"/>
  <c r="F2667" i="1"/>
  <c r="F2858" i="1"/>
  <c r="F1887" i="1"/>
  <c r="F2873" i="1"/>
  <c r="F669" i="1"/>
  <c r="F670" i="1"/>
  <c r="F671" i="1"/>
  <c r="F2734" i="1"/>
  <c r="F2735" i="1"/>
  <c r="F2736" i="1"/>
  <c r="F319" i="1"/>
  <c r="F320" i="1"/>
  <c r="F321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308" i="1"/>
  <c r="F309" i="1"/>
  <c r="F310" i="1"/>
  <c r="F604" i="1"/>
  <c r="F605" i="1"/>
  <c r="F606" i="1"/>
  <c r="F607" i="1"/>
  <c r="F608" i="1"/>
  <c r="F609" i="1"/>
  <c r="F610" i="1"/>
  <c r="F611" i="1"/>
  <c r="F612" i="1"/>
  <c r="F614" i="1"/>
  <c r="F615" i="1"/>
  <c r="F616" i="1"/>
  <c r="F618" i="1"/>
  <c r="F619" i="1"/>
  <c r="F620" i="1"/>
  <c r="F631" i="1"/>
  <c r="F632" i="1"/>
  <c r="F633" i="1"/>
  <c r="F635" i="1"/>
  <c r="F636" i="1"/>
  <c r="F637" i="1"/>
  <c r="F127" i="1"/>
  <c r="F128" i="1"/>
  <c r="F129" i="1"/>
  <c r="F130" i="1"/>
  <c r="F131" i="1"/>
  <c r="F132" i="1"/>
  <c r="F133" i="1"/>
  <c r="F134" i="1"/>
  <c r="F135" i="1"/>
  <c r="F137" i="1"/>
  <c r="F138" i="1"/>
  <c r="F139" i="1"/>
  <c r="F141" i="1"/>
  <c r="F142" i="1"/>
  <c r="F143" i="1"/>
  <c r="F145" i="1"/>
  <c r="F146" i="1"/>
  <c r="F147" i="1"/>
  <c r="F179" i="1"/>
  <c r="F180" i="1"/>
  <c r="F181" i="1"/>
  <c r="F183" i="1"/>
  <c r="F184" i="1"/>
  <c r="F185" i="1"/>
  <c r="F1940" i="1"/>
  <c r="F1941" i="1"/>
  <c r="F1937" i="1"/>
  <c r="F1935" i="1"/>
  <c r="F1934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2996" i="1"/>
  <c r="F2997" i="1"/>
  <c r="F2998" i="1"/>
  <c r="F2999" i="1"/>
  <c r="F3000" i="1"/>
  <c r="F3001" i="1"/>
  <c r="F3002" i="1"/>
  <c r="F3003" i="1"/>
  <c r="F3004" i="1"/>
  <c r="F2649" i="1"/>
  <c r="F2900" i="1"/>
  <c r="F3239" i="1"/>
  <c r="F3246" i="1"/>
  <c r="F3244" i="1"/>
  <c r="F3242" i="1"/>
  <c r="F3241" i="1"/>
  <c r="F3240" i="1"/>
  <c r="F3243" i="1"/>
  <c r="F3245" i="1"/>
  <c r="F2681" i="1"/>
  <c r="F1898" i="1"/>
  <c r="F1899" i="1"/>
  <c r="F1901" i="1"/>
  <c r="F1900" i="1"/>
  <c r="F9" i="1"/>
  <c r="F2817" i="1"/>
  <c r="F2818" i="1"/>
  <c r="F2819" i="1"/>
  <c r="F2820" i="1"/>
  <c r="F2821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65" i="1"/>
  <c r="F2566" i="1"/>
  <c r="F2567" i="1"/>
  <c r="F2568" i="1"/>
  <c r="F2569" i="1"/>
  <c r="F2570" i="1"/>
  <c r="F2571" i="1"/>
  <c r="F2572" i="1"/>
  <c r="F2573" i="1"/>
  <c r="F2574" i="1"/>
  <c r="F2575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43" i="1"/>
  <c r="F2544" i="1"/>
  <c r="F2545" i="1"/>
  <c r="F2546" i="1"/>
  <c r="F2547" i="1"/>
  <c r="F2548" i="1"/>
  <c r="F2549" i="1"/>
  <c r="F2533" i="1"/>
  <c r="F2534" i="1"/>
  <c r="F2535" i="1"/>
  <c r="F2536" i="1"/>
  <c r="F2537" i="1"/>
  <c r="F2538" i="1"/>
  <c r="F2539" i="1"/>
  <c r="F2540" i="1"/>
  <c r="F2541" i="1"/>
  <c r="F2542" i="1"/>
  <c r="F2485" i="1"/>
  <c r="F2486" i="1"/>
  <c r="F2487" i="1"/>
  <c r="F2488" i="1"/>
  <c r="F2489" i="1"/>
  <c r="F2490" i="1"/>
  <c r="F2491" i="1"/>
  <c r="F2492" i="1"/>
  <c r="F2494" i="1"/>
  <c r="F2493" i="1"/>
  <c r="F2501" i="1"/>
  <c r="F2502" i="1"/>
  <c r="F2503" i="1"/>
  <c r="F2504" i="1"/>
  <c r="F2505" i="1"/>
  <c r="F2506" i="1"/>
  <c r="F2507" i="1"/>
  <c r="F2508" i="1"/>
  <c r="F2509" i="1"/>
  <c r="F2510" i="1"/>
  <c r="F2479" i="1"/>
  <c r="F2480" i="1"/>
  <c r="F2481" i="1"/>
  <c r="F2482" i="1"/>
  <c r="F2483" i="1"/>
  <c r="F2484" i="1"/>
  <c r="F2476" i="1"/>
  <c r="F2477" i="1"/>
  <c r="F2478" i="1"/>
  <c r="F2500" i="1"/>
  <c r="F2577" i="1"/>
  <c r="F2578" i="1"/>
  <c r="F2579" i="1"/>
  <c r="F2623" i="1"/>
  <c r="F2498" i="1"/>
  <c r="F2608" i="1"/>
  <c r="F2609" i="1"/>
  <c r="F2610" i="1"/>
  <c r="F2611" i="1"/>
  <c r="F2612" i="1"/>
  <c r="F2624" i="1"/>
  <c r="F2625" i="1"/>
  <c r="F2626" i="1"/>
  <c r="F2627" i="1"/>
  <c r="F2628" i="1"/>
  <c r="F2629" i="1"/>
  <c r="F2630" i="1"/>
  <c r="F2631" i="1"/>
  <c r="F2511" i="1"/>
  <c r="F2512" i="1"/>
  <c r="F2513" i="1"/>
  <c r="F2514" i="1"/>
  <c r="F2633" i="1"/>
  <c r="F2634" i="1"/>
  <c r="F2635" i="1"/>
  <c r="F2636" i="1"/>
  <c r="F2637" i="1"/>
  <c r="F2638" i="1"/>
  <c r="F2639" i="1"/>
  <c r="F2640" i="1"/>
  <c r="F2641" i="1"/>
  <c r="F2642" i="1"/>
  <c r="F2643" i="1"/>
  <c r="F103" i="1"/>
  <c r="F104" i="1"/>
  <c r="F105" i="1"/>
  <c r="F437" i="1"/>
  <c r="F438" i="1"/>
  <c r="F439" i="1"/>
  <c r="F234" i="1"/>
  <c r="F235" i="1"/>
  <c r="F236" i="1"/>
  <c r="F166" i="1"/>
  <c r="F167" i="1"/>
  <c r="F168" i="1"/>
  <c r="F3023" i="1"/>
  <c r="F34" i="1"/>
  <c r="F3014" i="1"/>
  <c r="F2397" i="1"/>
  <c r="F5" i="1"/>
  <c r="F6" i="1"/>
  <c r="F8" i="1"/>
  <c r="F7" i="1"/>
  <c r="F2410" i="1"/>
  <c r="F2416" i="1"/>
  <c r="F2427" i="1"/>
  <c r="F2405" i="1"/>
  <c r="F2467" i="1"/>
  <c r="F2683" i="1"/>
  <c r="F2417" i="1"/>
  <c r="F2425" i="1"/>
  <c r="F2674" i="1"/>
  <c r="F2994" i="1"/>
  <c r="F264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3012" i="1"/>
  <c r="F3286" i="1"/>
  <c r="F3297" i="1"/>
  <c r="F2648" i="1"/>
  <c r="F1366" i="1"/>
  <c r="F1373" i="1"/>
  <c r="F1371" i="1"/>
  <c r="F1369" i="1"/>
  <c r="F1368" i="1"/>
  <c r="F1367" i="1"/>
  <c r="F1370" i="1"/>
  <c r="F1372" i="1"/>
  <c r="F1316" i="1"/>
  <c r="F1323" i="1"/>
  <c r="F1321" i="1"/>
  <c r="F1319" i="1"/>
  <c r="F1318" i="1"/>
  <c r="F1317" i="1"/>
  <c r="F1320" i="1"/>
  <c r="F1322" i="1"/>
  <c r="F1910" i="1"/>
  <c r="F2872" i="1"/>
  <c r="F2843" i="1"/>
  <c r="F2863" i="1"/>
  <c r="F2867" i="1"/>
  <c r="F2869" i="1"/>
  <c r="F2659" i="1"/>
  <c r="F2862" i="1"/>
  <c r="F2883" i="1"/>
  <c r="F2871" i="1"/>
  <c r="F2866" i="1"/>
  <c r="F2947" i="1"/>
  <c r="F2948" i="1"/>
  <c r="F2949" i="1"/>
  <c r="F1922" i="1"/>
  <c r="F1923" i="1"/>
  <c r="F1924" i="1"/>
  <c r="F1925" i="1"/>
  <c r="F1926" i="1"/>
  <c r="F1927" i="1"/>
  <c r="F1928" i="1"/>
  <c r="F1929" i="1"/>
  <c r="F1592" i="1"/>
  <c r="F1600" i="1"/>
  <c r="F1598" i="1"/>
  <c r="F1597" i="1"/>
  <c r="F1596" i="1"/>
  <c r="F1599" i="1"/>
  <c r="F1601" i="1"/>
  <c r="F1593" i="1"/>
  <c r="F1594" i="1"/>
  <c r="F1595" i="1"/>
  <c r="F1602" i="1"/>
  <c r="F1612" i="1"/>
  <c r="F1610" i="1"/>
  <c r="F1608" i="1"/>
  <c r="F1607" i="1"/>
  <c r="F1606" i="1"/>
  <c r="F1609" i="1"/>
  <c r="F1611" i="1"/>
  <c r="F1603" i="1"/>
  <c r="F1604" i="1"/>
  <c r="F1605" i="1"/>
  <c r="F28" i="1"/>
  <c r="F29" i="1"/>
  <c r="F30" i="1"/>
  <c r="F31" i="1"/>
  <c r="F32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23" i="1"/>
  <c r="F24" i="1"/>
  <c r="F27" i="1"/>
  <c r="F1585" i="1"/>
  <c r="F1589" i="1"/>
  <c r="F1588" i="1"/>
  <c r="F1587" i="1"/>
  <c r="F1590" i="1"/>
  <c r="F1591" i="1"/>
  <c r="F1586" i="1"/>
  <c r="F1770" i="1"/>
  <c r="F1777" i="1"/>
  <c r="F1775" i="1"/>
  <c r="F1773" i="1"/>
  <c r="F1772" i="1"/>
  <c r="F1771" i="1"/>
  <c r="F1774" i="1"/>
  <c r="F1776" i="1"/>
  <c r="F2711" i="1"/>
  <c r="F2712" i="1"/>
  <c r="F2713" i="1"/>
  <c r="F2714" i="1"/>
  <c r="F2715" i="1"/>
  <c r="F2716" i="1"/>
  <c r="F2717" i="1"/>
  <c r="F2718" i="1"/>
  <c r="F2719" i="1"/>
  <c r="F2721" i="1"/>
  <c r="F2722" i="1"/>
  <c r="F2723" i="1"/>
  <c r="F3010" i="1"/>
  <c r="F2903" i="1"/>
  <c r="F2910" i="1"/>
  <c r="F2908" i="1"/>
  <c r="F2906" i="1"/>
  <c r="F2905" i="1"/>
  <c r="F2904" i="1"/>
  <c r="F2907" i="1"/>
  <c r="F2909" i="1"/>
  <c r="F2911" i="1"/>
  <c r="F2918" i="1"/>
  <c r="F2916" i="1"/>
  <c r="F2914" i="1"/>
  <c r="F2913" i="1"/>
  <c r="F2912" i="1"/>
  <c r="F2915" i="1"/>
  <c r="F2917" i="1"/>
  <c r="F2927" i="1"/>
  <c r="F2934" i="1"/>
  <c r="F2932" i="1"/>
  <c r="F2930" i="1"/>
  <c r="F2929" i="1"/>
  <c r="F2928" i="1"/>
  <c r="F2931" i="1"/>
  <c r="F2933" i="1"/>
  <c r="F2919" i="1"/>
  <c r="F2926" i="1"/>
  <c r="F2924" i="1"/>
  <c r="F2922" i="1"/>
  <c r="F2921" i="1"/>
  <c r="F2920" i="1"/>
  <c r="F2923" i="1"/>
  <c r="F2925" i="1"/>
  <c r="F2965" i="1"/>
  <c r="F2448" i="1"/>
  <c r="F2451" i="1"/>
  <c r="F2450" i="1"/>
  <c r="F2449" i="1"/>
  <c r="F2452" i="1"/>
  <c r="F2455" i="1"/>
  <c r="F2454" i="1"/>
  <c r="F2453" i="1"/>
  <c r="F411" i="1"/>
  <c r="F412" i="1"/>
  <c r="F413" i="1"/>
  <c r="F414" i="1"/>
  <c r="F415" i="1"/>
  <c r="F416" i="1"/>
  <c r="F417" i="1"/>
  <c r="F41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58" i="1"/>
  <c r="F59" i="1"/>
  <c r="F60" i="1"/>
  <c r="F61" i="1"/>
  <c r="F25" i="1"/>
  <c r="F1395" i="1"/>
  <c r="F1402" i="1"/>
  <c r="F1400" i="1"/>
  <c r="F1398" i="1"/>
  <c r="F1397" i="1"/>
  <c r="F1396" i="1"/>
  <c r="F1399" i="1"/>
  <c r="F1401" i="1"/>
  <c r="F1403" i="1"/>
  <c r="F1406" i="1"/>
  <c r="F1410" i="1"/>
  <c r="F1408" i="1"/>
  <c r="F1405" i="1"/>
  <c r="F1404" i="1"/>
  <c r="F1407" i="1"/>
  <c r="F1409" i="1"/>
  <c r="F3282" i="1"/>
  <c r="F26" i="1"/>
  <c r="F2347" i="1"/>
  <c r="F2348" i="1"/>
  <c r="F2349" i="1"/>
  <c r="F2350" i="1"/>
  <c r="F2351" i="1"/>
  <c r="F2352" i="1"/>
  <c r="F1247" i="1"/>
  <c r="F1248" i="1"/>
  <c r="F1249" i="1"/>
  <c r="F1250" i="1"/>
  <c r="F1251" i="1"/>
  <c r="F1252" i="1"/>
  <c r="F1253" i="1"/>
  <c r="F1255" i="1"/>
  <c r="F1256" i="1"/>
  <c r="F1257" i="1"/>
  <c r="F1259" i="1"/>
  <c r="F1260" i="1"/>
  <c r="F1261" i="1"/>
  <c r="F2868" i="1"/>
  <c r="F2652" i="1"/>
  <c r="F2059" i="1"/>
  <c r="F2067" i="1"/>
  <c r="F2065" i="1"/>
  <c r="F2063" i="1"/>
  <c r="F2062" i="1"/>
  <c r="F2061" i="1"/>
  <c r="F2064" i="1"/>
  <c r="F2066" i="1"/>
  <c r="F2060" i="1"/>
  <c r="F1758" i="1"/>
  <c r="F1769" i="1"/>
  <c r="F1767" i="1"/>
  <c r="F1765" i="1"/>
  <c r="F1764" i="1"/>
  <c r="F1763" i="1"/>
  <c r="F1766" i="1"/>
  <c r="F1768" i="1"/>
  <c r="F1759" i="1"/>
  <c r="F1761" i="1"/>
  <c r="F1762" i="1"/>
  <c r="F1760" i="1"/>
  <c r="F2068" i="1"/>
  <c r="F2076" i="1"/>
  <c r="F2074" i="1"/>
  <c r="F2072" i="1"/>
  <c r="F2071" i="1"/>
  <c r="F2070" i="1"/>
  <c r="F2073" i="1"/>
  <c r="F2075" i="1"/>
  <c r="F2069" i="1"/>
  <c r="F2952" i="1"/>
  <c r="F2953" i="1"/>
  <c r="F1645" i="1"/>
  <c r="F672" i="1"/>
  <c r="F673" i="1"/>
  <c r="F674" i="1"/>
  <c r="F675" i="1"/>
  <c r="F676" i="1"/>
  <c r="F677" i="1"/>
  <c r="F678" i="1"/>
  <c r="F679" i="1"/>
  <c r="F680" i="1"/>
  <c r="F682" i="1"/>
  <c r="F683" i="1"/>
  <c r="F684" i="1"/>
  <c r="F2313" i="1"/>
  <c r="F2314" i="1"/>
  <c r="F2315" i="1"/>
  <c r="F3299" i="1"/>
  <c r="F2990" i="1"/>
  <c r="F1450" i="1"/>
  <c r="F1461" i="1"/>
  <c r="F1459" i="1"/>
  <c r="F1457" i="1"/>
  <c r="F1456" i="1"/>
  <c r="F1455" i="1"/>
  <c r="F1458" i="1"/>
  <c r="F1460" i="1"/>
  <c r="F1451" i="1"/>
  <c r="F1453" i="1"/>
  <c r="F1454" i="1"/>
  <c r="F1452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356" i="1"/>
  <c r="F357" i="1"/>
  <c r="F358" i="1"/>
  <c r="F199" i="1"/>
  <c r="F200" i="1"/>
  <c r="F201" i="1"/>
  <c r="F202" i="1"/>
  <c r="F203" i="1"/>
  <c r="F204" i="1"/>
  <c r="F205" i="1"/>
  <c r="F206" i="1"/>
  <c r="F207" i="1"/>
  <c r="F186" i="1"/>
  <c r="F187" i="1"/>
  <c r="F188" i="1"/>
  <c r="F189" i="1"/>
  <c r="F190" i="1"/>
  <c r="F191" i="1"/>
  <c r="F192" i="1"/>
  <c r="F193" i="1"/>
  <c r="F194" i="1"/>
  <c r="F196" i="1"/>
  <c r="F197" i="1"/>
  <c r="F198" i="1"/>
  <c r="F209" i="1"/>
  <c r="F210" i="1"/>
  <c r="F211" i="1"/>
  <c r="F213" i="1"/>
  <c r="F214" i="1"/>
  <c r="F215" i="1"/>
  <c r="F440" i="1"/>
  <c r="F441" i="1"/>
  <c r="F442" i="1"/>
  <c r="F443" i="1"/>
  <c r="F444" i="1"/>
  <c r="F445" i="1"/>
  <c r="F446" i="1"/>
  <c r="F447" i="1"/>
  <c r="F448" i="1"/>
  <c r="F450" i="1"/>
  <c r="F451" i="1"/>
  <c r="F452" i="1"/>
  <c r="F454" i="1"/>
  <c r="F455" i="1"/>
  <c r="F456" i="1"/>
  <c r="F458" i="1"/>
  <c r="F459" i="1"/>
  <c r="F460" i="1"/>
  <c r="F380" i="1"/>
  <c r="F381" i="1"/>
  <c r="F382" i="1"/>
  <c r="F383" i="1"/>
  <c r="F384" i="1"/>
  <c r="F385" i="1"/>
  <c r="F386" i="1"/>
  <c r="F387" i="1"/>
  <c r="F388" i="1"/>
  <c r="F390" i="1"/>
  <c r="F391" i="1"/>
  <c r="F392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3193" i="1"/>
  <c r="F3204" i="1"/>
  <c r="F3202" i="1"/>
  <c r="F3200" i="1"/>
  <c r="F3199" i="1"/>
  <c r="F3198" i="1"/>
  <c r="F3201" i="1"/>
  <c r="F3203" i="1"/>
  <c r="F3194" i="1"/>
  <c r="F3196" i="1"/>
  <c r="F3197" i="1"/>
  <c r="F3195" i="1"/>
  <c r="F3015" i="1"/>
  <c r="F3016" i="1"/>
  <c r="F3017" i="1"/>
  <c r="F3018" i="1"/>
  <c r="F3019" i="1"/>
  <c r="F3020" i="1"/>
  <c r="F3021" i="1"/>
  <c r="F2316" i="1"/>
  <c r="F2318" i="1"/>
  <c r="F2317" i="1"/>
  <c r="F2319" i="1"/>
  <c r="F738" i="1"/>
  <c r="F739" i="1"/>
  <c r="F740" i="1"/>
  <c r="F741" i="1"/>
  <c r="F742" i="1"/>
  <c r="F743" i="1"/>
  <c r="F744" i="1"/>
  <c r="F745" i="1"/>
  <c r="F746" i="1"/>
  <c r="F748" i="1"/>
  <c r="F749" i="1"/>
  <c r="F750" i="1"/>
  <c r="F1843" i="1"/>
  <c r="F2600" i="1"/>
  <c r="F2601" i="1"/>
  <c r="F2008" i="1"/>
  <c r="F2011" i="1"/>
  <c r="F1619" i="1"/>
  <c r="F1374" i="1"/>
  <c r="F1381" i="1"/>
  <c r="F1379" i="1"/>
  <c r="F1377" i="1"/>
  <c r="F1376" i="1"/>
  <c r="F1375" i="1"/>
  <c r="F1378" i="1"/>
  <c r="F1380" i="1"/>
  <c r="F2889" i="1"/>
  <c r="F2890" i="1"/>
  <c r="F2891" i="1"/>
  <c r="F2844" i="1"/>
  <c r="F2845" i="1"/>
  <c r="F2846" i="1"/>
  <c r="F2847" i="1"/>
  <c r="F3409" i="1"/>
  <c r="F3420" i="1"/>
  <c r="F3418" i="1"/>
  <c r="F3416" i="1"/>
  <c r="F3415" i="1"/>
  <c r="F3414" i="1"/>
  <c r="F3417" i="1"/>
  <c r="F3419" i="1"/>
  <c r="F3410" i="1"/>
  <c r="F3412" i="1"/>
  <c r="F3413" i="1"/>
  <c r="F3411" i="1"/>
  <c r="F3321" i="1"/>
  <c r="F3332" i="1"/>
  <c r="F3330" i="1"/>
  <c r="F3328" i="1"/>
  <c r="F3327" i="1"/>
  <c r="F3326" i="1"/>
  <c r="F3329" i="1"/>
  <c r="F3331" i="1"/>
  <c r="F3322" i="1"/>
  <c r="F3324" i="1"/>
  <c r="F3325" i="1"/>
  <c r="F3323" i="1"/>
  <c r="F3353" i="1"/>
  <c r="F3364" i="1"/>
  <c r="F3362" i="1"/>
  <c r="F3360" i="1"/>
  <c r="F3359" i="1"/>
  <c r="F3358" i="1"/>
  <c r="F3361" i="1"/>
  <c r="F3363" i="1"/>
  <c r="F3354" i="1"/>
  <c r="F3356" i="1"/>
  <c r="F3357" i="1"/>
  <c r="F3355" i="1"/>
  <c r="F3381" i="1"/>
  <c r="F3390" i="1"/>
  <c r="F3388" i="1"/>
  <c r="F3386" i="1"/>
  <c r="F3385" i="1"/>
  <c r="F3384" i="1"/>
  <c r="F3387" i="1"/>
  <c r="F3389" i="1"/>
  <c r="F3382" i="1"/>
  <c r="F3383" i="1"/>
  <c r="F985" i="1"/>
  <c r="F986" i="1"/>
  <c r="F987" i="1"/>
  <c r="F988" i="1"/>
  <c r="F989" i="1"/>
  <c r="F990" i="1"/>
  <c r="F991" i="1"/>
  <c r="F992" i="1"/>
  <c r="F2770" i="1"/>
  <c r="F2771" i="1"/>
  <c r="F2772" i="1"/>
  <c r="F2773" i="1"/>
  <c r="F2774" i="1"/>
  <c r="F2775" i="1"/>
  <c r="F2776" i="1"/>
  <c r="F2777" i="1"/>
  <c r="F2778" i="1"/>
  <c r="F1337" i="1"/>
  <c r="F1342" i="1"/>
  <c r="F1348" i="1"/>
  <c r="F1346" i="1"/>
  <c r="F1345" i="1"/>
  <c r="F1347" i="1"/>
  <c r="F1344" i="1"/>
  <c r="F1343" i="1"/>
  <c r="F1338" i="1"/>
  <c r="F1340" i="1"/>
  <c r="F1341" i="1"/>
  <c r="F1339" i="1"/>
  <c r="F1415" i="1"/>
  <c r="F1421" i="1"/>
  <c r="F1419" i="1"/>
  <c r="F1418" i="1"/>
  <c r="F1417" i="1"/>
  <c r="F1420" i="1"/>
  <c r="F1422" i="1"/>
  <c r="F1416" i="1"/>
  <c r="F1423" i="1"/>
  <c r="F1495" i="1"/>
  <c r="F1503" i="1"/>
  <c r="F1501" i="1"/>
  <c r="F1499" i="1"/>
  <c r="F1498" i="1"/>
  <c r="F1497" i="1"/>
  <c r="F1500" i="1"/>
  <c r="F1502" i="1"/>
  <c r="F1496" i="1"/>
  <c r="F1613" i="1"/>
  <c r="F1615" i="1"/>
  <c r="F1614" i="1"/>
  <c r="F1616" i="1"/>
  <c r="F1545" i="1"/>
  <c r="F1546" i="1"/>
  <c r="F1553" i="1"/>
  <c r="F1551" i="1"/>
  <c r="F1549" i="1"/>
  <c r="F1548" i="1"/>
  <c r="F1547" i="1"/>
  <c r="F1550" i="1"/>
  <c r="F1552" i="1"/>
  <c r="F2435" i="1"/>
  <c r="F2441" i="1"/>
  <c r="F2440" i="1"/>
  <c r="F2438" i="1"/>
  <c r="F2437" i="1"/>
  <c r="F2436" i="1"/>
  <c r="F2439" i="1"/>
  <c r="F2686" i="1"/>
  <c r="F2691" i="1"/>
  <c r="F2689" i="1"/>
  <c r="F2688" i="1"/>
  <c r="F2687" i="1"/>
  <c r="F2690" i="1"/>
  <c r="F2692" i="1"/>
  <c r="F958" i="1"/>
  <c r="F959" i="1"/>
  <c r="F960" i="1"/>
  <c r="F961" i="1"/>
  <c r="F962" i="1"/>
  <c r="F963" i="1"/>
  <c r="F964" i="1"/>
  <c r="F965" i="1"/>
  <c r="F2081" i="1"/>
  <c r="F2088" i="1"/>
  <c r="F2086" i="1"/>
  <c r="F2084" i="1"/>
  <c r="F2083" i="1"/>
  <c r="F2082" i="1"/>
  <c r="F2085" i="1"/>
  <c r="F2087" i="1"/>
  <c r="F2090" i="1"/>
  <c r="F2097" i="1"/>
  <c r="F2095" i="1"/>
  <c r="F2093" i="1"/>
  <c r="F2092" i="1"/>
  <c r="F2091" i="1"/>
  <c r="F2094" i="1"/>
  <c r="F2096" i="1"/>
  <c r="F2038" i="1"/>
  <c r="F2042" i="1"/>
  <c r="F2044" i="1"/>
  <c r="F2039" i="1"/>
  <c r="F2045" i="1"/>
  <c r="F2043" i="1"/>
  <c r="F2041" i="1"/>
  <c r="F2040" i="1"/>
  <c r="F2099" i="1"/>
  <c r="F2107" i="1"/>
  <c r="F2101" i="1"/>
  <c r="F2104" i="1"/>
  <c r="F2106" i="1"/>
  <c r="F2105" i="1"/>
  <c r="F2103" i="1"/>
  <c r="F2102" i="1"/>
  <c r="F2100" i="1"/>
  <c r="F2144" i="1"/>
  <c r="F2147" i="1"/>
  <c r="F2146" i="1"/>
  <c r="F2145" i="1"/>
  <c r="F2148" i="1"/>
  <c r="F2150" i="1"/>
  <c r="F2151" i="1"/>
  <c r="F2149" i="1"/>
  <c r="F216" i="1"/>
  <c r="F217" i="1"/>
  <c r="F218" i="1"/>
  <c r="F219" i="1"/>
  <c r="F220" i="1"/>
  <c r="F221" i="1"/>
  <c r="F222" i="1"/>
  <c r="F223" i="1"/>
  <c r="F224" i="1"/>
  <c r="F169" i="1"/>
  <c r="F170" i="1"/>
  <c r="F171" i="1"/>
  <c r="F172" i="1"/>
  <c r="F173" i="1"/>
  <c r="F174" i="1"/>
  <c r="F175" i="1"/>
  <c r="F176" i="1"/>
  <c r="F177" i="1"/>
  <c r="F290" i="1"/>
  <c r="F291" i="1"/>
  <c r="F292" i="1"/>
  <c r="F293" i="1"/>
  <c r="F294" i="1"/>
  <c r="F295" i="1"/>
  <c r="F296" i="1"/>
  <c r="F297" i="1"/>
  <c r="F298" i="1"/>
  <c r="F574" i="1"/>
  <c r="F575" i="1"/>
  <c r="F576" i="1"/>
  <c r="F577" i="1"/>
  <c r="F578" i="1"/>
  <c r="F579" i="1"/>
  <c r="F580" i="1"/>
  <c r="F581" i="1"/>
  <c r="F582" i="1"/>
  <c r="F482" i="1"/>
  <c r="F483" i="1"/>
  <c r="F484" i="1"/>
  <c r="F485" i="1"/>
  <c r="F486" i="1"/>
  <c r="F487" i="1"/>
  <c r="F488" i="1"/>
  <c r="F489" i="1"/>
  <c r="F393" i="1"/>
  <c r="F394" i="1"/>
  <c r="F395" i="1"/>
  <c r="F396" i="1"/>
  <c r="F397" i="1"/>
  <c r="F398" i="1"/>
  <c r="F399" i="1"/>
  <c r="F400" i="1"/>
  <c r="F401" i="1"/>
  <c r="F359" i="1"/>
  <c r="F360" i="1"/>
  <c r="F361" i="1"/>
  <c r="F362" i="1"/>
  <c r="F363" i="1"/>
  <c r="F364" i="1"/>
  <c r="F365" i="1"/>
  <c r="F366" i="1"/>
  <c r="F367" i="1"/>
  <c r="F764" i="1"/>
  <c r="F765" i="1"/>
  <c r="F766" i="1"/>
  <c r="F767" i="1"/>
  <c r="F768" i="1"/>
  <c r="F769" i="1"/>
  <c r="F770" i="1"/>
  <c r="F771" i="1"/>
  <c r="F772" i="1"/>
  <c r="F550" i="1"/>
  <c r="F551" i="1"/>
  <c r="F552" i="1"/>
  <c r="F553" i="1"/>
  <c r="F554" i="1"/>
  <c r="F555" i="1"/>
  <c r="F556" i="1"/>
  <c r="F557" i="1"/>
  <c r="F558" i="1"/>
  <c r="F655" i="1"/>
  <c r="F656" i="1"/>
  <c r="F657" i="1"/>
  <c r="F658" i="1"/>
  <c r="F659" i="1"/>
  <c r="F660" i="1"/>
  <c r="F661" i="1"/>
  <c r="F662" i="1"/>
  <c r="F663" i="1"/>
  <c r="F638" i="1"/>
  <c r="F639" i="1"/>
  <c r="F640" i="1"/>
  <c r="F641" i="1"/>
  <c r="F642" i="1"/>
  <c r="F643" i="1"/>
  <c r="F644" i="1"/>
  <c r="F645" i="1"/>
  <c r="F646" i="1"/>
  <c r="F1277" i="1"/>
  <c r="F1278" i="1"/>
  <c r="F1279" i="1"/>
  <c r="F1280" i="1"/>
  <c r="F1281" i="1"/>
  <c r="F1282" i="1"/>
  <c r="F1283" i="1"/>
  <c r="F2975" i="1"/>
  <c r="F2963" i="1"/>
  <c r="F2950" i="1"/>
  <c r="F2955" i="1"/>
  <c r="F1115" i="1"/>
  <c r="F1116" i="1"/>
  <c r="F1117" i="1"/>
  <c r="F1118" i="1"/>
  <c r="F1119" i="1"/>
  <c r="F1120" i="1"/>
  <c r="F1121" i="1"/>
  <c r="F3247" i="1"/>
  <c r="F3254" i="1"/>
  <c r="F3252" i="1"/>
  <c r="F3250" i="1"/>
  <c r="F3249" i="1"/>
  <c r="F3248" i="1"/>
  <c r="F3251" i="1"/>
  <c r="F3253" i="1"/>
  <c r="F1788" i="1"/>
  <c r="F1795" i="1"/>
  <c r="F1793" i="1"/>
  <c r="F1791" i="1"/>
  <c r="F1790" i="1"/>
  <c r="F1789" i="1"/>
  <c r="F1792" i="1"/>
  <c r="F1794" i="1"/>
  <c r="F1737" i="1"/>
  <c r="F1716" i="1"/>
  <c r="F1719" i="1"/>
  <c r="F1718" i="1"/>
  <c r="F1717" i="1"/>
  <c r="F1720" i="1"/>
  <c r="F1721" i="1"/>
  <c r="F1744" i="1"/>
  <c r="F1747" i="1"/>
  <c r="F1746" i="1"/>
  <c r="F1745" i="1"/>
  <c r="F1748" i="1"/>
  <c r="F1671" i="1"/>
  <c r="F1674" i="1"/>
  <c r="F1673" i="1"/>
  <c r="F1672" i="1"/>
  <c r="F1675" i="1"/>
  <c r="F1676" i="1"/>
  <c r="F3057" i="1"/>
  <c r="F3065" i="1"/>
  <c r="F3063" i="1"/>
  <c r="F3061" i="1"/>
  <c r="F3060" i="1"/>
  <c r="F3059" i="1"/>
  <c r="F3062" i="1"/>
  <c r="F3064" i="1"/>
  <c r="F3058" i="1"/>
  <c r="F1915" i="1"/>
  <c r="F2898" i="1"/>
  <c r="F2884" i="1"/>
  <c r="F2857" i="1"/>
  <c r="F2651" i="1"/>
  <c r="F1996" i="1"/>
  <c r="F18" i="1"/>
  <c r="F2341" i="1"/>
  <c r="F19" i="1"/>
  <c r="F2355" i="1"/>
  <c r="F3269" i="1"/>
  <c r="F1629" i="1"/>
  <c r="F2495" i="1"/>
  <c r="F2672" i="1"/>
  <c r="F2680" i="1"/>
  <c r="F33" i="1"/>
  <c r="F2971" i="1"/>
  <c r="F2968" i="1"/>
  <c r="F2654" i="1"/>
  <c r="F2671" i="1"/>
  <c r="F1842" i="1"/>
  <c r="F2983" i="1"/>
  <c r="F2710" i="1"/>
  <c r="F1947" i="1"/>
  <c r="F2935" i="1"/>
  <c r="F2794" i="1"/>
  <c r="F2961" i="1"/>
  <c r="F2991" i="1"/>
  <c r="F36" i="1"/>
  <c r="F2969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934" i="1"/>
  <c r="F935" i="1"/>
  <c r="F936" i="1"/>
  <c r="F937" i="1"/>
  <c r="F938" i="1"/>
  <c r="F939" i="1"/>
  <c r="F940" i="1"/>
  <c r="F941" i="1"/>
  <c r="F909" i="1"/>
  <c r="F910" i="1"/>
  <c r="F911" i="1"/>
  <c r="F912" i="1"/>
  <c r="F913" i="1"/>
  <c r="F914" i="1"/>
  <c r="F915" i="1"/>
  <c r="F916" i="1"/>
  <c r="F2960" i="1"/>
  <c r="F2966" i="1"/>
  <c r="F2676" i="1"/>
  <c r="F2682" i="1"/>
  <c r="F2841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1984" i="1"/>
  <c r="F1981" i="1"/>
  <c r="F1951" i="1"/>
  <c r="F1980" i="1"/>
  <c r="F1950" i="1"/>
  <c r="F1979" i="1"/>
  <c r="F1983" i="1"/>
  <c r="F1982" i="1"/>
  <c r="F1949" i="1"/>
  <c r="F1944" i="1"/>
  <c r="F1943" i="1"/>
  <c r="F1953" i="1"/>
  <c r="F1952" i="1"/>
  <c r="F1987" i="1"/>
  <c r="F1986" i="1"/>
  <c r="F1972" i="1"/>
  <c r="F1974" i="1"/>
  <c r="F1985" i="1"/>
  <c r="F1997" i="1"/>
  <c r="F1946" i="1"/>
  <c r="F1909" i="1"/>
  <c r="F1625" i="1"/>
  <c r="F2369" i="1"/>
  <c r="F3285" i="1"/>
  <c r="F3284" i="1"/>
  <c r="F2253" i="1"/>
  <c r="F2252" i="1"/>
  <c r="F1965" i="1"/>
  <c r="F1966" i="1"/>
  <c r="F1967" i="1"/>
  <c r="F1959" i="1"/>
  <c r="F1973" i="1"/>
  <c r="F1964" i="1"/>
  <c r="F1991" i="1"/>
  <c r="F1989" i="1"/>
  <c r="F1992" i="1"/>
  <c r="F1990" i="1"/>
  <c r="F1968" i="1"/>
  <c r="F1955" i="1"/>
  <c r="F1978" i="1"/>
  <c r="F1970" i="1"/>
  <c r="F1958" i="1"/>
  <c r="F2848" i="1"/>
  <c r="F1863" i="1"/>
  <c r="F1869" i="1"/>
  <c r="F1870" i="1"/>
  <c r="F1871" i="1"/>
  <c r="F1872" i="1"/>
  <c r="F1873" i="1"/>
  <c r="F1874" i="1"/>
  <c r="F1864" i="1"/>
  <c r="F1865" i="1"/>
  <c r="F1866" i="1"/>
  <c r="F1867" i="1"/>
  <c r="F1868" i="1"/>
  <c r="F1875" i="1"/>
  <c r="F1883" i="1"/>
  <c r="F1884" i="1"/>
  <c r="F1885" i="1"/>
  <c r="F1886" i="1"/>
  <c r="F1876" i="1"/>
  <c r="F1877" i="1"/>
  <c r="F1878" i="1"/>
  <c r="F1879" i="1"/>
  <c r="F1880" i="1"/>
  <c r="F1881" i="1"/>
  <c r="F1882" i="1"/>
  <c r="F1957" i="1"/>
  <c r="F1988" i="1"/>
  <c r="F1956" i="1"/>
  <c r="F1975" i="1"/>
  <c r="F1954" i="1"/>
  <c r="F1962" i="1"/>
  <c r="F1971" i="1"/>
  <c r="F1961" i="1"/>
  <c r="F1960" i="1"/>
  <c r="F1969" i="1"/>
  <c r="F2822" i="1"/>
  <c r="F2823" i="1"/>
  <c r="F2824" i="1"/>
  <c r="F2825" i="1"/>
  <c r="F2826" i="1"/>
  <c r="F2827" i="1"/>
  <c r="F2828" i="1"/>
  <c r="F2829" i="1"/>
  <c r="F2830" i="1"/>
  <c r="F2384" i="1"/>
  <c r="F1963" i="1"/>
  <c r="F85" i="1"/>
  <c r="F86" i="1"/>
  <c r="F87" i="1"/>
  <c r="F88" i="1"/>
  <c r="F89" i="1"/>
  <c r="F90" i="1"/>
  <c r="F91" i="1"/>
  <c r="F92" i="1"/>
  <c r="F93" i="1"/>
  <c r="F1687" i="1"/>
  <c r="F1696" i="1"/>
  <c r="F1694" i="1"/>
  <c r="F1690" i="1"/>
  <c r="F1693" i="1"/>
  <c r="F1695" i="1"/>
  <c r="F1688" i="1"/>
  <c r="F1689" i="1"/>
  <c r="F1692" i="1"/>
  <c r="F1691" i="1"/>
  <c r="F3213" i="1"/>
  <c r="F3211" i="1"/>
  <c r="F3209" i="1"/>
  <c r="F3208" i="1"/>
  <c r="F3207" i="1"/>
  <c r="F3210" i="1"/>
  <c r="F3212" i="1"/>
  <c r="F2788" i="1"/>
  <c r="F2795" i="1"/>
  <c r="F2374" i="1"/>
  <c r="F2834" i="1"/>
  <c r="F2807" i="1"/>
  <c r="F2800" i="1"/>
  <c r="F2789" i="1"/>
  <c r="F2371" i="1"/>
  <c r="F2372" i="1"/>
  <c r="F2373" i="1"/>
  <c r="F2792" i="1"/>
  <c r="F3288" i="1"/>
  <c r="F2796" i="1"/>
  <c r="F2809" i="1"/>
  <c r="F2810" i="1"/>
  <c r="F2811" i="1"/>
  <c r="F2812" i="1"/>
  <c r="F2813" i="1"/>
  <c r="F2814" i="1"/>
  <c r="F2815" i="1"/>
  <c r="F2832" i="1"/>
  <c r="F2833" i="1"/>
  <c r="F2801" i="1"/>
  <c r="F2802" i="1"/>
  <c r="F2803" i="1"/>
  <c r="F10" i="1"/>
  <c r="F11" i="1"/>
  <c r="F15" i="1"/>
  <c r="F16" i="1"/>
  <c r="F2808" i="1"/>
  <c r="F3292" i="1"/>
  <c r="F2385" i="1"/>
  <c r="F2816" i="1"/>
  <c r="F2363" i="1"/>
  <c r="F2354" i="1"/>
  <c r="F2361" i="1"/>
  <c r="F2353" i="1"/>
  <c r="F2359" i="1"/>
  <c r="F2362" i="1"/>
  <c r="F2360" i="1"/>
  <c r="F2358" i="1"/>
  <c r="F2356" i="1"/>
  <c r="F2357" i="1"/>
  <c r="F2366" i="1"/>
  <c r="F2337" i="1"/>
  <c r="F2878" i="1"/>
  <c r="F2877" i="1"/>
  <c r="F2879" i="1"/>
  <c r="F2656" i="1"/>
  <c r="F2655" i="1"/>
  <c r="F2657" i="1"/>
  <c r="F2964" i="1"/>
  <c r="F2853" i="1"/>
  <c r="F2875" i="1"/>
  <c r="F2849" i="1"/>
  <c r="F2876" i="1"/>
  <c r="F2859" i="1"/>
  <c r="F2860" i="1"/>
  <c r="F2861" i="1"/>
  <c r="F972" i="1"/>
  <c r="F2957" i="1"/>
  <c r="F2972" i="1"/>
  <c r="F2668" i="1"/>
  <c r="F3005" i="1"/>
  <c r="F3283" i="1"/>
  <c r="F1826" i="1"/>
  <c r="F1829" i="1"/>
  <c r="F1828" i="1"/>
  <c r="F1827" i="1"/>
  <c r="F1830" i="1"/>
  <c r="F1999" i="1"/>
  <c r="F2001" i="1"/>
  <c r="F3294" i="1"/>
  <c r="F2835" i="1"/>
  <c r="F2000" i="1"/>
  <c r="F2002" i="1"/>
  <c r="F2003" i="1"/>
  <c r="F2978" i="1"/>
  <c r="F2988" i="1"/>
  <c r="F2993" i="1"/>
  <c r="F2959" i="1"/>
  <c r="F2653" i="1"/>
  <c r="F3255" i="1"/>
  <c r="F3258" i="1"/>
  <c r="F3257" i="1"/>
  <c r="F3256" i="1"/>
  <c r="F1617" i="1"/>
  <c r="F1921" i="1"/>
  <c r="F51" i="1"/>
  <c r="F52" i="1"/>
  <c r="F53" i="1"/>
  <c r="F54" i="1"/>
  <c r="F55" i="1"/>
  <c r="F56" i="1"/>
  <c r="F57" i="1"/>
  <c r="F2838" i="1"/>
  <c r="F2895" i="1"/>
  <c r="F2995" i="1"/>
  <c r="F1920" i="1"/>
  <c r="F2865" i="1"/>
  <c r="F2839" i="1"/>
  <c r="F3276" i="1"/>
  <c r="F3277" i="1"/>
  <c r="F3278" i="1"/>
  <c r="F3279" i="1"/>
  <c r="F2973" i="1"/>
  <c r="F2984" i="1"/>
  <c r="F2974" i="1"/>
  <c r="F2980" i="1"/>
  <c r="F2897" i="1"/>
  <c r="F2896" i="1"/>
  <c r="F2010" i="1"/>
  <c r="F2970" i="1"/>
  <c r="F3275" i="1"/>
  <c r="F2412" i="1"/>
  <c r="F17" i="1"/>
  <c r="F2787" i="1"/>
  <c r="F2403" i="1"/>
  <c r="F2402" i="1"/>
  <c r="F1749" i="1"/>
  <c r="F3011" i="1"/>
  <c r="F3298" i="1"/>
  <c r="F1668" i="1"/>
  <c r="F1669" i="1"/>
  <c r="F1670" i="1"/>
  <c r="F1722" i="1"/>
  <c r="F1725" i="1"/>
  <c r="F1724" i="1"/>
  <c r="F1723" i="1"/>
  <c r="F1726" i="1"/>
  <c r="F1727" i="1"/>
  <c r="F2396" i="1"/>
  <c r="F1919" i="1"/>
  <c r="F35" i="1"/>
  <c r="F2958" i="1"/>
  <c r="F2967" i="1"/>
  <c r="F2850" i="1"/>
  <c r="F1624" i="1"/>
  <c r="F1630" i="1"/>
  <c r="F1623" i="1"/>
  <c r="F1626" i="1"/>
  <c r="F2677" i="1"/>
  <c r="F2679" i="1"/>
  <c r="F1757" i="1"/>
  <c r="F3259" i="1"/>
  <c r="F3260" i="1"/>
  <c r="F3261" i="1"/>
  <c r="F3262" i="1"/>
  <c r="F2466" i="1"/>
  <c r="F3270" i="1"/>
  <c r="F3272" i="1"/>
  <c r="F1912" i="1"/>
  <c r="F2464" i="1"/>
  <c r="F2463" i="1"/>
  <c r="F2456" i="1"/>
  <c r="F966" i="1"/>
  <c r="F1931" i="1"/>
  <c r="F3274" i="1"/>
  <c r="F3013" i="1"/>
  <c r="F2004" i="1"/>
  <c r="F1998" i="1"/>
  <c r="F2012" i="1"/>
  <c r="F2399" i="1"/>
  <c r="F3301" i="1"/>
  <c r="F2401" i="1"/>
  <c r="F2457" i="1"/>
  <c r="F2332" i="1"/>
  <c r="F2459" i="1"/>
  <c r="F2458" i="1"/>
  <c r="F2334" i="1"/>
  <c r="F2470" i="1"/>
  <c r="F2469" i="1"/>
  <c r="F2409" i="1"/>
  <c r="F2985" i="1"/>
  <c r="F3007" i="1"/>
  <c r="F2468" i="1"/>
  <c r="F2460" i="1"/>
  <c r="F2461" i="1"/>
  <c r="F1994" i="1"/>
  <c r="F2685" i="1"/>
  <c r="F3263" i="1"/>
  <c r="F21" i="1"/>
  <c r="F2286" i="1"/>
  <c r="F2443" i="1"/>
  <c r="F2324" i="1"/>
  <c r="F2328" i="1"/>
  <c r="F2329" i="1"/>
  <c r="F2330" i="1"/>
  <c r="F2325" i="1"/>
  <c r="F2326" i="1"/>
  <c r="F2327" i="1"/>
  <c r="F2442" i="1"/>
  <c r="F2282" i="1"/>
  <c r="F3008" i="1"/>
  <c r="F2294" i="1"/>
  <c r="F2295" i="1"/>
  <c r="F2299" i="1"/>
  <c r="F2300" i="1"/>
  <c r="F2301" i="1"/>
  <c r="F2302" i="1"/>
  <c r="F2303" i="1"/>
  <c r="F2296" i="1"/>
  <c r="F2297" i="1"/>
  <c r="F2298" i="1"/>
  <c r="F1917" i="1"/>
  <c r="F2287" i="1"/>
  <c r="F2292" i="1"/>
  <c r="F2290" i="1"/>
  <c r="F2289" i="1"/>
  <c r="F2288" i="1"/>
  <c r="F2291" i="1"/>
  <c r="F2293" i="1"/>
  <c r="F2308" i="1"/>
  <c r="F1938" i="1"/>
  <c r="F1933" i="1"/>
  <c r="F1932" i="1"/>
  <c r="F1930" i="1"/>
  <c r="F1939" i="1"/>
  <c r="F3266" i="1"/>
  <c r="F2444" i="1"/>
  <c r="F2304" i="1"/>
  <c r="F2306" i="1"/>
  <c r="F2305" i="1"/>
  <c r="F2307" i="1"/>
  <c r="F3265" i="1"/>
  <c r="F2666" i="1"/>
  <c r="F63" i="1"/>
  <c r="F2650" i="1"/>
  <c r="F2646" i="1"/>
  <c r="F2987" i="1"/>
  <c r="F2431" i="1"/>
  <c r="F62" i="1"/>
  <c r="F2576" i="1"/>
  <c r="F2613" i="1"/>
  <c r="F2614" i="1"/>
  <c r="F2615" i="1"/>
  <c r="F2616" i="1"/>
  <c r="F2475" i="1"/>
  <c r="F2644" i="1"/>
  <c r="F2499" i="1"/>
  <c r="F3022" i="1"/>
  <c r="F1888" i="1"/>
  <c r="F2979" i="1"/>
  <c r="F1891" i="1"/>
  <c r="F2852" i="1"/>
  <c r="F1890" i="1"/>
  <c r="F2976" i="1"/>
  <c r="F2009" i="1"/>
  <c r="F1667" i="1"/>
  <c r="F1697" i="1"/>
  <c r="F1700" i="1"/>
  <c r="F1699" i="1"/>
  <c r="F1698" i="1"/>
  <c r="F1701" i="1"/>
  <c r="F1702" i="1"/>
  <c r="F1710" i="1"/>
  <c r="F1713" i="1"/>
  <c r="F1712" i="1"/>
  <c r="F1711" i="1"/>
  <c r="F1714" i="1"/>
  <c r="F1715" i="1"/>
  <c r="F1703" i="1"/>
  <c r="F1707" i="1"/>
  <c r="F1706" i="1"/>
  <c r="F1705" i="1"/>
  <c r="F1708" i="1"/>
  <c r="F1709" i="1"/>
  <c r="F1704" i="1"/>
  <c r="F2284" i="1"/>
  <c r="F1942" i="1"/>
  <c r="F3287" i="1"/>
  <c r="F2376" i="1"/>
  <c r="F1993" i="1"/>
  <c r="F825" i="1"/>
  <c r="F826" i="1"/>
  <c r="F827" i="1"/>
  <c r="F828" i="1"/>
  <c r="F829" i="1"/>
  <c r="F830" i="1"/>
  <c r="F831" i="1"/>
  <c r="F832" i="1"/>
  <c r="F833" i="1"/>
  <c r="F834" i="1"/>
  <c r="F835" i="1"/>
  <c r="F2283" i="1"/>
  <c r="F2989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2799" i="1"/>
  <c r="F3264" i="1"/>
  <c r="F1977" i="1"/>
  <c r="F2662" i="1"/>
  <c r="F1637" i="1"/>
  <c r="F1635" i="1"/>
  <c r="F1650" i="1"/>
  <c r="F1651" i="1"/>
  <c r="F1652" i="1"/>
  <c r="F1653" i="1"/>
  <c r="F1654" i="1"/>
  <c r="F1655" i="1"/>
  <c r="F1656" i="1"/>
  <c r="F1657" i="1"/>
  <c r="F2658" i="1"/>
  <c r="F2617" i="1"/>
  <c r="F2618" i="1"/>
  <c r="F2619" i="1"/>
  <c r="F2620" i="1"/>
  <c r="F2621" i="1"/>
  <c r="F2622" i="1"/>
  <c r="F1638" i="1"/>
  <c r="F1639" i="1"/>
  <c r="F1640" i="1"/>
  <c r="F1641" i="1"/>
  <c r="F1642" i="1"/>
  <c r="F2675" i="1"/>
  <c r="F2496" i="1"/>
  <c r="F3176" i="1"/>
  <c r="F3181" i="1"/>
  <c r="F3179" i="1"/>
  <c r="F3178" i="1"/>
  <c r="F3177" i="1"/>
  <c r="F3180" i="1"/>
  <c r="F3182" i="1"/>
  <c r="F3164" i="1"/>
  <c r="F3171" i="1"/>
  <c r="F3169" i="1"/>
  <c r="F3167" i="1"/>
  <c r="F3166" i="1"/>
  <c r="F3165" i="1"/>
  <c r="F3168" i="1"/>
  <c r="F3170" i="1"/>
  <c r="F3186" i="1"/>
  <c r="F3191" i="1"/>
  <c r="F3189" i="1"/>
  <c r="F3188" i="1"/>
  <c r="F3187" i="1"/>
  <c r="F3190" i="1"/>
  <c r="F3192" i="1"/>
  <c r="F3154" i="1"/>
  <c r="F3159" i="1"/>
  <c r="F3157" i="1"/>
  <c r="F3156" i="1"/>
  <c r="F3155" i="1"/>
  <c r="F3158" i="1"/>
  <c r="F3160" i="1"/>
  <c r="F3090" i="1"/>
  <c r="F3097" i="1"/>
  <c r="F3095" i="1"/>
  <c r="F3093" i="1"/>
  <c r="F3092" i="1"/>
  <c r="F3091" i="1"/>
  <c r="F3094" i="1"/>
  <c r="F3096" i="1"/>
  <c r="F2954" i="1"/>
  <c r="F2956" i="1"/>
  <c r="F1636" i="1"/>
  <c r="F12" i="1"/>
  <c r="F14" i="1"/>
  <c r="F13" i="1"/>
  <c r="F1976" i="1"/>
  <c r="F2806" i="1"/>
  <c r="F2805" i="1"/>
  <c r="F2336" i="1"/>
  <c r="F1292" i="1"/>
  <c r="F1303" i="1"/>
  <c r="F1305" i="1"/>
  <c r="F1304" i="1"/>
  <c r="F1306" i="1"/>
  <c r="F1310" i="1"/>
  <c r="F1312" i="1"/>
  <c r="F1311" i="1"/>
  <c r="F1313" i="1"/>
  <c r="F1314" i="1"/>
  <c r="F1307" i="1"/>
  <c r="F1309" i="1"/>
  <c r="F1308" i="1"/>
  <c r="F1293" i="1"/>
  <c r="F1296" i="1"/>
  <c r="F1295" i="1"/>
  <c r="F1297" i="1"/>
  <c r="F1298" i="1"/>
  <c r="F1294" i="1"/>
  <c r="F1315" i="1"/>
  <c r="F1299" i="1"/>
  <c r="F1301" i="1"/>
  <c r="F1300" i="1"/>
  <c r="F1302" i="1"/>
  <c r="F1658" i="1"/>
  <c r="F2982" i="1"/>
  <c r="F2234" i="1"/>
  <c r="F2232" i="1"/>
  <c r="F2842" i="1"/>
  <c r="F226" i="1"/>
  <c r="F227" i="1"/>
  <c r="F228" i="1"/>
  <c r="F2398" i="1"/>
  <c r="F2836" i="1"/>
  <c r="F2281" i="1"/>
  <c r="F3372" i="1"/>
  <c r="F3380" i="1"/>
  <c r="F3377" i="1"/>
  <c r="F3376" i="1"/>
  <c r="F3375" i="1"/>
  <c r="F3378" i="1"/>
  <c r="F3379" i="1"/>
  <c r="F3373" i="1"/>
  <c r="F3374" i="1"/>
  <c r="F2339" i="1"/>
  <c r="F2367" i="1"/>
  <c r="F2338" i="1"/>
  <c r="F2365" i="1"/>
  <c r="F2790" i="1"/>
  <c r="F2793" i="1"/>
  <c r="F2791" i="1"/>
  <c r="F2798" i="1"/>
  <c r="F2797" i="1"/>
  <c r="F950" i="1"/>
  <c r="F951" i="1"/>
  <c r="F952" i="1"/>
  <c r="F953" i="1"/>
  <c r="F954" i="1"/>
  <c r="F955" i="1"/>
  <c r="F956" i="1"/>
  <c r="F957" i="1"/>
  <c r="F2678" i="1"/>
  <c r="F2465" i="1"/>
  <c r="F2335" i="1"/>
  <c r="F1555" i="1"/>
  <c r="F1556" i="1"/>
  <c r="F1557" i="1"/>
  <c r="F1412" i="1"/>
  <c r="F1413" i="1"/>
  <c r="F1414" i="1"/>
  <c r="F2109" i="1"/>
  <c r="F2110" i="1"/>
  <c r="F2111" i="1"/>
  <c r="F2936" i="1"/>
  <c r="F2937" i="1"/>
  <c r="F2938" i="1"/>
  <c r="F2939" i="1"/>
  <c r="F2940" i="1"/>
  <c r="F2941" i="1"/>
  <c r="F2942" i="1"/>
  <c r="F2943" i="1"/>
  <c r="F2944" i="1"/>
  <c r="F2945" i="1"/>
  <c r="F2946" i="1"/>
  <c r="F2013" i="1"/>
  <c r="F2962" i="1"/>
  <c r="F2404" i="1"/>
  <c r="F2429" i="1"/>
  <c r="F1797" i="1"/>
  <c r="F1803" i="1"/>
  <c r="F1804" i="1"/>
  <c r="F1802" i="1"/>
  <c r="F1800" i="1"/>
  <c r="F1799" i="1"/>
  <c r="F1798" i="1"/>
  <c r="F1801" i="1"/>
  <c r="F1002" i="1"/>
  <c r="F2902" i="1"/>
  <c r="F1936" i="1"/>
  <c r="F2647" i="1"/>
  <c r="F2584" i="1"/>
  <c r="F968" i="1"/>
  <c r="F970" i="1"/>
  <c r="F2333" i="1"/>
  <c r="F3281" i="1"/>
  <c r="F3280" i="1"/>
  <c r="F2368" i="1"/>
  <c r="F2661" i="1"/>
  <c r="F2343" i="1"/>
  <c r="F2344" i="1"/>
  <c r="F2342" i="1"/>
  <c r="F2345" i="1"/>
  <c r="F2462" i="1"/>
  <c r="F2870" i="1"/>
  <c r="F22" i="1"/>
  <c r="F1123" i="1"/>
  <c r="F1124" i="1"/>
  <c r="F1125" i="1"/>
  <c r="F1127" i="1"/>
  <c r="F1128" i="1"/>
  <c r="F1129" i="1"/>
  <c r="F2951" i="1"/>
  <c r="F2977" i="1"/>
  <c r="F2370" i="1"/>
  <c r="F2851" i="1"/>
  <c r="F2235" i="1"/>
  <c r="F3423" i="1"/>
  <c r="F3424" i="1"/>
  <c r="F3425" i="1"/>
  <c r="F3426" i="1"/>
  <c r="F3427" i="1"/>
  <c r="F3428" i="1"/>
  <c r="F3429" i="1"/>
  <c r="F3430" i="1"/>
  <c r="F2632" i="1"/>
  <c r="F2420" i="1"/>
  <c r="F2421" i="1"/>
  <c r="F2407" i="1"/>
  <c r="F2422" i="1"/>
  <c r="F2414" i="1"/>
  <c r="F3422" i="1"/>
  <c r="F3421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400" i="1"/>
  <c r="F3009" i="1"/>
  <c r="F1831" i="1"/>
  <c r="F1834" i="1"/>
  <c r="F1833" i="1"/>
  <c r="F1832" i="1"/>
  <c r="F1835" i="1"/>
  <c r="F1836" i="1"/>
  <c r="F1839" i="1"/>
  <c r="F1838" i="1"/>
  <c r="F1837" i="1"/>
  <c r="F1840" i="1"/>
  <c r="F1841" i="1"/>
  <c r="F1889" i="1"/>
  <c r="F3300" i="1"/>
  <c r="F230" i="1"/>
  <c r="F231" i="1"/>
  <c r="F232" i="1"/>
  <c r="F1349" i="1"/>
  <c r="F1356" i="1"/>
  <c r="F1354" i="1"/>
  <c r="F1352" i="1"/>
  <c r="F1351" i="1"/>
  <c r="F1350" i="1"/>
  <c r="F1353" i="1"/>
  <c r="F1355" i="1"/>
  <c r="F369" i="1"/>
  <c r="F370" i="1"/>
  <c r="F371" i="1"/>
  <c r="F373" i="1"/>
  <c r="F374" i="1"/>
  <c r="F375" i="1"/>
  <c r="F377" i="1"/>
  <c r="F378" i="1"/>
  <c r="F379" i="1"/>
  <c r="F1468" i="1"/>
  <c r="F1469" i="1"/>
  <c r="F1470" i="1"/>
  <c r="F685" i="1"/>
  <c r="F686" i="1"/>
  <c r="F687" i="1"/>
  <c r="F688" i="1"/>
  <c r="F689" i="1"/>
  <c r="F690" i="1"/>
  <c r="F691" i="1"/>
  <c r="F692" i="1"/>
  <c r="F693" i="1"/>
  <c r="F695" i="1"/>
  <c r="F696" i="1"/>
  <c r="F697" i="1"/>
  <c r="F665" i="1"/>
  <c r="F666" i="1"/>
  <c r="F667" i="1"/>
  <c r="F1581" i="1"/>
  <c r="F1582" i="1"/>
  <c r="F1583" i="1"/>
  <c r="F1584" i="1"/>
  <c r="F1238" i="1"/>
  <c r="F1239" i="1"/>
  <c r="F1240" i="1"/>
  <c r="F1241" i="1"/>
  <c r="F1242" i="1"/>
  <c r="F1559" i="1"/>
  <c r="F1561" i="1"/>
  <c r="F1560" i="1"/>
  <c r="F1563" i="1"/>
  <c r="F1565" i="1"/>
  <c r="F1566" i="1"/>
  <c r="F1564" i="1"/>
  <c r="F1562" i="1"/>
  <c r="F1568" i="1"/>
  <c r="F1569" i="1"/>
  <c r="F1570" i="1"/>
  <c r="F1574" i="1"/>
  <c r="F1576" i="1"/>
  <c r="F1577" i="1"/>
  <c r="F1575" i="1"/>
  <c r="F1573" i="1"/>
  <c r="F1572" i="1"/>
  <c r="F1571" i="1"/>
  <c r="F1579" i="1"/>
  <c r="F1580" i="1"/>
  <c r="F2602" i="1"/>
  <c r="F2603" i="1"/>
  <c r="F2604" i="1"/>
  <c r="F2605" i="1"/>
  <c r="F2606" i="1"/>
  <c r="F2607" i="1"/>
  <c r="F1736" i="1"/>
  <c r="F1244" i="1"/>
  <c r="F1245" i="1"/>
  <c r="F1246" i="1"/>
  <c r="F3232" i="1"/>
  <c r="F3237" i="1"/>
  <c r="F3235" i="1"/>
  <c r="F3234" i="1"/>
  <c r="F3233" i="1"/>
  <c r="F3236" i="1"/>
  <c r="F3238" i="1"/>
  <c r="F2364" i="1"/>
  <c r="F2899" i="1"/>
  <c r="F2804" i="1"/>
  <c r="F3113" i="1"/>
  <c r="F3120" i="1"/>
  <c r="F3118" i="1"/>
  <c r="F3116" i="1"/>
  <c r="F3115" i="1"/>
  <c r="F3114" i="1"/>
  <c r="F3117" i="1"/>
  <c r="F3119" i="1"/>
  <c r="F3101" i="1"/>
  <c r="F3109" i="1"/>
  <c r="F3107" i="1"/>
  <c r="F3105" i="1"/>
  <c r="F3104" i="1"/>
  <c r="F3103" i="1"/>
  <c r="F3106" i="1"/>
  <c r="F3108" i="1"/>
  <c r="F3102" i="1"/>
  <c r="F3069" i="1"/>
  <c r="F3077" i="1"/>
  <c r="F3075" i="1"/>
  <c r="F3073" i="1"/>
  <c r="F3072" i="1"/>
  <c r="F3071" i="1"/>
  <c r="F3074" i="1"/>
  <c r="F3076" i="1"/>
  <c r="F3070" i="1"/>
  <c r="F1391" i="1"/>
  <c r="F1385" i="1"/>
  <c r="F1386" i="1"/>
  <c r="F1387" i="1"/>
  <c r="F1383" i="1"/>
  <c r="F1384" i="1"/>
  <c r="F1389" i="1"/>
  <c r="F1390" i="1"/>
  <c r="F1357" i="1"/>
  <c r="F1360" i="1"/>
  <c r="F1359" i="1"/>
  <c r="F1358" i="1"/>
  <c r="F1361" i="1"/>
  <c r="F1362" i="1"/>
  <c r="F699" i="1"/>
  <c r="F700" i="1"/>
  <c r="F701" i="1"/>
  <c r="F648" i="1"/>
  <c r="F649" i="1"/>
  <c r="F650" i="1"/>
  <c r="F652" i="1"/>
  <c r="F653" i="1"/>
  <c r="F654" i="1"/>
  <c r="F1504" i="1"/>
  <c r="F1512" i="1"/>
  <c r="F1510" i="1"/>
  <c r="F1508" i="1"/>
  <c r="F1507" i="1"/>
  <c r="F1506" i="1"/>
  <c r="F1509" i="1"/>
  <c r="F1511" i="1"/>
  <c r="F1505" i="1"/>
  <c r="F1486" i="1"/>
  <c r="F1494" i="1"/>
  <c r="F1492" i="1"/>
  <c r="F1490" i="1"/>
  <c r="F1489" i="1"/>
  <c r="F1488" i="1"/>
  <c r="F1491" i="1"/>
  <c r="F1493" i="1"/>
  <c r="F1487" i="1"/>
  <c r="F584" i="1"/>
  <c r="F585" i="1"/>
  <c r="F586" i="1"/>
  <c r="F3391" i="1"/>
  <c r="F3399" i="1"/>
  <c r="F3397" i="1"/>
  <c r="F3395" i="1"/>
  <c r="F3394" i="1"/>
  <c r="F3393" i="1"/>
  <c r="F3396" i="1"/>
  <c r="F3398" i="1"/>
  <c r="F3392" i="1"/>
  <c r="F3400" i="1"/>
  <c r="F3408" i="1"/>
  <c r="F3406" i="1"/>
  <c r="F3404" i="1"/>
  <c r="F3403" i="1"/>
  <c r="F3402" i="1"/>
  <c r="F3405" i="1"/>
  <c r="F3407" i="1"/>
  <c r="F3401" i="1"/>
  <c r="F967" i="1"/>
  <c r="F969" i="1"/>
  <c r="F971" i="1"/>
  <c r="F2737" i="1"/>
  <c r="F2738" i="1"/>
  <c r="F2739" i="1"/>
  <c r="F2740" i="1"/>
  <c r="F2741" i="1"/>
  <c r="F2742" i="1"/>
  <c r="F2743" i="1"/>
  <c r="F2744" i="1"/>
  <c r="F2745" i="1"/>
  <c r="F2755" i="1"/>
  <c r="F2756" i="1"/>
  <c r="F2757" i="1"/>
  <c r="F2758" i="1"/>
  <c r="F2759" i="1"/>
  <c r="F2760" i="1"/>
  <c r="F2761" i="1"/>
  <c r="F2762" i="1"/>
  <c r="F2763" i="1"/>
  <c r="F2784" i="1"/>
  <c r="F2785" i="1"/>
  <c r="F2786" i="1"/>
  <c r="F2747" i="1"/>
  <c r="F2748" i="1"/>
  <c r="F2749" i="1"/>
  <c r="F2751" i="1"/>
  <c r="F2752" i="1"/>
  <c r="F2753" i="1"/>
  <c r="F2765" i="1"/>
  <c r="F2766" i="1"/>
  <c r="F2767" i="1"/>
  <c r="F148" i="1"/>
  <c r="F149" i="1"/>
  <c r="F150" i="1"/>
  <c r="F151" i="1"/>
  <c r="F152" i="1"/>
  <c r="F153" i="1"/>
  <c r="F154" i="1"/>
  <c r="F155" i="1"/>
  <c r="F156" i="1"/>
  <c r="F158" i="1"/>
  <c r="F159" i="1"/>
  <c r="F160" i="1"/>
  <c r="F162" i="1"/>
  <c r="F163" i="1"/>
  <c r="F164" i="1"/>
  <c r="F2200" i="1"/>
  <c r="F2206" i="1"/>
  <c r="F2207" i="1"/>
  <c r="F2205" i="1"/>
  <c r="F2203" i="1"/>
  <c r="F2202" i="1"/>
  <c r="F2201" i="1"/>
  <c r="F2204" i="1"/>
  <c r="F2191" i="1"/>
  <c r="F2198" i="1"/>
  <c r="F2196" i="1"/>
  <c r="F2194" i="1"/>
  <c r="F2193" i="1"/>
  <c r="F2192" i="1"/>
  <c r="F2195" i="1"/>
  <c r="F2197" i="1"/>
  <c r="F2168" i="1"/>
  <c r="F2169" i="1"/>
  <c r="F2172" i="1"/>
  <c r="F2173" i="1"/>
  <c r="F2171" i="1"/>
  <c r="F2170" i="1"/>
  <c r="F64" i="1"/>
  <c r="F65" i="1"/>
  <c r="F66" i="1"/>
  <c r="F67" i="1"/>
  <c r="F68" i="1"/>
  <c r="F69" i="1"/>
  <c r="F70" i="1"/>
  <c r="F71" i="1"/>
  <c r="F72" i="1"/>
  <c r="F106" i="1"/>
  <c r="F107" i="1"/>
  <c r="F108" i="1"/>
  <c r="F109" i="1"/>
  <c r="F110" i="1"/>
  <c r="F111" i="1"/>
  <c r="F112" i="1"/>
  <c r="F113" i="1"/>
  <c r="F114" i="1"/>
  <c r="F95" i="1"/>
  <c r="F96" i="1"/>
  <c r="F97" i="1"/>
  <c r="F99" i="1"/>
  <c r="F100" i="1"/>
  <c r="F101" i="1"/>
  <c r="F116" i="1"/>
  <c r="F117" i="1"/>
  <c r="F118" i="1"/>
  <c r="F120" i="1"/>
  <c r="F121" i="1"/>
  <c r="F122" i="1"/>
  <c r="F74" i="1"/>
  <c r="F75" i="1"/>
  <c r="F76" i="1"/>
  <c r="F78" i="1"/>
  <c r="F79" i="1"/>
  <c r="F80" i="1"/>
  <c r="F82" i="1"/>
  <c r="F83" i="1"/>
  <c r="F84" i="1"/>
  <c r="F1441" i="1"/>
  <c r="F1448" i="1"/>
  <c r="F1442" i="1"/>
  <c r="F1447" i="1"/>
  <c r="F1445" i="1"/>
  <c r="F1444" i="1"/>
  <c r="F1443" i="1"/>
  <c r="F1446" i="1"/>
  <c r="F1449" i="1"/>
  <c r="F1428" i="1"/>
  <c r="F1436" i="1"/>
  <c r="F1434" i="1"/>
  <c r="F1432" i="1"/>
  <c r="F1431" i="1"/>
  <c r="F1430" i="1"/>
  <c r="F1433" i="1"/>
  <c r="F1435" i="1"/>
  <c r="F1429" i="1"/>
  <c r="F1438" i="1"/>
  <c r="F1439" i="1"/>
  <c r="F1440" i="1"/>
  <c r="F1425" i="1"/>
  <c r="F1426" i="1"/>
  <c r="F1427" i="1"/>
  <c r="F3055" i="1"/>
  <c r="F3056" i="1"/>
  <c r="F3111" i="1"/>
  <c r="F3112" i="1"/>
  <c r="F3099" i="1"/>
  <c r="F3100" i="1"/>
  <c r="F2892" i="1"/>
  <c r="F2893" i="1"/>
  <c r="F2894" i="1"/>
  <c r="F2880" i="1"/>
  <c r="F2881" i="1"/>
  <c r="F2882" i="1"/>
  <c r="F1077" i="1"/>
  <c r="F1078" i="1"/>
  <c r="F1079" i="1"/>
  <c r="F1080" i="1"/>
  <c r="F1081" i="1"/>
  <c r="F1082" i="1"/>
  <c r="F1083" i="1"/>
  <c r="F1085" i="1"/>
  <c r="F1086" i="1"/>
  <c r="F1087" i="1"/>
  <c r="F1089" i="1"/>
  <c r="F1090" i="1"/>
  <c r="F1091" i="1"/>
  <c r="F2411" i="1"/>
  <c r="F1156" i="1"/>
  <c r="F1157" i="1"/>
  <c r="F1158" i="1"/>
  <c r="F1159" i="1"/>
  <c r="F1160" i="1"/>
  <c r="F1161" i="1"/>
  <c r="F1162" i="1"/>
  <c r="F1164" i="1"/>
  <c r="F1165" i="1"/>
  <c r="F1166" i="1"/>
  <c r="F1168" i="1"/>
  <c r="F1169" i="1"/>
  <c r="F1170" i="1"/>
  <c r="F1130" i="1"/>
  <c r="F1131" i="1"/>
  <c r="F1132" i="1"/>
  <c r="F1133" i="1"/>
  <c r="F1134" i="1"/>
  <c r="F1135" i="1"/>
  <c r="F1136" i="1"/>
  <c r="F1138" i="1"/>
  <c r="F1139" i="1"/>
  <c r="F1140" i="1"/>
  <c r="F1103" i="1"/>
  <c r="F1104" i="1"/>
  <c r="F1105" i="1"/>
  <c r="F1106" i="1"/>
  <c r="F1107" i="1"/>
  <c r="F1108" i="1"/>
  <c r="F1109" i="1"/>
  <c r="F1110" i="1"/>
  <c r="F1112" i="1"/>
  <c r="F1113" i="1"/>
  <c r="F1114" i="1"/>
  <c r="F1092" i="1"/>
  <c r="F1093" i="1"/>
  <c r="F1094" i="1"/>
  <c r="F1095" i="1"/>
  <c r="F1096" i="1"/>
  <c r="F1097" i="1"/>
  <c r="F1098" i="1"/>
  <c r="F1100" i="1"/>
  <c r="F1101" i="1"/>
  <c r="F1102" i="1"/>
  <c r="F1219" i="1"/>
  <c r="F1220" i="1"/>
  <c r="F1221" i="1"/>
  <c r="F1222" i="1"/>
  <c r="F1223" i="1"/>
  <c r="F1224" i="1"/>
  <c r="F1225" i="1"/>
  <c r="F1227" i="1"/>
  <c r="F1228" i="1"/>
  <c r="F1229" i="1"/>
  <c r="F1231" i="1"/>
  <c r="F1232" i="1"/>
  <c r="F1233" i="1"/>
  <c r="F1262" i="1"/>
  <c r="F1263" i="1"/>
  <c r="F1264" i="1"/>
  <c r="F1265" i="1"/>
  <c r="F1266" i="1"/>
  <c r="F1267" i="1"/>
  <c r="F1268" i="1"/>
  <c r="F1270" i="1"/>
  <c r="F1271" i="1"/>
  <c r="F1272" i="1"/>
  <c r="F1274" i="1"/>
  <c r="F1275" i="1"/>
  <c r="F1276" i="1"/>
  <c r="F1177" i="1"/>
  <c r="F1171" i="1"/>
  <c r="F1172" i="1"/>
  <c r="F1173" i="1"/>
  <c r="F1174" i="1"/>
  <c r="F1175" i="1"/>
  <c r="F1176" i="1"/>
  <c r="F2189" i="1"/>
  <c r="F2190" i="1"/>
  <c r="F1179" i="1"/>
  <c r="F1180" i="1"/>
  <c r="F1181" i="1"/>
  <c r="F1183" i="1"/>
  <c r="F1184" i="1"/>
  <c r="F1185" i="1"/>
  <c r="F1186" i="1"/>
  <c r="F1187" i="1"/>
  <c r="F1188" i="1"/>
  <c r="F1189" i="1"/>
  <c r="F1190" i="1"/>
  <c r="F1191" i="1"/>
  <c r="F1192" i="1"/>
  <c r="F3344" i="1"/>
  <c r="F3352" i="1"/>
  <c r="F3350" i="1"/>
  <c r="F3348" i="1"/>
  <c r="F3347" i="1"/>
  <c r="F3346" i="1"/>
  <c r="F3349" i="1"/>
  <c r="F3351" i="1"/>
  <c r="F3345" i="1"/>
  <c r="F3365" i="1"/>
  <c r="F3370" i="1"/>
  <c r="F3368" i="1"/>
  <c r="F3367" i="1"/>
  <c r="F3366" i="1"/>
  <c r="F3369" i="1"/>
  <c r="F3371" i="1"/>
  <c r="F3302" i="1"/>
  <c r="A3024" i="1"/>
  <c r="A3025" i="1" s="1"/>
  <c r="A602" i="1"/>
  <c r="A603" i="1" s="1"/>
  <c r="C34" i="3"/>
  <c r="E34" i="3" s="1"/>
</calcChain>
</file>

<file path=xl/sharedStrings.xml><?xml version="1.0" encoding="utf-8"?>
<sst xmlns="http://schemas.openxmlformats.org/spreadsheetml/2006/main" count="25234" uniqueCount="14018">
  <si>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</si>
  <si>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</si>
  <si>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</si>
  <si>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</si>
  <si>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</si>
  <si>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</si>
  <si>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</si>
  <si>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</si>
  <si>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</si>
  <si>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</si>
  <si>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</si>
  <si>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</si>
  <si>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</si>
  <si>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</si>
  <si>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</si>
  <si>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</si>
  <si>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</si>
  <si>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</si>
  <si>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</si>
  <si>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</si>
  <si>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</si>
  <si>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</si>
  <si>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</si>
  <si>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</si>
  <si>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</si>
  <si>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</si>
  <si>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</si>
  <si>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</si>
  <si>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</si>
  <si>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</si>
  <si>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</si>
  <si>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</si>
  <si>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</si>
  <si>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</si>
  <si>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</si>
  <si>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</si>
  <si>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</si>
  <si>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</si>
  <si>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</si>
  <si>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</si>
  <si>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</si>
  <si>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</si>
  <si>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</si>
  <si>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</si>
  <si>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</si>
  <si>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</si>
  <si>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</si>
  <si>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</si>
  <si>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</si>
  <si>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</si>
  <si>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</si>
  <si>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</si>
  <si>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</si>
  <si>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</si>
  <si>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</si>
  <si>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</si>
  <si>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</si>
  <si>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</si>
  <si>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</si>
  <si>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</si>
  <si>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</si>
  <si>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</si>
  <si>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</si>
  <si>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</si>
  <si>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</si>
  <si>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</si>
  <si>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</si>
  <si>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</si>
  <si>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</si>
  <si>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</si>
  <si>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</si>
  <si>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</si>
  <si>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</si>
  <si>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</si>
  <si>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</si>
  <si>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</si>
  <si>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</si>
  <si>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</si>
  <si>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</si>
  <si>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</si>
  <si>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</si>
  <si>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</si>
  <si>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</si>
  <si>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</si>
  <si>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</si>
  <si>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</si>
  <si>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</si>
  <si>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</si>
  <si>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</si>
  <si>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</si>
  <si>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</si>
  <si>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</si>
  <si>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</si>
  <si>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</si>
  <si>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</si>
  <si>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</si>
  <si>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</si>
  <si>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</si>
  <si>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</si>
  <si>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</si>
  <si>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</si>
  <si>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</si>
  <si>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</si>
  <si>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</si>
  <si>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</si>
  <si>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</si>
  <si>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</si>
  <si>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</si>
  <si>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</si>
  <si>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</si>
  <si>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</si>
  <si>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</si>
  <si>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</si>
  <si>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</si>
  <si>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</si>
  <si>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</si>
  <si>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</si>
  <si>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</si>
  <si>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</si>
  <si>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</si>
  <si>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</si>
  <si>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</si>
  <si>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</si>
  <si>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</si>
  <si>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</si>
  <si>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</si>
  <si>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</si>
  <si>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</si>
  <si>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</si>
  <si>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</si>
  <si>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</si>
  <si>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</si>
  <si>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</si>
  <si>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</si>
  <si>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</si>
  <si>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</si>
  <si>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</si>
  <si>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</si>
  <si>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</si>
  <si>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</si>
  <si>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</si>
  <si>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</si>
  <si>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</si>
  <si>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</si>
  <si>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</si>
  <si>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</si>
  <si>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</si>
  <si>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</si>
  <si>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</si>
  <si>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</si>
  <si>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</si>
  <si>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</si>
  <si>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</si>
  <si>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</si>
  <si>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</si>
  <si>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</si>
  <si>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</si>
  <si>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</si>
  <si>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</si>
  <si>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</si>
  <si>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</si>
  <si>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</si>
  <si>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</si>
  <si>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</si>
  <si>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</si>
  <si>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</si>
  <si>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</si>
  <si>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</si>
  <si>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</si>
  <si>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</si>
  <si>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</si>
  <si>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</si>
  <si>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</si>
  <si>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</si>
  <si>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</si>
  <si>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</si>
  <si>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</si>
  <si>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</si>
  <si>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</si>
  <si>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</si>
  <si>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</si>
  <si>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</si>
  <si>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</si>
  <si>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</si>
  <si>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</si>
  <si>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</si>
  <si>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</si>
  <si>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</si>
  <si>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</si>
  <si>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</si>
  <si>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</si>
  <si>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</si>
  <si>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</si>
  <si>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</si>
  <si>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</si>
  <si>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</si>
  <si>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</si>
  <si>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</si>
  <si>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</si>
  <si>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</si>
  <si>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</si>
  <si>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</si>
  <si>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</si>
  <si>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</si>
  <si>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</si>
  <si>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</si>
  <si>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</si>
  <si>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</si>
  <si>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</si>
  <si>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</si>
  <si>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</si>
  <si>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</si>
  <si>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</si>
  <si>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</si>
  <si>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</si>
  <si>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</si>
  <si>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</si>
  <si>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</si>
  <si>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</si>
  <si>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</si>
  <si>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</si>
  <si>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</si>
  <si>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</si>
  <si>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</si>
  <si>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</si>
  <si>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</si>
  <si>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</si>
  <si>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</si>
  <si>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</si>
  <si>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</si>
  <si>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</si>
  <si>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</si>
  <si>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</si>
  <si>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</si>
  <si>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</si>
  <si>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</si>
  <si>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</si>
  <si>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</si>
  <si>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</si>
  <si>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</si>
  <si>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</si>
  <si>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</si>
  <si>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</si>
  <si>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</si>
  <si>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</si>
  <si>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</si>
  <si>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</si>
  <si>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</si>
  <si>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</si>
  <si>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</si>
  <si>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</si>
  <si>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</si>
  <si>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</si>
  <si>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</si>
  <si>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</si>
  <si>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</si>
  <si>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</si>
  <si>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</si>
  <si>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</si>
  <si>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</si>
  <si>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</si>
  <si>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</si>
  <si>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</si>
  <si>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</si>
  <si>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</si>
  <si>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</si>
  <si>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</si>
  <si>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</si>
  <si>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</si>
  <si>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</si>
  <si>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</si>
  <si>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</si>
  <si>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</si>
  <si>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</si>
  <si>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</si>
  <si>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</si>
  <si>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</si>
  <si>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</si>
  <si>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</si>
  <si>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</si>
  <si>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</si>
  <si>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</si>
  <si>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</si>
  <si>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</si>
  <si>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</si>
  <si>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</si>
  <si>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</si>
  <si>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</si>
  <si>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</si>
  <si>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</si>
  <si>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</si>
  <si>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</si>
  <si>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</si>
  <si>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</si>
  <si>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</si>
  <si>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</si>
  <si>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</si>
  <si>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</si>
  <si>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</si>
  <si>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</si>
  <si>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</si>
  <si>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</si>
  <si>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</si>
  <si>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</si>
  <si>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</si>
  <si>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</si>
  <si>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</si>
  <si>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</si>
  <si>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</si>
  <si>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</si>
  <si>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</si>
  <si>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</si>
  <si>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</si>
  <si>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</si>
  <si>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</si>
  <si>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</si>
  <si>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</si>
  <si>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</si>
  <si>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</si>
  <si>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</si>
  <si>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</si>
  <si>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</si>
  <si>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</si>
  <si>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</si>
  <si>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</si>
  <si>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</si>
  <si>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</si>
  <si>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</si>
  <si>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</si>
  <si>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</si>
  <si>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</si>
  <si>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</si>
  <si>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</si>
  <si>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</si>
  <si>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</si>
  <si>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</si>
  <si>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</si>
  <si>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</si>
  <si>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</si>
  <si>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</si>
  <si>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</si>
  <si>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</si>
  <si>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</si>
  <si>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</si>
  <si>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</si>
  <si>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</si>
  <si>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</si>
  <si>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</si>
  <si>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</si>
  <si>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</si>
  <si>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</si>
  <si>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</si>
  <si>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</si>
  <si>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</si>
  <si>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</si>
  <si>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</si>
  <si>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</si>
  <si>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</si>
  <si>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</si>
  <si>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</si>
  <si>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</si>
  <si>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</si>
  <si>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</si>
  <si>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</si>
  <si>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</si>
  <si>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</si>
  <si>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</si>
  <si>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</si>
  <si>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</si>
  <si>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</si>
  <si>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</si>
  <si>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</si>
  <si>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</si>
  <si>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</si>
  <si>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</si>
  <si>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</si>
  <si>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</si>
  <si>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</si>
  <si>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</si>
  <si>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</si>
  <si>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</si>
  <si>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</si>
  <si>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</si>
  <si>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</si>
  <si>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</si>
  <si>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</si>
  <si>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</si>
  <si>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</si>
  <si>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</si>
  <si>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</si>
  <si>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</si>
  <si>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</si>
  <si>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</si>
  <si>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</si>
  <si>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</si>
  <si>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</si>
  <si>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</si>
  <si>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</si>
  <si>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</si>
  <si>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</si>
  <si>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</si>
  <si>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</si>
  <si>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</si>
  <si>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</si>
  <si>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</si>
  <si>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</si>
  <si>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</si>
  <si>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</si>
  <si>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</si>
  <si>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</si>
  <si>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</si>
  <si>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</si>
  <si>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</si>
  <si>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</si>
  <si>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</si>
  <si>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</si>
  <si>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</si>
  <si>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</si>
  <si>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</si>
  <si>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</si>
  <si>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</si>
  <si>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</si>
  <si>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</si>
  <si>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</si>
  <si>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</si>
  <si>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</si>
  <si>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</si>
  <si>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</si>
  <si>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</si>
  <si>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</si>
  <si>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</si>
  <si>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</si>
  <si>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</si>
  <si>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</si>
  <si>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</si>
  <si>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</si>
  <si>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</si>
  <si>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</si>
  <si>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</si>
  <si>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</si>
  <si>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</si>
  <si>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</si>
  <si>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</si>
  <si>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</si>
  <si>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</si>
  <si>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</si>
  <si>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</si>
  <si>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</si>
  <si>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</si>
  <si>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</si>
  <si>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</si>
  <si>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</si>
  <si>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</si>
  <si>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</si>
  <si>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</si>
  <si>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</si>
  <si>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</si>
  <si>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</si>
  <si>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</si>
  <si>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</si>
  <si>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</si>
  <si>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</si>
  <si>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</si>
  <si>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</si>
  <si>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</si>
  <si>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</si>
  <si>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</si>
  <si>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</si>
  <si>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</si>
  <si>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</si>
  <si>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</si>
  <si>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</si>
  <si>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</si>
  <si>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</si>
  <si>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</si>
  <si>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</si>
  <si>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</si>
  <si>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</si>
  <si>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</si>
  <si>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</si>
  <si>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</si>
  <si>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</si>
  <si>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</si>
  <si>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</si>
  <si>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</si>
  <si>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</si>
  <si>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</si>
  <si>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</si>
  <si>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</si>
  <si>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</si>
  <si>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</si>
  <si>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</si>
  <si>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</si>
  <si>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</si>
  <si>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</si>
  <si>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</si>
  <si>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</si>
  <si>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</si>
  <si>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</si>
  <si>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</si>
  <si>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</si>
  <si>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</si>
  <si>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</si>
  <si>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</si>
  <si>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</si>
  <si>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</si>
  <si>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</si>
  <si>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</si>
  <si>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</si>
  <si>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</si>
  <si>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</si>
  <si>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</si>
  <si>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</si>
  <si>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</si>
  <si>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</si>
  <si>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</si>
  <si>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</si>
  <si>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</si>
  <si>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</si>
  <si>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</si>
  <si>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</si>
  <si>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</si>
  <si>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</si>
  <si>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</si>
  <si>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</si>
  <si>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</si>
  <si>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</si>
  <si>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</si>
  <si>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</si>
  <si>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</si>
  <si>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</si>
  <si>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</si>
  <si>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</si>
  <si>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</si>
  <si>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</si>
  <si>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</si>
  <si>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</si>
  <si>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</si>
  <si>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</si>
  <si>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</si>
  <si>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</si>
  <si>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</si>
  <si>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</si>
  <si>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</si>
  <si>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</si>
  <si>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</si>
  <si>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</si>
  <si>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</si>
  <si>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</si>
  <si>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</si>
  <si>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</si>
  <si>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</si>
  <si>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</si>
  <si>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</si>
  <si>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</si>
  <si>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</si>
  <si>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</si>
  <si>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</si>
  <si>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</si>
  <si>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</si>
  <si>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</si>
  <si>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</si>
  <si>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</si>
  <si>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</si>
  <si>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</si>
  <si>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</si>
  <si>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</si>
  <si>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</si>
  <si>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</si>
  <si>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</si>
  <si>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</si>
  <si>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</si>
  <si>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</si>
  <si>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</si>
  <si>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</si>
  <si>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</si>
  <si>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</si>
  <si>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</si>
  <si>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</si>
  <si>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</si>
  <si>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</si>
  <si>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</si>
  <si>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</si>
  <si>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</si>
  <si>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</si>
  <si>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</si>
  <si>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</si>
  <si>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</si>
  <si>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</si>
  <si>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</si>
  <si>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</si>
  <si>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</si>
  <si>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</si>
  <si>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</si>
  <si>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</si>
  <si>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</si>
  <si>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</si>
  <si>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</si>
  <si>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</si>
  <si>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</si>
  <si>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</si>
  <si>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</si>
  <si>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</si>
  <si>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</si>
  <si>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</si>
  <si>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</si>
  <si>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</si>
  <si>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</si>
  <si>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</si>
  <si>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</si>
  <si>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</si>
  <si>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</si>
  <si>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</si>
  <si>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</si>
  <si>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</si>
  <si>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</si>
  <si>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</si>
  <si>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</si>
  <si>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</si>
  <si>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</si>
  <si>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</si>
  <si>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</si>
  <si>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</si>
  <si>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</si>
  <si>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</si>
  <si>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</si>
  <si>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</si>
  <si>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</si>
  <si>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</si>
  <si>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</si>
  <si>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</si>
  <si>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</si>
  <si>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</si>
  <si>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</si>
  <si>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</si>
  <si>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</si>
  <si>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</si>
  <si>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</si>
  <si>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</si>
  <si>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</si>
  <si>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</si>
  <si>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</si>
  <si>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</si>
  <si>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</si>
  <si>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</si>
  <si>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</si>
  <si>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</si>
  <si>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</si>
  <si>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</si>
  <si>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</si>
  <si>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</si>
  <si>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</si>
  <si>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</si>
  <si>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</si>
  <si>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</si>
  <si>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</si>
  <si>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</si>
  <si>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</si>
  <si>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</si>
  <si>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</si>
  <si>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</si>
  <si>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</si>
  <si>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</si>
  <si>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</si>
  <si>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</si>
  <si>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</si>
  <si>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</si>
  <si>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</si>
  <si>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</si>
  <si>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</si>
  <si>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</si>
  <si>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</si>
  <si>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</si>
  <si>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</si>
  <si>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</si>
  <si>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</si>
  <si>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</si>
  <si>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</si>
  <si>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</si>
  <si>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</si>
  <si>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</si>
  <si>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</si>
  <si>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</si>
  <si>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</si>
  <si>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</si>
  <si>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</si>
  <si>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</si>
  <si>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</si>
  <si>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</si>
  <si>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</si>
  <si>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</si>
  <si>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</si>
  <si>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</si>
  <si>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</si>
  <si>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</si>
  <si>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</si>
  <si>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</si>
  <si>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</si>
  <si>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</si>
  <si>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</si>
  <si>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</si>
  <si>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</si>
  <si>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</si>
  <si>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</si>
  <si>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</si>
  <si>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</si>
  <si>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</si>
  <si>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</si>
  <si>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</si>
  <si>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</si>
  <si>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</si>
  <si>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</si>
  <si>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</si>
  <si>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</si>
  <si>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</si>
  <si>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</si>
  <si>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</si>
  <si>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</si>
  <si>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</si>
  <si>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</si>
  <si>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</si>
  <si>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</si>
  <si>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</si>
  <si>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</si>
  <si>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</si>
  <si>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</si>
  <si>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</si>
  <si>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</si>
  <si>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</si>
  <si>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</si>
  <si>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</si>
  <si>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</si>
  <si>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</si>
  <si>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</si>
  <si>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</si>
  <si>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</si>
  <si>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</si>
  <si>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</si>
  <si>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</si>
  <si>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</si>
  <si>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</si>
  <si>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</si>
  <si>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</si>
  <si>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</si>
  <si>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</si>
  <si>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</si>
  <si>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</si>
  <si>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</si>
  <si>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</si>
  <si>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</si>
  <si>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</si>
  <si>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</si>
  <si>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</si>
  <si>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</si>
  <si>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</si>
  <si>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</si>
  <si>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</si>
  <si>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</si>
  <si>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</si>
  <si>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</si>
  <si>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</si>
  <si>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</si>
  <si>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</si>
  <si>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</si>
  <si>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</si>
  <si>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</si>
  <si>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</si>
  <si>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</si>
  <si>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</si>
  <si>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</si>
  <si>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</si>
  <si>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</si>
  <si>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</si>
  <si>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</si>
  <si>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</si>
  <si>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</si>
  <si>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</si>
  <si>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</si>
  <si>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</si>
  <si>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</si>
  <si>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</si>
  <si>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</si>
  <si>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</si>
  <si>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</si>
  <si>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</si>
  <si>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</si>
  <si>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</si>
  <si>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</si>
  <si>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</si>
  <si>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</si>
  <si>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</si>
  <si>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</si>
  <si>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</si>
  <si>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</si>
  <si>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</si>
  <si>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</si>
  <si>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</si>
  <si>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</si>
  <si>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</si>
  <si>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</si>
  <si>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</si>
  <si>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</si>
  <si>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</si>
  <si>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</si>
  <si>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</si>
  <si>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</si>
  <si>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</si>
  <si>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</si>
  <si>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</si>
  <si>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</si>
  <si>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</si>
  <si>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</si>
  <si>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</si>
  <si>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</si>
  <si>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</si>
  <si>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</si>
  <si>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</si>
  <si>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</si>
  <si>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</si>
  <si>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</si>
  <si>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</si>
  <si>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</si>
  <si>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</si>
  <si>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</si>
  <si>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</si>
  <si>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</si>
  <si>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</si>
  <si>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</si>
  <si>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</si>
  <si>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</si>
  <si>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</si>
  <si>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</si>
  <si>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</si>
  <si>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</si>
  <si>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</si>
  <si>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</si>
  <si>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</si>
  <si>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</si>
  <si>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</si>
  <si>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</si>
  <si>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</si>
  <si>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</si>
  <si>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</si>
  <si>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</si>
  <si>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</si>
  <si>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</si>
  <si>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</si>
  <si>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</si>
  <si>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</si>
  <si>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</si>
  <si>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</si>
  <si>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</si>
  <si>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</si>
  <si>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</si>
  <si>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</si>
  <si>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</si>
  <si>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</si>
  <si>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</si>
  <si>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</si>
  <si>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</si>
  <si>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</si>
  <si>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</si>
  <si>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</si>
  <si>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</si>
  <si>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</si>
  <si>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</si>
  <si>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</si>
  <si>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</si>
  <si>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</si>
  <si>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</si>
  <si>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</si>
  <si>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</si>
  <si>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</si>
  <si>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</si>
  <si>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</si>
  <si>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</si>
  <si>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</si>
  <si>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</si>
  <si>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</si>
  <si>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</si>
  <si>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</si>
  <si>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</si>
  <si>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</si>
  <si>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</si>
  <si>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</si>
  <si>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</si>
  <si>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</si>
  <si>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</si>
  <si>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</si>
  <si>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</si>
  <si>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</si>
  <si>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</si>
  <si>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</si>
  <si>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</si>
  <si>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</si>
  <si>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</si>
  <si>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</si>
  <si>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</si>
  <si>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</si>
  <si>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</si>
  <si>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</si>
  <si>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</si>
  <si>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</si>
  <si>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</si>
  <si>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</si>
  <si>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</si>
  <si>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</si>
  <si>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</si>
  <si>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</si>
  <si>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</si>
  <si>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</si>
  <si>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</si>
  <si>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</si>
  <si>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</si>
  <si>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</si>
  <si>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</si>
  <si>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</si>
  <si>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</si>
  <si>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</si>
  <si>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</si>
  <si>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</si>
  <si>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</si>
  <si>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</si>
  <si>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</si>
  <si>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</si>
  <si>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</si>
  <si>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</si>
  <si>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</si>
  <si>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</si>
  <si>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</si>
  <si>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</si>
  <si>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</si>
  <si>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</si>
  <si>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</si>
  <si>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</si>
  <si>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</si>
  <si>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</si>
  <si>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</si>
  <si>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</si>
  <si>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</si>
  <si>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</si>
  <si>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</si>
  <si>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</si>
  <si>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</si>
  <si>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</si>
  <si>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</si>
  <si>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</si>
  <si>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</si>
  <si>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</si>
  <si>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</si>
  <si>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</si>
  <si>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</si>
  <si>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</si>
  <si>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</si>
  <si>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</si>
  <si>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</si>
  <si>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</si>
  <si>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</si>
  <si>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</si>
  <si>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</si>
  <si>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</si>
  <si>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</si>
  <si>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</si>
  <si>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</si>
  <si>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</si>
  <si>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</si>
  <si>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</si>
  <si>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</si>
  <si>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</si>
  <si>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</si>
  <si>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</si>
  <si>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</si>
  <si>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</si>
  <si>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</si>
  <si>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</si>
  <si>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</si>
  <si>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</si>
  <si>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</si>
  <si>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</si>
  <si>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</si>
  <si>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</si>
  <si>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</si>
  <si>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</si>
  <si>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</si>
  <si>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</si>
  <si>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</si>
  <si>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</si>
  <si>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</si>
  <si>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</si>
  <si>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</si>
  <si>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</si>
  <si>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</si>
  <si>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</si>
  <si>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</si>
  <si>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</si>
  <si>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</si>
  <si>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</si>
  <si>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</si>
  <si>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</si>
  <si>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</si>
  <si>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</si>
  <si>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</si>
  <si>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</si>
  <si>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</si>
  <si>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</si>
  <si>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</si>
  <si>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</si>
  <si>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</si>
  <si>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</si>
  <si>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</si>
  <si>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</si>
  <si>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</si>
  <si>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</si>
  <si>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</si>
  <si>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</si>
  <si>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</si>
  <si>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</si>
  <si>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Escudo Brazo Compañía Motorizada de la Policía de Mendoza</t>
  </si>
  <si>
    <t>7709754##</t>
  </si>
  <si>
    <t>Escudo Brazo Compañía Motorizada Baja Visivilidad de la Policía de Mendoza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</si>
  <si>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</si>
  <si>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</si>
  <si>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</si>
  <si>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</si>
  <si>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</si>
  <si>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</si>
  <si>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</si>
  <si>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</si>
  <si>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</si>
  <si>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</si>
  <si>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</si>
  <si>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</si>
  <si>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</si>
  <si>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</si>
  <si>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</si>
  <si>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</si>
  <si>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</si>
  <si>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</si>
  <si>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</si>
  <si>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</si>
  <si>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</si>
  <si>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</si>
  <si>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</si>
  <si>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</si>
  <si>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</si>
  <si>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</si>
  <si>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</si>
  <si>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</si>
  <si>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</si>
  <si>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</si>
  <si>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</si>
  <si>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</si>
  <si>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</si>
  <si>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</si>
  <si>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</si>
  <si>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</si>
  <si>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</si>
  <si>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</si>
  <si>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</si>
  <si>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</si>
  <si>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</si>
  <si>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</si>
  <si>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</si>
  <si>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</si>
  <si>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</si>
  <si>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</si>
  <si>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</si>
  <si>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</si>
  <si>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</si>
  <si>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</si>
  <si>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</si>
  <si>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</si>
  <si>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</si>
  <si>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</si>
  <si>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</si>
  <si>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</si>
  <si>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</si>
  <si>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</si>
  <si>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</si>
  <si>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</si>
  <si>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</si>
  <si>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</si>
  <si>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</si>
  <si>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</si>
  <si>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</si>
  <si>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</si>
  <si>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</si>
  <si>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</si>
  <si>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</si>
  <si>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</si>
  <si>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</si>
  <si>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</si>
  <si>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</si>
  <si>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</si>
  <si>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</si>
  <si>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</si>
  <si>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</si>
  <si>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</si>
  <si>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</si>
  <si>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</si>
  <si>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</si>
  <si>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</si>
  <si>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</si>
  <si>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</si>
  <si>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</si>
  <si>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</si>
  <si>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</si>
  <si>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</si>
  <si>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</si>
  <si>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</si>
  <si>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</si>
  <si>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</si>
  <si>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</si>
  <si>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</si>
  <si>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</si>
  <si>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</si>
  <si>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</si>
  <si>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</si>
  <si>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</si>
  <si>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</si>
  <si>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</si>
  <si>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</si>
  <si>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</si>
  <si>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</si>
  <si>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</si>
  <si>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</si>
  <si>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</si>
  <si>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</si>
  <si>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</si>
  <si>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</si>
  <si>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</si>
  <si>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</si>
  <si>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</si>
  <si>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</si>
  <si>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</si>
  <si>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</si>
  <si>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</si>
  <si>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</si>
  <si>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</si>
  <si>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</si>
  <si>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</si>
  <si>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</si>
  <si>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</si>
  <si>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</si>
  <si>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</si>
  <si>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</si>
  <si>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</si>
  <si>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</si>
  <si>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</si>
  <si>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</si>
  <si>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</si>
  <si>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</si>
  <si>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</si>
  <si>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</si>
  <si>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</si>
  <si>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</si>
  <si>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</si>
  <si>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</si>
  <si>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</si>
  <si>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</si>
  <si>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</si>
  <si>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</si>
  <si>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</si>
  <si>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</si>
  <si>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</si>
  <si>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</si>
  <si>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</si>
  <si>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</si>
  <si>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</si>
  <si>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7703116##</t>
  </si>
  <si>
    <t>Hombrera Oficial Subayudante</t>
  </si>
  <si>
    <t>7703002##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</si>
  <si>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</si>
  <si>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</si>
  <si>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</si>
  <si>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</si>
  <si>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</si>
  <si>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</si>
  <si>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</si>
  <si>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</si>
  <si>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</si>
  <si>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</si>
  <si>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</si>
  <si>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</si>
  <si>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</si>
  <si>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</si>
  <si>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</si>
  <si>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</si>
  <si>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</si>
  <si>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</si>
  <si>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</si>
  <si>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</si>
  <si>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</si>
  <si>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</si>
  <si>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</si>
  <si>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</si>
  <si>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</si>
  <si>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</si>
  <si>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</si>
  <si>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</si>
  <si>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</si>
  <si>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</si>
  <si>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</si>
  <si>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</si>
  <si>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</si>
  <si>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</si>
  <si>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</si>
  <si>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</si>
  <si>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</si>
  <si>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</si>
  <si>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</si>
  <si>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</si>
  <si>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</si>
  <si>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</si>
  <si>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</si>
  <si>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</si>
  <si>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</si>
  <si>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</si>
  <si>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</si>
  <si>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</si>
  <si>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</si>
  <si>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</si>
  <si>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</si>
  <si>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</si>
  <si>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</si>
  <si>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</si>
  <si>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</si>
  <si>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</si>
  <si>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</si>
  <si>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</si>
  <si>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</si>
  <si>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</si>
  <si>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</si>
  <si>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</si>
  <si>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</si>
  <si>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</si>
  <si>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</si>
  <si>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</si>
  <si>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</si>
  <si>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</si>
  <si>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</si>
  <si>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</si>
  <si>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</si>
  <si>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</si>
  <si>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</si>
  <si>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</si>
  <si>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</si>
  <si>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</si>
  <si>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</si>
  <si>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</si>
  <si>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</si>
  <si>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</si>
  <si>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</si>
  <si>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</si>
  <si>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</si>
  <si>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</si>
  <si>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</si>
  <si>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</si>
  <si>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</si>
  <si>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</si>
  <si>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</si>
  <si>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</si>
  <si>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</si>
  <si>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</si>
  <si>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</si>
  <si>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</si>
  <si>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</si>
  <si>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</si>
  <si>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</si>
  <si>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</si>
  <si>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</si>
  <si>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</si>
  <si>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</si>
  <si>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</si>
  <si>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</si>
  <si>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</si>
  <si>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</si>
  <si>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</si>
  <si>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</si>
  <si>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</si>
  <si>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</si>
  <si>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</si>
  <si>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</si>
  <si>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</si>
  <si>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</si>
  <si>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</si>
  <si>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</si>
  <si>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</si>
  <si>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</si>
  <si>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</si>
  <si>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</si>
  <si>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</si>
  <si>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</si>
  <si>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</si>
  <si>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</si>
  <si>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</si>
  <si>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</si>
  <si>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</si>
  <si>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</si>
  <si>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</si>
  <si>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</si>
  <si>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</si>
  <si>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</si>
  <si>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</si>
  <si>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</si>
  <si>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</si>
  <si>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</si>
  <si>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</si>
  <si>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</si>
  <si>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</si>
  <si>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</si>
  <si>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</si>
  <si>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</si>
  <si>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</si>
  <si>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</si>
  <si>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</si>
  <si>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</si>
  <si>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</si>
  <si>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</si>
  <si>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</si>
  <si>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</si>
  <si>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</si>
  <si>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</si>
  <si>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</si>
  <si>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</si>
  <si>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</si>
  <si>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</si>
  <si>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</si>
  <si>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</si>
  <si>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</si>
  <si>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</si>
  <si>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</si>
  <si>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</si>
  <si>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</si>
  <si>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</si>
  <si>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</si>
  <si>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</si>
  <si>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</si>
  <si>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</si>
  <si>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</si>
  <si>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</si>
  <si>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</si>
  <si>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</si>
  <si>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</si>
  <si>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</si>
  <si>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</si>
  <si>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</si>
  <si>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</si>
  <si>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</si>
  <si>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</si>
  <si>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</si>
  <si>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</si>
  <si>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</si>
  <si>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</si>
  <si>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</si>
  <si>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</si>
  <si>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</si>
  <si>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</si>
  <si>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</si>
  <si>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</si>
  <si>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</si>
  <si>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</si>
  <si>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</si>
  <si>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</si>
  <si>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</si>
  <si>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</si>
  <si>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</si>
  <si>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</si>
  <si>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</si>
  <si>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</si>
  <si>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</si>
  <si>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</si>
  <si>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</si>
  <si>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</si>
  <si>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</si>
  <si>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</si>
  <si>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</si>
  <si>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</si>
  <si>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</si>
  <si>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</si>
  <si>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</si>
  <si>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</si>
  <si>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</si>
  <si>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</si>
  <si>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</si>
  <si>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</si>
  <si>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</si>
  <si>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</si>
  <si>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</si>
  <si>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</si>
  <si>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</si>
  <si>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</si>
  <si>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</si>
  <si>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</si>
  <si>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</si>
  <si>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</si>
  <si>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</si>
  <si>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</si>
  <si>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</si>
  <si>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</si>
  <si>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</si>
  <si>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</si>
  <si>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</si>
  <si>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</si>
  <si>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</si>
  <si>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</si>
  <si>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</si>
  <si>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</si>
  <si>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</si>
  <si>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</si>
  <si>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</si>
  <si>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</si>
  <si>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</si>
  <si>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</si>
  <si>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</si>
  <si>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</si>
  <si>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</si>
  <si>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</si>
  <si>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</si>
  <si>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</si>
  <si>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</si>
  <si>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</si>
  <si>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</si>
  <si>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</si>
  <si>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</si>
  <si>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</si>
  <si>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</si>
  <si>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</si>
  <si>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</si>
  <si>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</si>
  <si>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</si>
  <si>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</si>
  <si>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</si>
  <si>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</si>
  <si>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</si>
  <si>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</si>
  <si>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</si>
  <si>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</si>
  <si>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</si>
  <si>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</si>
  <si>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</si>
  <si>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</si>
  <si>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</si>
  <si>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</si>
  <si>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</si>
  <si>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</si>
  <si>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</si>
  <si>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</si>
  <si>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</si>
  <si>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</si>
  <si>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</si>
  <si>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</si>
  <si>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</si>
  <si>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</si>
  <si>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</si>
  <si>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</si>
  <si>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</si>
  <si>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</si>
  <si>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</si>
  <si>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</si>
  <si>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</si>
  <si>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</si>
  <si>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</si>
  <si>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</si>
  <si>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</si>
  <si>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</si>
  <si>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</si>
  <si>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</si>
  <si>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</si>
  <si>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</si>
  <si>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</si>
  <si>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</si>
  <si>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</si>
  <si>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</si>
  <si>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</si>
  <si>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</si>
  <si>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</si>
  <si>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</si>
  <si>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</si>
  <si>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</si>
  <si>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</si>
  <si>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</si>
  <si>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</si>
  <si>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</si>
  <si>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</si>
  <si>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</si>
  <si>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</si>
  <si>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</si>
  <si>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</si>
  <si>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</si>
  <si>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</si>
  <si>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</si>
  <si>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</si>
  <si>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</si>
  <si>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</si>
  <si>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</si>
  <si>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</si>
  <si>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</si>
  <si>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</si>
  <si>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</si>
  <si>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</si>
  <si>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</si>
  <si>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</si>
  <si>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</si>
  <si>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</si>
  <si>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</si>
  <si>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</si>
  <si>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</si>
  <si>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</si>
  <si>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</si>
  <si>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</si>
  <si>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</si>
  <si>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</si>
  <si>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</si>
  <si>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</si>
  <si>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</si>
  <si>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</si>
  <si>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</si>
  <si>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</si>
  <si>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</si>
  <si>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</si>
  <si>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</si>
  <si>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</si>
  <si>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</si>
  <si>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</si>
  <si>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</si>
  <si>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</si>
  <si>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</si>
  <si>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</si>
  <si>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</si>
  <si>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</si>
  <si>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</si>
  <si>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</si>
  <si>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</si>
  <si>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</si>
  <si>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</si>
  <si>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</si>
  <si>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</si>
  <si>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</si>
  <si>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</si>
  <si>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</si>
  <si>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</si>
  <si>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</si>
  <si>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</si>
  <si>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</si>
  <si>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</si>
  <si>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</si>
  <si>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</si>
  <si>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</si>
  <si>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</si>
  <si>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</si>
  <si>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</si>
  <si>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</si>
  <si>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</si>
  <si>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</si>
  <si>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</si>
  <si>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</si>
  <si>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</si>
  <si>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</si>
  <si>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</si>
  <si>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</si>
  <si>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</si>
  <si>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</si>
  <si>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</si>
  <si>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</si>
  <si>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</si>
  <si>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</si>
  <si>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</si>
  <si>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</si>
  <si>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</si>
  <si>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</si>
  <si>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</si>
  <si>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</si>
  <si>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</si>
  <si>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</si>
  <si>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</si>
  <si>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</si>
  <si>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</si>
  <si>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</si>
  <si>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</si>
  <si>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</si>
  <si>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</si>
  <si>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</si>
  <si>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</si>
  <si>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</si>
  <si>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</si>
  <si>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</si>
  <si>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</si>
  <si>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</si>
  <si>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</si>
  <si>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</si>
  <si>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</si>
  <si>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</si>
  <si>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</si>
  <si>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</si>
  <si>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</si>
  <si>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</si>
  <si>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</si>
  <si>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</si>
  <si>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</si>
  <si>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</si>
  <si>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</si>
  <si>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</si>
  <si>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</si>
  <si>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</si>
  <si>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</si>
  <si>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</si>
  <si>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</si>
  <si>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</si>
  <si>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</si>
  <si>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</si>
  <si>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</si>
  <si>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</si>
  <si>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</si>
  <si>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</si>
  <si>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</si>
  <si>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</si>
  <si>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</si>
  <si>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</si>
  <si>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</si>
  <si>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</si>
  <si>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</si>
  <si>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</si>
  <si>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</si>
  <si>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</si>
  <si>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</si>
  <si>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</si>
  <si>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</si>
  <si>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</si>
  <si>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</si>
  <si>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</si>
  <si>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</si>
  <si>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</si>
  <si>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</si>
  <si>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</si>
  <si>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</si>
  <si>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</si>
  <si>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</si>
  <si>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</si>
  <si>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</si>
  <si>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</si>
  <si>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</si>
  <si>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</si>
  <si>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</si>
  <si>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</si>
  <si>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</si>
  <si>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</si>
  <si>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</si>
  <si>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</si>
  <si>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</si>
  <si>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</si>
  <si>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</si>
  <si>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</si>
  <si>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</si>
  <si>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</si>
  <si>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</si>
  <si>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</si>
  <si>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</si>
  <si>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</si>
  <si>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</si>
  <si>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</si>
  <si>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</si>
  <si>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</si>
  <si>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</si>
  <si>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</si>
  <si>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</si>
  <si>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</si>
  <si>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</si>
  <si>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</si>
  <si>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</si>
  <si>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</si>
  <si>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</si>
  <si>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</si>
  <si>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</si>
  <si>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</si>
  <si>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</si>
  <si>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</si>
  <si>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</si>
  <si>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</si>
  <si>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</si>
  <si>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</si>
  <si>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</si>
  <si>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</si>
  <si>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</si>
  <si>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</si>
  <si>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</si>
  <si>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</si>
  <si>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</si>
  <si>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</si>
  <si>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</si>
  <si>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</si>
  <si>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</si>
  <si>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</si>
  <si>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</si>
  <si>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</si>
  <si>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</si>
  <si>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</si>
  <si>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</si>
  <si>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</si>
  <si>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</si>
  <si>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</si>
  <si>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</si>
  <si>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</si>
  <si>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</si>
  <si>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</si>
  <si>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</si>
  <si>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</si>
  <si>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</si>
  <si>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</si>
  <si>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</si>
  <si>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</si>
  <si>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</si>
  <si>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</si>
  <si>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</si>
  <si>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</si>
  <si>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</si>
  <si>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</si>
  <si>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</si>
  <si>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</si>
  <si>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</si>
  <si>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</si>
  <si>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</si>
  <si>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</si>
  <si>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</si>
  <si>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</si>
  <si>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</si>
  <si>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</si>
  <si>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</si>
  <si>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</si>
  <si>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</si>
  <si>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</si>
  <si>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</si>
  <si>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</si>
  <si>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</si>
  <si>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</si>
  <si>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</si>
  <si>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</si>
  <si>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</si>
  <si>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</si>
  <si>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</si>
  <si>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</si>
  <si>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</si>
  <si>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</si>
  <si>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</si>
  <si>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</si>
  <si>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</si>
  <si>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</si>
  <si>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</si>
  <si>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</si>
  <si>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</si>
  <si>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</si>
  <si>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</si>
  <si>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</si>
  <si>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</si>
  <si>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</si>
  <si>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</si>
  <si>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</si>
  <si>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</si>
  <si>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</si>
  <si>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</si>
  <si>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</si>
  <si>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</si>
  <si>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</si>
  <si>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</si>
  <si>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</si>
  <si>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</si>
  <si>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</si>
  <si>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</si>
  <si>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</si>
  <si>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</si>
  <si>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</si>
  <si>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</si>
  <si>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</si>
  <si>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</si>
  <si>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</si>
  <si>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</si>
  <si>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</si>
  <si>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</si>
  <si>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</si>
  <si>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</si>
  <si>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</si>
  <si>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</si>
  <si>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</si>
  <si>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</si>
  <si>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</si>
  <si>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</si>
  <si>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</si>
  <si>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</si>
  <si>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</si>
  <si>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</si>
  <si>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</si>
  <si>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</si>
  <si>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</si>
  <si>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</si>
  <si>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</si>
  <si>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</si>
  <si>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</si>
  <si>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</si>
  <si>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</si>
  <si>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</si>
  <si>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</si>
  <si>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</si>
  <si>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</si>
  <si>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</si>
  <si>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</si>
  <si>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</si>
  <si>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</si>
  <si>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</si>
  <si>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</si>
  <si>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</si>
  <si>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</si>
  <si>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</si>
  <si>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</si>
  <si>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</si>
  <si>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</si>
  <si>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</si>
  <si>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</si>
  <si>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</si>
  <si>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</si>
  <si>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</si>
  <si>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</si>
  <si>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</si>
  <si>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</si>
  <si>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</si>
  <si>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</si>
  <si>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</si>
  <si>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</si>
  <si>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</si>
  <si>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</si>
  <si>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</si>
  <si>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</si>
  <si>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</si>
  <si>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</si>
  <si>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</si>
  <si>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</si>
  <si>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</si>
  <si>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</si>
  <si>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</si>
  <si>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</si>
  <si>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</si>
  <si>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</si>
  <si>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</si>
  <si>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</si>
  <si>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</si>
  <si>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</si>
  <si>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</si>
  <si>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</si>
  <si>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</si>
  <si>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</si>
  <si>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</si>
  <si>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</si>
  <si>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</si>
  <si>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</si>
  <si>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</si>
  <si>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</si>
  <si>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</si>
  <si>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</si>
  <si>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</si>
  <si>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</si>
  <si>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</si>
  <si>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</si>
  <si>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</si>
  <si>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</si>
  <si>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</si>
  <si>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</si>
  <si>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</si>
  <si>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</si>
  <si>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</si>
  <si>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</si>
  <si>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</si>
  <si>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</si>
  <si>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</si>
  <si>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</si>
  <si>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</si>
  <si>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</si>
  <si>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</si>
  <si>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</si>
  <si>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</si>
  <si>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</si>
  <si>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</si>
  <si>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</si>
  <si>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</si>
  <si>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</si>
  <si>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</si>
  <si>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</si>
  <si>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</si>
  <si>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</si>
  <si>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</si>
  <si>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</si>
  <si>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</si>
  <si>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</si>
  <si>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</si>
  <si>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</si>
  <si>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</si>
  <si>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</si>
  <si>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</si>
  <si>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</si>
  <si>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</si>
  <si>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</si>
  <si>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</si>
  <si>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</si>
  <si>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</si>
  <si>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</si>
  <si>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</si>
  <si>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</si>
  <si>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</si>
  <si>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</si>
  <si>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</si>
  <si>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</si>
  <si>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</si>
  <si>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</si>
  <si>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</si>
  <si>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</si>
  <si>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</si>
  <si>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</si>
  <si>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</si>
  <si>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</si>
  <si>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</si>
  <si>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</si>
  <si>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</si>
  <si>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</si>
  <si>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</si>
  <si>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</si>
  <si>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</si>
  <si>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</si>
  <si>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</si>
  <si>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</si>
  <si>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</si>
  <si>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</si>
  <si>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</si>
  <si>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</si>
  <si>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</si>
  <si>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</si>
  <si>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</si>
  <si>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</si>
  <si>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</si>
  <si>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</si>
  <si>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</si>
  <si>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</si>
  <si>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</si>
  <si>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</si>
  <si>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</si>
  <si>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</si>
  <si>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</si>
  <si>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</si>
  <si>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</si>
  <si>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</si>
  <si>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</si>
  <si>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</si>
  <si>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</si>
  <si>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</si>
  <si>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</si>
  <si>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</si>
  <si>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</si>
  <si>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</si>
  <si>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</si>
  <si>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</si>
  <si>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</si>
  <si>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</si>
  <si>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</si>
  <si>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</si>
  <si>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</si>
  <si>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</si>
  <si>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</si>
  <si>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</si>
  <si>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</si>
  <si>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</si>
  <si>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</si>
  <si>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</si>
  <si>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</si>
  <si>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</si>
  <si>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</si>
  <si>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</si>
  <si>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</si>
  <si>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</si>
  <si>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</si>
  <si>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</si>
  <si>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</si>
  <si>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</si>
  <si>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</si>
  <si>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</si>
  <si>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</si>
  <si>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</si>
  <si>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</si>
  <si>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</si>
  <si>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</si>
  <si>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</si>
  <si>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</si>
  <si>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</si>
  <si>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</si>
  <si>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</si>
  <si>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</si>
  <si>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</si>
  <si>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</si>
  <si>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</si>
  <si>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</si>
  <si>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</si>
  <si>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</si>
  <si>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</si>
  <si>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</si>
  <si>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</si>
  <si>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</si>
  <si>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</si>
  <si>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</si>
  <si>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</si>
  <si>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</si>
  <si>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</si>
  <si>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</si>
  <si>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</si>
  <si>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</si>
  <si>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</si>
  <si>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</si>
  <si>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</si>
  <si>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</si>
  <si>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</si>
  <si>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</si>
  <si>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</si>
  <si>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</si>
  <si>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</si>
  <si>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</si>
  <si>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</si>
  <si>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</si>
  <si>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</si>
  <si>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</si>
  <si>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</si>
  <si>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</si>
  <si>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</si>
  <si>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</si>
  <si>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</si>
  <si>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</si>
  <si>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</si>
  <si>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</si>
  <si>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</si>
  <si>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</si>
  <si>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</si>
  <si>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</si>
  <si>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</si>
  <si>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</si>
  <si>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</si>
  <si>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</si>
  <si>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</si>
  <si>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</si>
  <si>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</si>
  <si>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</si>
  <si>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</si>
  <si>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</si>
  <si>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</si>
  <si>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</si>
  <si>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</si>
  <si>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</si>
  <si>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</si>
  <si>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</si>
  <si>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</si>
  <si>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</si>
  <si>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</si>
  <si>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</si>
  <si>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</si>
  <si>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</si>
  <si>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</si>
  <si>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</si>
  <si>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</si>
  <si>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</si>
  <si>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</si>
  <si>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</si>
  <si>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</si>
  <si>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</si>
  <si>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</si>
  <si>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</si>
  <si>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</si>
  <si>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</si>
  <si>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</si>
  <si>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</si>
  <si>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</si>
  <si>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</si>
  <si>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</si>
  <si>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</si>
  <si>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</si>
  <si>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</si>
  <si>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</si>
  <si>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</si>
  <si>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</si>
  <si>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</si>
  <si>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</si>
  <si>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</si>
  <si>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</si>
  <si>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</si>
  <si>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</si>
  <si>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</si>
  <si>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</si>
  <si>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</si>
  <si>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</si>
  <si>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</si>
  <si>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</si>
  <si>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</si>
  <si>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</si>
  <si>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</si>
  <si>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</si>
  <si>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</si>
  <si>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</si>
  <si>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</si>
  <si>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</si>
  <si>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</si>
  <si>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</si>
  <si>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</si>
  <si>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</si>
  <si>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</si>
  <si>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</si>
  <si>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</si>
  <si>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</si>
  <si>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</si>
  <si>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</si>
  <si>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</si>
  <si>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</si>
  <si>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</si>
  <si>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</si>
  <si>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</si>
  <si>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</si>
  <si>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</si>
  <si>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</si>
  <si>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</si>
  <si>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</si>
  <si>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</si>
  <si>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</si>
  <si>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</si>
  <si>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</si>
  <si>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</si>
  <si>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</si>
  <si>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</si>
  <si>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</si>
  <si>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</si>
  <si>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</si>
  <si>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</si>
  <si>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</si>
  <si>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</si>
  <si>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</si>
  <si>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</si>
  <si>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</si>
  <si>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</si>
  <si>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</si>
  <si>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</si>
  <si>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</si>
  <si>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</si>
  <si>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</si>
  <si>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</si>
  <si>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</si>
  <si>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</si>
  <si>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</si>
  <si>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</si>
  <si>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</si>
  <si>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</si>
  <si>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</si>
  <si>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</si>
  <si>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</si>
  <si>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</si>
  <si>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</si>
  <si>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</si>
  <si>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</si>
  <si>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</si>
  <si>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</si>
  <si>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</si>
  <si>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</si>
  <si>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</si>
  <si>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</si>
  <si>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</si>
  <si>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</si>
  <si>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</si>
  <si>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</si>
  <si>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</si>
  <si>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</si>
  <si>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</si>
  <si>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</si>
  <si>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</si>
  <si>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</si>
  <si>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</si>
  <si>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</si>
  <si>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</si>
  <si>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</si>
  <si>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</si>
  <si>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</si>
  <si>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</si>
  <si>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</si>
  <si>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</si>
  <si>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</si>
  <si>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</si>
  <si>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</si>
  <si>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</si>
  <si>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</si>
  <si>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</si>
  <si>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</si>
  <si>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</si>
  <si>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</si>
  <si>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</si>
  <si>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</si>
  <si>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</si>
  <si>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</si>
  <si>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</si>
  <si>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</si>
  <si>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</si>
  <si>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</si>
  <si>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</si>
  <si>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</si>
  <si>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</si>
  <si>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</si>
  <si>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</si>
  <si>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</si>
  <si>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</si>
  <si>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</si>
  <si>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</si>
  <si>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</si>
  <si>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</si>
  <si>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</si>
  <si>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</si>
  <si>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</si>
  <si>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</si>
  <si>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</si>
  <si>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</si>
  <si>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</si>
  <si>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</si>
  <si>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</si>
  <si>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</si>
  <si>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</si>
  <si>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</si>
  <si>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</si>
  <si>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</si>
  <si>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</si>
  <si>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</si>
  <si>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</si>
  <si>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</si>
  <si>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</si>
  <si>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</si>
  <si>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</si>
  <si>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</si>
  <si>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</si>
  <si>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</si>
  <si>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</si>
  <si>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</si>
  <si>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</si>
  <si>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</si>
  <si>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</si>
  <si>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</si>
  <si>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</si>
  <si>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</si>
  <si>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</si>
  <si>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</si>
  <si>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</si>
  <si>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</si>
  <si>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</si>
  <si>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</si>
  <si>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</si>
  <si>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</si>
  <si>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</si>
  <si>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</si>
  <si>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</si>
  <si>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</si>
  <si>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</si>
  <si>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</si>
  <si>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</si>
  <si>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</si>
  <si>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</si>
  <si>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</si>
  <si>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</si>
  <si>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</si>
  <si>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</si>
  <si>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</si>
  <si>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</si>
  <si>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</si>
  <si>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</si>
  <si>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</si>
  <si>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</si>
  <si>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</si>
  <si>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</si>
  <si>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</si>
  <si>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</si>
  <si>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</si>
  <si>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</si>
  <si>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</si>
  <si>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</si>
  <si>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</si>
  <si>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</si>
  <si>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</si>
  <si>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</si>
  <si>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</si>
  <si>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</si>
  <si>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</si>
  <si>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</si>
  <si>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</si>
  <si>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</si>
  <si>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</si>
  <si>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</si>
  <si>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</si>
  <si>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</si>
  <si>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</si>
  <si>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</si>
  <si>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</si>
  <si>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</si>
  <si>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</si>
  <si>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</si>
  <si>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</si>
  <si>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</si>
  <si>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</si>
  <si>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</si>
  <si>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</si>
  <si>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</si>
  <si>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</si>
  <si>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</si>
  <si>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</si>
  <si>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</si>
  <si>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</si>
  <si>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</si>
  <si>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</si>
  <si>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</si>
  <si>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</si>
  <si>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</si>
  <si>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</si>
  <si>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</si>
  <si>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</si>
  <si>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</si>
  <si>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</si>
  <si>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</si>
  <si>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</si>
  <si>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</si>
  <si>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</si>
  <si>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</si>
  <si>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</si>
  <si>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</si>
  <si>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</si>
  <si>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</si>
  <si>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</si>
  <si>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</si>
  <si>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</si>
  <si>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</si>
  <si>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</si>
  <si>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</si>
  <si>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</si>
  <si>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</si>
  <si>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</si>
  <si>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</si>
  <si>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</si>
  <si>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</si>
  <si>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</si>
  <si>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</si>
  <si>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</si>
  <si>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</si>
  <si>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</si>
  <si>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</si>
  <si>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</si>
  <si>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</si>
  <si>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</si>
  <si>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</si>
  <si>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</si>
  <si>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</si>
  <si>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</si>
  <si>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</si>
  <si>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</si>
  <si>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</si>
  <si>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</si>
  <si>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</si>
  <si>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</si>
  <si>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</si>
  <si>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</si>
  <si>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</si>
  <si>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</si>
  <si>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</si>
  <si>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</si>
  <si>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</si>
  <si>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</si>
  <si>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</si>
  <si>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</si>
  <si>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</si>
  <si>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</si>
  <si>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</si>
  <si>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</si>
  <si>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</si>
  <si>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</si>
  <si>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</si>
  <si>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</si>
  <si>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</si>
  <si>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</si>
  <si>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</si>
  <si>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</si>
  <si>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</si>
  <si>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</si>
  <si>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</si>
  <si>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</si>
  <si>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</si>
  <si>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</si>
  <si>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</si>
  <si>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</si>
  <si>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</si>
  <si>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</si>
  <si>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</si>
  <si>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</si>
  <si>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</si>
  <si>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</si>
  <si>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</si>
  <si>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</si>
  <si>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</si>
  <si>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</si>
  <si>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</si>
  <si>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</si>
  <si>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</si>
  <si>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</si>
  <si>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</si>
  <si>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</si>
  <si>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</si>
  <si>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</si>
  <si>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</si>
  <si>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</si>
  <si>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</si>
  <si>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</si>
  <si>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</si>
  <si>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</si>
  <si>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</si>
  <si>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</si>
  <si>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</si>
  <si>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</si>
  <si>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</si>
  <si>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</si>
  <si>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</si>
  <si>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</si>
  <si>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</si>
  <si>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</si>
  <si>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</si>
  <si>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</si>
  <si>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</si>
  <si>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</si>
  <si>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</si>
  <si>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</si>
  <si>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</si>
  <si>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</si>
  <si>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</si>
  <si>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</si>
  <si>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</si>
  <si>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</si>
  <si>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</si>
  <si>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</si>
  <si>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</si>
  <si>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</si>
  <si>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</si>
  <si>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</si>
  <si>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</si>
  <si>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</si>
  <si>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</si>
  <si>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</si>
  <si>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</si>
  <si>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</si>
  <si>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</si>
  <si>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</si>
  <si>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</si>
  <si>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</si>
  <si>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</si>
  <si>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</si>
  <si>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</si>
  <si>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</si>
  <si>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</si>
  <si>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</si>
  <si>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</si>
  <si>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</si>
  <si>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</si>
  <si>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</si>
  <si>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</si>
  <si>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</si>
  <si>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</si>
  <si>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</si>
  <si>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</si>
  <si>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</si>
  <si>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</si>
  <si>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</si>
  <si>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</si>
  <si>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</si>
  <si>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</si>
  <si>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</si>
  <si>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</si>
  <si>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</si>
  <si>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</si>
  <si>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</si>
  <si>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</si>
  <si>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</si>
  <si>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</si>
  <si>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</si>
  <si>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</si>
  <si>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</si>
  <si>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</si>
  <si>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</si>
  <si>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</si>
  <si>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</si>
  <si>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</si>
  <si>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</si>
  <si>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</si>
  <si>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</si>
  <si>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</si>
  <si>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</si>
  <si>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</si>
  <si>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</si>
  <si>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</si>
  <si>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</si>
  <si>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</si>
  <si>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</si>
  <si>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</si>
  <si>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</si>
  <si>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</si>
  <si>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</si>
  <si>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</si>
  <si>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</si>
  <si>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</si>
  <si>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</si>
  <si>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</si>
  <si>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</si>
  <si>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</si>
  <si>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</si>
  <si>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</si>
  <si>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</si>
  <si>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</si>
  <si>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</si>
  <si>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</si>
  <si>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</si>
  <si>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</si>
  <si>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</si>
  <si>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</si>
  <si>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</si>
  <si>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</si>
  <si>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</si>
  <si>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</si>
  <si>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</si>
  <si>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</si>
  <si>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</si>
  <si>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</si>
  <si>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</si>
  <si>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</si>
  <si>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</si>
  <si>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</si>
  <si>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</si>
  <si>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</si>
  <si>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</si>
  <si>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</si>
  <si>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</si>
  <si>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</si>
  <si>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</si>
  <si>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</si>
  <si>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</si>
  <si>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</si>
  <si>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</si>
  <si>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</si>
  <si>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</si>
  <si>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</si>
  <si>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</si>
  <si>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</si>
  <si>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</si>
  <si>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</si>
  <si>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</si>
  <si>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</si>
  <si>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</si>
  <si>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</si>
  <si>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</si>
  <si>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</si>
  <si>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</si>
  <si>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</si>
  <si>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</si>
  <si>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</si>
  <si>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</si>
  <si>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</si>
  <si>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</si>
  <si>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</si>
  <si>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</si>
  <si>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</si>
  <si>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</si>
  <si>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</si>
  <si>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</si>
  <si>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</si>
  <si>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</si>
  <si>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</si>
  <si>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</si>
  <si>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</si>
  <si>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</si>
  <si>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</si>
  <si>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</si>
  <si>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</si>
  <si>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</si>
  <si>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</si>
  <si>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</si>
  <si>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</si>
  <si>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</si>
  <si>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</si>
  <si>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</si>
  <si>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</si>
  <si>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</si>
  <si>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</si>
  <si>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</si>
  <si>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</si>
  <si>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</si>
  <si>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</si>
  <si>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</si>
  <si>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</si>
  <si>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</si>
  <si>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</si>
  <si>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</si>
  <si>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</si>
  <si>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</si>
  <si>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</si>
  <si>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</si>
  <si>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</si>
  <si>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</si>
  <si>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</si>
  <si>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</si>
  <si>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</si>
  <si>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</si>
  <si>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</si>
  <si>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</si>
  <si>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</si>
  <si>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</si>
  <si>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</si>
  <si>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</si>
  <si>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</si>
  <si>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</si>
  <si>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</si>
  <si>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</si>
  <si>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</si>
  <si>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</si>
  <si>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</si>
  <si>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</si>
  <si>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</si>
  <si>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</si>
  <si>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</si>
  <si>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</si>
  <si>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</si>
  <si>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</si>
  <si>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</si>
  <si>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</si>
  <si>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</si>
  <si>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</si>
  <si>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</si>
  <si>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</si>
  <si>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</si>
  <si>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</si>
  <si>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</si>
  <si>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</si>
  <si>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</si>
  <si>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</si>
  <si>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</si>
  <si>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</si>
  <si>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</si>
  <si>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</si>
  <si>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</si>
  <si>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</si>
  <si>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</si>
  <si>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</si>
  <si>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</si>
  <si>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</si>
  <si>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</si>
  <si>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</si>
  <si>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</si>
  <si>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</si>
  <si>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</si>
  <si>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</si>
  <si>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</si>
  <si>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</si>
  <si>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</si>
  <si>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</si>
  <si>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</si>
  <si>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</si>
  <si>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</si>
  <si>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</si>
  <si>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</si>
  <si>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</si>
  <si>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</si>
  <si>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</si>
  <si>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</si>
  <si>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</si>
  <si>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</si>
  <si>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</si>
  <si>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</si>
  <si>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</si>
  <si>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</si>
  <si>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</si>
  <si>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</si>
  <si>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</si>
  <si>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</si>
  <si>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</si>
  <si>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</si>
  <si>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</si>
  <si>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</si>
  <si>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</si>
  <si>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</si>
  <si>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</si>
  <si>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</si>
  <si>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</si>
  <si>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</si>
  <si>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</si>
  <si>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</si>
  <si>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</si>
  <si>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</si>
  <si>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</si>
  <si>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</si>
  <si>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</si>
  <si>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</si>
  <si>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</si>
  <si>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</si>
  <si>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</si>
  <si>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</si>
  <si>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</si>
  <si>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</si>
  <si>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</si>
  <si>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</si>
  <si>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</si>
  <si>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</si>
  <si>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</si>
  <si>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</si>
  <si>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</si>
  <si>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</si>
  <si>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</si>
  <si>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</si>
  <si>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</si>
  <si>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</si>
  <si>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</si>
  <si>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</si>
  <si>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</si>
  <si>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</si>
  <si>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</si>
  <si>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</si>
  <si>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</si>
  <si>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</si>
  <si>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</si>
  <si>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</si>
  <si>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</si>
  <si>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</si>
  <si>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</si>
  <si>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</si>
  <si>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</si>
  <si>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</si>
  <si>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</si>
  <si>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</si>
  <si>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</si>
  <si>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</si>
  <si>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</si>
  <si>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</si>
  <si>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</si>
  <si>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</si>
  <si>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</si>
  <si>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</si>
  <si>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</si>
  <si>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</si>
  <si>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</si>
  <si>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</si>
  <si>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</si>
  <si>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</si>
  <si>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</si>
  <si>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</si>
  <si>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</si>
  <si>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</si>
  <si>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</si>
  <si>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</si>
  <si>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</si>
  <si>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</si>
  <si>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</si>
  <si>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</si>
  <si>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</si>
  <si>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</si>
  <si>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</si>
  <si>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</si>
  <si>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</si>
  <si>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</si>
  <si>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</si>
  <si>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</si>
  <si>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</si>
  <si>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</si>
  <si>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</si>
  <si>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</si>
  <si>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</si>
  <si>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</si>
  <si>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</si>
  <si>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</si>
  <si>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</si>
  <si>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</si>
  <si>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</si>
  <si>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</si>
  <si>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</si>
  <si>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</si>
  <si>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</si>
  <si>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</si>
  <si>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</si>
  <si>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</si>
  <si>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</si>
  <si>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</si>
  <si>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</si>
  <si>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</si>
  <si>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</si>
  <si>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</si>
  <si>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</si>
  <si>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</si>
  <si>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</si>
  <si>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</si>
  <si>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</si>
  <si>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</si>
  <si>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</si>
  <si>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</si>
  <si>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</si>
  <si>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</si>
  <si>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</si>
  <si>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</si>
  <si>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</si>
  <si>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</si>
  <si>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</si>
  <si>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</si>
  <si>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</si>
  <si>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</si>
  <si>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</si>
  <si>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</si>
  <si>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</si>
  <si>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</si>
  <si>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</si>
  <si>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</si>
  <si>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</si>
  <si>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</si>
  <si>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</si>
  <si>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</si>
  <si>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</si>
  <si>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</si>
  <si>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</si>
  <si>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</si>
  <si>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</si>
  <si>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</si>
  <si>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</si>
  <si>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</si>
  <si>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</si>
  <si>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</si>
  <si>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</si>
  <si>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</si>
  <si>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</si>
  <si>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</si>
  <si>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</si>
  <si>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</si>
  <si>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</si>
  <si>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</si>
  <si>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</si>
  <si>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</si>
  <si>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</si>
  <si>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</si>
  <si>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</si>
  <si>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</si>
  <si>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</si>
  <si>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</si>
  <si>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</si>
  <si>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</si>
  <si>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</si>
  <si>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</si>
  <si>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</si>
  <si>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</si>
  <si>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</si>
  <si>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</si>
  <si>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</si>
  <si>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</si>
  <si>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</si>
  <si>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</si>
  <si>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</si>
  <si>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</si>
  <si>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</si>
  <si>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</si>
  <si>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</si>
  <si>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</si>
  <si>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</si>
  <si>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</si>
  <si>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</si>
  <si>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</si>
  <si>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</si>
  <si>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</si>
  <si>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</si>
  <si>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</si>
  <si>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</si>
  <si>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</si>
  <si>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</si>
  <si>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</si>
  <si>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</si>
  <si>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</si>
  <si>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</si>
  <si>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</si>
  <si>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</si>
  <si>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</si>
  <si>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</si>
  <si>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</si>
  <si>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</si>
  <si>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</si>
  <si>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</si>
  <si>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</si>
  <si>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</si>
  <si>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</si>
  <si>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</si>
  <si>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</si>
  <si>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</si>
  <si>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</si>
  <si>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</si>
  <si>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</si>
  <si>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</si>
  <si>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</si>
  <si>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</si>
  <si>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</si>
  <si>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</si>
  <si>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</si>
  <si>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</si>
  <si>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</si>
  <si>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</si>
  <si>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</si>
  <si>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</si>
  <si>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</si>
  <si>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</si>
  <si>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</si>
  <si>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</si>
  <si>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</si>
  <si>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</si>
  <si>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</si>
  <si>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</si>
  <si>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</si>
  <si>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</si>
  <si>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</si>
  <si>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</si>
  <si>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</si>
  <si>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</si>
  <si>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</si>
  <si>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</si>
  <si>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</si>
  <si>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</si>
  <si>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</si>
  <si>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</si>
  <si>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</si>
  <si>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</si>
  <si>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</si>
  <si>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</si>
  <si>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</si>
  <si>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</si>
  <si>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</si>
  <si>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</si>
  <si>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</si>
  <si>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</si>
  <si>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</si>
  <si>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</si>
  <si>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</si>
  <si>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</si>
  <si>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</si>
  <si>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</si>
  <si>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</si>
  <si>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</si>
  <si>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</si>
  <si>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</si>
  <si>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</si>
  <si>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</si>
  <si>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</si>
  <si>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</si>
  <si>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</si>
  <si>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</si>
  <si>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</si>
  <si>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</si>
  <si>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</si>
  <si>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</si>
  <si>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</si>
  <si>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</si>
  <si>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</si>
  <si>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</si>
  <si>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</si>
  <si>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</si>
  <si>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</si>
  <si>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</si>
  <si>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</si>
  <si>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</si>
  <si>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</si>
  <si>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</si>
  <si>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</si>
  <si>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</si>
  <si>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</si>
  <si>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</si>
  <si>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</si>
  <si>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</si>
  <si>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</si>
  <si>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</si>
  <si>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</si>
  <si>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</si>
  <si>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</si>
  <si>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</si>
  <si>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</si>
  <si>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</si>
  <si>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</si>
  <si>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</si>
  <si>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</si>
  <si>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</si>
  <si>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</si>
  <si>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</si>
  <si>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</si>
  <si>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</si>
  <si>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</si>
  <si>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</si>
  <si>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</si>
  <si>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</si>
  <si>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</si>
  <si>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</si>
  <si>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</si>
  <si>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</si>
  <si>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</si>
  <si>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</si>
  <si>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</si>
  <si>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</si>
  <si>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</si>
  <si>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</si>
  <si>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</si>
  <si>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</si>
  <si>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</si>
  <si>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</si>
  <si>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</si>
  <si>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</si>
  <si>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</si>
  <si>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</si>
  <si>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</si>
  <si>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</si>
  <si>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</si>
  <si>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</si>
  <si>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</si>
  <si>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</si>
  <si>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</si>
  <si>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</si>
  <si>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</si>
  <si>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</si>
  <si>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</si>
  <si>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</si>
  <si>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</si>
  <si>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</si>
  <si>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</si>
  <si>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</si>
  <si>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</si>
  <si>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</si>
  <si>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</si>
  <si>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</si>
  <si>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</si>
  <si>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</si>
  <si>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</si>
  <si>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</si>
  <si>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</si>
  <si>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</si>
  <si>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</si>
  <si>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</si>
  <si>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</si>
  <si>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</si>
  <si>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</si>
  <si>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</si>
  <si>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</si>
  <si>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</si>
  <si>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</si>
  <si>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</si>
  <si>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</si>
  <si>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</si>
  <si>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</si>
  <si>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</si>
  <si>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</si>
  <si>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</si>
  <si>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</si>
  <si>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</si>
  <si>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</si>
  <si>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</si>
  <si>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</si>
  <si>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</si>
  <si>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</si>
  <si>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</si>
  <si>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</si>
  <si>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</si>
  <si>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</si>
  <si>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</si>
  <si>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</si>
  <si>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</si>
  <si>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</si>
  <si>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</si>
  <si>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</si>
  <si>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</si>
  <si>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</si>
  <si>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</si>
  <si>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</si>
  <si>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</si>
  <si>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</si>
  <si>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</si>
  <si>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</si>
  <si>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</si>
  <si>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</si>
  <si>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</si>
  <si>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</si>
  <si>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</si>
  <si>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</si>
  <si>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</si>
  <si>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</si>
  <si>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</si>
  <si>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</si>
  <si>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</si>
  <si>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</si>
  <si>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</si>
  <si>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</si>
  <si>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</si>
  <si>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</si>
  <si>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</si>
  <si>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</si>
  <si>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</si>
  <si>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</si>
  <si>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</si>
  <si>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</si>
  <si>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</si>
  <si>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</si>
  <si>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</si>
  <si>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</si>
  <si>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</si>
  <si>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</si>
  <si>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</si>
  <si>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</si>
  <si>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</si>
  <si>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</si>
  <si>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</si>
  <si>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</si>
  <si>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</si>
  <si>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</si>
  <si>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</si>
  <si>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</si>
  <si>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</si>
  <si>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</si>
  <si>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</si>
  <si>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</si>
  <si>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</si>
  <si>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</si>
  <si>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</si>
  <si>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</si>
  <si>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</si>
  <si>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</si>
  <si>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</si>
  <si>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</si>
  <si>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</si>
  <si>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</si>
  <si>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</si>
  <si>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</si>
  <si>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</si>
  <si>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</si>
  <si>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</si>
  <si>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</si>
  <si>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</si>
  <si>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</si>
  <si>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</si>
  <si>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</si>
  <si>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</si>
  <si>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</si>
  <si>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</si>
  <si>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</si>
  <si>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</si>
  <si>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</si>
  <si>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</si>
  <si>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</si>
  <si>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</si>
  <si>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</si>
  <si>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</si>
  <si>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</si>
  <si>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</si>
  <si>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</si>
  <si>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</si>
  <si>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</si>
  <si>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</si>
  <si>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</si>
  <si>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</si>
  <si>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</si>
  <si>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</si>
  <si>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</si>
  <si>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</si>
  <si>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</si>
  <si>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</si>
  <si>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</si>
  <si>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</si>
  <si>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</si>
  <si>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</si>
  <si>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</si>
  <si>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</si>
  <si>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</si>
  <si>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</si>
  <si>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</si>
  <si>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</si>
  <si>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</si>
  <si>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</si>
  <si>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</si>
  <si>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</si>
  <si>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</si>
  <si>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</si>
  <si>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</si>
  <si>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</si>
  <si>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</si>
  <si>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</si>
  <si>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</si>
  <si>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</si>
  <si>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</si>
  <si>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</si>
  <si>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</si>
  <si>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</si>
  <si>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</si>
  <si>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</si>
  <si>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</si>
  <si>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</si>
  <si>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</si>
  <si>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</si>
  <si>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</si>
  <si>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</si>
  <si>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</si>
  <si>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</si>
  <si>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</si>
  <si>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</si>
  <si>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</si>
  <si>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</si>
  <si>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</si>
  <si>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</si>
  <si>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</si>
  <si>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</si>
  <si>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</si>
  <si>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</si>
  <si>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</si>
  <si>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</si>
  <si>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</si>
  <si>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</si>
  <si>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</si>
  <si>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</si>
  <si>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</si>
  <si>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</si>
  <si>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</si>
  <si>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</si>
  <si>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</si>
  <si>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</si>
  <si>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</si>
  <si>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</si>
  <si>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</si>
  <si>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</si>
  <si>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</si>
  <si>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</si>
  <si>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</si>
  <si>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</si>
  <si>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</si>
  <si>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</si>
  <si>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</si>
  <si>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</si>
  <si>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</si>
  <si>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</si>
  <si>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</si>
  <si>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</si>
  <si>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</si>
  <si>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</si>
  <si>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</si>
  <si>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</si>
  <si>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</si>
  <si>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</si>
  <si>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</si>
  <si>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</si>
  <si>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</si>
  <si>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</si>
  <si>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</si>
  <si>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</si>
  <si>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</si>
  <si>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</si>
  <si>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</si>
  <si>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</si>
  <si>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</si>
  <si>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</si>
  <si>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</si>
  <si>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</si>
  <si>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</si>
  <si>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</si>
  <si>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</si>
  <si>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</si>
  <si>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</si>
  <si>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</si>
  <si>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</si>
  <si>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</si>
  <si>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</si>
  <si>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</si>
  <si>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</si>
  <si>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</si>
  <si>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</si>
  <si>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</si>
  <si>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</si>
  <si>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</si>
  <si>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</si>
  <si>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</si>
  <si>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</si>
  <si>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</si>
  <si>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</si>
  <si>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</si>
  <si>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</si>
  <si>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</si>
  <si>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</si>
  <si>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</si>
  <si>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</si>
  <si>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</si>
  <si>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</si>
  <si>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</si>
  <si>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</si>
  <si>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</si>
  <si>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</si>
  <si>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</si>
  <si>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</si>
  <si>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</si>
  <si>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</si>
  <si>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</si>
  <si>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</si>
  <si>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</si>
  <si>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</si>
  <si>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</si>
  <si>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</si>
  <si>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</si>
  <si>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</si>
  <si>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</si>
  <si>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</si>
  <si>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</si>
  <si>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</si>
  <si>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</si>
  <si>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</si>
  <si>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</si>
  <si>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</si>
  <si>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</si>
  <si>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</si>
  <si>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</si>
  <si>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</si>
  <si>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</si>
  <si>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</si>
  <si>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</si>
  <si>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</si>
  <si>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</si>
  <si>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</si>
  <si>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</si>
  <si>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</si>
  <si>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</si>
  <si>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</si>
  <si>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</si>
  <si>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</si>
  <si>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</si>
  <si>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</si>
  <si>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</si>
  <si>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</si>
  <si>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</si>
  <si>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</si>
  <si>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</si>
  <si>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</si>
  <si>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</si>
  <si>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</si>
  <si>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</si>
  <si>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</si>
  <si>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</si>
  <si>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</si>
  <si>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</si>
  <si>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</si>
  <si>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</si>
  <si>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</si>
  <si>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</si>
  <si>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</si>
  <si>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</si>
  <si>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</si>
  <si>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</si>
  <si>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</si>
  <si>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</si>
  <si>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</si>
  <si>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</si>
  <si>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</si>
  <si>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</si>
  <si>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</si>
  <si>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</si>
  <si>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</si>
  <si>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</si>
  <si>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</si>
  <si>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</si>
  <si>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</si>
  <si>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</si>
  <si>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</si>
  <si>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</si>
  <si>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</si>
  <si>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</si>
  <si>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</si>
  <si>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</si>
  <si>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</si>
  <si>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</si>
  <si>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</si>
  <si>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</si>
  <si>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</si>
  <si>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</si>
  <si>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</si>
  <si>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</si>
  <si>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</si>
  <si>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</si>
  <si>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</si>
  <si>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</si>
  <si>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</si>
  <si>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</si>
  <si>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</si>
  <si>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</si>
  <si>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</si>
  <si>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</si>
  <si>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</si>
  <si>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</si>
  <si>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</si>
  <si>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</si>
  <si>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</si>
  <si>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</si>
  <si>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</si>
  <si>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</si>
  <si>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</si>
  <si>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</si>
  <si>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</si>
  <si>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</si>
  <si>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</si>
  <si>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</si>
  <si>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</si>
  <si>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</si>
  <si>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</si>
  <si>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</si>
  <si>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</si>
  <si>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</si>
  <si>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</si>
  <si>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</si>
  <si>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</si>
  <si>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</si>
  <si>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</si>
  <si>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</si>
  <si>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</si>
  <si>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</si>
  <si>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</si>
  <si>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</si>
  <si>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</si>
  <si>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</si>
  <si>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</si>
  <si>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</si>
  <si>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</si>
  <si>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</si>
  <si>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</si>
  <si>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</si>
  <si>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</si>
  <si>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</si>
  <si>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</si>
  <si>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</si>
  <si>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</si>
  <si>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</si>
  <si>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</si>
  <si>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</si>
  <si>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</si>
  <si>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</si>
  <si>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</si>
  <si>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</si>
  <si>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</si>
  <si>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</si>
  <si>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</si>
  <si>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</si>
  <si>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</si>
  <si>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</si>
  <si>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</si>
  <si>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</si>
  <si>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</si>
  <si>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</si>
  <si>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</si>
  <si>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</si>
  <si>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</si>
  <si>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</si>
  <si>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</si>
  <si>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</si>
  <si>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</si>
  <si>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</si>
  <si>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</si>
  <si>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</si>
  <si>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</si>
  <si>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</si>
  <si>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</si>
  <si>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</si>
  <si>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</si>
  <si>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</si>
  <si>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</si>
  <si>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</si>
  <si>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</si>
  <si>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</si>
  <si>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</si>
  <si>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</si>
  <si>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</si>
  <si>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</si>
  <si>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</si>
  <si>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</si>
  <si>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</si>
  <si>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</si>
  <si>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</si>
  <si>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</si>
  <si>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</si>
  <si>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</si>
  <si>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</si>
  <si>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</si>
  <si>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</si>
  <si>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</si>
  <si>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</si>
  <si>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</si>
  <si>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</si>
  <si>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</si>
  <si>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</si>
  <si>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</si>
  <si>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</si>
  <si>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</si>
  <si>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</si>
  <si>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</si>
  <si>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</si>
  <si>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</si>
  <si>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</si>
  <si>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</si>
  <si>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</si>
  <si>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</si>
  <si>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</si>
  <si>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</si>
  <si>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</si>
  <si>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</si>
  <si>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</si>
  <si>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</si>
  <si>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</si>
  <si>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</si>
  <si>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</si>
  <si>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</si>
  <si>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</si>
  <si>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</si>
  <si>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</si>
  <si>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</si>
  <si>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</si>
  <si>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</si>
  <si>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</si>
  <si>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</si>
  <si>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</si>
  <si>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</si>
  <si>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</si>
  <si>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</si>
  <si>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</si>
  <si>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</si>
  <si>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</si>
  <si>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</si>
  <si>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</si>
  <si>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</si>
  <si>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</si>
  <si>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</si>
  <si>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</si>
  <si>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</si>
  <si>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</si>
  <si>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</si>
  <si>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</si>
  <si>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</si>
  <si>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</si>
  <si>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</si>
  <si>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</si>
  <si>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</si>
  <si>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</si>
  <si>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</si>
  <si>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</si>
  <si>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</si>
  <si>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</si>
  <si>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</si>
  <si>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</si>
  <si>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</si>
  <si>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</si>
  <si>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</si>
  <si>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</si>
  <si>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</si>
  <si>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</si>
  <si>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</si>
  <si>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</si>
  <si>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</si>
  <si>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</si>
  <si>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</si>
  <si>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</si>
  <si>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</si>
  <si>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</si>
  <si>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</si>
  <si>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</si>
  <si>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</si>
  <si>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</si>
  <si>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</si>
  <si>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</si>
  <si>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</si>
  <si>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</si>
  <si>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</si>
  <si>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</si>
  <si>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</si>
  <si>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</si>
  <si>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</si>
  <si>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</si>
  <si>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</si>
  <si>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</si>
  <si>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</si>
  <si>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</si>
  <si>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</si>
  <si>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</si>
  <si>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</si>
  <si>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</si>
  <si>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</si>
  <si>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</si>
  <si>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</si>
  <si>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</si>
  <si>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</si>
  <si>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</si>
  <si>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</si>
  <si>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</si>
  <si>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</si>
  <si>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</si>
  <si>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</si>
  <si>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</si>
  <si>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</si>
  <si>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</si>
  <si>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</si>
  <si>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</si>
  <si>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</si>
  <si>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</si>
  <si>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</si>
  <si>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</si>
  <si>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</si>
  <si>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</si>
  <si>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</si>
  <si>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</si>
  <si>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</si>
  <si>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</si>
  <si>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</si>
  <si>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</si>
  <si>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</si>
  <si>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</si>
  <si>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</si>
  <si>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</si>
  <si>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</si>
  <si>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</si>
  <si>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</si>
  <si>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</si>
  <si>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</si>
  <si>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</si>
  <si>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</si>
  <si>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</si>
  <si>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</si>
  <si>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</si>
  <si>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</si>
  <si>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</si>
  <si>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</si>
  <si>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</si>
  <si>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</si>
  <si>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</si>
  <si>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</si>
  <si>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</si>
  <si>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</si>
  <si>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</si>
  <si>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</si>
  <si>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</si>
  <si>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</si>
  <si>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</si>
  <si>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</si>
  <si>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</si>
  <si>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</si>
  <si>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</si>
  <si>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</si>
  <si>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</si>
  <si>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</si>
  <si>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</si>
  <si>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</si>
  <si>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</si>
  <si>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</si>
  <si>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</si>
  <si>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</si>
  <si>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</si>
  <si>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</si>
  <si>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</si>
  <si>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</si>
  <si>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</si>
  <si>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</si>
  <si>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</si>
  <si>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</si>
  <si>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</si>
  <si>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</si>
  <si>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</si>
  <si>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</si>
  <si>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</si>
  <si>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</si>
  <si>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</si>
  <si>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</si>
  <si>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</si>
  <si>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</si>
  <si>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</si>
  <si>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</si>
  <si>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</si>
  <si>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</si>
  <si>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</si>
  <si>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</si>
  <si>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</si>
  <si>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</si>
  <si>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</si>
  <si>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</si>
  <si>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</si>
  <si>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</si>
  <si>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</si>
  <si>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</si>
  <si>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</si>
  <si>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</si>
  <si>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</si>
  <si>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</si>
  <si>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</si>
  <si>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</si>
  <si>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</si>
  <si>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</si>
  <si>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</si>
  <si>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</si>
  <si>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</si>
  <si>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</si>
  <si>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</si>
  <si>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</si>
  <si>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</si>
  <si>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</si>
  <si>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</si>
  <si>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</si>
  <si>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</si>
  <si>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</si>
  <si>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</si>
  <si>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</si>
  <si>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</si>
  <si>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</si>
  <si>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</si>
  <si>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</si>
  <si>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</si>
  <si>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</si>
  <si>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</si>
  <si>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</si>
  <si>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</si>
  <si>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</si>
  <si>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</si>
  <si>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</si>
  <si>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</si>
  <si>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</si>
  <si>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</si>
  <si>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</si>
  <si>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</si>
  <si>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</si>
  <si>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</si>
  <si>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</si>
  <si>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</si>
  <si>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</si>
  <si>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</si>
  <si>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</si>
  <si>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</si>
  <si>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</si>
  <si>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</si>
  <si>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</si>
  <si>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</si>
  <si>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</si>
  <si>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</si>
  <si>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</si>
  <si>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</si>
  <si>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</si>
  <si>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</si>
  <si>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</si>
  <si>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</si>
  <si>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</si>
  <si>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</si>
  <si>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</si>
  <si>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</si>
  <si>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</si>
  <si>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</si>
  <si>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</si>
  <si>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</si>
  <si>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</si>
  <si>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</si>
  <si>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</si>
  <si>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</si>
  <si>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</si>
  <si>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</si>
  <si>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</si>
  <si>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</si>
  <si>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</si>
  <si>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</si>
  <si>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</si>
  <si>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</si>
  <si>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</si>
  <si>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</si>
  <si>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</si>
  <si>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</si>
  <si>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</si>
  <si>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</si>
  <si>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</si>
  <si>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</si>
  <si>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</si>
  <si>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</si>
  <si>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</si>
  <si>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</si>
  <si>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</si>
  <si>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</si>
  <si>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</si>
  <si>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</si>
  <si>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</si>
  <si>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</si>
  <si>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</si>
  <si>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</si>
  <si>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</si>
  <si>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</si>
  <si>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</si>
  <si>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</si>
  <si>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</si>
  <si>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</si>
  <si>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</si>
  <si>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</si>
  <si>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</si>
  <si>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</si>
  <si>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</si>
  <si>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</si>
  <si>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</si>
  <si>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</si>
  <si>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</si>
  <si>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</si>
  <si>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</si>
  <si>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</si>
  <si>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</si>
  <si>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</si>
  <si>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</si>
  <si>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</si>
  <si>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</si>
  <si>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</si>
  <si>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</si>
  <si>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</si>
  <si>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</si>
  <si>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</si>
  <si>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</si>
  <si>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</si>
  <si>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</si>
  <si>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</si>
  <si>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</si>
  <si>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</si>
  <si>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</si>
  <si>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</si>
  <si>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</si>
  <si>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</si>
  <si>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</si>
  <si>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</si>
  <si>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</si>
  <si>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</si>
  <si>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</si>
  <si>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</si>
  <si>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</si>
  <si>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</si>
  <si>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</si>
  <si>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</si>
  <si>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</si>
  <si>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</si>
  <si>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</si>
  <si>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</si>
  <si>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</si>
  <si>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</si>
  <si>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</si>
  <si>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</si>
  <si>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</si>
  <si>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</si>
  <si>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</si>
  <si>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</si>
  <si>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</si>
  <si>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</si>
  <si>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</si>
  <si>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</si>
  <si>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</si>
  <si>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</si>
  <si>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</si>
  <si>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</si>
  <si>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</si>
  <si>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</si>
  <si>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</si>
  <si>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</si>
  <si>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</si>
  <si>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</si>
  <si>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</si>
  <si>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</si>
  <si>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</si>
  <si>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</si>
  <si>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</si>
  <si>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</si>
  <si>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</si>
  <si>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</si>
  <si>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</si>
  <si>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</si>
  <si>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</si>
  <si>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</si>
  <si>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</si>
  <si>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</si>
  <si>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</si>
  <si>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</si>
  <si>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</si>
  <si>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</si>
  <si>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</si>
  <si>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</si>
  <si>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</si>
  <si>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</si>
  <si>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</si>
  <si>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</si>
  <si>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</si>
  <si>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</si>
  <si>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</si>
  <si>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</si>
  <si>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</si>
  <si>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</si>
  <si>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</si>
  <si>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</si>
  <si>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</si>
  <si>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</si>
  <si>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</si>
  <si>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</si>
  <si>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</si>
  <si>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</si>
  <si>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</si>
  <si>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</si>
  <si>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</si>
  <si>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</si>
  <si>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</si>
  <si>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</si>
  <si>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</si>
  <si>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</si>
  <si>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</si>
  <si>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</si>
  <si>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</si>
  <si>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</si>
  <si>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</si>
  <si>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</si>
  <si>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</si>
  <si>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</si>
  <si>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</si>
  <si>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</si>
  <si>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</si>
  <si>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</si>
  <si>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</si>
  <si>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</si>
  <si>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</si>
  <si>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</si>
  <si>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</si>
  <si>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</si>
  <si>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</si>
  <si>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</si>
  <si>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</si>
  <si>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</si>
  <si>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</si>
  <si>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</si>
  <si>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</si>
  <si>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</si>
  <si>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</si>
  <si>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</si>
  <si>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</si>
  <si>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</si>
  <si>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</si>
  <si>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</si>
  <si>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</si>
  <si>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</si>
  <si>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</si>
  <si>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</si>
  <si>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</si>
  <si>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</si>
  <si>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</si>
  <si>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</si>
  <si>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</si>
  <si>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</si>
  <si>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</si>
  <si>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</si>
  <si>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</si>
  <si>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</si>
  <si>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</si>
  <si>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</si>
  <si>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</si>
  <si>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</si>
  <si>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</si>
  <si>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</si>
  <si>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</si>
  <si>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</si>
  <si>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</si>
  <si>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</si>
  <si>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</si>
  <si>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</si>
  <si>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</si>
  <si>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</si>
  <si>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</si>
  <si>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</si>
  <si>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</si>
  <si>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</si>
  <si>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</si>
  <si>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</si>
  <si>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</si>
  <si>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</si>
  <si>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</si>
  <si>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</si>
  <si>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</si>
  <si>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</si>
  <si>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</si>
  <si>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</si>
  <si>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</si>
  <si>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</si>
  <si>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</si>
  <si>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</si>
  <si>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</si>
  <si>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</si>
  <si>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</si>
  <si>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</si>
  <si>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</si>
  <si>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</si>
  <si>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</si>
  <si>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</si>
  <si>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</si>
  <si>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</si>
  <si>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</si>
  <si>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</si>
  <si>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</si>
  <si>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</si>
  <si>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</si>
  <si>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</si>
  <si>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</si>
  <si>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</si>
  <si>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</si>
  <si>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</si>
  <si>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</si>
  <si>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</si>
  <si>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</si>
  <si>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</si>
  <si>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</si>
  <si>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</si>
  <si>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</si>
  <si>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</si>
  <si>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</si>
  <si>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</si>
  <si>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</si>
  <si>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</si>
  <si>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</si>
  <si>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</si>
  <si>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</si>
  <si>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</si>
  <si>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</si>
  <si>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</si>
  <si>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</si>
  <si>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</si>
  <si>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</si>
  <si>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</si>
  <si>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</si>
  <si>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</si>
  <si>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</si>
  <si>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</si>
  <si>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</si>
  <si>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</si>
  <si>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</si>
  <si>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</si>
  <si>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</si>
  <si>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</si>
  <si>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</si>
  <si>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</si>
  <si>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</si>
  <si>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</si>
  <si>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</si>
  <si>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</si>
  <si>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</si>
  <si>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</si>
  <si>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</si>
  <si>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</si>
  <si>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</si>
  <si>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</si>
  <si>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</si>
  <si>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</si>
  <si>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</si>
  <si>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</si>
  <si>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</si>
  <si>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</si>
  <si>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</si>
  <si>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</si>
  <si>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</si>
  <si>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</si>
  <si>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</si>
  <si>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</si>
  <si>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</si>
  <si>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</si>
  <si>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</si>
  <si>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</si>
  <si>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</si>
  <si>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</si>
  <si>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</si>
  <si>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</si>
  <si>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</si>
  <si>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</si>
  <si>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</si>
  <si>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</si>
  <si>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</si>
  <si>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</si>
  <si>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</si>
  <si>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</si>
  <si>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</si>
  <si>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</si>
  <si>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</si>
  <si>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</si>
  <si>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</si>
  <si>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</si>
  <si>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</si>
  <si>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</si>
  <si>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</si>
  <si>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</si>
  <si>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</si>
  <si>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</si>
  <si>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</si>
  <si>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</si>
  <si>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</si>
  <si>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</si>
  <si>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</si>
  <si>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</si>
  <si>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</si>
  <si>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</si>
  <si>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</si>
  <si>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</si>
  <si>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</si>
  <si>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</si>
  <si>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</si>
  <si>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</si>
  <si>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</si>
  <si>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</si>
  <si>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</si>
  <si>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</si>
  <si>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</si>
  <si>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</si>
  <si>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</si>
  <si>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</si>
  <si>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</si>
  <si>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</si>
  <si>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</si>
  <si>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</si>
  <si>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</si>
  <si>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</si>
  <si>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</si>
  <si>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</si>
  <si>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</si>
  <si>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</si>
  <si>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</si>
  <si>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</si>
  <si>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</si>
  <si>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</si>
  <si>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</si>
  <si>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</si>
  <si>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</si>
  <si>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</si>
  <si>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</si>
  <si>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</si>
  <si>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</si>
  <si>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</si>
  <si>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</si>
  <si>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</si>
  <si>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</si>
  <si>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</si>
  <si>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</si>
  <si>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</si>
  <si>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</si>
  <si>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</si>
  <si>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</si>
  <si>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</si>
  <si>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</si>
  <si>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</si>
  <si>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</si>
  <si>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</si>
  <si>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</si>
  <si>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</si>
  <si>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</si>
  <si>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</si>
  <si>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</si>
  <si>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</si>
  <si>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</si>
  <si>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</si>
  <si>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</si>
  <si>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</si>
  <si>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</si>
  <si>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</si>
  <si>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</si>
  <si>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</si>
  <si>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</si>
  <si>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</si>
  <si>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</si>
  <si>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</si>
  <si>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</si>
  <si>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</si>
  <si>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</si>
  <si>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</si>
  <si>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</si>
  <si>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</si>
  <si>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</si>
  <si>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</si>
  <si>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</si>
  <si>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</si>
  <si>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</si>
  <si>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</si>
  <si>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</si>
  <si>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</si>
  <si>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</si>
  <si>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</si>
  <si>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</si>
  <si>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</si>
  <si>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</si>
  <si>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</si>
  <si>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</si>
  <si>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</si>
  <si>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</si>
  <si>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</si>
  <si>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</si>
  <si>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</si>
  <si>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</si>
  <si>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</si>
  <si>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</si>
  <si>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</si>
  <si>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</si>
  <si>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</si>
  <si>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</si>
  <si>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</si>
  <si>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</si>
  <si>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</si>
  <si>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</si>
  <si>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</si>
  <si>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</si>
  <si>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</si>
  <si>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</si>
  <si>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</si>
  <si>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</si>
  <si>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</si>
  <si>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</si>
  <si>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</si>
  <si>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</si>
  <si>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</si>
  <si>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</si>
  <si>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</si>
  <si>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</si>
  <si>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</si>
  <si>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</si>
  <si>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</si>
  <si>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</si>
  <si>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</si>
  <si>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</si>
  <si>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</si>
  <si>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</si>
  <si>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</si>
  <si>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</si>
  <si>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</si>
  <si>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</si>
  <si>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</si>
  <si>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</si>
  <si>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</si>
  <si>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</si>
  <si>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</si>
  <si>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</si>
  <si>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</si>
  <si>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</si>
  <si>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</si>
  <si>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</si>
  <si>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</si>
  <si>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</si>
  <si>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</si>
  <si>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</si>
  <si>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</si>
  <si>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</si>
  <si>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</si>
  <si>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</si>
  <si>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</si>
  <si>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</si>
  <si>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</si>
  <si>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</si>
  <si>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</si>
  <si>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</si>
  <si>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</si>
  <si>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</si>
  <si>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</si>
  <si>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</si>
  <si>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4120042##34</t>
  </si>
  <si>
    <t>4120042##36</t>
  </si>
  <si>
    <t>4120042##38</t>
  </si>
  <si>
    <t>4120042##40</t>
  </si>
  <si>
    <t>4120042##42</t>
  </si>
  <si>
    <t>4120042##44</t>
  </si>
  <si>
    <t>4120043##</t>
  </si>
  <si>
    <t>4120043##46</t>
  </si>
  <si>
    <t>4120043##48</t>
  </si>
  <si>
    <t>4120043##50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</si>
  <si>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</si>
  <si>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</si>
  <si>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</si>
  <si>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</si>
  <si>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</si>
  <si>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</si>
  <si>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</si>
  <si>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</si>
  <si>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</si>
  <si>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</si>
  <si>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</si>
  <si>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</si>
  <si>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</si>
  <si>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</si>
  <si>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</si>
  <si>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</si>
  <si>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</si>
  <si>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</si>
  <si>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</si>
  <si>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</si>
  <si>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</si>
  <si>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</si>
  <si>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</si>
  <si>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</si>
  <si>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</si>
  <si>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</si>
  <si>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</si>
  <si>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</si>
  <si>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</si>
  <si>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</si>
  <si>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</si>
  <si>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</si>
  <si>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</si>
  <si>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</si>
  <si>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</si>
  <si>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</si>
  <si>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</si>
  <si>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</si>
  <si>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</si>
  <si>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</si>
  <si>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</si>
  <si>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</si>
  <si>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</si>
  <si>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</si>
  <si>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</si>
  <si>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</si>
  <si>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</si>
  <si>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</si>
  <si>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</si>
  <si>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</si>
  <si>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</si>
  <si>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</si>
  <si>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</si>
  <si>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</si>
  <si>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</si>
  <si>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</si>
  <si>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</si>
  <si>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</si>
  <si>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</si>
  <si>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</si>
  <si>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</si>
  <si>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</si>
  <si>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</si>
  <si>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</si>
  <si>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</si>
  <si>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</si>
  <si>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</si>
  <si>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</si>
  <si>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</si>
  <si>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</si>
  <si>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</si>
  <si>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</si>
  <si>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</si>
  <si>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</si>
  <si>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</si>
  <si>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</si>
  <si>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</si>
  <si>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</si>
  <si>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</si>
  <si>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</si>
  <si>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</si>
  <si>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</si>
  <si>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</si>
  <si>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</si>
  <si>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</si>
  <si>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</si>
  <si>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</si>
  <si>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</si>
  <si>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</si>
  <si>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</si>
  <si>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</si>
  <si>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</si>
  <si>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</si>
  <si>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</si>
  <si>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</si>
  <si>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</si>
  <si>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</si>
  <si>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</si>
  <si>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</si>
  <si>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</si>
  <si>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</si>
  <si>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</si>
  <si>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</si>
  <si>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</si>
  <si>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</si>
  <si>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</si>
  <si>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</si>
  <si>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</si>
  <si>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</si>
  <si>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</si>
  <si>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</si>
  <si>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</si>
  <si>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</si>
  <si>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</si>
  <si>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</si>
  <si>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</si>
  <si>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</si>
  <si>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</si>
  <si>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</si>
  <si>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</si>
  <si>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</si>
  <si>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</si>
  <si>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</si>
  <si>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</si>
  <si>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</si>
  <si>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</si>
  <si>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</si>
  <si>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</si>
  <si>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</si>
  <si>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</si>
  <si>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</si>
  <si>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</si>
  <si>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</si>
  <si>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</si>
  <si>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</si>
  <si>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</si>
  <si>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</si>
  <si>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</si>
  <si>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</si>
  <si>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</si>
  <si>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</si>
  <si>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</si>
  <si>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</si>
  <si>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</si>
  <si>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</si>
  <si>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</si>
  <si>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</si>
  <si>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</si>
  <si>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</si>
  <si>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</si>
  <si>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</si>
  <si>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</si>
  <si>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</si>
  <si>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</si>
  <si>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</si>
  <si>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</si>
  <si>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</si>
  <si>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</si>
  <si>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</si>
  <si>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</si>
  <si>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</si>
  <si>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</si>
  <si>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</si>
  <si>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</si>
  <si>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</si>
  <si>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</si>
  <si>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</si>
  <si>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</si>
  <si>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</si>
  <si>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</si>
  <si>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</si>
  <si>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</si>
  <si>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</si>
  <si>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</si>
  <si>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</si>
  <si>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</si>
  <si>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</si>
  <si>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</si>
  <si>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</si>
  <si>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</si>
  <si>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</si>
  <si>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</si>
  <si>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</si>
  <si>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</si>
  <si>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</si>
  <si>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</si>
  <si>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</si>
  <si>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</si>
  <si>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</si>
  <si>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</si>
  <si>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</si>
  <si>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</si>
  <si>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</si>
  <si>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</si>
  <si>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</si>
  <si>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</si>
  <si>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</si>
  <si>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</si>
  <si>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</si>
  <si>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</si>
  <si>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</si>
  <si>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</si>
  <si>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</si>
  <si>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</si>
  <si>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</si>
  <si>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</si>
  <si>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</si>
  <si>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</si>
  <si>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</si>
  <si>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</si>
  <si>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</si>
  <si>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</si>
  <si>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</si>
  <si>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</si>
  <si>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</si>
  <si>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</si>
  <si>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</si>
  <si>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</si>
  <si>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</si>
  <si>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</si>
  <si>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</si>
  <si>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</si>
  <si>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</si>
  <si>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</si>
  <si>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</si>
  <si>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</si>
  <si>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</si>
  <si>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</si>
  <si>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</si>
  <si>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</si>
  <si>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</si>
  <si>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</si>
  <si>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</si>
  <si>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</si>
  <si>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</si>
  <si>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</si>
  <si>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</si>
  <si>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</si>
  <si>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</si>
  <si>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</si>
  <si>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</si>
  <si>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</si>
  <si>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</si>
  <si>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</si>
  <si>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</si>
  <si>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</si>
  <si>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</si>
  <si>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</si>
  <si>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</si>
  <si>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</si>
  <si>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</si>
  <si>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</si>
  <si>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</si>
  <si>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</si>
  <si>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</si>
  <si>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</si>
  <si>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</si>
  <si>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</si>
  <si>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</si>
  <si>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</si>
  <si>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</si>
  <si>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</si>
  <si>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</si>
  <si>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</si>
  <si>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</si>
  <si>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</si>
  <si>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</si>
  <si>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</si>
  <si>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</si>
  <si>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</si>
  <si>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</si>
  <si>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</si>
  <si>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</si>
  <si>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</si>
  <si>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</si>
  <si>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</si>
  <si>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</si>
  <si>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</si>
  <si>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</si>
  <si>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</si>
  <si>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</si>
  <si>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</si>
  <si>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</si>
  <si>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</si>
  <si>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</si>
  <si>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</si>
  <si>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</si>
  <si>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</si>
  <si>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</si>
  <si>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</si>
  <si>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</si>
  <si>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</si>
  <si>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</si>
  <si>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</si>
  <si>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</si>
  <si>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</si>
  <si>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</si>
  <si>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</si>
  <si>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</si>
  <si>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</si>
  <si>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</si>
  <si>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</si>
  <si>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</si>
  <si>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</si>
  <si>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</si>
  <si>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</si>
  <si>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</si>
  <si>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</si>
  <si>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</si>
  <si>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</si>
  <si>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</si>
  <si>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</si>
  <si>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</si>
  <si>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</si>
  <si>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</si>
  <si>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</si>
  <si>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</si>
  <si>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</si>
  <si>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</si>
  <si>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</si>
  <si>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</si>
  <si>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</si>
  <si>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</si>
  <si>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</si>
  <si>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</si>
  <si>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</si>
  <si>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</si>
  <si>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</si>
  <si>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</si>
  <si>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</si>
  <si>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</si>
  <si>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</si>
  <si>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</si>
  <si>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</si>
  <si>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</si>
  <si>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</si>
  <si>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</si>
  <si>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</si>
  <si>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</si>
  <si>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</si>
  <si>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</si>
  <si>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</si>
  <si>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</si>
  <si>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</si>
  <si>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</si>
  <si>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</si>
  <si>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</si>
  <si>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</si>
  <si>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</si>
  <si>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</si>
  <si>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</si>
  <si>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</si>
  <si>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</si>
  <si>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</si>
  <si>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</si>
  <si>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</si>
  <si>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</si>
  <si>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</si>
  <si>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</si>
  <si>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</si>
  <si>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</si>
  <si>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</si>
  <si>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</si>
  <si>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</si>
  <si>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</si>
  <si>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</si>
  <si>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</si>
  <si>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</si>
  <si>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</si>
  <si>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</si>
  <si>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</si>
  <si>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</si>
  <si>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</si>
  <si>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</si>
  <si>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</si>
  <si>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</si>
  <si>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</si>
  <si>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</si>
  <si>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</si>
  <si>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</si>
  <si>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</si>
  <si>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</si>
  <si>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</si>
  <si>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</si>
  <si>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</si>
  <si>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</si>
  <si>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</si>
  <si>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</si>
  <si>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</si>
  <si>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</si>
  <si>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</si>
  <si>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</si>
  <si>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</si>
  <si>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</si>
  <si>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</si>
  <si>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</si>
  <si>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</si>
  <si>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</si>
  <si>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</si>
  <si>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</si>
  <si>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</si>
  <si>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</si>
  <si>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</si>
  <si>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</si>
  <si>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</si>
  <si>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</si>
  <si>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</si>
  <si>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</si>
  <si>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</si>
  <si>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</si>
  <si>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</si>
  <si>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</si>
  <si>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</si>
  <si>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</si>
  <si>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</si>
  <si>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</si>
  <si>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</si>
  <si>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</si>
  <si>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</si>
  <si>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</si>
  <si>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</si>
  <si>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</si>
  <si>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</si>
  <si>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</si>
  <si>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</si>
  <si>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</si>
  <si>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</si>
  <si>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</si>
  <si>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</si>
  <si>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</si>
  <si>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</si>
  <si>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</si>
  <si>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</si>
  <si>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</si>
  <si>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</si>
  <si>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</si>
  <si>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</si>
  <si>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</si>
  <si>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</si>
  <si>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</si>
  <si>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</si>
  <si>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</si>
  <si>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</si>
  <si>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</si>
  <si>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</si>
  <si>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</si>
  <si>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</si>
  <si>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</si>
  <si>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</si>
  <si>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</si>
  <si>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</si>
  <si>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</si>
  <si>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</si>
  <si>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</si>
  <si>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</si>
  <si>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</si>
  <si>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</si>
  <si>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</si>
  <si>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</si>
  <si>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</si>
  <si>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</si>
  <si>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</si>
  <si>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</si>
  <si>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</si>
  <si>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</si>
  <si>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</si>
  <si>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</si>
  <si>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</si>
  <si>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</si>
  <si>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</si>
  <si>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</si>
  <si>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</si>
  <si>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</si>
  <si>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</si>
  <si>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</si>
  <si>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</si>
  <si>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</si>
  <si>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</si>
  <si>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</si>
  <si>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</si>
  <si>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</si>
  <si>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</si>
  <si>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</si>
  <si>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</si>
  <si>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</si>
  <si>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</si>
  <si>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</si>
  <si>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</si>
  <si>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</si>
  <si>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</si>
  <si>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</si>
  <si>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</si>
  <si>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</si>
  <si>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</si>
  <si>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</si>
  <si>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</si>
  <si>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</si>
  <si>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</si>
  <si>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</si>
  <si>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</si>
  <si>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</si>
  <si>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</si>
  <si>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</si>
  <si>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</si>
  <si>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</si>
  <si>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</si>
  <si>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</si>
  <si>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</si>
  <si>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</si>
  <si>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</si>
  <si>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</si>
  <si>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</si>
  <si>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</si>
  <si>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</si>
  <si>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</si>
  <si>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</si>
  <si>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</si>
  <si>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</si>
  <si>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</si>
  <si>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</si>
  <si>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</si>
  <si>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</si>
  <si>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</si>
  <si>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</si>
  <si>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</si>
  <si>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</si>
  <si>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</si>
  <si>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</si>
  <si>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</si>
  <si>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</si>
  <si>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</si>
  <si>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</si>
  <si>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</si>
  <si>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</si>
  <si>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</si>
  <si>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</si>
  <si>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</si>
  <si>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</si>
  <si>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</si>
  <si>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</si>
  <si>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</si>
  <si>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</si>
  <si>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</si>
  <si>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</si>
  <si>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</si>
  <si>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</si>
  <si>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</si>
  <si>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</si>
  <si>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</si>
  <si>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</si>
  <si>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</si>
  <si>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</si>
  <si>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</si>
  <si>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</si>
  <si>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</si>
  <si>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</si>
  <si>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</si>
  <si>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</si>
  <si>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</si>
  <si>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</si>
  <si>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</si>
  <si>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</si>
  <si>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</si>
  <si>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</si>
  <si>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</si>
  <si>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</si>
  <si>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</si>
  <si>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</si>
  <si>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</si>
  <si>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</si>
  <si>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</si>
  <si>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</si>
  <si>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</si>
  <si>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</si>
  <si>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</si>
  <si>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</si>
  <si>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</si>
  <si>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</si>
  <si>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</si>
  <si>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</si>
  <si>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</si>
  <si>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</si>
  <si>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</si>
  <si>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</si>
  <si>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</si>
  <si>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</si>
  <si>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</si>
  <si>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</si>
  <si>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</si>
  <si>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</si>
  <si>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</si>
  <si>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</si>
  <si>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</si>
  <si>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</si>
  <si>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</si>
  <si>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</si>
  <si>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</si>
  <si>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</si>
  <si>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</si>
  <si>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</si>
  <si>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</si>
  <si>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</si>
  <si>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</si>
  <si>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</si>
  <si>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</si>
  <si>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</si>
  <si>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</si>
  <si>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</si>
  <si>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</si>
  <si>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</si>
  <si>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</si>
  <si>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</si>
  <si>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</si>
  <si>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</si>
  <si>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</si>
  <si>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</si>
  <si>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</si>
  <si>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</si>
  <si>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</si>
  <si>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</si>
  <si>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</si>
  <si>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</si>
  <si>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</si>
  <si>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</si>
  <si>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</si>
  <si>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</si>
  <si>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</si>
  <si>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</si>
  <si>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</si>
  <si>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</si>
  <si>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</si>
  <si>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</si>
  <si>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</si>
  <si>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</si>
  <si>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</si>
  <si>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</si>
  <si>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</si>
  <si>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</si>
  <si>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</si>
  <si>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</si>
  <si>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</si>
  <si>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</si>
  <si>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</si>
  <si>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</si>
  <si>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</si>
  <si>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</si>
  <si>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</si>
  <si>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</si>
  <si>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</si>
  <si>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</si>
  <si>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</si>
  <si>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</si>
  <si>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</si>
  <si>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</si>
  <si>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</si>
  <si>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</si>
  <si>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</si>
  <si>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</si>
  <si>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</si>
  <si>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</si>
  <si>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</si>
  <si>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</si>
  <si>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</si>
  <si>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</si>
  <si>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</si>
  <si>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</si>
  <si>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</si>
  <si>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</si>
  <si>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</si>
  <si>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</si>
  <si>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</si>
  <si>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</si>
  <si>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</si>
  <si>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</si>
  <si>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</si>
  <si>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</si>
  <si>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</si>
  <si>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</si>
  <si>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</si>
  <si>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</si>
  <si>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</si>
  <si>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</si>
  <si>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</si>
  <si>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</si>
  <si>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</si>
  <si>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</si>
  <si>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</si>
  <si>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</si>
  <si>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</si>
  <si>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</si>
  <si>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</si>
  <si>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</si>
  <si>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</si>
  <si>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</si>
  <si>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</si>
  <si>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</si>
  <si>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</si>
  <si>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</si>
  <si>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</si>
  <si>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</si>
  <si>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</si>
  <si>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</si>
  <si>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</si>
  <si>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</si>
  <si>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</si>
  <si>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</si>
  <si>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</si>
  <si>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</si>
  <si>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</si>
  <si>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</si>
  <si>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</si>
  <si>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</si>
  <si>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</si>
  <si>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</si>
  <si>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</si>
  <si>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</si>
  <si>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</si>
  <si>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</si>
  <si>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</si>
  <si>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</si>
  <si>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</si>
  <si>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</si>
  <si>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</si>
  <si>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</si>
  <si>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</si>
  <si>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</si>
  <si>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</si>
  <si>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</si>
  <si>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</si>
  <si>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</si>
  <si>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</si>
  <si>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</si>
  <si>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</si>
  <si>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</si>
  <si>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</si>
  <si>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</si>
  <si>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</si>
  <si>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</si>
  <si>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</si>
  <si>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</si>
  <si>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</si>
  <si>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</si>
  <si>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</si>
  <si>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</si>
  <si>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</si>
  <si>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</si>
  <si>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</si>
  <si>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</si>
  <si>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</si>
  <si>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</si>
  <si>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</si>
  <si>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</si>
  <si>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</si>
  <si>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</si>
  <si>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</si>
  <si>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</si>
  <si>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</si>
  <si>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</si>
  <si>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</si>
  <si>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</si>
  <si>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</si>
  <si>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</si>
  <si>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</si>
  <si>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</si>
  <si>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</si>
  <si>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</si>
  <si>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</si>
  <si>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</si>
  <si>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</si>
  <si>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</si>
  <si>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</si>
  <si>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</si>
  <si>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</si>
  <si>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</si>
  <si>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</si>
  <si>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</si>
  <si>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</si>
  <si>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</si>
  <si>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</si>
  <si>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</si>
  <si>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</si>
  <si>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</si>
  <si>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</si>
  <si>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</si>
  <si>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</si>
  <si>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</si>
  <si>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</si>
  <si>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</si>
  <si>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</si>
  <si>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</si>
  <si>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</si>
  <si>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</si>
  <si>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</si>
  <si>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</si>
  <si>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</si>
  <si>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</si>
  <si>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</si>
  <si>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</si>
  <si>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</si>
  <si>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</si>
  <si>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</si>
  <si>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</si>
  <si>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</si>
  <si>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</si>
  <si>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</si>
  <si>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</si>
  <si>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</si>
  <si>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</si>
  <si>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</si>
  <si>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</si>
  <si>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</si>
  <si>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</si>
  <si>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</si>
  <si>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</si>
  <si>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</si>
  <si>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</si>
  <si>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</si>
  <si>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</si>
  <si>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</si>
  <si>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</si>
  <si>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</si>
  <si>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</si>
  <si>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</si>
  <si>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</si>
  <si>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</si>
  <si>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</si>
  <si>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</si>
  <si>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</si>
  <si>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</si>
  <si>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</si>
  <si>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</si>
  <si>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</si>
  <si>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</si>
  <si>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</si>
  <si>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</si>
  <si>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</si>
  <si>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</si>
  <si>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</si>
  <si>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</si>
  <si>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</si>
  <si>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</si>
  <si>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</si>
  <si>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</si>
  <si>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</si>
  <si>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</si>
  <si>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</si>
  <si>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</si>
  <si>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</si>
  <si>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</si>
  <si>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</si>
  <si>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</si>
  <si>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</si>
  <si>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</si>
  <si>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</si>
  <si>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</si>
  <si>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</si>
  <si>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</si>
  <si>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</si>
  <si>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</si>
  <si>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</si>
  <si>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</si>
  <si>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</si>
  <si>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</si>
  <si>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</si>
  <si>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</si>
  <si>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</si>
  <si>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</si>
  <si>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</si>
  <si>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</si>
  <si>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</si>
  <si>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</si>
  <si>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</si>
  <si>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</si>
  <si>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</si>
  <si>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</si>
  <si>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</si>
  <si>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</si>
  <si>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</si>
  <si>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</si>
  <si>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</si>
  <si>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</si>
  <si>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</si>
  <si>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</si>
  <si>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</si>
  <si>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</si>
  <si>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</si>
  <si>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</si>
  <si>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</si>
  <si>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</si>
  <si>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</si>
  <si>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</si>
  <si>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</si>
  <si>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</si>
  <si>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</si>
  <si>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</si>
  <si>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</si>
  <si>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</si>
  <si>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</si>
  <si>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</si>
  <si>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</si>
  <si>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</si>
  <si>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</si>
  <si>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</si>
  <si>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</si>
  <si>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</si>
  <si>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</si>
  <si>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</si>
  <si>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</si>
  <si>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</si>
  <si>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</si>
  <si>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</si>
  <si>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</si>
  <si>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</si>
  <si>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</si>
  <si>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</si>
  <si>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</si>
  <si>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</si>
  <si>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</si>
  <si>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</si>
  <si>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</si>
  <si>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</si>
  <si>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</si>
  <si>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</si>
  <si>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</si>
  <si>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</si>
  <si>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</si>
  <si>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</si>
  <si>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</si>
  <si>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</si>
  <si>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</si>
  <si>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</si>
  <si>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</si>
  <si>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</si>
  <si>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</si>
  <si>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</si>
  <si>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</si>
  <si>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</si>
  <si>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</si>
  <si>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</si>
  <si>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</si>
  <si>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</si>
  <si>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</si>
  <si>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</si>
  <si>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</si>
  <si>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</si>
  <si>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</si>
  <si>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</si>
  <si>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</si>
  <si>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</si>
  <si>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</si>
  <si>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</si>
  <si>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</si>
  <si>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</si>
  <si>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</si>
  <si>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</si>
  <si>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</si>
  <si>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</si>
  <si>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</si>
  <si>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</si>
  <si>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</si>
  <si>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</si>
  <si>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</si>
  <si>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</si>
  <si>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</si>
  <si>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</si>
  <si>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</si>
  <si>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</si>
  <si>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</si>
  <si>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</si>
  <si>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</si>
  <si>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</si>
  <si>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</si>
  <si>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</si>
  <si>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</si>
  <si>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</si>
  <si>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</si>
  <si>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</si>
  <si>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</si>
  <si>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</si>
  <si>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</si>
  <si>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</si>
  <si>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</si>
  <si>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</si>
  <si>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</si>
  <si>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</si>
  <si>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</si>
  <si>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</si>
  <si>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</si>
  <si>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</si>
  <si>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</si>
  <si>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</si>
  <si>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</si>
  <si>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</si>
  <si>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</si>
  <si>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</si>
  <si>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</si>
  <si>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</si>
  <si>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</si>
  <si>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</si>
  <si>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</si>
  <si>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</si>
  <si>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</si>
  <si>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</si>
  <si>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</si>
  <si>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</si>
  <si>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</si>
  <si>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</si>
  <si>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</si>
  <si>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</si>
  <si>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</si>
  <si>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</si>
  <si>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</si>
  <si>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</si>
  <si>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</si>
  <si>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</si>
  <si>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</si>
  <si>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</si>
  <si>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</si>
  <si>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</si>
  <si>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</si>
  <si>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</si>
  <si>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</si>
  <si>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</si>
  <si>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</si>
  <si>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</si>
  <si>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</si>
  <si>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</si>
  <si>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</si>
  <si>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</si>
  <si>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</si>
  <si>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</si>
  <si>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</si>
  <si>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</si>
  <si>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</si>
  <si>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</si>
  <si>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</si>
  <si>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</si>
  <si>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</si>
  <si>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</si>
  <si>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</si>
  <si>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</si>
  <si>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</si>
  <si>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</si>
  <si>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</si>
  <si>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</si>
  <si>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</si>
  <si>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</si>
  <si>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</si>
  <si>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</si>
  <si>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</si>
  <si>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</si>
  <si>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</si>
  <si>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</si>
  <si>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</si>
  <si>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</si>
  <si>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</si>
  <si>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</si>
  <si>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</si>
  <si>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</si>
  <si>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</si>
  <si>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</si>
  <si>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</si>
  <si>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</si>
  <si>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</si>
  <si>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</si>
  <si>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</si>
  <si>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</si>
  <si>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</si>
  <si>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</si>
  <si>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</si>
  <si>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</si>
  <si>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</si>
  <si>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</si>
  <si>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</si>
  <si>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</si>
  <si>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</si>
  <si>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</si>
  <si>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</si>
  <si>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</si>
  <si>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</si>
  <si>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</si>
  <si>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</si>
  <si>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</si>
  <si>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</si>
  <si>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</si>
  <si>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</si>
  <si>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</si>
  <si>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</si>
  <si>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</si>
  <si>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</si>
  <si>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</si>
  <si>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</si>
  <si>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</si>
  <si>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</si>
  <si>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</si>
  <si>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</si>
  <si>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</si>
  <si>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</si>
  <si>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</si>
  <si>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</si>
  <si>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</si>
  <si>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</si>
  <si>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</si>
  <si>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</si>
  <si>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</si>
  <si>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</si>
  <si>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</si>
  <si>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</si>
  <si>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</si>
  <si>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</si>
  <si>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</si>
  <si>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</si>
  <si>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</si>
  <si>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</si>
  <si>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</si>
  <si>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</si>
  <si>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</si>
  <si>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</si>
  <si>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</si>
  <si>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</si>
  <si>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</si>
  <si>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</si>
  <si>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</si>
  <si>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</si>
  <si>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</si>
  <si>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</si>
  <si>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</si>
  <si>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</si>
  <si>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</si>
  <si>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</si>
  <si>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</si>
  <si>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</si>
  <si>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</si>
  <si>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</si>
  <si>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</si>
  <si>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</si>
  <si>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</si>
  <si>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</si>
  <si>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</si>
  <si>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</si>
  <si>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</si>
  <si>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</si>
  <si>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</si>
  <si>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</si>
  <si>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</si>
  <si>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</si>
  <si>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</si>
  <si>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</si>
  <si>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</si>
  <si>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</si>
  <si>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</si>
  <si>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</si>
  <si>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</si>
  <si>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</si>
  <si>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</si>
  <si>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</si>
  <si>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</si>
  <si>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</si>
  <si>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</si>
  <si>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</si>
  <si>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</si>
  <si>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</si>
  <si>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</si>
  <si>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</si>
  <si>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</si>
  <si>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</si>
  <si>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</si>
  <si>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</si>
  <si>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</si>
  <si>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</si>
  <si>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</si>
  <si>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</si>
  <si>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</si>
  <si>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</si>
  <si>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</si>
  <si>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</si>
  <si>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</si>
  <si>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</si>
  <si>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</si>
  <si>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</si>
  <si>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</si>
  <si>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</si>
  <si>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</si>
  <si>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</si>
  <si>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</si>
  <si>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</si>
  <si>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</si>
  <si>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</si>
  <si>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</si>
  <si>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</si>
  <si>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</si>
  <si>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</si>
  <si>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</si>
  <si>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</si>
  <si>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</si>
  <si>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</si>
  <si>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</si>
  <si>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</si>
  <si>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</si>
  <si>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</si>
  <si>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</si>
  <si>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</si>
  <si>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</si>
  <si>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</si>
  <si>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</si>
  <si>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</si>
  <si>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</si>
  <si>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</si>
  <si>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</si>
  <si>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</si>
  <si>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</si>
  <si>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</si>
  <si>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</si>
  <si>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</si>
  <si>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</si>
  <si>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</si>
  <si>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</si>
  <si>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</si>
  <si>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</si>
  <si>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</si>
  <si>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</si>
  <si>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</si>
  <si>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</si>
  <si>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</si>
  <si>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</si>
  <si>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</si>
  <si>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</si>
  <si>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</si>
  <si>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</si>
  <si>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</si>
  <si>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</si>
  <si>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</si>
  <si>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</si>
  <si>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</si>
  <si>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</si>
  <si>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</si>
  <si>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</si>
  <si>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</si>
  <si>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</si>
  <si>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</si>
  <si>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</si>
  <si>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</si>
  <si>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</si>
  <si>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</si>
  <si>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</si>
  <si>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</si>
  <si>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</si>
  <si>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</si>
  <si>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</si>
  <si>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</si>
  <si>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</si>
  <si>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</si>
  <si>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</si>
  <si>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</si>
  <si>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</si>
  <si>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</si>
  <si>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</si>
  <si>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</si>
  <si>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</si>
  <si>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</si>
  <si>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</si>
  <si>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</si>
  <si>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</si>
  <si>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</si>
  <si>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</si>
  <si>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</si>
  <si>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</si>
  <si>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</si>
  <si>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</si>
  <si>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</si>
  <si>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</si>
  <si>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</si>
  <si>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</si>
  <si>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</si>
  <si>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</si>
  <si>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</si>
  <si>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</si>
  <si>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</si>
  <si>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</si>
  <si>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</si>
  <si>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</si>
  <si>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</si>
  <si>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</si>
  <si>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</si>
  <si>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</si>
  <si>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</si>
  <si>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</si>
  <si>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</si>
  <si>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</si>
  <si>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</si>
  <si>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</si>
  <si>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</si>
  <si>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</si>
  <si>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</si>
  <si>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</si>
  <si>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</si>
  <si>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</si>
  <si>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</si>
  <si>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</si>
  <si>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</si>
  <si>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</si>
  <si>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</si>
  <si>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</si>
  <si>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</si>
  <si>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</si>
  <si>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</si>
  <si>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</si>
  <si>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</si>
  <si>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</si>
  <si>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</si>
  <si>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</si>
  <si>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</si>
  <si>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</si>
  <si>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</si>
  <si>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</si>
  <si>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</si>
  <si>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</si>
  <si>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</si>
  <si>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</si>
  <si>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</si>
  <si>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</si>
  <si>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</si>
  <si>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</si>
  <si>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</si>
  <si>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</si>
  <si>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</si>
  <si>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</si>
  <si>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</si>
  <si>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</si>
  <si>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</si>
  <si>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</si>
  <si>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</si>
  <si>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</si>
  <si>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</si>
  <si>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</si>
  <si>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</si>
  <si>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</si>
  <si>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</si>
  <si>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</si>
  <si>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</si>
  <si>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</si>
  <si>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</si>
  <si>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</si>
  <si>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</si>
  <si>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</si>
  <si>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</si>
  <si>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</si>
  <si>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</si>
  <si>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</si>
  <si>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</si>
  <si>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</si>
  <si>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</si>
  <si>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</si>
  <si>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</si>
  <si>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</si>
  <si>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</si>
  <si>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</si>
  <si>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</si>
  <si>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</si>
  <si>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</si>
  <si>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</si>
  <si>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</si>
  <si>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</si>
  <si>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</si>
  <si>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</si>
  <si>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</si>
  <si>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</si>
  <si>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</si>
  <si>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</si>
  <si>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</si>
  <si>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</si>
  <si>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</si>
  <si>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</si>
  <si>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</si>
  <si>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</si>
  <si>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</si>
  <si>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</si>
  <si>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</si>
  <si>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</si>
  <si>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</si>
  <si>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</si>
  <si>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</si>
  <si>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</si>
  <si>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</si>
  <si>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</si>
  <si>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</si>
  <si>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</si>
  <si>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</si>
  <si>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</si>
  <si>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</si>
  <si>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</si>
  <si>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</si>
  <si>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</si>
  <si>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</si>
  <si>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</si>
  <si>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</si>
  <si>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</si>
  <si>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</si>
  <si>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</si>
  <si>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</si>
  <si>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</si>
  <si>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</si>
  <si>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</si>
  <si>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</si>
  <si>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</si>
  <si>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</si>
  <si>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</si>
  <si>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</si>
  <si>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</si>
  <si>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</si>
  <si>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</si>
  <si>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</si>
  <si>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</si>
  <si>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</si>
  <si>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</si>
  <si>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</si>
  <si>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</si>
  <si>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</si>
  <si>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</si>
  <si>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</si>
  <si>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</si>
  <si>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</si>
  <si>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</si>
  <si>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</si>
  <si>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</si>
  <si>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</si>
  <si>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</si>
  <si>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</si>
  <si>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</si>
  <si>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</si>
  <si>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</si>
  <si>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</si>
  <si>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</si>
  <si>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</si>
  <si>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</si>
  <si>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</si>
  <si>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</si>
  <si>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</si>
  <si>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</si>
  <si>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</si>
  <si>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</si>
  <si>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</si>
  <si>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</si>
  <si>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</si>
  <si>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</si>
  <si>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</si>
  <si>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</si>
  <si>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</si>
  <si>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</si>
  <si>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</si>
  <si>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</si>
  <si>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</si>
  <si>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</si>
  <si>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</si>
  <si>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</si>
  <si>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</si>
  <si>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</si>
  <si>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</si>
  <si>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</si>
  <si>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</si>
  <si>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</si>
  <si>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</si>
  <si>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</si>
  <si>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</si>
  <si>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</si>
  <si>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</si>
  <si>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</si>
  <si>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</si>
  <si>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</si>
  <si>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</si>
  <si>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</si>
  <si>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</si>
  <si>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</si>
  <si>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</si>
  <si>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</si>
  <si>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</si>
  <si>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</si>
  <si>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</si>
  <si>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</si>
  <si>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</si>
  <si>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</si>
  <si>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</si>
  <si>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</si>
  <si>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</si>
  <si>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</si>
  <si>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</si>
  <si>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</si>
  <si>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</si>
  <si>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</si>
  <si>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</si>
  <si>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</si>
  <si>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</si>
  <si>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</si>
  <si>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</si>
  <si>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</si>
  <si>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</si>
  <si>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</si>
  <si>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</si>
  <si>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</si>
  <si>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</si>
  <si>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</si>
  <si>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</si>
  <si>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</si>
  <si>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</si>
  <si>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</si>
  <si>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</si>
  <si>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</si>
  <si>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</si>
  <si>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</si>
  <si>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</si>
  <si>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</si>
  <si>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</si>
  <si>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</si>
  <si>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</si>
  <si>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</si>
  <si>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</si>
  <si>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</si>
  <si>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</si>
  <si>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</si>
  <si>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</si>
  <si>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</si>
  <si>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</si>
  <si>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</si>
  <si>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</si>
  <si>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</si>
  <si>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</si>
  <si>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</si>
  <si>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</si>
  <si>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</si>
  <si>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</si>
  <si>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</si>
  <si>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</si>
  <si>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</si>
  <si>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</si>
  <si>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</si>
  <si>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</si>
  <si>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</si>
  <si>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</si>
  <si>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</si>
  <si>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</si>
  <si>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</si>
  <si>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</si>
  <si>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</si>
  <si>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</si>
  <si>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</si>
  <si>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</si>
  <si>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</si>
  <si>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</si>
  <si>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</si>
  <si>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</si>
  <si>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</si>
  <si>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</si>
  <si>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</si>
  <si>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</si>
  <si>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</si>
  <si>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</si>
  <si>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</si>
  <si>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</si>
  <si>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</si>
  <si>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</si>
  <si>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</si>
  <si>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</si>
  <si>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</si>
  <si>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</si>
  <si>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</si>
  <si>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</si>
  <si>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</si>
  <si>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</si>
  <si>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</si>
  <si>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</si>
  <si>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</si>
  <si>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</si>
  <si>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</si>
  <si>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</si>
  <si>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</si>
  <si>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</si>
  <si>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</si>
  <si>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</si>
  <si>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</si>
  <si>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</si>
  <si>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</si>
  <si>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</si>
  <si>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</si>
  <si>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</si>
  <si>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</si>
  <si>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</si>
  <si>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</si>
  <si>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</si>
  <si>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</si>
  <si>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</si>
  <si>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</si>
  <si>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</si>
  <si>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</si>
  <si>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</si>
  <si>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</si>
  <si>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</si>
  <si>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</si>
  <si>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</si>
  <si>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</si>
  <si>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</si>
  <si>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</si>
  <si>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</si>
  <si>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</si>
  <si>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</si>
  <si>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</si>
  <si>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</si>
  <si>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</si>
  <si>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</si>
  <si>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</si>
  <si>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</si>
  <si>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</si>
  <si>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</si>
  <si>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</si>
  <si>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</si>
  <si>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</si>
  <si>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</si>
  <si>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</si>
  <si>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</si>
  <si>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</si>
  <si>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</si>
  <si>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</si>
  <si>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</si>
  <si>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</si>
  <si>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</si>
  <si>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</si>
  <si>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</si>
  <si>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</si>
  <si>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</si>
  <si>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</si>
  <si>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</si>
  <si>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</si>
  <si>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</si>
  <si>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</si>
  <si>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</si>
  <si>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</si>
  <si>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</si>
  <si>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</si>
  <si>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</si>
  <si>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</si>
  <si>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</si>
  <si>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</si>
  <si>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</si>
  <si>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</si>
  <si>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</si>
  <si>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</si>
  <si>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</si>
  <si>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</si>
  <si>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</si>
  <si>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</si>
  <si>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</si>
  <si>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</si>
  <si>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</si>
  <si>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</si>
  <si>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</si>
  <si>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</si>
  <si>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</si>
  <si>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</si>
  <si>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</si>
  <si>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</si>
  <si>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</si>
  <si>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</si>
  <si>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</si>
  <si>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</si>
  <si>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</si>
  <si>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</si>
  <si>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</si>
  <si>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</si>
  <si>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</si>
  <si>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</si>
  <si>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</si>
  <si>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</si>
  <si>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</si>
  <si>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</si>
  <si>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</si>
  <si>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</si>
  <si>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</si>
  <si>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</si>
  <si>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</si>
  <si>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</si>
  <si>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</si>
  <si>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</si>
  <si>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</si>
  <si>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</si>
  <si>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</si>
  <si>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</si>
  <si>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</si>
  <si>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</si>
  <si>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</si>
  <si>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</si>
  <si>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</si>
  <si>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</si>
  <si>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</si>
  <si>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</si>
  <si>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</si>
  <si>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</si>
  <si>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</si>
  <si>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</si>
  <si>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</si>
  <si>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</si>
  <si>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</si>
  <si>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</si>
  <si>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</si>
  <si>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</si>
  <si>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</si>
  <si>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</si>
  <si>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</si>
  <si>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</si>
  <si>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</si>
  <si>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</si>
  <si>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</si>
  <si>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</si>
  <si>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</si>
  <si>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</si>
  <si>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</si>
  <si>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</si>
  <si>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</si>
  <si>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</si>
  <si>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</si>
  <si>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</si>
  <si>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</si>
  <si>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</si>
  <si>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</si>
  <si>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</si>
  <si>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</si>
  <si>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</si>
  <si>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</si>
  <si>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</si>
  <si>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</si>
  <si>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</si>
  <si>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</si>
  <si>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</si>
  <si>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</si>
  <si>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</si>
  <si>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</si>
  <si>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</si>
  <si>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</si>
  <si>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</si>
  <si>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</si>
  <si>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</si>
  <si>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</si>
  <si>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</si>
  <si>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</si>
  <si>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</si>
  <si>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</si>
  <si>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</si>
  <si>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</si>
  <si>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</si>
  <si>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</si>
  <si>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</si>
  <si>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</si>
  <si>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</si>
  <si>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</si>
  <si>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</si>
  <si>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</si>
  <si>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</si>
  <si>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</si>
  <si>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</si>
  <si>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</si>
  <si>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</si>
  <si>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</si>
  <si>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</si>
  <si>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</si>
  <si>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</si>
  <si>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</si>
  <si>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</si>
  <si>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</si>
  <si>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</si>
  <si>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</si>
  <si>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</si>
  <si>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</si>
  <si>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</si>
  <si>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</si>
  <si>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</si>
  <si>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</si>
  <si>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</si>
  <si>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</si>
  <si>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</si>
  <si>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</si>
  <si>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</si>
  <si>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</si>
  <si>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</si>
  <si>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</si>
  <si>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</si>
  <si>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</si>
  <si>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</si>
  <si>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</si>
  <si>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</si>
  <si>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</si>
  <si>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</si>
  <si>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</si>
  <si>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</si>
  <si>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</si>
  <si>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</si>
  <si>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</si>
  <si>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</si>
  <si>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</si>
  <si>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</si>
  <si>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</si>
  <si>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</si>
  <si>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</si>
  <si>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</si>
  <si>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</si>
  <si>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</si>
  <si>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</si>
  <si>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</si>
  <si>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</si>
  <si>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</si>
  <si>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</si>
  <si>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</si>
  <si>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</si>
  <si>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</si>
  <si>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</si>
  <si>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</si>
  <si>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</si>
  <si>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</si>
  <si>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</si>
  <si>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</si>
  <si>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</si>
  <si>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</si>
  <si>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</si>
  <si>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</si>
  <si>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</si>
  <si>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</si>
  <si>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</si>
  <si>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</si>
  <si>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</si>
  <si>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</si>
  <si>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</si>
  <si>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</si>
  <si>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</si>
  <si>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</si>
  <si>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</si>
  <si>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</si>
  <si>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</si>
  <si>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</si>
  <si>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</si>
  <si>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</si>
  <si>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</si>
  <si>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</si>
  <si>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</si>
  <si>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</si>
  <si>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</si>
  <si>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</si>
  <si>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</si>
  <si>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</si>
  <si>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</si>
  <si>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</si>
  <si>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</si>
  <si>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</si>
  <si>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</si>
  <si>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</si>
  <si>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</si>
  <si>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</si>
  <si>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</si>
  <si>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</si>
  <si>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</si>
  <si>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</si>
  <si>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</si>
  <si>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</si>
  <si>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</si>
  <si>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</si>
  <si>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</si>
  <si>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</si>
  <si>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</si>
  <si>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</si>
  <si>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</si>
  <si>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</si>
  <si>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</si>
  <si>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</si>
  <si>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</si>
  <si>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</si>
  <si>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</si>
  <si>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</si>
  <si>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</si>
  <si>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</si>
  <si>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</si>
  <si>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</si>
  <si>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</si>
  <si>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</si>
  <si>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</si>
  <si>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</si>
  <si>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</si>
  <si>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</si>
  <si>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</si>
  <si>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</si>
  <si>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</si>
  <si>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</si>
  <si>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</si>
  <si>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</si>
  <si>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</si>
  <si>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</si>
  <si>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</si>
  <si>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</si>
  <si>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</si>
  <si>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</si>
  <si>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</si>
  <si>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</si>
  <si>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</si>
  <si>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</si>
  <si>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</si>
  <si>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</si>
  <si>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</si>
  <si>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</si>
  <si>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</si>
  <si>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</si>
  <si>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</si>
  <si>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</si>
  <si>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</si>
  <si>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</si>
  <si>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</si>
  <si>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</si>
  <si>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</si>
  <si>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</si>
  <si>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</si>
  <si>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</si>
  <si>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</si>
  <si>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</si>
  <si>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</si>
  <si>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</si>
  <si>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</si>
  <si>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</si>
  <si>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</si>
  <si>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</si>
  <si>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</si>
  <si>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</si>
  <si>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</si>
  <si>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</si>
  <si>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</si>
  <si>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</si>
  <si>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</si>
  <si>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</si>
  <si>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</si>
  <si>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</si>
  <si>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</si>
  <si>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</si>
  <si>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</si>
  <si>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</si>
  <si>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</si>
  <si>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</si>
  <si>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</si>
  <si>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</si>
  <si>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</si>
  <si>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</si>
  <si>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</si>
  <si>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</si>
  <si>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</si>
  <si>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</si>
  <si>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</si>
  <si>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</si>
  <si>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</si>
  <si>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</si>
  <si>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</si>
  <si>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</si>
  <si>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</si>
  <si>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</si>
  <si>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</si>
  <si>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</si>
  <si>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</si>
  <si>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</si>
  <si>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</si>
  <si>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</si>
  <si>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</si>
  <si>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</si>
  <si>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</si>
  <si>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</si>
  <si>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</si>
  <si>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</si>
  <si>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</si>
  <si>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</si>
  <si>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</si>
  <si>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</si>
  <si>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</si>
  <si>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</si>
  <si>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</si>
  <si>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</si>
  <si>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</si>
  <si>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</si>
  <si>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</si>
  <si>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</si>
  <si>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</si>
  <si>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</si>
  <si>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</si>
  <si>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</si>
  <si>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</si>
  <si>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</si>
  <si>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</si>
  <si>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</si>
  <si>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</si>
  <si>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</si>
  <si>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</si>
  <si>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</si>
  <si>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</si>
  <si>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</si>
  <si>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</si>
  <si>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</si>
  <si>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</si>
  <si>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</si>
  <si>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</si>
  <si>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</si>
  <si>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</si>
  <si>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</si>
  <si>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</si>
  <si>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</si>
  <si>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</si>
  <si>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</si>
  <si>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</si>
  <si>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</si>
  <si>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</si>
  <si>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</si>
  <si>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</si>
  <si>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</si>
  <si>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</si>
  <si>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</si>
  <si>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</si>
  <si>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</si>
  <si>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</si>
  <si>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</si>
  <si>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</si>
  <si>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</si>
  <si>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</si>
  <si>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</si>
  <si>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</si>
  <si>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</si>
  <si>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</si>
  <si>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</si>
  <si>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</si>
  <si>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</si>
  <si>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</si>
  <si>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</si>
  <si>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</si>
  <si>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</si>
  <si>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</si>
  <si>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</si>
  <si>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</si>
  <si>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</si>
  <si>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</si>
  <si>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</si>
  <si>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</si>
  <si>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</si>
  <si>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</si>
  <si>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</si>
  <si>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</si>
  <si>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</si>
  <si>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</si>
  <si>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</si>
  <si>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</si>
  <si>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</si>
  <si>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</si>
  <si>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</si>
  <si>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</si>
  <si>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</si>
  <si>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</si>
  <si>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</si>
  <si>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</si>
  <si>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</si>
  <si>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</si>
  <si>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</si>
  <si>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</si>
  <si>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</si>
  <si>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</si>
  <si>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</si>
  <si>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</si>
  <si>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</si>
  <si>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</si>
  <si>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</si>
  <si>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</si>
  <si>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</si>
  <si>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</si>
  <si>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</si>
  <si>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</si>
  <si>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</si>
  <si>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</si>
  <si>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</si>
  <si>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</si>
  <si>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</si>
  <si>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</si>
  <si>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</si>
  <si>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</si>
  <si>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</si>
  <si>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</si>
  <si>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</si>
  <si>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</si>
  <si>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</si>
  <si>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</si>
  <si>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</si>
  <si>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</si>
  <si>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</si>
  <si>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</si>
  <si>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</si>
  <si>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</si>
  <si>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</si>
  <si>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</si>
  <si>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</si>
  <si>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</si>
  <si>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</si>
  <si>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</si>
  <si>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</si>
  <si>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</si>
  <si>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</si>
  <si>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</si>
  <si>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</si>
  <si>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</si>
  <si>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</si>
  <si>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</si>
  <si>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</si>
  <si>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</si>
  <si>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</si>
  <si>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</si>
  <si>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</si>
  <si>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</si>
  <si>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</si>
  <si>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</si>
  <si>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</si>
  <si>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</si>
  <si>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</si>
  <si>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</si>
  <si>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</si>
  <si>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</si>
  <si>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</si>
  <si>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</si>
  <si>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</si>
  <si>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</si>
  <si>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</si>
  <si>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</si>
  <si>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</si>
  <si>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</si>
  <si>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</si>
  <si>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</si>
  <si>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</si>
  <si>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</si>
  <si>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</si>
  <si>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</si>
  <si>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</si>
  <si>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</si>
  <si>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</si>
  <si>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</si>
  <si>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</si>
  <si>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</si>
  <si>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</si>
  <si>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</si>
  <si>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</si>
  <si>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</si>
  <si>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</si>
  <si>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</si>
  <si>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</si>
  <si>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</si>
  <si>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</si>
  <si>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</si>
  <si>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</si>
  <si>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</si>
  <si>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</si>
  <si>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</si>
  <si>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</si>
  <si>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</si>
  <si>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</si>
  <si>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</si>
  <si>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</si>
  <si>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</si>
  <si>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</si>
  <si>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</si>
  <si>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</si>
  <si>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</si>
  <si>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</si>
  <si>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</si>
  <si>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</si>
  <si>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</si>
  <si>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</si>
  <si>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</si>
  <si>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</si>
  <si>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</si>
  <si>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</si>
  <si>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</si>
  <si>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</si>
  <si>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</si>
  <si>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</si>
  <si>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</si>
  <si>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</si>
  <si>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</si>
  <si>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</si>
  <si>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</si>
  <si>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</si>
  <si>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</si>
  <si>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</si>
  <si>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</si>
  <si>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</si>
  <si>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</si>
  <si>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</si>
  <si>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</si>
  <si>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</si>
  <si>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</si>
  <si>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</si>
  <si>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</si>
  <si>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</si>
  <si>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</si>
  <si>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</si>
  <si>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</si>
  <si>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</si>
  <si>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</si>
  <si>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</si>
  <si>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</si>
  <si>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</si>
  <si>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</si>
  <si>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</si>
  <si>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</si>
  <si>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</si>
  <si>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</si>
  <si>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</si>
  <si>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</si>
  <si>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</si>
  <si>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</si>
  <si>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</si>
  <si>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</si>
  <si>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</si>
  <si>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</si>
  <si>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</si>
  <si>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</si>
  <si>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</si>
  <si>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</si>
  <si>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</si>
  <si>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</si>
  <si>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</si>
  <si>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</si>
  <si>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</si>
  <si>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</si>
  <si>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</si>
  <si>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</si>
  <si>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</si>
  <si>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</si>
  <si>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</si>
  <si>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</si>
  <si>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</si>
  <si>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</si>
  <si>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</si>
  <si>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</si>
  <si>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</si>
  <si>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</si>
  <si>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</si>
  <si>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</si>
  <si>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</si>
  <si>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</si>
  <si>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</si>
  <si>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</si>
  <si>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</si>
  <si>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</si>
  <si>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</si>
  <si>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</si>
  <si>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</si>
  <si>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</si>
  <si>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</si>
  <si>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</si>
  <si>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</si>
  <si>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</si>
  <si>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</si>
  <si>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</si>
  <si>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</si>
  <si>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</si>
  <si>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</si>
  <si>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</si>
  <si>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</si>
  <si>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</si>
  <si>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</si>
  <si>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</si>
  <si>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</si>
  <si>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</si>
  <si>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</si>
  <si>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</si>
  <si>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</si>
  <si>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</si>
  <si>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</si>
  <si>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</si>
  <si>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</si>
  <si>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</si>
  <si>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</si>
  <si>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</si>
  <si>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</si>
  <si>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</si>
  <si>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</si>
  <si>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</si>
  <si>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</si>
  <si>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</si>
  <si>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</si>
  <si>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</si>
  <si>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</si>
  <si>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</si>
  <si>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</si>
  <si>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</si>
  <si>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</si>
  <si>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</si>
  <si>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</si>
  <si>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</si>
  <si>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</si>
  <si>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</si>
  <si>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</si>
  <si>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</si>
  <si>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</si>
  <si>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</si>
  <si>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</si>
  <si>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</si>
  <si>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</si>
  <si>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</si>
  <si>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</si>
  <si>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</si>
  <si>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</si>
  <si>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</si>
  <si>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</si>
  <si>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</si>
  <si>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</si>
  <si>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</si>
  <si>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</si>
  <si>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</si>
  <si>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</si>
  <si>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</si>
  <si>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</si>
  <si>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</si>
  <si>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</si>
  <si>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</si>
  <si>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</si>
  <si>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</si>
  <si>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</si>
  <si>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</si>
  <si>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</si>
  <si>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</si>
  <si>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</si>
  <si>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</si>
  <si>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</si>
  <si>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</si>
  <si>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</si>
  <si>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</si>
  <si>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</si>
  <si>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</si>
  <si>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</si>
  <si>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</si>
  <si>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</si>
  <si>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</si>
  <si>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</si>
  <si>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</si>
  <si>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</si>
  <si>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</si>
  <si>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</si>
  <si>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</si>
  <si>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</si>
  <si>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</si>
  <si>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</si>
  <si>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</si>
  <si>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</si>
  <si>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</si>
  <si>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</si>
  <si>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</si>
  <si>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</si>
  <si>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</si>
  <si>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</si>
  <si>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</si>
  <si>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</si>
  <si>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</si>
  <si>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</si>
  <si>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</si>
  <si>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</si>
  <si>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</si>
  <si>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</si>
  <si>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</si>
  <si>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</si>
  <si>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</si>
  <si>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</si>
  <si>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</si>
  <si>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</si>
  <si>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</si>
  <si>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</si>
  <si>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</si>
  <si>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</si>
  <si>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</si>
  <si>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</si>
  <si>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</si>
  <si>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</si>
  <si>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</si>
  <si>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</si>
  <si>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</si>
  <si>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</si>
  <si>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</si>
  <si>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</si>
  <si>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</si>
  <si>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</si>
  <si>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</si>
  <si>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</si>
  <si>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</si>
  <si>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</si>
  <si>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</si>
  <si>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</si>
  <si>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</si>
  <si>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</si>
  <si>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</si>
  <si>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</si>
  <si>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</si>
  <si>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</si>
  <si>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</si>
  <si>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</si>
  <si>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</si>
  <si>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</si>
  <si>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</si>
  <si>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</si>
  <si>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</si>
  <si>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</si>
  <si>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</si>
  <si>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</si>
  <si>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</si>
  <si>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</si>
  <si>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</si>
  <si>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</si>
  <si>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</si>
  <si>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</si>
  <si>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</si>
  <si>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</si>
  <si>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</si>
  <si>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</si>
  <si>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</si>
  <si>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</si>
  <si>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</si>
  <si>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</si>
  <si>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</si>
  <si>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</si>
  <si>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</si>
  <si>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</si>
  <si>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</si>
  <si>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</si>
  <si>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</si>
  <si>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</si>
  <si>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</si>
  <si>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</si>
  <si>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</si>
  <si>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</si>
  <si>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</si>
  <si>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</si>
  <si>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</si>
  <si>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</si>
  <si>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</si>
  <si>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</si>
  <si>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</si>
  <si>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</si>
  <si>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</si>
  <si>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</si>
  <si>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</si>
  <si>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</si>
  <si>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</si>
  <si>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</si>
  <si>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</si>
  <si>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</si>
  <si>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</si>
  <si>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</si>
  <si>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</si>
  <si>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</si>
  <si>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</si>
  <si>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</si>
  <si>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</si>
  <si>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</si>
  <si>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</si>
  <si>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</si>
  <si>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</si>
  <si>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</si>
  <si>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</si>
  <si>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</si>
  <si>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</si>
  <si>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</si>
  <si>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</si>
  <si>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</si>
  <si>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</si>
  <si>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</si>
  <si>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</si>
  <si>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</si>
  <si>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</si>
  <si>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</si>
  <si>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</si>
  <si>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</si>
  <si>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</si>
  <si>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</si>
  <si>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</si>
  <si>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</si>
  <si>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</si>
  <si>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</si>
  <si>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</si>
  <si>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</si>
  <si>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</si>
  <si>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</si>
  <si>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</si>
  <si>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</si>
  <si>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</si>
  <si>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</si>
  <si>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</si>
  <si>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</si>
  <si>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</si>
  <si>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</si>
  <si>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</si>
  <si>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</si>
  <si>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</si>
  <si>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</si>
  <si>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</si>
  <si>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</si>
  <si>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</si>
  <si>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</si>
  <si>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</si>
  <si>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</si>
  <si>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</si>
  <si>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</si>
  <si>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</si>
  <si>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</si>
  <si>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</si>
  <si>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</si>
  <si>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</si>
  <si>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</si>
  <si>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</si>
  <si>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</si>
  <si>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</si>
  <si>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</si>
  <si>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</si>
  <si>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</si>
  <si>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</si>
  <si>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</si>
  <si>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</si>
  <si>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</si>
  <si>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</si>
  <si>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</si>
  <si>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</si>
  <si>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</si>
  <si>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</si>
  <si>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</si>
  <si>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</si>
  <si>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</si>
  <si>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</si>
  <si>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</si>
  <si>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</si>
  <si>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</si>
  <si>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</si>
  <si>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</si>
  <si>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</si>
  <si>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</si>
  <si>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</si>
  <si>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</si>
  <si>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</si>
  <si>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</si>
  <si>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</si>
  <si>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</si>
  <si>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</si>
  <si>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</si>
  <si>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</si>
  <si>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</si>
  <si>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</si>
  <si>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</si>
  <si>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</si>
  <si>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</si>
  <si>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</si>
  <si>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</si>
  <si>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</si>
  <si>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</si>
  <si>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</si>
  <si>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</si>
  <si>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</si>
  <si>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</si>
  <si>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</si>
  <si>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</si>
  <si>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</si>
  <si>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</si>
  <si>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</si>
  <si>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</si>
  <si>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</si>
  <si>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</si>
  <si>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</si>
  <si>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</si>
  <si>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</si>
  <si>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</si>
  <si>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</si>
  <si>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</si>
  <si>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</si>
  <si>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</si>
  <si>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</si>
  <si>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</si>
  <si>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</si>
  <si>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</si>
  <si>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</si>
  <si>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</si>
  <si>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</si>
  <si>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</si>
  <si>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</si>
  <si>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</si>
  <si>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</si>
  <si>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</si>
  <si>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</si>
  <si>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</si>
  <si>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</si>
  <si>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</si>
  <si>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</si>
  <si>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</si>
  <si>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</si>
  <si>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</si>
  <si>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</si>
  <si>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</si>
  <si>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</si>
  <si>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</si>
  <si>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</si>
  <si>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</si>
  <si>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</si>
  <si>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</si>
  <si>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</si>
  <si>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</si>
  <si>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</si>
  <si>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</si>
  <si>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</si>
  <si>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</si>
  <si>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</si>
  <si>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</si>
  <si>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</si>
  <si>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</si>
  <si>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</si>
  <si>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</si>
  <si>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</si>
  <si>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</si>
  <si>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</si>
  <si>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</si>
  <si>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</si>
  <si>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</si>
  <si>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</si>
  <si>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</si>
  <si>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</si>
  <si>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</si>
  <si>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</si>
  <si>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</si>
  <si>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</si>
  <si>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</si>
  <si>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</si>
  <si>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</si>
  <si>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</si>
  <si>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</si>
  <si>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</si>
  <si>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</si>
  <si>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</si>
  <si>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</si>
  <si>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</si>
  <si>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</si>
  <si>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</si>
  <si>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</si>
  <si>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</si>
  <si>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</si>
  <si>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</si>
  <si>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</si>
  <si>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</si>
  <si>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</si>
  <si>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</si>
  <si>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</si>
  <si>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</si>
  <si>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</si>
  <si>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</si>
  <si>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</si>
  <si>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</si>
  <si>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</si>
  <si>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</si>
  <si>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</si>
  <si>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</si>
  <si>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</si>
  <si>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</si>
  <si>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</si>
  <si>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</si>
  <si>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</si>
  <si>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</si>
  <si>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</si>
  <si>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</si>
  <si>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</si>
  <si>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</si>
  <si>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</si>
  <si>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</si>
  <si>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</si>
  <si>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</si>
  <si>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</si>
  <si>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</si>
  <si>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</si>
  <si>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</si>
  <si>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</si>
  <si>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</si>
  <si>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</si>
  <si>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</si>
  <si>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</si>
  <si>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</si>
  <si>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</si>
  <si>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</si>
  <si>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</si>
  <si>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</si>
  <si>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</si>
  <si>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</si>
  <si>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</si>
  <si>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</si>
  <si>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</si>
  <si>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</si>
  <si>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</si>
  <si>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</si>
  <si>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</si>
  <si>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</si>
  <si>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</si>
  <si>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</si>
  <si>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</si>
  <si>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</si>
  <si>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</si>
  <si>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</si>
  <si>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</si>
  <si>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</si>
  <si>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</si>
  <si>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</si>
  <si>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</si>
  <si>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Camisa Manga Corta Cuello Solapa Gris Torcaza T:34-44 Río Negro</t>
  </si>
  <si>
    <t>Camisa Manga Corta Cuello Solapa Gris Torcaza T:34-44 Río Negro - 34</t>
  </si>
  <si>
    <t>Camisa Manga Corta Cuello Solapa Gris Torcaza T:34-44 Río Negro - 36</t>
  </si>
  <si>
    <t>Camisa Manga Corta Cuello Solapa Gris Torcaza T:34-44 Río Negro - 38</t>
  </si>
  <si>
    <t>Camisa Manga Corta Cuello Solapa Gris Torcaza T:34-44 Río Negro - 40</t>
  </si>
  <si>
    <t>Camisa Manga Corta Cuello Solapa Gris Torcaza T:34-44 Río Negro - 42</t>
  </si>
  <si>
    <t>Camisa Manga Corta Cuello Solapa Gris Torcaza T:34-44 Río Negro - 44</t>
  </si>
  <si>
    <t>Camisa Manga Corta Cuello Solapa Gris Torcaza T:46-50 Río Negro</t>
  </si>
  <si>
    <t>Camisa Manga Corta Cuello Solapa Gris Torcaza T:46-50 Río Negro - 46</t>
  </si>
  <si>
    <t>Camisa Manga Corta Cuello Solapa Gris Torcaza T:46-50 Río Negro - 48</t>
  </si>
  <si>
    <t>Camisa Manga Corta Cuello Solapa Gris Torcaza T:46-50 Río Negro - 50</t>
  </si>
  <si>
    <t>ENLACES BASES PARA ELEGIR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</si>
  <si>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</si>
  <si>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</si>
  <si>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</si>
  <si>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</si>
  <si>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</si>
  <si>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</si>
  <si>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</si>
  <si>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</si>
  <si>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8612793</t>
  </si>
  <si>
    <t>8612523</t>
  </si>
  <si>
    <t>8701494</t>
  </si>
  <si>
    <t>Hombrera Lisa</t>
  </si>
  <si>
    <t>Medias TE56A SOX</t>
  </si>
  <si>
    <t>9003020#13#</t>
  </si>
  <si>
    <t>9003020#09#</t>
  </si>
  <si>
    <t>Medias TE56A SOX - 09. Negro</t>
  </si>
  <si>
    <t>Medias TE56A SOX - 13. Gris</t>
  </si>
  <si>
    <t>Pectoral Escuela de Cadetes 1 Barra Azul</t>
  </si>
  <si>
    <t>7709756##</t>
  </si>
  <si>
    <t>5101046</t>
  </si>
  <si>
    <t>5101500</t>
  </si>
  <si>
    <t/>
  </si>
  <si>
    <t>8505602##</t>
  </si>
  <si>
    <t>Pantalón de Vestir Gris T:56-60</t>
  </si>
  <si>
    <t>Pantalón de Vestir Gris T:62-66</t>
  </si>
  <si>
    <t>1120842##</t>
  </si>
  <si>
    <t>1120843##</t>
  </si>
  <si>
    <t>Remera de Combate Manga Corta Negra</t>
  </si>
  <si>
    <t>2103090##</t>
  </si>
  <si>
    <t>2103050##</t>
  </si>
  <si>
    <t>Remera de Combate Manga Corta Azul</t>
  </si>
  <si>
    <t>Bombacha Jazak de Rip Stop Gris T:56-60</t>
  </si>
  <si>
    <t>Bombacha Jazak de Rip Stop Gris T:62-66</t>
  </si>
  <si>
    <t>1120062##</t>
  </si>
  <si>
    <t>1120063##</t>
  </si>
  <si>
    <t>Bombacha Hagana Multicam T:56-60</t>
  </si>
  <si>
    <t>Bombacha Hagana Multicam T:62-66</t>
  </si>
  <si>
    <t>1120265##</t>
  </si>
  <si>
    <t>1120266##</t>
  </si>
  <si>
    <t>8707750##</t>
  </si>
  <si>
    <t>Porta Esposas Termoformada de Poliamida Gris</t>
  </si>
  <si>
    <t>8701253##</t>
  </si>
  <si>
    <t>Cinturón táctico con traba metalica</t>
  </si>
  <si>
    <t>8701255##</t>
  </si>
  <si>
    <t>Cinturon con Iman</t>
  </si>
  <si>
    <t>8701325##</t>
  </si>
  <si>
    <t>Cinturón táctico con Tira</t>
  </si>
  <si>
    <t>4120239##</t>
  </si>
  <si>
    <t>Camisa Manga corta cuello Corbate Celeste Neuquén</t>
  </si>
  <si>
    <t>2101566##</t>
  </si>
  <si>
    <t>2101568##</t>
  </si>
  <si>
    <t>09</t>
  </si>
  <si>
    <t>https://edgardoraul.github.io/imagenes_rerda/</t>
  </si>
  <si>
    <t>091.jpg</t>
  </si>
  <si>
    <t>Id Producto</t>
  </si>
  <si>
    <t>Id Variante</t>
  </si>
  <si>
    <t>Variante</t>
  </si>
  <si>
    <t>Fotos</t>
  </si>
  <si>
    <t>Verde</t>
  </si>
  <si>
    <t>Beige</t>
  </si>
  <si>
    <t>Negro</t>
  </si>
  <si>
    <t>Negro - Unico</t>
  </si>
  <si>
    <t>Azul marino - 58</t>
  </si>
  <si>
    <t>https://edgardoraul.github.io/imagenes_rerda/8301558/1.jpg,https://edgardoraul.github.io/imagenes_rerda/8301558/2.jpg,https://edgardoraul.github.io/imagenes_rerda/8301558/3.jpg</t>
  </si>
  <si>
    <t>Azul marino - 59</t>
  </si>
  <si>
    <t>Azul marino - 60</t>
  </si>
  <si>
    <t>Boina Militar De Pana Rerda</t>
  </si>
  <si>
    <t>https://edgardoraul.github.io/imagenes_rerda/8301000/1.jpg,https://edgardoraul.github.io/imagenes_rerda/8301000/2.jpg</t>
  </si>
  <si>
    <t>https://edgardoraul.github.io/imagenes_rerda/8301008/1.jpg,https://edgardoraul.github.io/imagenes_rerda/8301008/2.jpg</t>
  </si>
  <si>
    <t>https://edgardoraul.github.io/imagenes_rerda/8301805/1.jpg,https://edgardoraul.github.io/imagenes_rerda/8301805/2.jpg</t>
  </si>
  <si>
    <t>Boina Militar De Pana Rerda Premium</t>
  </si>
  <si>
    <t>Bolso Morral Riñonera Táctica Camuflada</t>
  </si>
  <si>
    <t>Pitón Gris</t>
  </si>
  <si>
    <t>Pitón Beige</t>
  </si>
  <si>
    <t>Woodland</t>
  </si>
  <si>
    <t>Digital Desert</t>
  </si>
  <si>
    <t>Acu</t>
  </si>
  <si>
    <t>Multicam</t>
  </si>
  <si>
    <t>Digital Woodland</t>
  </si>
  <si>
    <t>Negro - Liso - 36</t>
  </si>
  <si>
    <t>Negro - Liso - 38</t>
  </si>
  <si>
    <t>Negro - Liso - 40</t>
  </si>
  <si>
    <t>Negro - Liso - 42</t>
  </si>
  <si>
    <t>Negro - Liso - 44</t>
  </si>
  <si>
    <t>Negro - Liso - 46</t>
  </si>
  <si>
    <t>Negro - 36</t>
  </si>
  <si>
    <t>Negro - 45</t>
  </si>
  <si>
    <t>Negro - 37</t>
  </si>
  <si>
    <t>Negro - 40</t>
  </si>
  <si>
    <t>Negro - 41</t>
  </si>
  <si>
    <t>Negro - 43</t>
  </si>
  <si>
    <t>Negro - 46</t>
  </si>
  <si>
    <t>Negro - 38</t>
  </si>
  <si>
    <t>Negro - 44</t>
  </si>
  <si>
    <t>Negro - 39</t>
  </si>
  <si>
    <t>Negro - 42</t>
  </si>
  <si>
    <t>Beige - Liso - 42</t>
  </si>
  <si>
    <t>Beige - Liso - 40</t>
  </si>
  <si>
    <t>Beige - Liso - 38</t>
  </si>
  <si>
    <t>Beige - Liso - 36</t>
  </si>
  <si>
    <t>Beige - Liso - 44</t>
  </si>
  <si>
    <t>Beige - Liso - 46</t>
  </si>
  <si>
    <t>Beige - 35</t>
  </si>
  <si>
    <t>Beige - 36</t>
  </si>
  <si>
    <t>Beige - 37</t>
  </si>
  <si>
    <t>Beige - 38</t>
  </si>
  <si>
    <t>Beige - 39</t>
  </si>
  <si>
    <t>Beige - 40</t>
  </si>
  <si>
    <t>Beige - 41</t>
  </si>
  <si>
    <t>Beige - 43</t>
  </si>
  <si>
    <t>Beige - 45</t>
  </si>
  <si>
    <t>Beige - 46</t>
  </si>
  <si>
    <t>Negro - 35</t>
  </si>
  <si>
    <t>Beige - 44</t>
  </si>
  <si>
    <t>Beige - 42</t>
  </si>
  <si>
    <t>Negro - 47</t>
  </si>
  <si>
    <t>Negro - 48</t>
  </si>
  <si>
    <t>Negro - 49</t>
  </si>
  <si>
    <t>Negro - 50</t>
  </si>
  <si>
    <t>Azul - 34</t>
  </si>
  <si>
    <t>Azul - 36</t>
  </si>
  <si>
    <t>Azul - 38</t>
  </si>
  <si>
    <t>Azul - 40</t>
  </si>
  <si>
    <t>Azul - 42</t>
  </si>
  <si>
    <t>Azul - 44</t>
  </si>
  <si>
    <t>Azul - 46</t>
  </si>
  <si>
    <t>Azul - 48</t>
  </si>
  <si>
    <t>Azul - 50</t>
  </si>
  <si>
    <t>Azul - 52</t>
  </si>
  <si>
    <t>Azul - 54</t>
  </si>
  <si>
    <t>Negro - 34</t>
  </si>
  <si>
    <t>Negro - 52</t>
  </si>
  <si>
    <t>Negro - 54</t>
  </si>
  <si>
    <t>Negro - XS</t>
  </si>
  <si>
    <t>Negro - S</t>
  </si>
  <si>
    <t>Negro - M</t>
  </si>
  <si>
    <t>Negro - L</t>
  </si>
  <si>
    <t>Negro - XL</t>
  </si>
  <si>
    <t>Negro - XXL</t>
  </si>
  <si>
    <t>Cable Usb Cargador Linterna Recargable Pin 3.5mm</t>
  </si>
  <si>
    <t>Blanco - 38</t>
  </si>
  <si>
    <t>Blanco - 34</t>
  </si>
  <si>
    <t>Blanco - 36</t>
  </si>
  <si>
    <t>Blanco - 44</t>
  </si>
  <si>
    <t>Blanco - 40</t>
  </si>
  <si>
    <t>Blanco - 42</t>
  </si>
  <si>
    <t>Gris - 34</t>
  </si>
  <si>
    <t>Gris - 40</t>
  </si>
  <si>
    <t>Gris - 44</t>
  </si>
  <si>
    <t>Gris - 38</t>
  </si>
  <si>
    <t>Gris - 36</t>
  </si>
  <si>
    <t>Gris - 42</t>
  </si>
  <si>
    <t>Azul noche - 42</t>
  </si>
  <si>
    <t>Azul noche - 36</t>
  </si>
  <si>
    <t>Azul noche - 34</t>
  </si>
  <si>
    <t>Azul noche - 38</t>
  </si>
  <si>
    <t>Azul noche - 44</t>
  </si>
  <si>
    <t>Azul noche - 40</t>
  </si>
  <si>
    <t>Celeste - 42</t>
  </si>
  <si>
    <t>Celeste - 40</t>
  </si>
  <si>
    <t>Celeste - 34</t>
  </si>
  <si>
    <t>Celeste - 38</t>
  </si>
  <si>
    <t>Celeste - 44</t>
  </si>
  <si>
    <t>Celeste - 36</t>
  </si>
  <si>
    <t>Beige - 34</t>
  </si>
  <si>
    <t>Celeste - 52</t>
  </si>
  <si>
    <t>Blanco - 52</t>
  </si>
  <si>
    <t>Celeste - 56</t>
  </si>
  <si>
    <t>Celeste - 54</t>
  </si>
  <si>
    <t>Blanco - 54</t>
  </si>
  <si>
    <t>Blanco - 56</t>
  </si>
  <si>
    <t>Gris - 52</t>
  </si>
  <si>
    <t>Gris - 54</t>
  </si>
  <si>
    <t>Gris - 56</t>
  </si>
  <si>
    <t>Azul noche - 52</t>
  </si>
  <si>
    <t>Azul noche - 54</t>
  </si>
  <si>
    <t>Gris - 46</t>
  </si>
  <si>
    <t>Gris - 48</t>
  </si>
  <si>
    <t>Gris - 50</t>
  </si>
  <si>
    <t>Celeste - 46</t>
  </si>
  <si>
    <t>Celeste - 48</t>
  </si>
  <si>
    <t>Celeste - 50</t>
  </si>
  <si>
    <t>Blanco - 46</t>
  </si>
  <si>
    <t>Blanco - 48</t>
  </si>
  <si>
    <t>Blanco - 50</t>
  </si>
  <si>
    <t>Azul noche - 46</t>
  </si>
  <si>
    <t>Azul noche - 48</t>
  </si>
  <si>
    <t>Azul noche - 50</t>
  </si>
  <si>
    <t>Beige - 48</t>
  </si>
  <si>
    <t>Beige - 50</t>
  </si>
  <si>
    <t>Celeste Vip - 48</t>
  </si>
  <si>
    <t>Celeste Vip - 44</t>
  </si>
  <si>
    <t>Celeste Vip - 46</t>
  </si>
  <si>
    <t>Celeste Vip - 50</t>
  </si>
  <si>
    <t>Celeste Vip - 34</t>
  </si>
  <si>
    <t>Celeste Vip - 36</t>
  </si>
  <si>
    <t>Celeste Vip - 40</t>
  </si>
  <si>
    <t>Celeste Vip - 42</t>
  </si>
  <si>
    <t>Celeste Vip - 38</t>
  </si>
  <si>
    <t>Azul - 56</t>
  </si>
  <si>
    <t>Negro - 56</t>
  </si>
  <si>
    <t>Negro - 3XL</t>
  </si>
  <si>
    <t>Negro - 4XL</t>
  </si>
  <si>
    <t>Gris - XXL</t>
  </si>
  <si>
    <t>Gris - 3XL</t>
  </si>
  <si>
    <t>Gris - 4XL</t>
  </si>
  <si>
    <t>Gris - 5XL</t>
  </si>
  <si>
    <t>Negro - 5XL</t>
  </si>
  <si>
    <t>Azul - XXL</t>
  </si>
  <si>
    <t>Gris - XL</t>
  </si>
  <si>
    <t>Gris - S</t>
  </si>
  <si>
    <t>Gris - XS</t>
  </si>
  <si>
    <t>Gris - M</t>
  </si>
  <si>
    <t>Negro - XXS</t>
  </si>
  <si>
    <t>Gris - L</t>
  </si>
  <si>
    <t>Negro - 3XS</t>
  </si>
  <si>
    <t>Azul - 3XS</t>
  </si>
  <si>
    <t>Gris - 3XS</t>
  </si>
  <si>
    <t>Azul - L</t>
  </si>
  <si>
    <t>Azul - M</t>
  </si>
  <si>
    <t>Azul - XXS</t>
  </si>
  <si>
    <t>Azul - XL</t>
  </si>
  <si>
    <t>Azul - XS</t>
  </si>
  <si>
    <t>Azul - S</t>
  </si>
  <si>
    <t>Azul - 3XL</t>
  </si>
  <si>
    <t>Azul - 5XL</t>
  </si>
  <si>
    <t>Azul - 4XL</t>
  </si>
  <si>
    <t>Gris - XXS</t>
  </si>
  <si>
    <t>Campera Táctica Gabardina Satinada Palmaj Rerda</t>
  </si>
  <si>
    <t>Azul marino - 56</t>
  </si>
  <si>
    <t>L</t>
  </si>
  <si>
    <t>Verde - M</t>
  </si>
  <si>
    <t>Verde - S</t>
  </si>
  <si>
    <t>Verde - XXL</t>
  </si>
  <si>
    <t>Verde - XL</t>
  </si>
  <si>
    <t>Verde - L</t>
  </si>
  <si>
    <t>Verde - Unico</t>
  </si>
  <si>
    <t>Beige - Unico</t>
  </si>
  <si>
    <t>Cinturón Táctico Hebilla Metálica Militar Policial</t>
  </si>
  <si>
    <t>Cinturón Táctico Urbano Chico</t>
  </si>
  <si>
    <t>Cinturón Táctico Urbano Grande</t>
  </si>
  <si>
    <t>Plateado</t>
  </si>
  <si>
    <t>Gris</t>
  </si>
  <si>
    <t>Gorro Ushanka Con Piel Alta Montaña Y Cinta Reflectiva</t>
  </si>
  <si>
    <t>XL</t>
  </si>
  <si>
    <t>Negro - Blanco</t>
  </si>
  <si>
    <t>Tri Desert</t>
  </si>
  <si>
    <t>Mochila Tactica Asalto Militar Trekking Seguridad</t>
  </si>
  <si>
    <t>Mochila Táctica 40 Litros</t>
  </si>
  <si>
    <t>Mochila Táctica Camuflada 30 Litros</t>
  </si>
  <si>
    <t>Mochila Táctica Camuflada 40 Litros</t>
  </si>
  <si>
    <t>Mochila Táctica Camuflada 40 Litros Con Pouch</t>
  </si>
  <si>
    <t>Negro - Liso</t>
  </si>
  <si>
    <t>Selva Negra - 36</t>
  </si>
  <si>
    <t>Selva Negra - 38</t>
  </si>
  <si>
    <t>Selva Negra - 40</t>
  </si>
  <si>
    <t>Selva Negra - 42</t>
  </si>
  <si>
    <t>Selva Negra - 44</t>
  </si>
  <si>
    <t>Selva Negra - 46</t>
  </si>
  <si>
    <t>Selva Negra - 48</t>
  </si>
  <si>
    <t>Selva Negra - 50</t>
  </si>
  <si>
    <t>Selva Negra - 52</t>
  </si>
  <si>
    <t>Selva Negra - 54</t>
  </si>
  <si>
    <t>Selva Negra - 56</t>
  </si>
  <si>
    <t>Selva Negra - 60</t>
  </si>
  <si>
    <t>Selva Negra - 58</t>
  </si>
  <si>
    <t>Digital Gris - 50</t>
  </si>
  <si>
    <t>Digital Gris - 52</t>
  </si>
  <si>
    <t>Digital Gris - 54</t>
  </si>
  <si>
    <t>Digital Gris - 42</t>
  </si>
  <si>
    <t>Digital Gris - 36</t>
  </si>
  <si>
    <t>Digital Gris - 38</t>
  </si>
  <si>
    <t>Digital Gris - 40</t>
  </si>
  <si>
    <t>Digital Gris - 34</t>
  </si>
  <si>
    <t>Digital Gris - 44</t>
  </si>
  <si>
    <t>Digital Gris - 46</t>
  </si>
  <si>
    <t>Digital Gris - 48</t>
  </si>
  <si>
    <t>Negro - 58</t>
  </si>
  <si>
    <t>Negro - 60</t>
  </si>
  <si>
    <t>Gris - 58</t>
  </si>
  <si>
    <t>Gris - 60</t>
  </si>
  <si>
    <t>Negro - 62</t>
  </si>
  <si>
    <t>Negro - 64</t>
  </si>
  <si>
    <t>Negro - 66</t>
  </si>
  <si>
    <t>Azul - 58</t>
  </si>
  <si>
    <t>Azul - 60</t>
  </si>
  <si>
    <t>Pantalón Táctico Americana Requisa T:50-54</t>
  </si>
  <si>
    <t>Azul marino - 34</t>
  </si>
  <si>
    <t>Azul marino - 36</t>
  </si>
  <si>
    <t>Azul marino - 38</t>
  </si>
  <si>
    <t>Azul marino - 40</t>
  </si>
  <si>
    <t>Azul marino - 42</t>
  </si>
  <si>
    <t>Azul marino - 44</t>
  </si>
  <si>
    <t>Azul marino - 46</t>
  </si>
  <si>
    <t>Azul marino - 48</t>
  </si>
  <si>
    <t>Azul marino - 52</t>
  </si>
  <si>
    <t>Azul marino - 54</t>
  </si>
  <si>
    <t>Azul marino - 50</t>
  </si>
  <si>
    <t>Beige - 52</t>
  </si>
  <si>
    <t>Beige - 54</t>
  </si>
  <si>
    <t>Pantalón Táctico Cargo Gabardina T:62-66</t>
  </si>
  <si>
    <t>Gris - 64</t>
  </si>
  <si>
    <t>Gris - 62</t>
  </si>
  <si>
    <t>Gris - 66</t>
  </si>
  <si>
    <t>Negro - Liso - 48</t>
  </si>
  <si>
    <t>Negro - Liso - 34</t>
  </si>
  <si>
    <t>Negro - Liso - 50</t>
  </si>
  <si>
    <t>Negro - Liso - 52</t>
  </si>
  <si>
    <t>Negro - Liso - 54</t>
  </si>
  <si>
    <t>Azul - Liso - 40</t>
  </si>
  <si>
    <t>Azul - Liso - 48</t>
  </si>
  <si>
    <t>Azul - Liso - 38</t>
  </si>
  <si>
    <t>Azul - Liso - 36</t>
  </si>
  <si>
    <t>Azul - Liso - 44</t>
  </si>
  <si>
    <t>Azul - Liso - 42</t>
  </si>
  <si>
    <t>Azul - Liso - 34</t>
  </si>
  <si>
    <t>Azul - Liso - 46</t>
  </si>
  <si>
    <t>Azul - Liso - 50</t>
  </si>
  <si>
    <t>Azul - Liso - 52</t>
  </si>
  <si>
    <t>Azul - Liso - 54</t>
  </si>
  <si>
    <t>Gris - Liso - 40</t>
  </si>
  <si>
    <t>Gris - Liso - 48</t>
  </si>
  <si>
    <t>Gris - Liso - 38</t>
  </si>
  <si>
    <t>Gris - Liso - 36</t>
  </si>
  <si>
    <t>Gris - Liso - 44</t>
  </si>
  <si>
    <t>Gris - Liso - 42</t>
  </si>
  <si>
    <t>Gris - Liso - 34</t>
  </si>
  <si>
    <t>Gris - Liso - 46</t>
  </si>
  <si>
    <t>Gris - Liso - 50</t>
  </si>
  <si>
    <t>Gris - Liso - 52</t>
  </si>
  <si>
    <t>Gris - Liso - 54</t>
  </si>
  <si>
    <t>Pistolera Automatic Holster Ah Bersa Thunder Pro</t>
  </si>
  <si>
    <t>Diestro</t>
  </si>
  <si>
    <t>Zurdo</t>
  </si>
  <si>
    <t>Pistolera Bersa Thunder Y Bersa Thunder Pro Nivel 2</t>
  </si>
  <si>
    <t>Pistolera Nivel 3 Polímero Móvil Glock Automática</t>
  </si>
  <si>
    <t>Blanco - XXS</t>
  </si>
  <si>
    <t>Blanco - XS</t>
  </si>
  <si>
    <t>Blanco - S</t>
  </si>
  <si>
    <t>Blanco - M</t>
  </si>
  <si>
    <t>Blanco - L</t>
  </si>
  <si>
    <t>Blanco - XL</t>
  </si>
  <si>
    <t>Blanco - XXL</t>
  </si>
  <si>
    <t>Negro - Negro</t>
  </si>
  <si>
    <t>Beige - 4XL</t>
  </si>
  <si>
    <t>Beige - 3XL</t>
  </si>
  <si>
    <t>Beige - 5XL</t>
  </si>
  <si>
    <t>Negro - U</t>
  </si>
  <si>
    <t>Liso - Negro</t>
  </si>
  <si>
    <t>Liso - Verde</t>
  </si>
  <si>
    <t>Liso - Beige</t>
  </si>
  <si>
    <t>Balaclava Pasamontaña Lycra Táctico Primera Piel Premium</t>
  </si>
  <si>
    <t>Boina De Lana Azul Noche Premium</t>
  </si>
  <si>
    <t>Azul - 3</t>
  </si>
  <si>
    <t>Azul - 1</t>
  </si>
  <si>
    <t>Beige - 1</t>
  </si>
  <si>
    <t>Azul - 2</t>
  </si>
  <si>
    <t>Azul - 61</t>
  </si>
  <si>
    <t>Negro - 3</t>
  </si>
  <si>
    <t>Negro - 1</t>
  </si>
  <si>
    <t>Beige - 2</t>
  </si>
  <si>
    <t>Beige - 3</t>
  </si>
  <si>
    <t>Azul - 59</t>
  </si>
  <si>
    <t>Azul - 57</t>
  </si>
  <si>
    <t>Negro - 2</t>
  </si>
  <si>
    <t>http://http2.mlstatic.com/D_673579-MLA45535781499_042021-O.jpg</t>
  </si>
  <si>
    <t>http://http2.mlstatic.com/D_686303-MLA45597488762_042021-O.jpg</t>
  </si>
  <si>
    <t>http://http2.mlstatic.com/D_844920-MLA45535781503_042021-O.jpg</t>
  </si>
  <si>
    <t>http://http2.mlstatic.com/D_642615-MLA45597507273_042021-O.jpg</t>
  </si>
  <si>
    <t>https://d17riqmt8yes2m.cloudfront.net/images/245815/46714106698.jpg,http://http2.mlstatic.com/D_960788-MLA45597488632_042021-O.jpg</t>
  </si>
  <si>
    <t>http://http2.mlstatic.com/D_819779-MLA45535781519_042021-O.jpg</t>
  </si>
  <si>
    <t>http://http2.mlstatic.com/D_601139-MLA45597473791_042021-O.jpg</t>
  </si>
  <si>
    <t>http://http2.mlstatic.com/D_608565-MLA45535781518_042021-O.jpg</t>
  </si>
  <si>
    <t>http://http2.mlstatic.com/D_731642-MLA45597477945_042021-O.jpg</t>
  </si>
  <si>
    <t>http://http2.mlstatic.com/D_756179-MLA45535781520_042021-O.jpg</t>
  </si>
  <si>
    <t>Borcegui Borcego Táctico Caña Corta Con Cierre</t>
  </si>
  <si>
    <t>Negro - 35.0</t>
  </si>
  <si>
    <t>https://edgardoraul.github.io/imagenes_rerda/8205080/1.jpg,https://edgardoraul.github.io/imagenes_rerda/8205080/2.jpg,https://edgardoraul.github.io/imagenes_rerda/8205080/3.jpg,https://edgardoraul.github.io/imagenes_rerda/8205080/4.jpg,https://edgardoraul.github.io/imagenes_rerda/8205080/5.jpg,https://edgardoraul.github.io/imagenes_rerda/8205080/6.jpg,https://edgardoraul.github.io/imagenes_rerda/8205080/7.jpg,https://edgardoraul.github.io/imagenes_rerda/8205080/tabla.jpg</t>
  </si>
  <si>
    <t>Negro - 42.0</t>
  </si>
  <si>
    <t>Negro - 36.0</t>
  </si>
  <si>
    <t>Negro - 40.0</t>
  </si>
  <si>
    <t>Negro - 38.0</t>
  </si>
  <si>
    <t>Negro - 37.0</t>
  </si>
  <si>
    <t>Negro - 41.0</t>
  </si>
  <si>
    <t>Negro - 39.0</t>
  </si>
  <si>
    <t>Negro - 44.0</t>
  </si>
  <si>
    <t>Negro - 43.0</t>
  </si>
  <si>
    <t>Negro - 45.0</t>
  </si>
  <si>
    <t>Negro - 46.0</t>
  </si>
  <si>
    <t>Borcegui Borcego Táctico Caña Corta Con Cierre Beige</t>
  </si>
  <si>
    <t>Beige - 40.0</t>
  </si>
  <si>
    <t>https://edgardoraul.github.io/imagenes_rerda/8205881/1.jpg,https://edgardoraul.github.io/imagenes_rerda/8205881/2.jpg,https://edgardoraul.github.io/imagenes_rerda/8205881/3.jpg,https://edgardoraul.github.io/imagenes_rerda/8205881/4.jpg,https://edgardoraul.github.io/imagenes_rerda/8205881/5.jpg,https://edgardoraul.github.io/imagenes_rerda/8205881/tabla.jpg</t>
  </si>
  <si>
    <t>Beige - 38.0</t>
  </si>
  <si>
    <t>Beige - 36.0</t>
  </si>
  <si>
    <t>Beige - 43.0</t>
  </si>
  <si>
    <t>Beige - 39.0</t>
  </si>
  <si>
    <t>Beige - 45.0</t>
  </si>
  <si>
    <t>Beige - 46.0</t>
  </si>
  <si>
    <t>Beige - 42.0</t>
  </si>
  <si>
    <t>Beige - 41.0</t>
  </si>
  <si>
    <t>Beige - 35.0</t>
  </si>
  <si>
    <t>Beige - 37.0</t>
  </si>
  <si>
    <t>Beige - 44.0</t>
  </si>
  <si>
    <t>Borcegui Borcego Táctico Caña Corta Con Cierre Premium</t>
  </si>
  <si>
    <t>Borcegui Táctico Caña Corta Con Cierre Beige Premium</t>
  </si>
  <si>
    <t>Borceguies Tácticos Policiales Con Cierre Rerda</t>
  </si>
  <si>
    <t>https://edgardoraul.github.io/imagenes_rerda/8205118/1.jpg,https://edgardoraul.github.io/imagenes_rerda/8205118/2.jpg,https://edgardoraul.github.io/imagenes_rerda/8205118/3.jpg,https://edgardoraul.github.io/imagenes_rerda/8205118/4.jpg,https://edgardoraul.github.io/imagenes_rerda/8205118/5.jpg,https://edgardoraul.github.io/imagenes_rerda/8205118/6.jpg,https://edgardoraul.github.io/imagenes_rerda/8205118/7.jpg,https://edgardoraul.github.io/imagenes_rerda/8205118/tabla.jpg</t>
  </si>
  <si>
    <t>https://edgardoraul.github.io/imagenes_rerda/8205119/1.jpg,https://edgardoraul.github.io/imagenes_rerda/8205119/2.jpg,https://edgardoraul.github.io/imagenes_rerda/8205119/3.jpg,https://edgardoraul.github.io/imagenes_rerda/8205119/4.jpg,https://edgardoraul.github.io/imagenes_rerda/8205119/5.jpg,https://edgardoraul.github.io/imagenes_rerda/8205119/6.jpg,https://edgardoraul.github.io/imagenes_rerda/8205119/tabla.jpg</t>
  </si>
  <si>
    <t>Borceguies Tácticos Policiales Con Cierre Rerda Premium</t>
  </si>
  <si>
    <t>Borceguí Borcego Policía Táctico Combat</t>
  </si>
  <si>
    <t>https://edgardoraul.github.io/imagenes_rerda/8205090/1.jpg,https://edgardoraul.github.io/imagenes_rerda/8205090/2.jpg,https://edgardoraul.github.io/imagenes_rerda/8205090/3.jpg,https://edgardoraul.github.io/imagenes_rerda/8205090/4.jpg,https://edgardoraul.github.io/imagenes_rerda/8205090/5.jpg,https://edgardoraul.github.io/imagenes_rerda/8205090/6.jpg,https://edgardoraul.github.io/imagenes_rerda/8205090/7.jpg,https://edgardoraul.github.io/imagenes_rerda/8205090/tabla.jpg</t>
  </si>
  <si>
    <t>Borceguí Borcego Policía Táctico Combat Premium</t>
  </si>
  <si>
    <t>Borceguíes Borcegos Tácticos De Cuero Rerda</t>
  </si>
  <si>
    <t>https://edgardoraul.github.io/imagenes_rerda/8205041/1.jpg,https://edgardoraul.github.io/imagenes_rerda/8205041/2.jpg,https://edgardoraul.github.io/imagenes_rerda/8205041/3.jpg,https://edgardoraul.github.io/imagenes_rerda/8205041/4.jpg,https://edgardoraul.github.io/imagenes_rerda/8205041/5.jpg,https://edgardoraul.github.io/imagenes_rerda/8205041/6.jpg,https://edgardoraul.github.io/imagenes_rerda/8205041/7.jpg,https://edgardoraul.github.io/imagenes_rerda/8205041/tabla.jpg</t>
  </si>
  <si>
    <t>Borceguíes Borcegos Tácticos De Cuero Rerda Premium</t>
  </si>
  <si>
    <t>Borceguíes Borcegos Tácticos Rerda</t>
  </si>
  <si>
    <t>https://edgardoraul.github.io/imagenes_rerda/8205115/1.jpg,https://edgardoraul.github.io/imagenes_rerda/8205115/2.jpg,https://edgardoraul.github.io/imagenes_rerda/8205115/3.jpg,https://edgardoraul.github.io/imagenes_rerda/8205115/4.jpg,https://edgardoraul.github.io/imagenes_rerda/8205115/5.jpg,https://edgardoraul.github.io/imagenes_rerda/8205115/6.jpg,https://edgardoraul.github.io/imagenes_rerda/8205115/7.jpg,https://edgardoraul.github.io/imagenes_rerda/8205115/tabla.jpg</t>
  </si>
  <si>
    <t>Borceguíes Borcegos Tácticos Rerda Premium</t>
  </si>
  <si>
    <t>Borceguíes Tácticos Térmicos Rerda Con Peluche</t>
  </si>
  <si>
    <t>https://edgardoraul.github.io/imagenes_rerda/8205051/1.jpg,https://edgardoraul.github.io/imagenes_rerda/8205051/2.jpg,https://edgardoraul.github.io/imagenes_rerda/8205051/3.jpg,https://edgardoraul.github.io/imagenes_rerda/8205051/4.jpg,https://edgardoraul.github.io/imagenes_rerda/8205051/5.jpg,https://edgardoraul.github.io/imagenes_rerda/8205051/6.jpg,https://edgardoraul.github.io/imagenes_rerda/8205051/7.jpg,https://edgardoraul.github.io/imagenes_rerda/8205051/8.jpg,https://edgardoraul.github.io/imagenes_rerda/8205051/9.jpg,https://edgardoraul.github.io/imagenes_rerda/8205051/10.jpg,https://edgardoraul.github.io/imagenes_rerda/8205051/tabla.jpg</t>
  </si>
  <si>
    <t>Borceguíes Tácticos Térmicos Rerda Con Peluche Premium</t>
  </si>
  <si>
    <t>Buzo Aviador Policial De Friza Táctico</t>
  </si>
  <si>
    <t>https://edgardoraul.github.io/imagenes_rerda/2601495/1.jpg,https://edgardoraul.github.io/imagenes_rerda/2601495/2.jpg,https://edgardoraul.github.io/imagenes_rerda/2601495/3.jpg,https://edgardoraul.github.io/imagenes_rerda/2601495/4.jpg,https://edgardoraul.github.io/imagenes_rerda/2601495/5.jpg,https://edgardoraul.github.io/imagenes_rerda/2601495/6.jpg,https://edgardoraul.github.io/imagenes_rerda/2601495/7.jpg,https://edgardoraul.github.io/imagenes_rerda/2601495/tabla.jpg</t>
  </si>
  <si>
    <t>https://edgardoraul.github.io/imagenes_rerda/2601900/1.jpg,https://edgardoraul.github.io/imagenes_rerda/2601900/2.jpg,https://edgardoraul.github.io/imagenes_rerda/2601900/3.jpg,https://edgardoraul.github.io/imagenes_rerda/2601900/4.jpg,https://edgardoraul.github.io/imagenes_rerda/2601900/5.jpg,https://edgardoraul.github.io/imagenes_rerda/2601900/tabla.jpg</t>
  </si>
  <si>
    <t>http://http2.mlstatic.com/D_881009-MLA46595725057_072021-O.jpg,http://http2.mlstatic.com/D_602898-MLA46595622834_072021-O.jpg,http://http2.mlstatic.com/D_948095-MLA46595628818_072021-O.jpg,http://http2.mlstatic.com/D_692096-MLA46595684405_072021-O.jpg,http://http2.mlstatic.com/D_611216-MLA46595628827_072021-O.jpg,http://http2.mlstatic.com/D_944259-MLA46595731038_072021-O.jpg</t>
  </si>
  <si>
    <t>Camisa Manga Corta Policial T:34-44</t>
  </si>
  <si>
    <t>https://edgardoraul.github.io/imagenes_rerda/4120982/1.jpg,https://edgardoraul.github.io/imagenes_rerda/4120982/2.jpg,https://edgardoraul.github.io/imagenes_rerda/4120982/3.jpg,https://edgardoraul.github.io/imagenes_rerda/4120982/4.jpg,https://edgardoraul.github.io/imagenes_rerda/4120982/5.jpg,https://edgardoraul.github.io/imagenes_rerda/4120982/6.jpg,https://edgardoraul.github.io/imagenes_rerda/4120982/tabla.jpg</t>
  </si>
  <si>
    <t>https://edgardoraul.github.io/imagenes_rerda/4120854/1.jpg,https://edgardoraul.github.io/imagenes_rerda/4120854/2.jpg,https://edgardoraul.github.io/imagenes_rerda/4120854/3.jpg,https://edgardoraul.github.io/imagenes_rerda/4120854/4.jpg,https://edgardoraul.github.io/imagenes_rerda/4120854/5.jpg,https://edgardoraul.github.io/imagenes_rerda/4120854/6.jpg,https://edgardoraul.github.io/imagenes_rerda/4120854/tabla.jpg</t>
  </si>
  <si>
    <t>Celeste Policía Neuquén - 42</t>
  </si>
  <si>
    <t>https://edgardoraul.github.io/imagenes_rerda/4120242/1.jpg,https://edgardoraul.github.io/imagenes_rerda/4120242/2.jpg,https://edgardoraul.github.io/imagenes_rerda/4120242/3.jpg,https://edgardoraul.github.io/imagenes_rerda/4120242/4.jpg,https://edgardoraul.github.io/imagenes_rerda/4120242/5.jpg,https://edgardoraul.github.io/imagenes_rerda/4120242/6.jpg,https://edgardoraul.github.io/imagenes_rerda/4120242/tabla.jpg</t>
  </si>
  <si>
    <t>https://edgardoraul.github.io/imagenes_rerda/4130777/1.jpg,https://edgardoraul.github.io/imagenes_rerda/4130777/2.jpg,https://edgardoraul.github.io/imagenes_rerda/4130777/3.jpg,https://edgardoraul.github.io/imagenes_rerda/4130777/4.jpg,https://edgardoraul.github.io/imagenes_rerda/4130777/5.jpg,https://edgardoraul.github.io/imagenes_rerda/4130777/6.jpg,https://edgardoraul.github.io/imagenes_rerda/4130777/tabla.jpg</t>
  </si>
  <si>
    <t>https://edgardoraul.github.io/imagenes_rerda/4120110/1.jpg,https://edgardoraul.github.io/imagenes_rerda/4120110/2.jpg,https://edgardoraul.github.io/imagenes_rerda/4120110/3.jpg,https://edgardoraul.github.io/imagenes_rerda/4120110/4.jpg,https://edgardoraul.github.io/imagenes_rerda/4120110/5.jpg,https://edgardoraul.github.io/imagenes_rerda/4120110/6.jpg,https://edgardoraul.github.io/imagenes_rerda/4120110/tabla.jpg</t>
  </si>
  <si>
    <t>https://edgardoraul.github.io/imagenes_rerda/4120800/1.jpg,https://edgardoraul.github.io/imagenes_rerda/4120800/2.jpg,https://edgardoraul.github.io/imagenes_rerda/4120800/3.jpg,https://edgardoraul.github.io/imagenes_rerda/4120800/4.jpg,https://edgardoraul.github.io/imagenes_rerda/4120800/5.jpg,https://edgardoraul.github.io/imagenes_rerda/4120800/6.jpg,https://edgardoraul.github.io/imagenes_rerda/4120800/tabla.jpg</t>
  </si>
  <si>
    <t>Gris Torcaza Policía Río Negro - 42</t>
  </si>
  <si>
    <t>https://edgardoraul.github.io/imagenes_rerda/4120042/1.jpg,https://edgardoraul.github.io/imagenes_rerda/4120042/2.jpg,https://edgardoraul.github.io/imagenes_rerda/4120042/3.jpg,https://edgardoraul.github.io/imagenes_rerda/4120042/4.jpg,https://edgardoraul.github.io/imagenes_rerda/4120042/5.jpg,https://edgardoraul.github.io/imagenes_rerda/4120042/6.jpg,https://edgardoraul.github.io/imagenes_rerda/4120042/tabla.jpg</t>
  </si>
  <si>
    <t>https://edgardoraul.github.io/imagenes_rerda/4120567/1.jpg,https://edgardoraul.github.io/imagenes_rerda/4120567/2.jpg,https://edgardoraul.github.io/imagenes_rerda/4120567/3.jpg,https://edgardoraul.github.io/imagenes_rerda/4120567/4.jpg,https://edgardoraul.github.io/imagenes_rerda/4120567/5.jpg,https://edgardoraul.github.io/imagenes_rerda/4120567/6.jpg,https://edgardoraul.github.io/imagenes_rerda/4120567/tabla.jpg</t>
  </si>
  <si>
    <t>Celeste Policía Neuquén - 36</t>
  </si>
  <si>
    <t>Gris Torcaza Policía Río Negro - 40</t>
  </si>
  <si>
    <t>Celeste Policía Neuquén - 34</t>
  </si>
  <si>
    <t>Gris Torcaza Policía Río Negro - 34</t>
  </si>
  <si>
    <t>Gris Torcaza Policía Río Negro - 38</t>
  </si>
  <si>
    <t>Celeste Policía Neuquén - 40</t>
  </si>
  <si>
    <t>Gris Torcaza Policía Río Negro - 36</t>
  </si>
  <si>
    <t>Celeste Policía Neuquén - 38</t>
  </si>
  <si>
    <t>Celeste Policía Neuquén - 44</t>
  </si>
  <si>
    <t>Gris Torcaza Policía Río Negro - 44</t>
  </si>
  <si>
    <t>Camisa Manga Corta Policial T:46-50</t>
  </si>
  <si>
    <t>Celeste Policía Neuquén - 46</t>
  </si>
  <si>
    <t>Celeste Policía Neuquén - 48</t>
  </si>
  <si>
    <t>Gris Torcaza Policía Río Negro - 50</t>
  </si>
  <si>
    <t>Celeste Policía Neuquén - 50</t>
  </si>
  <si>
    <t>Gris Torcaza Policía Río Negro - 46</t>
  </si>
  <si>
    <t>Gris Torcaza Policía Río Negro - 48</t>
  </si>
  <si>
    <t>Camisa Manga Corta Policial T:52-56</t>
  </si>
  <si>
    <t>Gris Torcaza Policía Río Negro - 52</t>
  </si>
  <si>
    <t>Gris Torcaza Policía Río Negro - 56</t>
  </si>
  <si>
    <t>Celeste Policía Neuquén - 54</t>
  </si>
  <si>
    <t>Celeste Policía Neuquén - 56</t>
  </si>
  <si>
    <t>Gris Torcaza Policía Río Negro - 54</t>
  </si>
  <si>
    <t>Celeste Policía Neuquén - 52</t>
  </si>
  <si>
    <t>Beige - 56</t>
  </si>
  <si>
    <t>Camisa Manga Corta Policial T:58-62</t>
  </si>
  <si>
    <t>Celeste - 62</t>
  </si>
  <si>
    <t>Celeste - 60</t>
  </si>
  <si>
    <t>Celeste - 58</t>
  </si>
  <si>
    <t>Blanco - 58</t>
  </si>
  <si>
    <t>Blanco - 60</t>
  </si>
  <si>
    <t>Gris Torcaza Policía Río Negro - 60</t>
  </si>
  <si>
    <t>Gris Torcaza Policía Río Negro - 62</t>
  </si>
  <si>
    <t>Blanco - 62</t>
  </si>
  <si>
    <t>Gris Torcaza Policía Río Negro - 58</t>
  </si>
  <si>
    <t>Camisa Manga Larga Policial T:34-44</t>
  </si>
  <si>
    <t>https://edgardoraul.github.io/imagenes_rerda/4120009/1.jpg,https://edgardoraul.github.io/imagenes_rerda/4120009/2.jpg,https://edgardoraul.github.io/imagenes_rerda/4120009/3.jpg,https://edgardoraul.github.io/imagenes_rerda/4120009/tabla.jpg</t>
  </si>
  <si>
    <t>https://edgardoraul.github.io/imagenes_rerda/4120850/1.jpg,https://edgardoraul.github.io/imagenes_rerda/4120850/2.jpg,https://edgardoraul.github.io/imagenes_rerda/4120850/3.jpg,https://edgardoraul.github.io/imagenes_rerda/4120850/tabla.jpg</t>
  </si>
  <si>
    <t>Negro Vip - 34</t>
  </si>
  <si>
    <t>Gris Torcaza Policía Río Negro Vip - 40</t>
  </si>
  <si>
    <t>https://edgardoraul.github.io/imagenes_rerda/4120003/1.jpg,https://edgardoraul.github.io/imagenes_rerda/4120003/2.jpg,https://edgardoraul.github.io/imagenes_rerda/4120003/tabla.jpg</t>
  </si>
  <si>
    <t>https://edgardoraul.github.io/imagenes_rerda/4120236/1.jpg,https://edgardoraul.github.io/imagenes_rerda/4120236/2.jpg,https://edgardoraul.github.io/imagenes_rerda/4120236/3.jpg,https://edgardoraul.github.io/imagenes_rerda/4120236/tabla.jpg</t>
  </si>
  <si>
    <t>Gris Torcaza Policía Río Negro Vip - 36</t>
  </si>
  <si>
    <t>https://edgardoraul.github.io/imagenes_rerda/4130771/1.jpg,https://edgardoraul.github.io/imagenes_rerda/4130771/2.jpg,https://edgardoraul.github.io/imagenes_rerda/4130771/tabla.jpg</t>
  </si>
  <si>
    <t>https://edgardoraul.github.io/imagenes_rerda/4120900/1.jpg,https://edgardoraul.github.io/imagenes_rerda/4120900/2.jpg,https://edgardoraul.github.io/imagenes_rerda/4120900/3.jpg,https://edgardoraul.github.io/imagenes_rerda/4120900/tabla.jpg</t>
  </si>
  <si>
    <t>https://edgardoraul.github.io/imagenes_rerda/4120853/1.jpg,https://edgardoraul.github.io/imagenes_rerda/4120853/2.jpg,https://edgardoraul.github.io/imagenes_rerda/4120853/3.jpg,https://edgardoraul.github.io/imagenes_rerda/4120853/tabla.jpg</t>
  </si>
  <si>
    <t>https://edgardoraul.github.io/imagenes_rerda/4120100/1.jpg,https://edgardoraul.github.io/imagenes_rerda/4120100/2.jpg,https://edgardoraul.github.io/imagenes_rerda/4120100/3.jpg,https://edgardoraul.github.io/imagenes_rerda/4120100/4.jpg,https://edgardoraul.github.io/imagenes_rerda/4120100/tabla.jpg</t>
  </si>
  <si>
    <t>Azul Vip - 34</t>
  </si>
  <si>
    <t>Gris Torcaza Policía Río Negro Vip - 38</t>
  </si>
  <si>
    <t>Negro Vip - 44</t>
  </si>
  <si>
    <t>Gris Torcaza Policía Río Negro Vip - 34</t>
  </si>
  <si>
    <t>Azul Vip - 44</t>
  </si>
  <si>
    <t>Azul Vip - 40</t>
  </si>
  <si>
    <t>Negro Vip - 36</t>
  </si>
  <si>
    <t>Azul Vip - 42</t>
  </si>
  <si>
    <t>Negro Vip - 40</t>
  </si>
  <si>
    <t>Gris Torcaza Policía Río Negro Vip - 44</t>
  </si>
  <si>
    <t>Azul Vip - 38</t>
  </si>
  <si>
    <t>Azul Vip - 36</t>
  </si>
  <si>
    <t>Negro Vip - 42</t>
  </si>
  <si>
    <t>Negro Vip - 38</t>
  </si>
  <si>
    <t>Gris Torcaza Policía Río Negro Vip - 42</t>
  </si>
  <si>
    <t>Camisa Manga Larga Policial T:46-50</t>
  </si>
  <si>
    <t>Azul Vip - 46</t>
  </si>
  <si>
    <t>Negro Vip - 48</t>
  </si>
  <si>
    <t>Azul Vip - 50</t>
  </si>
  <si>
    <t>Gris Torcaza Policía Río Negro Vip - 50</t>
  </si>
  <si>
    <t>Negro Vip - 50</t>
  </si>
  <si>
    <t>Gris Torcaza Policía Río Negro Vip - 48</t>
  </si>
  <si>
    <t>Negro Vip - 46</t>
  </si>
  <si>
    <t>Gris Torcaza Policía Río Negro Vip - 46</t>
  </si>
  <si>
    <t>Azul Vip - 48</t>
  </si>
  <si>
    <t>Camisa Manga Larga Policial T:52-56</t>
  </si>
  <si>
    <t>Azul Vip - 52</t>
  </si>
  <si>
    <t>Negro Vip - 52</t>
  </si>
  <si>
    <t>Celeste Vip - 56</t>
  </si>
  <si>
    <t>Gris Torcaza Policía Río Negro Vip - 56</t>
  </si>
  <si>
    <t>Negro Vip - 54</t>
  </si>
  <si>
    <t>Gris Torcaza Policía Río Negro Vip - 52</t>
  </si>
  <si>
    <t>Azul Vip - 54</t>
  </si>
  <si>
    <t>Celeste Vip - 54</t>
  </si>
  <si>
    <t>Celeste Vip - 52</t>
  </si>
  <si>
    <t>Gris Torcaza Policía Río Negro Vip - 54</t>
  </si>
  <si>
    <t>Negro Vip - 56</t>
  </si>
  <si>
    <t>Azul Vip - 56</t>
  </si>
  <si>
    <t>Camisa Manga Larga Policial T:58-62</t>
  </si>
  <si>
    <t>Celeste Policía Neuquén - 58</t>
  </si>
  <si>
    <t>Negro Vip - 62</t>
  </si>
  <si>
    <t>Celeste Vip - 60</t>
  </si>
  <si>
    <t>Negro Vip - 58</t>
  </si>
  <si>
    <t>Gris Torcaza Policía Río Negro Vip - 62</t>
  </si>
  <si>
    <t>Negro Vip - 60</t>
  </si>
  <si>
    <t>Gris Torcaza Policía Río Negro Vip - 58</t>
  </si>
  <si>
    <t>Gris Torcaza Policía Río Negro Vip - 60</t>
  </si>
  <si>
    <t>Celeste Policía Neuquén - 62</t>
  </si>
  <si>
    <t>Celeste Vip - 58</t>
  </si>
  <si>
    <t>Celeste Policía Neuquén - 60</t>
  </si>
  <si>
    <t>Celeste Vip - 62</t>
  </si>
  <si>
    <t>Campera Polar Americana Táctica Rerda Premium</t>
  </si>
  <si>
    <t>Azul - Liso - L</t>
  </si>
  <si>
    <t>https://edgardoraul.github.io/imagenes_rerda/5101170/1.jpg,https://edgardoraul.github.io/imagenes_rerda/5101170/2.jpg,https://edgardoraul.github.io/imagenes_rerda/5101170/3.jpg,https://edgardoraul.github.io/imagenes_rerda/5101170/4.jpg,https://edgardoraul.github.io/imagenes_rerda/5101170/5.jpg,https://edgardoraul.github.io/imagenes_rerda/5101170/6.jpg,https://edgardoraul.github.io/imagenes_rerda/5101170/tabla.jpg</t>
  </si>
  <si>
    <t>Azul - Liso - XXS</t>
  </si>
  <si>
    <t>Azul - Liso - 3XS</t>
  </si>
  <si>
    <t>Azul - Liso - XXL</t>
  </si>
  <si>
    <t>Azul - Liso - 5XL</t>
  </si>
  <si>
    <t>Negro - Liso - 5XL</t>
  </si>
  <si>
    <t>https://edgardoraul.github.io/imagenes_rerda/5101171/1.jpg,https://edgardoraul.github.io/imagenes_rerda/5101171/2.jpg,https://edgardoraul.github.io/imagenes_rerda/5101171/3.jpg,https://edgardoraul.github.io/imagenes_rerda/5101171/4.jpg,https://edgardoraul.github.io/imagenes_rerda/5101171/5.jpg,https://edgardoraul.github.io/imagenes_rerda/5101171/6.jpg,https://edgardoraul.github.io/imagenes_rerda/5101171/tabla.jpg</t>
  </si>
  <si>
    <t>Negro - Liso - L</t>
  </si>
  <si>
    <t>Negro - Liso - 4XL</t>
  </si>
  <si>
    <t>Negro - Liso - 3XL</t>
  </si>
  <si>
    <t>Negro - Liso - XL</t>
  </si>
  <si>
    <t>Negro - Liso - XXL</t>
  </si>
  <si>
    <t>Gris - Liso - M</t>
  </si>
  <si>
    <t>https://edgardoraul.github.io/imagenes_rerda/5101850/1.jpg,https://edgardoraul.github.io/imagenes_rerda/5101850/2.jpg,https://edgardoraul.github.io/imagenes_rerda/5101850/3.jpg,https://edgardoraul.github.io/imagenes_rerda/5101850/4.jpg,https://edgardoraul.github.io/imagenes_rerda/5101850/5.jpg,https://edgardoraul.github.io/imagenes_rerda/5101850/6.jpg,https://edgardoraul.github.io/imagenes_rerda/5101850/tabla.jpg</t>
  </si>
  <si>
    <t>Gris - Liso - 3XS</t>
  </si>
  <si>
    <t>Gris - Liso - XL</t>
  </si>
  <si>
    <t>Azul - Liso - XS</t>
  </si>
  <si>
    <t>Azul - Liso - 3XL</t>
  </si>
  <si>
    <t>Gris - Liso - XXL</t>
  </si>
  <si>
    <t>Gris - Liso - 4XL</t>
  </si>
  <si>
    <t>Negro - Liso - XXS</t>
  </si>
  <si>
    <t>Negro - Liso - M</t>
  </si>
  <si>
    <t>Gris - Liso - 3XL</t>
  </si>
  <si>
    <t>Negro - Liso - S</t>
  </si>
  <si>
    <t>Gris - Liso - 5XL</t>
  </si>
  <si>
    <t>Negro - Liso - XS</t>
  </si>
  <si>
    <t>Azul - Liso - S</t>
  </si>
  <si>
    <t>Azul - Liso - 4XL</t>
  </si>
  <si>
    <t>Gris - Liso - S</t>
  </si>
  <si>
    <t>Azul - Liso - M</t>
  </si>
  <si>
    <t>Gris - Liso - XXS</t>
  </si>
  <si>
    <t>Negro - Liso - 3XS</t>
  </si>
  <si>
    <t>Gris - Liso - XS</t>
  </si>
  <si>
    <t>Azul - Liso - XL</t>
  </si>
  <si>
    <t>Gris - Liso - L</t>
  </si>
  <si>
    <t>Campera Polar Policía Americana</t>
  </si>
  <si>
    <t>Campera Rompeviento Urbana Táctica Azul T:3xl-5xl Premium</t>
  </si>
  <si>
    <t>https://edgardoraul.github.io/imagenes_rerda/5101985/2.jpg,https://edgardoraul.github.io/imagenes_rerda/5101985/7.jpg,https://edgardoraul.github.io/imagenes_rerda/5101985/1.jpg,https://edgardoraul.github.io/imagenes_rerda/5101985/3.jpg,https://edgardoraul.github.io/imagenes_rerda/5101985/4.jpg,https://edgardoraul.github.io/imagenes_rerda/5101985/5.jpg,https://edgardoraul.github.io/imagenes_rerda/5101985/6.jpg,https://edgardoraul.github.io/imagenes_rerda/5101985/tabla.jpg</t>
  </si>
  <si>
    <t>Campera Rompeviento Urbana Táctica Negra T:3xl-5xl Premium</t>
  </si>
  <si>
    <t>https://edgardoraul.github.io/imagenes_rerda/5101900/2.jpg,https://edgardoraul.github.io/imagenes_rerda/5101900/7.jpg,https://edgardoraul.github.io/imagenes_rerda/5101900/1.jpg,https://edgardoraul.github.io/imagenes_rerda/5101900/3.jpg,https://edgardoraul.github.io/imagenes_rerda/5101900/4.jpg,https://edgardoraul.github.io/imagenes_rerda/5101900/5.jpg,https://edgardoraul.github.io/imagenes_rerda/5101900/6.jpg,https://edgardoraul.github.io/imagenes_rerda/5101900/tabla.jpg</t>
  </si>
  <si>
    <t>Campera Rompeviento Urbana Y Táctica Azul Rerda</t>
  </si>
  <si>
    <t>Campera Rompeviento Urbana Y Táctica Azul Rerda Premium</t>
  </si>
  <si>
    <t>Campera Rompeviento Urbana Y Táctica Azul Rerda T:3xl-5xl</t>
  </si>
  <si>
    <t>Campera Rompeviento Urbana Y Táctica Gris Rerda</t>
  </si>
  <si>
    <t>https://edgardoraul.github.io/imagenes_rerda/5101083/2.jpg,https://edgardoraul.github.io/imagenes_rerda/5101083/7.jpg,https://edgardoraul.github.io/imagenes_rerda/5101083/1.jpg,https://edgardoraul.github.io/imagenes_rerda/5101083/3.jpg,https://edgardoraul.github.io/imagenes_rerda/5101083/4.jpg,https://edgardoraul.github.io/imagenes_rerda/5101083/5.jpg,https://edgardoraul.github.io/imagenes_rerda/5101083/6.jpg,https://edgardoraul.github.io/imagenes_rerda/5101083/tabla.jpg</t>
  </si>
  <si>
    <t>Campera Rompeviento Urbana Y Táctica Gris Rerda En Cuotas</t>
  </si>
  <si>
    <t>Campera Rompeviento Urbana Y Táctica Negra Rerda</t>
  </si>
  <si>
    <t>Campera Rompeviento Urbana Y Táctica Negra Rerda Premium</t>
  </si>
  <si>
    <t>Campera Rompeviento Urbana Y Táctica Negra Rerda T:3xl-5xl</t>
  </si>
  <si>
    <t>Campera Rompeviento Urbana Y Táctica Rerda</t>
  </si>
  <si>
    <t>Campera Rompeviento Urbana Y Táctica Rerda Premium</t>
  </si>
  <si>
    <t>Campera Rompeviento Urbana Y Táctica Rerda T:3xl-5xl</t>
  </si>
  <si>
    <t>Campera Rompeviento Urbana Y Táctica T:3xl-5xl Premium</t>
  </si>
  <si>
    <t>https://edgardoraul.github.io/imagenes_rerda/5101888/1.jpg,https://edgardoraul.github.io/imagenes_rerda/5101888/2.jpg,https://edgardoraul.github.io/imagenes_rerda/5101888/3.jpg,https://edgardoraul.github.io/imagenes_rerda/5101888/4.jpg,https://edgardoraul.github.io/imagenes_rerda/5101888/5.jpg,https://edgardoraul.github.io/imagenes_rerda/5101888/6.jpg,https://edgardoraul.github.io/imagenes_rerda/5101888/7.jpg,https://edgardoraul.github.io/imagenes_rerda/5101888/8.jpg,https://edgardoraul.github.io/imagenes_rerda/5101888/9.jpg,https://edgardoraul.github.io/imagenes_rerda/5101888/tabla.jpg</t>
  </si>
  <si>
    <t>https://edgardoraul.github.io/imagenes_rerda/5101999/1.jpg,https://edgardoraul.github.io/imagenes_rerda/5101999/2.jpg,https://edgardoraul.github.io/imagenes_rerda/5101999/3.jpg,https://edgardoraul.github.io/imagenes_rerda/5101999/4.jpg,https://edgardoraul.github.io/imagenes_rerda/5101999/5.jpg,https://edgardoraul.github.io/imagenes_rerda/5101999/6.jpg,https://edgardoraul.github.io/imagenes_rerda/5101999/7.jpg,https://edgardoraul.github.io/imagenes_rerda/5101999/8.jpg,https://edgardoraul.github.io/imagenes_rerda/5101999/9.jpg,https://edgardoraul.github.io/imagenes_rerda/5101999/10.jpg,https://edgardoraul.github.io/imagenes_rerda/5101999/tabla.jpg</t>
  </si>
  <si>
    <t>https://edgardoraul.github.io/imagenes_rerda/5101777/1.jpg,https://edgardoraul.github.io/imagenes_rerda/5101777/2.jpg,https://edgardoraul.github.io/imagenes_rerda/5101777/3.jpg,https://edgardoraul.github.io/imagenes_rerda/5101777/4.jpg,https://edgardoraul.github.io/imagenes_rerda/5101777/5.jpg,https://edgardoraul.github.io/imagenes_rerda/5101777/6.jpg,https://edgardoraul.github.io/imagenes_rerda/5101777/7.jpg,https://edgardoraul.github.io/imagenes_rerda/5101777/8.jpg,https://edgardoraul.github.io/imagenes_rerda/5101777/tabla.jpg</t>
  </si>
  <si>
    <t>Campera Táctica Gabardina Satinada Palmaj Rerda Premium</t>
  </si>
  <si>
    <t>Campera Táctica Gabardina Satinada Palmaj Rerda T:3xl-5xl</t>
  </si>
  <si>
    <t>Campera Táctica Gabardina Satinada Palmaj T:3xl-5xl Premium</t>
  </si>
  <si>
    <t>Campera Táctica Softshell Fuerzas Armadas</t>
  </si>
  <si>
    <t>https://edgardoraul.github.io/imagenes_rerda/5101187/1.jpg,https://edgardoraul.github.io/imagenes_rerda/5101187/2.jpg,https://edgardoraul.github.io/imagenes_rerda/5101187/3.jpg,https://edgardoraul.github.io/imagenes_rerda/5101187/4.jpg,https://edgardoraul.github.io/imagenes_rerda/5101187/5.jpg,https://edgardoraul.github.io/imagenes_rerda/5101187/6.jpg</t>
  </si>
  <si>
    <t>https://edgardoraul.github.io/imagenes_rerda/5101192/1.jpg,https://edgardoraul.github.io/imagenes_rerda/5101192/2.jpg,https://edgardoraul.github.io/imagenes_rerda/5101192/3.jpg,https://edgardoraul.github.io/imagenes_rerda/5101192/4.jpg,https://edgardoraul.github.io/imagenes_rerda/5101192/5.jpg,https://edgardoraul.github.io/imagenes_rerda/5101192/6.jpg</t>
  </si>
  <si>
    <t>Campera Táctica Softshell Fuerzas Armadas Premium</t>
  </si>
  <si>
    <t>Campera Táctica Softshell Fuerzas Armadas T:3xl-5xl</t>
  </si>
  <si>
    <t>Campera Táctica Softshell Fuerzas Armadas T:3xl-5xl Premium</t>
  </si>
  <si>
    <t>Chaleco De Lana Tricota Rerda</t>
  </si>
  <si>
    <t>http://http2.mlstatic.com/D_979447-MLA47382019180_092021-O.jpg,http://http2.mlstatic.com/D_976145-MLA47382019181_092021-O.jpg,http://http2.mlstatic.com/D_639061-MLA47382019182_092021-O.jpg,http://http2.mlstatic.com/D_807504-MLA47382019179_092021-O.jpg,http://http2.mlstatic.com/D_919136-MLA47382019183_092021-O.jpg,http://http2.mlstatic.com/D_708759-MLA47382019176_092021-O.jpg,http://http2.mlstatic.com/D_812688-MLA47382019177_092021-O.jpg,http://http2.mlstatic.com/D_743768-MLA47382019184_092021-O.jpg,http://http2.mlstatic.com/D_950801-MLA47382019186_092021-O.jpg</t>
  </si>
  <si>
    <t>http://http2.mlstatic.com/D_835550-MLA47382019187_092021-O.jpg,http://http2.mlstatic.com/D_972093-MLA47382019178_092021-O.jpg,http://http2.mlstatic.com/D_837525-MLA47382019185_092021-O.jpg,http://http2.mlstatic.com/D_807504-MLA47382019179_092021-O.jpg,http://http2.mlstatic.com/D_919136-MLA47382019183_092021-O.jpg,http://http2.mlstatic.com/D_708759-MLA47382019176_092021-O.jpg,http://http2.mlstatic.com/D_812688-MLA47382019177_092021-O.jpg,http://http2.mlstatic.com/D_743768-MLA47382019184_092021-O.jpg,http://http2.mlstatic.com/D_950801-MLA47382019186_092021-O.jpg</t>
  </si>
  <si>
    <t>Chaleco Lana Militar Tricota Rerda Premium</t>
  </si>
  <si>
    <t>http://http2.mlstatic.com/D_780684-MLA47382020054_092021-O.jpg,http://http2.mlstatic.com/D_838377-MLA47382020055_092021-O.jpg,http://http2.mlstatic.com/D_707693-MLA47382020060_092021-O.jpg,http://http2.mlstatic.com/D_697775-MLA47382020056_092021-O.jpg,http://http2.mlstatic.com/D_655523-MLA47382020059_092021-O.jpg,http://http2.mlstatic.com/D_798418-MLA47382020061_092021-O.jpg,http://http2.mlstatic.com/D_880462-MLA47382020062_092021-O.jpg,http://http2.mlstatic.com/D_995059-MLA47382020051_092021-O.jpg,http://http2.mlstatic.com/D_690059-MLA47382020053_092021-O.jpg</t>
  </si>
  <si>
    <t>http://http2.mlstatic.com/D_921530-MLA47382020058_092021-O.jpg,http://http2.mlstatic.com/D_612010-MLA47382020052_092021-O.jpg,http://http2.mlstatic.com/D_975102-MLA47382020057_092021-O.jpg,http://http2.mlstatic.com/D_697775-MLA47382020056_092021-O.jpg,http://http2.mlstatic.com/D_655523-MLA47382020059_092021-O.jpg,http://http2.mlstatic.com/D_798418-MLA47382020061_092021-O.jpg,http://http2.mlstatic.com/D_880462-MLA47382020062_092021-O.jpg,http://http2.mlstatic.com/D_995059-MLA47382020051_092021-O.jpg,http://http2.mlstatic.com/D_690059-MLA47382020053_092021-O.jpg</t>
  </si>
  <si>
    <t>Chaquetilla Garibaldina Táctica Camuflada</t>
  </si>
  <si>
    <t>Tigger Celeste - Camuflado - 3XS</t>
  </si>
  <si>
    <t>http://http2.mlstatic.com/D_636666-MLA47328325946_092021-O.jpg,http://http2.mlstatic.com/D_708107-MLA47328325956_092021-O.jpg,http://http2.mlstatic.com/D_861384-MLA47328325942_092021-O.jpg,http://http2.mlstatic.com/D_633491-MLA47328325932_092021-O.jpg</t>
  </si>
  <si>
    <t>Woodland Black - Camuflado - XS</t>
  </si>
  <si>
    <t>http://http2.mlstatic.com/D_761271-MLA47328325935_092021-O.jpg,http://http2.mlstatic.com/D_694468-MLA47328325945_092021-O.jpg,http://http2.mlstatic.com/D_969639-MLA47328325962_092021-O.jpg,http://http2.mlstatic.com/D_677213-MLA47328325965_092021-O.jpg</t>
  </si>
  <si>
    <t>Woodland Black - Camuflado - 3XS</t>
  </si>
  <si>
    <t>Tigger Celeste - Camuflado - XXS</t>
  </si>
  <si>
    <t>Desertico - Camuflado - XS</t>
  </si>
  <si>
    <t>http://http2.mlstatic.com/D_699332-MLA47328325957_092021-O.jpg,http://http2.mlstatic.com/D_728210-MLA47328325947_092021-O.jpg,http://http2.mlstatic.com/D_648331-MLA47328325939_092021-O.jpg,http://http2.mlstatic.com/D_896736-MLA47328325933_092021-O.jpg</t>
  </si>
  <si>
    <t>Tigger Celeste - Camuflado - M</t>
  </si>
  <si>
    <t>Desertico - Camuflado - XL</t>
  </si>
  <si>
    <t>Tigger Celeste - Camuflado - XL</t>
  </si>
  <si>
    <t>Desertico - Camuflado - XXL</t>
  </si>
  <si>
    <t>Tigger Celeste - Camuflado - XXL</t>
  </si>
  <si>
    <t>Desertico - Camuflado - 3XS</t>
  </si>
  <si>
    <t>Tigger Celeste - Camuflado - L</t>
  </si>
  <si>
    <t>Acu - Camuflado - 3XS</t>
  </si>
  <si>
    <t>http://http2.mlstatic.com/D_886676-MLA47328325966_092021-O.jpg,http://http2.mlstatic.com/D_774821-MLA47328325940_092021-O.jpg,http://http2.mlstatic.com/D_932024-MLA47328325943_092021-O.jpg,http://http2.mlstatic.com/D_872772-MLA47328325964_092021-O.jpg</t>
  </si>
  <si>
    <t>Desertico - Camuflado - XXS</t>
  </si>
  <si>
    <t>Digital Beige - Camuflado - XS</t>
  </si>
  <si>
    <t>http://http2.mlstatic.com/D_832387-MLA47328325967_092021-O.jpg,http://http2.mlstatic.com/D_858468-MLA47328325934_092021-O.jpg,http://http2.mlstatic.com/D_771757-MLA47328325951_092021-O.jpg,http://http2.mlstatic.com/D_975388-MLA47328325963_092021-O.jpg</t>
  </si>
  <si>
    <t>Acu - Camuflado - XXL</t>
  </si>
  <si>
    <t>Digital Beige - Camuflado - S</t>
  </si>
  <si>
    <t>Digital Beige - Camuflado - XXS</t>
  </si>
  <si>
    <t>Digital Beige - Camuflado - M</t>
  </si>
  <si>
    <t>Digital Beige - Camuflado - 3XS</t>
  </si>
  <si>
    <t>Requisa - Camuflado - XXS</t>
  </si>
  <si>
    <t>http://http2.mlstatic.com/D_683550-MLA47328325944_092021-O.jpg,http://http2.mlstatic.com/D_729993-MLA47328325954_092021-O.jpg,http://http2.mlstatic.com/D_864109-MLA47328325936_092021-O.jpg</t>
  </si>
  <si>
    <t>Rural - Camuflado - XL</t>
  </si>
  <si>
    <t>http://http2.mlstatic.com/D_746597-MLA47328325950_092021-O.jpg,http://http2.mlstatic.com/D_941466-MLA47328325948_092021-O.jpg,http://http2.mlstatic.com/D_748130-MLA47328325960_092021-O.jpg,http://http2.mlstatic.com/D_796859-MLA47328325969_092021-O.jpg</t>
  </si>
  <si>
    <t>Multicam Black - Camuflado - XXS</t>
  </si>
  <si>
    <t>http://http2.mlstatic.com/D_856588-MLA47328325952_092021-O.jpg,http://http2.mlstatic.com/D_698187-MLA47328325937_092021-O.jpg,http://http2.mlstatic.com/D_696445-MLA47328325971_092021-O.jpg,http://http2.mlstatic.com/D_656708-MLA47328325959_092021-O.jpg</t>
  </si>
  <si>
    <t>Digital Gris - Camuflado - 3XS</t>
  </si>
  <si>
    <t>http://http2.mlstatic.com/D_732020-MLA47328325953_092021-O.jpg,http://http2.mlstatic.com/D_843549-MLA47328325968_092021-O.jpg,http://http2.mlstatic.com/D_892744-MLA47328325949_092021-O.jpg</t>
  </si>
  <si>
    <t>Digital Gris - Camuflado - XL</t>
  </si>
  <si>
    <t>Digital Beige - Camuflado - XL</t>
  </si>
  <si>
    <t>Rural - Camuflado - S</t>
  </si>
  <si>
    <t>Desertico - Camuflado - M</t>
  </si>
  <si>
    <t>Multicam - Camuflado - L</t>
  </si>
  <si>
    <t>http://http2.mlstatic.com/D_992860-MLA47328325955_092021-O.jpg,http://http2.mlstatic.com/D_841807-MLA47328325931_092021-O.jpg,http://http2.mlstatic.com/D_626321-MLA47328325961_092021-O.jpg,http://http2.mlstatic.com/D_863102-MLA47328325929_092021-O.jpg</t>
  </si>
  <si>
    <t>Rural - Camuflado - L</t>
  </si>
  <si>
    <t>Woodland - Camuflado - XXL</t>
  </si>
  <si>
    <t>http://http2.mlstatic.com/D_949193-MLA47328325930_092021-O.jpg,http://http2.mlstatic.com/D_852673-MLA47328325970_092021-O.jpg,http://http2.mlstatic.com/D_903588-MLA47328325941_092021-O.jpg,http://http2.mlstatic.com/D_625678-MLA47328325958_092021-O.jpg</t>
  </si>
  <si>
    <t>Woodland Black - Camuflado - XXS</t>
  </si>
  <si>
    <t>Woodland Black - Camuflado - S</t>
  </si>
  <si>
    <t>Rural - Camuflado - M</t>
  </si>
  <si>
    <t>Tigger Celeste - Camuflado - S</t>
  </si>
  <si>
    <t>Digital Gris - Camuflado - XXS</t>
  </si>
  <si>
    <t>Multicam Black - Camuflado - XXL</t>
  </si>
  <si>
    <t>Acu - Camuflado - S</t>
  </si>
  <si>
    <t>Requisa - Camuflado - S</t>
  </si>
  <si>
    <t>Acu - Camuflado - M</t>
  </si>
  <si>
    <t>Acu - Camuflado - XXS</t>
  </si>
  <si>
    <t>Multicam Black - Camuflado - L</t>
  </si>
  <si>
    <t>Acu - Camuflado - XL</t>
  </si>
  <si>
    <t>Rural - Camuflado - XS</t>
  </si>
  <si>
    <t>Rural - Camuflado - 3XS</t>
  </si>
  <si>
    <t>Requisa - Camuflado - L</t>
  </si>
  <si>
    <t>Requisa - Camuflado - XXL</t>
  </si>
  <si>
    <t>Digital Gris - Camuflado - L</t>
  </si>
  <si>
    <t>Multicam - Camuflado - XL</t>
  </si>
  <si>
    <t>Woodland - Camuflado - S</t>
  </si>
  <si>
    <t>Multicam - Camuflado - XXL</t>
  </si>
  <si>
    <t>Multicam Black - Camuflado - S</t>
  </si>
  <si>
    <t>Woodland - Camuflado - XL</t>
  </si>
  <si>
    <t>Acu - Camuflado - L</t>
  </si>
  <si>
    <t>Digital Gris - Camuflado - M</t>
  </si>
  <si>
    <t>Rural - Camuflado - XXL</t>
  </si>
  <si>
    <t>Multicam Black - Camuflado - XL</t>
  </si>
  <si>
    <t>Multicam Black - Camuflado - XS</t>
  </si>
  <si>
    <t>Tigger Celeste - Camuflado - XS</t>
  </si>
  <si>
    <t>Multicam Black - Camuflado - M</t>
  </si>
  <si>
    <t>Acu - Camuflado - XS</t>
  </si>
  <si>
    <t>Woodland - Camuflado - XXS</t>
  </si>
  <si>
    <t>Requisa - Camuflado - XS</t>
  </si>
  <si>
    <t>Woodland Black - Camuflado - L</t>
  </si>
  <si>
    <t>Woodland - Camuflado - 3XS</t>
  </si>
  <si>
    <t>Digital Gris - Camuflado - XS</t>
  </si>
  <si>
    <t>Multicam - Camuflado - S</t>
  </si>
  <si>
    <t>Woodland Black - Camuflado - M</t>
  </si>
  <si>
    <t>Digital Beige - Camuflado - XXL</t>
  </si>
  <si>
    <t>Woodland Black - Camuflado - XXL</t>
  </si>
  <si>
    <t>Multicam Black - Camuflado - 3XS</t>
  </si>
  <si>
    <t>Requisa - Camuflado - XL</t>
  </si>
  <si>
    <t>Digital Gris - Camuflado - S</t>
  </si>
  <si>
    <t>Woodland Black - Camuflado - XL</t>
  </si>
  <si>
    <t>Requisa - Camuflado - M</t>
  </si>
  <si>
    <t>Desertico - Camuflado - L</t>
  </si>
  <si>
    <t>Multicam - Camuflado - XS</t>
  </si>
  <si>
    <t>Requisa - Camuflado - 3XS</t>
  </si>
  <si>
    <t>Desertico - Camuflado - S</t>
  </si>
  <si>
    <t>Woodland - Camuflado - XS</t>
  </si>
  <si>
    <t>Digital Beige - Camuflado - L</t>
  </si>
  <si>
    <t>Multicam - Camuflado - 3XS</t>
  </si>
  <si>
    <t>Multicam - Camuflado - XXS</t>
  </si>
  <si>
    <t>Digital Gris - Camuflado - XXL</t>
  </si>
  <si>
    <t>Rural - Camuflado - XXS</t>
  </si>
  <si>
    <t>Multicam - Camuflado - M</t>
  </si>
  <si>
    <t>Woodland - Camuflado - M</t>
  </si>
  <si>
    <t>Woodland - Camuflado - L</t>
  </si>
  <si>
    <t>Chaquetilla Garibaldina Táctica Camuflada Premium</t>
  </si>
  <si>
    <t>http://http2.mlstatic.com/D_610755-MLA47328323963_092021-O.jpg,http://http2.mlstatic.com/D_913854-MLA47328323953_092021-O.jpg,http://http2.mlstatic.com/D_687860-MLA47328323984_092021-O.jpg,http://http2.mlstatic.com/D_638813-MLA47328323978_092021-O.jpg</t>
  </si>
  <si>
    <t>http://http2.mlstatic.com/D_733076-MLA47328323956_092021-O.jpg,http://http2.mlstatic.com/D_906885-MLA47328323954_092021-O.jpg,http://http2.mlstatic.com/D_888165-MLA47328323970_092021-O.jpg,http://http2.mlstatic.com/D_765995-MLA47328323960_092021-O.jpg</t>
  </si>
  <si>
    <t>http://http2.mlstatic.com/D_818755-MLA47328323965_092021-O.jpg,http://http2.mlstatic.com/D_770865-MLA47328323961_092021-O.jpg,http://http2.mlstatic.com/D_877191-MLA47328323971_092021-O.jpg,http://http2.mlstatic.com/D_679781-MLA47328323952_092021-O.jpg</t>
  </si>
  <si>
    <t>http://http2.mlstatic.com/D_833898-MLA47328323990_092021-O.jpg,http://http2.mlstatic.com/D_681764-MLA47328323976_092021-O.jpg,http://http2.mlstatic.com/D_629479-MLA47328323957_092021-O.jpg,http://http2.mlstatic.com/D_996673-MLA47328323975_092021-O.jpg</t>
  </si>
  <si>
    <t>http://http2.mlstatic.com/D_778719-MLA47328323991_092021-O.jpg,http://http2.mlstatic.com/D_645128-MLA47328323951_092021-O.jpg,http://http2.mlstatic.com/D_773168-MLA47328323972_092021-O.jpg,http://http2.mlstatic.com/D_851218-MLA47328323977_092021-O.jpg</t>
  </si>
  <si>
    <t>http://http2.mlstatic.com/D_785468-MLA47328323962_092021-O.jpg,http://http2.mlstatic.com/D_763922-MLA47328323979_092021-O.jpg,http://http2.mlstatic.com/D_929361-MLA47328323987_092021-O.jpg,http://http2.mlstatic.com/D_646225-MLA47328323966_092021-O.jpg</t>
  </si>
  <si>
    <t>http://http2.mlstatic.com/D_836473-MLA47328323967_092021-O.jpg,http://http2.mlstatic.com/D_774161-MLA47328323988_092021-O.jpg,http://http2.mlstatic.com/D_657696-MLA47328323973_092021-O.jpg</t>
  </si>
  <si>
    <t>http://http2.mlstatic.com/D_729859-MLA47328323985_092021-O.jpg,http://http2.mlstatic.com/D_934962-MLA47328323968_092021-O.jpg,http://http2.mlstatic.com/D_650388-MLA47328323959_092021-O.jpg,http://http2.mlstatic.com/D_639203-MLA47328323969_092021-O.jpg</t>
  </si>
  <si>
    <t>http://http2.mlstatic.com/D_695786-MLA47328323989_092021-O.jpg,http://http2.mlstatic.com/D_678569-MLA47328323982_092021-O.jpg,http://http2.mlstatic.com/D_846109-MLA47328323992_092021-O.jpg,http://http2.mlstatic.com/D_905017-MLA47328323993_092021-O.jpg</t>
  </si>
  <si>
    <t>http://http2.mlstatic.com/D_757038-MLA47328323980_092021-O.jpg,http://http2.mlstatic.com/D_820554-MLA47328323964_092021-O.jpg,http://http2.mlstatic.com/D_632768-MLA47328323974_092021-O.jpg</t>
  </si>
  <si>
    <t>http://http2.mlstatic.com/D_799545-MLA47328323981_092021-O.jpg,http://http2.mlstatic.com/D_725033-MLA47328323983_092021-O.jpg,http://http2.mlstatic.com/D_813355-MLA47328323955_092021-O.jpg,http://http2.mlstatic.com/D_743035-MLA47328323958_092021-O.jpg</t>
  </si>
  <si>
    <t>Chaquetilla Garibaldina Táctica Camuflada T:3xl-5xl</t>
  </si>
  <si>
    <t>Woodland Black - Camuflado - 3XL</t>
  </si>
  <si>
    <t>http://http2.mlstatic.com/D_959085-MLA47328325805_092021-O.jpg,http://http2.mlstatic.com/D_765638-MLA47328325812_092021-O.jpg,http://http2.mlstatic.com/D_841491-MLA47328325782_092021-O.jpg,http://http2.mlstatic.com/D_868516-MLA47328325806_092021-O.jpg,http://http2.mlstatic.com/D_614193-MLA47340147587_092021-O.jpg,http://http2.mlstatic.com/D_753797-MLA47340277108_092021-O.jpg,http://http2.mlstatic.com/D_670407-MLA47340199484_092021-O.jpg,http://http2.mlstatic.com/D_699494-MLA47340263204_092021-O.jpg,http://http2.mlstatic.com/D_949866-MLA47340277109_092021-O.jpg,http://http2.mlstatic.com/D_826530-MLA47340160646_092021-O.jpg</t>
  </si>
  <si>
    <t>Woodland - Camuflado - 3XL</t>
  </si>
  <si>
    <t>http://http2.mlstatic.com/D_951253-MLA47328325775_092021-O.jpg,http://http2.mlstatic.com/D_868806-MLA47328325801_092021-O.jpg,http://http2.mlstatic.com/D_859852-MLA47328325793_092021-O.jpg,http://http2.mlstatic.com/D_777321-MLA47328325797_092021-O.jpg,http://http2.mlstatic.com/D_989790-MLA47340162508_092021-O.jpg,http://http2.mlstatic.com/D_661960-MLA47340288031_092021-O.jpg,http://http2.mlstatic.com/D_808112-MLA47340103997_092021-O.jpg,http://http2.mlstatic.com/D_767354-MLA47340150725_092021-O.jpg,http://http2.mlstatic.com/D_891013-MLA47340162685_092021-O.jpg,http://http2.mlstatic.com/D_859612-MLA47340178581_092021-O.jpg</t>
  </si>
  <si>
    <t>Woodland Black - Camuflado - 4XL</t>
  </si>
  <si>
    <t>Tigger Celeste - Camuflado - 3XL</t>
  </si>
  <si>
    <t>http://http2.mlstatic.com/D_973305-MLA47328325786_092021-O.jpg,http://http2.mlstatic.com/D_674850-MLA47328325802_092021-O.jpg,http://http2.mlstatic.com/D_620621-MLA47328325813_092021-O.jpg,http://http2.mlstatic.com/D_749003-MLA47328325779_092021-O.jpg,http://http2.mlstatic.com/D_832307-MLA47340196327_092021-O.jpg,http://http2.mlstatic.com/D_918675-MLA47340187556_092021-O.jpg,http://http2.mlstatic.com/D_639389-MLA47340245250_092021-O.jpg,http://http2.mlstatic.com/D_922193-MLA47340173582_092021-O.jpg,http://http2.mlstatic.com/D_604969-MLA47340199466_092021-O.jpg,http://http2.mlstatic.com/D_835621-MLA47340197520_092021-O.jpg</t>
  </si>
  <si>
    <t>Woodland Black - Camuflado - 5XL</t>
  </si>
  <si>
    <t>Tigger Celeste - Camuflado - 4XL</t>
  </si>
  <si>
    <t>Desertico - Camuflado - 4XL</t>
  </si>
  <si>
    <t>http://http2.mlstatic.com/D_637552-MLA47328325799_092021-O.jpg,http://http2.mlstatic.com/D_808384-MLA47328325810_092021-O.jpg,http://http2.mlstatic.com/D_844396-MLA47328325807_092021-O.jpg,http://http2.mlstatic.com/D_620836-MLA47328325790_092021-O.jpg,http://http2.mlstatic.com/D_992715-MLA47340147607_092021-O.jpg,http://http2.mlstatic.com/D_985083-MLA47340170663_092021-O.jpg,http://http2.mlstatic.com/D_731969-MLA47340163649_092021-O.jpg,http://http2.mlstatic.com/D_818561-MLA47340166608_092021-O.jpg,http://http2.mlstatic.com/D_830010-MLA47340173571_092021-O.jpg,http://http2.mlstatic.com/D_641812-MLA47340162660_092021-O.jpg</t>
  </si>
  <si>
    <t>Acu - Camuflado - 3XL</t>
  </si>
  <si>
    <t>http://http2.mlstatic.com/D_901284-MLA47328325816_092021-O.jpg,http://http2.mlstatic.com/D_669548-MLA47328325787_092021-O.jpg,http://http2.mlstatic.com/D_700607-MLA47328325789_092021-O.jpg,http://http2.mlstatic.com/D_791462-MLA47328325781_092021-O.jpg,http://http2.mlstatic.com/D_990914-MLA47340179437_092021-O.jpg,http://http2.mlstatic.com/D_720719-MLA47340245219_092021-O.jpg,http://http2.mlstatic.com/D_910964-MLA47340199444_092021-O.jpg,http://http2.mlstatic.com/D_926720-MLA47340147755_092021-O.jpg,http://http2.mlstatic.com/D_727311-MLA47340263164_092021-O.jpg,http://http2.mlstatic.com/D_792460-MLA47340172607_092021-O.jpg</t>
  </si>
  <si>
    <t>Tigger Celeste - Camuflado - 5XL</t>
  </si>
  <si>
    <t>Desertico - Camuflado - 3XL</t>
  </si>
  <si>
    <t>Desertico - Camuflado - 5XL</t>
  </si>
  <si>
    <t>Digital Beige - Camuflado - 3XL</t>
  </si>
  <si>
    <t>http://http2.mlstatic.com/D_897492-MLA47328325803_092021-O.jpg,http://http2.mlstatic.com/D_780127-MLA47328325809_092021-O.jpg,http://http2.mlstatic.com/D_646169-MLA47328325814_092021-O.jpg,http://http2.mlstatic.com/D_780377-MLA47328325784_092021-O.jpg,http://http2.mlstatic.com/D_812397-MLA47340114838_092021-O.jpg,http://http2.mlstatic.com/D_647719-MLA47340277059_092021-O.jpg,http://http2.mlstatic.com/D_900961-MLA47340274079_092021-O.jpg,http://http2.mlstatic.com/D_927409-MLA47340170635_092021-O.jpg,http://http2.mlstatic.com/D_852400-MLA47340199437_092021-O.jpg,http://http2.mlstatic.com/D_849286-MLA47340169607_092021-O.jpg</t>
  </si>
  <si>
    <t>Acu - Camuflado - 5XL</t>
  </si>
  <si>
    <t>Digital Beige - Camuflado - 4XL</t>
  </si>
  <si>
    <t>Digital Beige - Camuflado - 5XL</t>
  </si>
  <si>
    <t>Acu - Camuflado - 4XL</t>
  </si>
  <si>
    <t>Rural - Camuflado - 5XL</t>
  </si>
  <si>
    <t>http://http2.mlstatic.com/D_830103-MLA47328325800_092021-O.jpg,http://http2.mlstatic.com/D_998554-MLA47328325788_092021-O.jpg,http://http2.mlstatic.com/D_976632-MLA47328325776_092021-O.jpg,http://http2.mlstatic.com/D_646217-MLA47328325794_092021-O.jpg,http://http2.mlstatic.com/D_927631-MLA47340178441_092021-O.jpg,http://http2.mlstatic.com/D_992469-MLA47340199424_092021-O.jpg,http://http2.mlstatic.com/D_630246-MLA47340174589_092021-O.jpg,http://http2.mlstatic.com/D_934447-MLA47340160579_092021-O.jpg,http://http2.mlstatic.com/D_647002-MLA47340152633_092021-O.jpg,http://http2.mlstatic.com/D_618120-MLA47340274068_092021-O.jpg</t>
  </si>
  <si>
    <t>Requisa - Camuflado - 4XL</t>
  </si>
  <si>
    <t>http://http2.mlstatic.com/D_825328-MLA47328325817_092021-O.jpg,http://http2.mlstatic.com/D_710131-MLA47328325808_092021-O.jpg,http://http2.mlstatic.com/D_852271-MLA47328325792_092021-O.jpg,http://http2.mlstatic.com/D_909555-MLA47340179470_092021-O.jpg,http://http2.mlstatic.com/D_758112-MLA47340245171_092021-O.jpg,http://http2.mlstatic.com/D_828287-MLA47340114916_092021-O.jpg,http://http2.mlstatic.com/D_739505-MLA47340274044_092021-O.jpg,http://http2.mlstatic.com/D_943449-MLA47340166534_092021-O.jpg,http://http2.mlstatic.com/D_818657-MLA47340180516_092021-O.jpg</t>
  </si>
  <si>
    <t>Rural - Camuflado - 3XL</t>
  </si>
  <si>
    <t>Digital Gris - Camuflado - 5XL</t>
  </si>
  <si>
    <t>http://http2.mlstatic.com/D_757674-MLA47328325804_092021-O.jpg,http://http2.mlstatic.com/D_993551-MLA47328325815_092021-O.jpg,http://http2.mlstatic.com/D_918004-MLA47328325785_092021-O.jpg,http://http2.mlstatic.com/D_931145-MLA47340147634_092021-O.jpg,http://http2.mlstatic.com/D_851685-MLA47340272076_092021-O.jpg,http://http2.mlstatic.com/D_959358-MLA47340102968_092021-O.jpg,http://http2.mlstatic.com/D_703189-MLA47340103943_092021-O.jpg,http://http2.mlstatic.com/D_988179-MLA47340103944_092021-O.jpg,http://http2.mlstatic.com/D_763485-MLA47340169596_092021-O.jpg</t>
  </si>
  <si>
    <t>Digital Gris - Camuflado - 3XL</t>
  </si>
  <si>
    <t>Multicam - Camuflado - 4XL</t>
  </si>
  <si>
    <t>http://http2.mlstatic.com/D_968335-MLA47328325796_092021-O.jpg,http://http2.mlstatic.com/D_906856-MLA47328325783_092021-O.jpg,http://http2.mlstatic.com/D_827132-MLA47328325811_092021-O.jpg,http://http2.mlstatic.com/D_852486-MLA47328325791_092021-O.jpg,http://http2.mlstatic.com/D_788907-MLA47340172512_092021-O.jpg,http://http2.mlstatic.com/D_801416-MLA47340130853_092021-O.jpg,http://http2.mlstatic.com/D_993311-MLA47340160548_092021-O.jpg,http://http2.mlstatic.com/D_856456-MLA47340197417_092021-O.jpg,http://http2.mlstatic.com/D_930539-MLA47340173517_092021-O.jpg,http://http2.mlstatic.com/D_624399-MLA47340196425_092021-O.jpg</t>
  </si>
  <si>
    <t>Multicam - Camuflado - 3XL</t>
  </si>
  <si>
    <t>Multicam Black - Camuflado - 3XL</t>
  </si>
  <si>
    <t>http://http2.mlstatic.com/D_687355-MLA47328325795_092021-O.jpg,http://http2.mlstatic.com/D_848778-MLA47328325778_092021-O.jpg,http://http2.mlstatic.com/D_728149-MLA47328325780_092021-O.jpg,http://http2.mlstatic.com/D_612124-MLA47328325798_092021-O.jpg,http://http2.mlstatic.com/D_785629-MLA47340142673_092021-O.jpg,http://http2.mlstatic.com/D_868279-MLA47340135798_092021-O.jpg,http://http2.mlstatic.com/D_901000-MLA47340143679_092021-O.jpg,http://http2.mlstatic.com/D_767014-MLA47340135800_092021-O.jpg,http://http2.mlstatic.com/D_615598-MLA47340162586_092021-O.jpg,http://http2.mlstatic.com/D_870646-MLA47340166509_092021-O.jpg</t>
  </si>
  <si>
    <t>Requisa - Camuflado - 5XL</t>
  </si>
  <si>
    <t>Multicam - Camuflado - 5XL</t>
  </si>
  <si>
    <t>Woodland - Camuflado - 4XL</t>
  </si>
  <si>
    <t>Multicam Black - Camuflado - 5XL</t>
  </si>
  <si>
    <t>Woodland - Camuflado - 5XL</t>
  </si>
  <si>
    <t>Rural - Camuflado - 4XL</t>
  </si>
  <si>
    <t>Multicam Black - Camuflado - 4XL</t>
  </si>
  <si>
    <t>Requisa - Camuflado - 3XL</t>
  </si>
  <si>
    <t>Digital Gris - Camuflado - 4XL</t>
  </si>
  <si>
    <t>Chaquetilla Garibaldina Táctica Camuflada T:3xl-5xl Premium</t>
  </si>
  <si>
    <t>http://http2.mlstatic.com/D_783902-MLA47328331125_092021-O.jpg,http://http2.mlstatic.com/D_650035-MLA47328331153_092021-O.jpg,http://http2.mlstatic.com/D_697619-MLA47328331119_092021-O.jpg,http://http2.mlstatic.com/D_940382-MLA47328331140_092021-O.jpg,http://http2.mlstatic.com/D_886232-MLA47340037036_092021-O.jpg,http://http2.mlstatic.com/D_755397-MLA47339976482_092021-O.jpg,http://http2.mlstatic.com/D_855867-MLA47340018194_092021-O.jpg,http://http2.mlstatic.com/D_663543-MLA47340028162_092021-O.jpg,http://http2.mlstatic.com/D_685447-MLA47339962571_092021-O.jpg,http://http2.mlstatic.com/D_882374-MLA47340024172_092021-O.jpg</t>
  </si>
  <si>
    <t>http://http2.mlstatic.com/D_845007-MLA47328331145_092021-O.jpg,http://http2.mlstatic.com/D_683025-MLA47328331149_092021-O.jpg,http://http2.mlstatic.com/D_676599-MLA47328331132_092021-O.jpg,http://http2.mlstatic.com/D_660443-MLA47328331121_092021-O.jpg,http://http2.mlstatic.com/D_656300-MLA47339978383_092021-O.jpg,http://http2.mlstatic.com/D_702785-MLA47340032133_092021-O.jpg,http://http2.mlstatic.com/D_832905-MLA47340029163_092021-O.jpg,http://http2.mlstatic.com/D_740014-MLA47340044053_092021-O.jpg,http://http2.mlstatic.com/D_675836-MLA47339950625_092021-O.jpg,http://http2.mlstatic.com/D_800143-MLA47339976475_092021-O.jpg</t>
  </si>
  <si>
    <t>http://http2.mlstatic.com/D_962527-MLA47328331130_092021-O.jpg,http://http2.mlstatic.com/D_604679-MLA47328331147_092021-O.jpg,http://http2.mlstatic.com/D_781897-MLA47328331158_092021-O.jpg,http://http2.mlstatic.com/D_656047-MLA47328331159_092021-O.jpg,http://http2.mlstatic.com/D_803026-MLA47340018125_092021-O.jpg,http://http2.mlstatic.com/D_801745-MLA47340006265_092021-O.jpg,http://http2.mlstatic.com/D_684194-MLA47340024192_092021-O.jpg,http://http2.mlstatic.com/D_990104-MLA47339926781_092021-O.jpg,http://http2.mlstatic.com/D_987352-MLA47339964618_092021-O.jpg,http://http2.mlstatic.com/D_635816-MLA47340029212_092021-O.jpg</t>
  </si>
  <si>
    <t>http://http2.mlstatic.com/D_663186-MLA47328331141_092021-O.jpg,http://http2.mlstatic.com/D_662453-MLA47328331118_092021-O.jpg,http://http2.mlstatic.com/D_769825-MLA47328331139_092021-O.jpg,http://http2.mlstatic.com/D_726219-MLA47328331127_092021-O.jpg,http://http2.mlstatic.com/D_912179-MLA47340029097_092021-O.jpg,http://http2.mlstatic.com/D_746463-MLA47339997470_092021-O.jpg,http://http2.mlstatic.com/D_796007-MLA47339964768_092021-O.jpg,http://http2.mlstatic.com/D_660732-MLA47340006421_092021-O.jpg,http://http2.mlstatic.com/D_784858-MLA47340026370_092021-O.jpg,http://http2.mlstatic.com/D_725793-MLA47339961742_092021-O.jpg</t>
  </si>
  <si>
    <t>http://http2.mlstatic.com/D_851832-MLA47328331144_092021-O.jpg,http://http2.mlstatic.com/D_722380-MLA47328331136_092021-O.jpg,http://http2.mlstatic.com/D_928454-MLA47328331120_092021-O.jpg,http://http2.mlstatic.com/D_736226-MLA47340017156_092021-O.jpg,http://http2.mlstatic.com/D_937135-MLA47339978637_092021-O.jpg,http://http2.mlstatic.com/D_862980-MLA47340026390_092021-O.jpg,http://http2.mlstatic.com/D_623577-MLA47339961769_092021-O.jpg,http://http2.mlstatic.com/D_745352-MLA47340018374_092021-O.jpg,http://http2.mlstatic.com/D_766507-MLA47340018375_092021-O.jpg</t>
  </si>
  <si>
    <t>http://http2.mlstatic.com/D_832884-MLA47328331131_092021-O.jpg,http://http2.mlstatic.com/D_853390-MLA47328331148_092021-O.jpg,http://http2.mlstatic.com/D_648526-MLA47328331160_092021-O.jpg,http://http2.mlstatic.com/D_909122-MLA47328331152_092021-O.jpg,http://http2.mlstatic.com/D_887219-MLA47339946570_092021-O.jpg,http://http2.mlstatic.com/D_797706-MLA47340038279_092021-O.jpg,http://http2.mlstatic.com/D_611257-MLA47340006441_092021-O.jpg,http://http2.mlstatic.com/D_676379-MLA47340010471_092021-O.jpg,http://http2.mlstatic.com/D_806776-MLA47340044230_092021-O.jpg,http://http2.mlstatic.com/D_769519-MLA47340011457_092021-O.jpg</t>
  </si>
  <si>
    <t>http://http2.mlstatic.com/D_898972-MLA47328331143_092021-O.jpg,http://http2.mlstatic.com/D_949212-MLA47328331128_092021-O.jpg,http://http2.mlstatic.com/D_624887-MLA47328331123_092021-O.jpg,http://http2.mlstatic.com/D_810034-MLA47328331134_092021-O.jpg,http://http2.mlstatic.com/D_957542-MLA47339997287_092021-O.jpg,http://http2.mlstatic.com/D_822475-MLA47339976551_092021-O.jpg,http://http2.mlstatic.com/D_748970-MLA47339946707_092021-O.jpg,http://http2.mlstatic.com/D_868304-MLA47339926849_092021-O.jpg,http://http2.mlstatic.com/D_879813-MLA47340017328_092021-O.jpg,http://http2.mlstatic.com/D_875411-MLA47339944741_092021-O.jpg</t>
  </si>
  <si>
    <t>http://http2.mlstatic.com/D_844322-MLA47328331146_092021-O.jpg,http://http2.mlstatic.com/D_826180-MLA47328331150_092021-O.jpg,http://http2.mlstatic.com/D_912407-MLA47328331133_092021-O.jpg,http://http2.mlstatic.com/D_940571-MLA47340037070_092021-O.jpg,http://http2.mlstatic.com/D_663781-MLA47340028239_092021-O.jpg,http://http2.mlstatic.com/D_750009-MLA47339961638_092021-O.jpg,http://http2.mlstatic.com/D_991782-MLA47340010366_092021-O.jpg,http://http2.mlstatic.com/D_705182-MLA47340039168_092021-O.jpg,http://http2.mlstatic.com/D_795284-MLA47340004388_092021-O.jpg</t>
  </si>
  <si>
    <t>http://http2.mlstatic.com/D_707729-MLA47328331157_092021-O.jpg,http://http2.mlstatic.com/D_682755-MLA47328331154_092021-O.jpg,http://http2.mlstatic.com/D_819085-MLA47328331129_092021-O.jpg,http://http2.mlstatic.com/D_705538-MLA47328331156_092021-O.jpg,http://http2.mlstatic.com/D_751117-MLA47340028102_092021-O.jpg,http://http2.mlstatic.com/D_822989-MLA47339940933_092021-O.jpg,http://http2.mlstatic.com/D_764186-MLA47339964852_092021-O.jpg,http://http2.mlstatic.com/D_610742-MLA47340018433_092021-O.jpg,http://http2.mlstatic.com/D_704189-MLA47339978685_092021-O.jpg,http://http2.mlstatic.com/D_738930-MLA47340032406_092021-O.jpg</t>
  </si>
  <si>
    <t>http://http2.mlstatic.com/D_689150-MLA47328331124_092021-O.jpg,http://http2.mlstatic.com/D_737020-MLA47328331126_092021-O.jpg,http://http2.mlstatic.com/D_773813-MLA47328331122_092021-O.jpg,http://http2.mlstatic.com/D_746294-MLA47328331135_092021-O.jpg,http://http2.mlstatic.com/D_882763-MLA47340027146_092021-O.jpg,http://http2.mlstatic.com/D_739667-MLA47339978707_092021-O.jpg,http://http2.mlstatic.com/D_629748-MLA47339955876_092021-O.jpg,http://http2.mlstatic.com/D_890691-MLA47340027466_092021-O.jpg,http://http2.mlstatic.com/D_848812-MLA47340025440_092021-O.jpg,http://http2.mlstatic.com/D_725766-MLA47340003585_092021-O.jpg</t>
  </si>
  <si>
    <t>http://http2.mlstatic.com/D_892315-MLA47328331138_092021-O.jpg,http://http2.mlstatic.com/D_659594-MLA47328331137_092021-O.jpg,http://http2.mlstatic.com/D_972929-MLA47328331142_092021-O.jpg,http://http2.mlstatic.com/D_618256-MLA47328331151_092021-O.jpg,http://http2.mlstatic.com/D_978995-MLA47340027324_092021-O.jpg,http://http2.mlstatic.com/D_988380-MLA47340027334_092021-O.jpg,http://http2.mlstatic.com/D_786788-MLA47340044206_092021-O.jpg,http://http2.mlstatic.com/D_804884-MLA47340003457_092021-O.jpg,http://http2.mlstatic.com/D_844400-MLA47339940834_092021-O.jpg,http://http2.mlstatic.com/D_656590-MLA47340003458_092021-O.jpg</t>
  </si>
  <si>
    <t>Chaquetilla Garibaldina Táctica Gabardina</t>
  </si>
  <si>
    <t>http://http2.mlstatic.com/D_827300-MLA47328327779_092021-O.jpg,http://http2.mlstatic.com/D_790069-MLA47328327781_092021-O.jpg,http://http2.mlstatic.com/D_605206-MLA47328327782_092021-O.jpg,http://http2.mlstatic.com/D_916383-MLA47328327776_092021-O.jpg,http://http2.mlstatic.com/D_877904-MLA47340344558_092021-O.jpg,http://http2.mlstatic.com/D_811539-MLA47340330653_092021-O.jpg,http://http2.mlstatic.com/D_974802-MLA47340336587_092021-O.jpg,http://http2.mlstatic.com/D_624188-MLA47340322672_092021-O.jpg,http://http2.mlstatic.com/D_617253-MLA47340317698_092021-O.jpg,http://http2.mlstatic.com/D_655868-MLA47340398135_092021-O.jpg</t>
  </si>
  <si>
    <t>http://http2.mlstatic.com/D_766312-MLA47328327780_092021-O.jpg,http://http2.mlstatic.com/D_958984-MLA47328327777_092021-O.jpg,http://http2.mlstatic.com/D_657343-MLA47328327773_092021-O.jpg,http://http2.mlstatic.com/D_847365-MLA47328327775_092021-O.jpg,http://http2.mlstatic.com/D_702056-MLA47340313786_092021-O.jpg,http://http2.mlstatic.com/D_881464-MLA47340416027_092021-O.jpg,http://http2.mlstatic.com/D_648466-MLA47340310744_092021-O.jpg,http://http2.mlstatic.com/D_709371-MLA47340349528_092021-O.jpg,http://http2.mlstatic.com/D_998655-MLA47340414042_092021-O.jpg,http://http2.mlstatic.com/D_743046-MLA47340291957_092021-O.jpg</t>
  </si>
  <si>
    <t>http://http2.mlstatic.com/D_999804-MLA47328327772_092021-O.jpg,http://http2.mlstatic.com/D_759311-MLA47328327778_092021-O.jpg,http://http2.mlstatic.com/D_790154-MLA47328327774_092021-O.jpg,http://http2.mlstatic.com/D_693780-MLA47328327783_092021-O.jpg,http://http2.mlstatic.com/D_867117-MLA47340289000_092021-O.jpg,http://http2.mlstatic.com/D_828319-MLA47340333602_092021-O.jpg,http://http2.mlstatic.com/D_712136-MLA47340414067_092021-O.jpg,http://http2.mlstatic.com/D_747687-MLA47340334619_092021-O.jpg,http://http2.mlstatic.com/D_762922-MLA47340359456_092021-O.jpg,http://http2.mlstatic.com/D_680293-MLA47340356477_092021-O.jpg</t>
  </si>
  <si>
    <t>Chaquetilla Garibaldina Táctica Gabardina Premium</t>
  </si>
  <si>
    <t>http://http2.mlstatic.com/D_772385-MLA47328327706_092021-O.jpg,http://http2.mlstatic.com/D_788752-MLA47328327705_092021-O.jpg,http://http2.mlstatic.com/D_977072-MLA47328327699_092021-O.jpg,http://http2.mlstatic.com/D_613472-MLA47328327700_092021-O.jpg,http://http2.mlstatic.com/D_944870-MLA47340325482_092021-O.jpg,http://http2.mlstatic.com/D_812758-MLA47340313665_092021-O.jpg,http://http2.mlstatic.com/D_698775-MLA47340288885_092021-O.jpg,http://http2.mlstatic.com/D_868618-MLA47340402005_092021-O.jpg,http://http2.mlstatic.com/D_849965-MLA47340298775_092021-O.jpg,http://http2.mlstatic.com/D_625587-MLA47340344464_092021-O.jpg</t>
  </si>
  <si>
    <t>http://http2.mlstatic.com/D_897593-MLA47328327703_092021-O.jpg,http://http2.mlstatic.com/D_869548-MLA47328327702_092021-O.jpg,http://http2.mlstatic.com/D_675958-MLA47328327697_092021-O.jpg,http://http2.mlstatic.com/D_811813-MLA47328327698_092021-O.jpg,http://http2.mlstatic.com/D_846943-MLA47340313718_092021-O.jpg,http://http2.mlstatic.com/D_651386-MLA47340351479_092021-O.jpg,http://http2.mlstatic.com/D_876731-MLA47340310689_092021-O.jpg,http://http2.mlstatic.com/D_713298-MLA47340313722_092021-O.jpg,http://http2.mlstatic.com/D_656734-MLA47340302856_092021-O.jpg,http://http2.mlstatic.com/D_803846-MLA47340313725_092021-O.jpg</t>
  </si>
  <si>
    <t>http://http2.mlstatic.com/D_869915-MLA47328327708_092021-O.jpg,http://http2.mlstatic.com/D_944148-MLA47328327704_092021-O.jpg,http://http2.mlstatic.com/D_978026-MLA47328327701_092021-O.jpg,http://http2.mlstatic.com/D_804102-MLA47328327707_092021-O.jpg,http://http2.mlstatic.com/D_768014-MLA47340302836_092021-O.jpg,http://http2.mlstatic.com/D_658470-MLA47340288912_092021-O.jpg,http://http2.mlstatic.com/D_614915-MLA47340313707_092021-O.jpg,http://http2.mlstatic.com/D_705593-MLA47340339460_092021-O.jpg,http://http2.mlstatic.com/D_914856-MLA47340298803_092021-O.jpg,http://http2.mlstatic.com/D_794839-MLA47340331558_092021-O.jpg</t>
  </si>
  <si>
    <t>Chaquetilla Garibaldina Táctica Gabardina T:3xl-5xl</t>
  </si>
  <si>
    <t>http://http2.mlstatic.com/D_658454-MLA47328327362_092021-O.jpg,http://http2.mlstatic.com/D_702277-MLA47328327356_092021-O.jpg,http://http2.mlstatic.com/D_707007-MLA47328327367_092021-O.jpg,http://http2.mlstatic.com/D_987735-MLA47328327357_092021-O.jpg,http://http2.mlstatic.com/D_945767-MLA47340147960_092021-O.jpg,http://http2.mlstatic.com/D_884969-MLA47340281295_092021-O.jpg,http://http2.mlstatic.com/D_721941-MLA47340162875_092021-O.jpg,http://http2.mlstatic.com/D_940804-MLA47340245460_092021-O.jpg,http://http2.mlstatic.com/D_662568-MLA47340179821_092021-O.jpg,http://http2.mlstatic.com/D_831538-MLA47340143965_092021-O.jpg</t>
  </si>
  <si>
    <t>http://http2.mlstatic.com/D_691835-MLA47328327365_092021-O.jpg,http://http2.mlstatic.com/D_827478-MLA47328327366_092021-O.jpg,http://http2.mlstatic.com/D_623985-MLA47328327363_092021-O.jpg,http://http2.mlstatic.com/D_661694-MLA47328327364_092021-O.jpg,http://http2.mlstatic.com/D_711095-MLA47340160824_092021-O.jpg,http://http2.mlstatic.com/D_649582-MLA47340279334_092021-O.jpg,http://http2.mlstatic.com/D_894065-MLA47340281326_092021-O.jpg,http://http2.mlstatic.com/D_699279-MLA47340313020_092021-O.jpg,http://http2.mlstatic.com/D_933004-MLA47340274363_092021-O.jpg,http://http2.mlstatic.com/D_869608-MLA47340288269_092021-O.jpg</t>
  </si>
  <si>
    <t>http://http2.mlstatic.com/D_614505-MLA47328327359_092021-O.jpg,http://http2.mlstatic.com/D_644577-MLA47328327360_092021-O.jpg,http://http2.mlstatic.com/D_857219-MLA47328327361_092021-O.jpg,http://http2.mlstatic.com/D_731202-MLA47328327358_092021-O.jpg,http://http2.mlstatic.com/D_783679-MLA47340160830_092021-O.jpg,http://http2.mlstatic.com/D_769957-MLA47340279327_092021-O.jpg,http://http2.mlstatic.com/D_869663-MLA47340173833_092021-O.jpg,http://http2.mlstatic.com/D_926079-MLA47340293229_092021-O.jpg,http://http2.mlstatic.com/D_785242-MLA47340293230_092021-O.jpg,http://http2.mlstatic.com/D_937621-MLA47340162894_092021-O.jpg</t>
  </si>
  <si>
    <t>Chaquetilla Garibaldina Táctica Gabardina T:3xl-5xl Premium</t>
  </si>
  <si>
    <t>http://http2.mlstatic.com/D_723532-MLA47328331217_092021-O.jpg,http://http2.mlstatic.com/D_974384-MLA47328331220_092021-O.jpg,http://http2.mlstatic.com/D_811534-MLA47328331216_092021-O.jpg,http://http2.mlstatic.com/D_736700-MLA47328331225_092021-O.jpg,http://http2.mlstatic.com/D_851739-MLA47340197644_092021-O.jpg,http://http2.mlstatic.com/D_766158-MLA47340170805_092021-O.jpg,http://http2.mlstatic.com/D_608464-MLA47340178727_092021-O.jpg,http://http2.mlstatic.com/D_648962-MLA47340172795_092021-O.jpg,http://http2.mlstatic.com/D_727189-MLA47340148925_092021-O.jpg,http://http2.mlstatic.com/D_718353-MLA47340152795_092021-O.jpg</t>
  </si>
  <si>
    <t>http://http2.mlstatic.com/D_741948-MLA47328331221_092021-O.jpg,http://http2.mlstatic.com/D_903448-MLA47328331226_092021-O.jpg,http://http2.mlstatic.com/D_797093-MLA47328331222_092021-O.jpg,http://http2.mlstatic.com/D_918006-MLA47328331218_092021-O.jpg,http://http2.mlstatic.com/D_766813-MLA47340281196_092021-O.jpg,http://http2.mlstatic.com/D_855585-MLA47340277246_092021-O.jpg,http://http2.mlstatic.com/D_958339-MLA47340142950_092021-O.jpg,http://http2.mlstatic.com/D_847888-MLA47340272287_092021-O.jpg,http://http2.mlstatic.com/D_651411-MLA47340281252_092021-O.jpg,http://http2.mlstatic.com/D_811188-MLA47340196670_092021-O.jpg</t>
  </si>
  <si>
    <t>http://http2.mlstatic.com/D_962830-MLA47328331224_092021-O.jpg,http://http2.mlstatic.com/D_783856-MLA47328331215_092021-O.jpg,http://http2.mlstatic.com/D_678960-MLA47328331223_092021-O.jpg,http://http2.mlstatic.com/D_666478-MLA47328331219_092021-O.jpg,http://http2.mlstatic.com/D_714758-MLA47340302012_092021-O.jpg,http://http2.mlstatic.com/D_921173-MLA47340150870_092021-O.jpg,http://http2.mlstatic.com/D_771601-MLA47340281245_092021-O.jpg,http://http2.mlstatic.com/D_666864-MLA47340148936_092021-O.jpg,http://http2.mlstatic.com/D_805182-MLA47340302037_092021-O.jpg,http://http2.mlstatic.com/D_741711-MLA47340196664_092021-O.jpg</t>
  </si>
  <si>
    <t>Chaquetilla Táctica Cuello Mao Rip Stop</t>
  </si>
  <si>
    <t>Beige - Liso - XL</t>
  </si>
  <si>
    <t>https://d17riqmt8yes2m.cloudfront.net/images/245815/615153161495.jpg,https://d17riqmt8yes2m.cloudfront.net/images/245815/31564179363.jpg,https://d17riqmt8yes2m.cloudfront.net/images/245815/378717911420.jpg</t>
  </si>
  <si>
    <t>https://d17riqmt8yes2m.cloudfront.net/images/245815/224686065039.jpg,https://d17riqmt8yes2m.cloudfront.net/images/245815/72927327798.jpg,https://d17riqmt8yes2m.cloudfront.net/images/245815/918925766723.jpg</t>
  </si>
  <si>
    <t>Azul marino - Liso - XXS</t>
  </si>
  <si>
    <t>https://d17riqmt8yes2m.cloudfront.net/images/245815/442294817121.jpg,https://d17riqmt8yes2m.cloudfront.net/images/245815/461523992732.jpg,https://d17riqmt8yes2m.cloudfront.net/images/245815/600949584782.jpg</t>
  </si>
  <si>
    <t>Beige - Liso - XXL</t>
  </si>
  <si>
    <t>Azul marino - Liso - L</t>
  </si>
  <si>
    <t>https://d17riqmt8yes2m.cloudfront.net/images/245815/278118429671.jpg,https://d17riqmt8yes2m.cloudfront.net/images/245815/476203287066.jpg,https://d17riqmt8yes2m.cloudfront.net/images/245815/25295525411.jpg</t>
  </si>
  <si>
    <t>Beige - Liso - 3XS</t>
  </si>
  <si>
    <t>Azul marino - Liso - XL</t>
  </si>
  <si>
    <t>Azul marino - Liso - 3XS</t>
  </si>
  <si>
    <t>Beige - Liso - XS</t>
  </si>
  <si>
    <t>Beige - Liso - S</t>
  </si>
  <si>
    <t>Beige - Liso - L</t>
  </si>
  <si>
    <t>Beige - Liso - XXS</t>
  </si>
  <si>
    <t>Azul marino - Liso - XXL</t>
  </si>
  <si>
    <t>Beige - Liso - M</t>
  </si>
  <si>
    <t>Azul marino - Liso - S</t>
  </si>
  <si>
    <t>Azul marino - Liso - M</t>
  </si>
  <si>
    <t>Azul marino - Liso - XS</t>
  </si>
  <si>
    <t>Chaquetilla Táctica Cuello Mao Rip Stop T:3xl-5xl</t>
  </si>
  <si>
    <t>http://http2.mlstatic.com/D_783982-MLA46822539999_072021-O.jpg,http://http2.mlstatic.com/D_727732-MLA46822543018_072021-O.jpg,http://http2.mlstatic.com/D_934620-MLA46822543006_072021-O.jpg,http://http2.mlstatic.com/D_604682-MLA46822543007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</si>
  <si>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770159-MLA46822543002_072021-O.jpg,http://http2.mlstatic.com/D_771072-MLA46822539998_072021-O.jpg,http://http2.mlstatic.com/D_862771-MLA46822543019_072021-O.jpg,http://http2.mlstatic.com/D_627599-MLA46822543008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</si>
  <si>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823051-MLA47147474788_082021-O.jpg,http://http2.mlstatic.com/D_970264-MLA47147628088_082021-O.jpg,http://http2.mlstatic.com/D_774073-MLA47147537416_082021-O.jpg,http://http2.mlstatic.com/D_730403-MLA47147544360_082021-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</si>
  <si>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667850-MLA46822543016_072021-O.jpg,http://http2.mlstatic.com/D_993162-MLA46822543010_072021-O.jpg,http://http2.mlstatic.com/D_922752-MLA46822543009_072021-O.jpg,http://http2.mlstatic.com/D_794468-MLA46822540000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</si>
  <si>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Chaquetilla Táctica Cuello Mao Rip Stop T:3xl-5xl Premium</t>
  </si>
  <si>
    <t>http://http2.mlstatic.com/D_667850-MLA46822543016_072021-O.jpg,http://http2.mlstatic.com/D_993162-MLA46822543010_072021-O.jpg,http://http2.mlstatic.com/D_922752-MLA46822543009_072021-O.jpg,http://http2.mlstatic.com/D_794468-MLA46822540000_072021-O.jpg</t>
  </si>
  <si>
    <t>http://http2.mlstatic.com/D_783982-MLA46822539999_072021-O.jpg,http://http2.mlstatic.com/D_727732-MLA46822543018_072021-O.jpg,http://http2.mlstatic.com/D_934620-MLA46822543006_072021-O.jpg,http://http2.mlstatic.com/D_604682-MLA46822543007_072021-O.jpg</t>
  </si>
  <si>
    <t>http://http2.mlstatic.com/D_770159-MLA46822543002_072021-O.jpg,http://http2.mlstatic.com/D_771072-MLA46822539998_072021-O.jpg,http://http2.mlstatic.com/D_862771-MLA46822543019_072021-O.jpg,http://http2.mlstatic.com/D_627599-MLA46822543008_072021-O.jpg</t>
  </si>
  <si>
    <t>http://http2.mlstatic.com/D_823051-MLA47147474788_082021-O.jpg,http://http2.mlstatic.com/D_970264-MLA47147628088_082021-O.jpg,http://http2.mlstatic.com/D_774073-MLA47147537416_082021-O.jpg,http://http2.mlstatic.com/D_730403-MLA47147544360_082021-O.jpg</t>
  </si>
  <si>
    <t>Chomba Policía Manga Corta</t>
  </si>
  <si>
    <t>https://edgardoraul.github.io/imagenes_rerda/2103068/1.jpg,https://edgardoraul.github.io/imagenes_rerda/2103068/2.jpg,https://edgardoraul.github.io/imagenes_rerda/2103068/3.jpg,https://edgardoraul.github.io/imagenes_rerda/2103068/tabla.jpg</t>
  </si>
  <si>
    <t>https://edgardoraul.github.io/imagenes_rerda/2101202/1.jpg,https://edgardoraul.github.io/imagenes_rerda/2101202/2.jpg,https://edgardoraul.github.io/imagenes_rerda/2101202/3.jpg,https://edgardoraul.github.io/imagenes_rerda/2101202/tabla.jpg</t>
  </si>
  <si>
    <t>https://edgardoraul.github.io/imagenes_rerda/2103069/1.jpg,https://edgardoraul.github.io/imagenes_rerda/2103069/2.jpg,https://edgardoraul.github.io/imagenes_rerda/2103069/3.jpg,https://edgardoraul.github.io/imagenes_rerda/2103069/tabla.jpg</t>
  </si>
  <si>
    <t>https://edgardoraul.github.io/imagenes_rerda/2101000/1.jpg,https://edgardoraul.github.io/imagenes_rerda/2101000/2.jpg,https://edgardoraul.github.io/imagenes_rerda/2101000/3.jpg,https://edgardoraul.github.io/imagenes_rerda/2101000/tabla.jpg</t>
  </si>
  <si>
    <t>Blanco - 3XS</t>
  </si>
  <si>
    <t>Chomba Policía Manga Corta T:3xl-5xl</t>
  </si>
  <si>
    <t>Blanco - 3XL</t>
  </si>
  <si>
    <t>Blanco - 4XL</t>
  </si>
  <si>
    <t>Blanco - 5XL</t>
  </si>
  <si>
    <t>Cinturón Táctico Americando Triple Seguridad</t>
  </si>
  <si>
    <t>http://http2.mlstatic.com/D_611557-MLA46335522298_062021-O.jpg,http://http2.mlstatic.com/D_655662-MLA46335522295_062021-O.jpg,http://http2.mlstatic.com/D_837280-MLA46335522294_062021-O.jpg,http://http2.mlstatic.com/D_712557-MLA46335522291_062021-O.jpg,http://http2.mlstatic.com/D_995583-MLA46335522290_062021-O.jpg,http://http2.mlstatic.com/D_674989-MLA46335522296_062021-O.jpg,http://http2.mlstatic.com/D_831497-MLA46335522292_062021-O.jpg,http://http2.mlstatic.com/D_855361-MLA46335522297_062021-O.jpg,http://http2.mlstatic.com/D_631241-MLA46335522293_062021-O.jpg</t>
  </si>
  <si>
    <t>https://d17riqmt8yes2m.cloudfront.net/images/245815/702859877390.jpg,http://http2.mlstatic.com/D_874166-MLA49052553348_022022-O.jpg,http://http2.mlstatic.com/D_663912-MLA49052602072_022022-O.jpg</t>
  </si>
  <si>
    <t>http://http2.mlstatic.com/D_983925-MLA49052589184_022022-O.jpg,http://http2.mlstatic.com/D_736740-MLA49052575220_022022-O.jpg</t>
  </si>
  <si>
    <t>http://http2.mlstatic.com/D_770358-MLA49052607093_022022-O.jpg,http://http2.mlstatic.com/D_701134-MLA49052601154_022022-O.jpg</t>
  </si>
  <si>
    <t>Cinturón Táctico Cobra Con Hebilla Y Anclaje Metal Premium</t>
  </si>
  <si>
    <t>https://d17riqmt8yes2m.cloudfront.net/images/245815/165836894847.jpg,http://http2.mlstatic.com/D_910242-MLA49083313249_022022-O.jpg,http://http2.mlstatic.com/D_886408-MLA49083272671_022022-O.jpg</t>
  </si>
  <si>
    <t>http://http2.mlstatic.com/D_731155-MLA49083298448_022022-O.jpg,http://http2.mlstatic.com/D_977030-MLA49083287578_022022-O.jpg</t>
  </si>
  <si>
    <t>http://http2.mlstatic.com/D_831419-MLA49083307356_022022-O.jpg,http://http2.mlstatic.com/D_683859-MLA49083295469_022022-O.jpg</t>
  </si>
  <si>
    <t>http://http2.mlstatic.com/D_944819-MLA46335523083_062021-O.jpg,http://http2.mlstatic.com/D_603173-MLA46335523077_062021-O.jpg,http://http2.mlstatic.com/D_781000-MLA46335523079_062021-O.jpg,http://http2.mlstatic.com/D_786037-MLA46335523084_062021-O.jpg,http://http2.mlstatic.com/D_812404-MLA46335523080_062021-O.jpg,http://http2.mlstatic.com/D_840935-MLA46335523081_062021-O.jpg,http://http2.mlstatic.com/D_632122-MLA46335523078_062021-O.jpg,http://http2.mlstatic.com/D_958002-MLA46335523076_062021-O.jpg,http://http2.mlstatic.com/D_995085-MLA46335523082_062021-O.jpg</t>
  </si>
  <si>
    <t>Cinturón Táctico Ranger Con Hebilla Metálica Modelo Fa38</t>
  </si>
  <si>
    <t>http://http2.mlstatic.com/D_851249-MLA46335522299_062021-O.jpg,http://http2.mlstatic.com/D_710303-MLA46335522302_062021-O.jpg,http://http2.mlstatic.com/D_628321-MLA46335522304_062021-O.jpg,http://http2.mlstatic.com/D_848639-MLA46335522306_062021-O.jpg,http://http2.mlstatic.com/D_961592-MLA46335522307_062021-O.jpg,http://http2.mlstatic.com/D_727777-MLA46335522300_062021-O.jpg,http://http2.mlstatic.com/D_789336-MLA46335522301_062021-O.jpg,http://http2.mlstatic.com/D_671211-MLA46335522305_062021-O.jpg</t>
  </si>
  <si>
    <t>http://http2.mlstatic.com/D_933351-MLA46335522303_062021-O.jpg,http://http2.mlstatic.com/D_879315-MLA46335522308_062021-O.jpg,http://http2.mlstatic.com/D_848639-MLA46335522306_062021-O.jpg,http://http2.mlstatic.com/D_961592-MLA46335522307_062021-O.jpg,http://http2.mlstatic.com/D_727777-MLA46335522300_062021-O.jpg,http://http2.mlstatic.com/D_789336-MLA46335522301_062021-O.jpg,http://http2.mlstatic.com/D_671211-MLA46335522305_062021-O.jpg</t>
  </si>
  <si>
    <t>http://http2.mlstatic.com/D_962542-MLA47765630094_102021-O.jpg,http://http2.mlstatic.com/D_828296-MLA47765638055_102021-O.jpg,http://http2.mlstatic.com/D_739747-MLA47765594210_102021-O.jpg,http://http2.mlstatic.com/D_766808-MLA45535785182_042021-O.jpg,http://http2.mlstatic.com/D_692788-MLA45597435837_042021-O.jpg,http://http2.mlstatic.com/D_881246-MLA45597442762_042021-O.jpg,http://http2.mlstatic.com/D_644833-MLA45597435840_042021-O.jpg,http://http2.mlstatic.com/D_978844-MLA45597440751_042021-O.jpg,http://http2.mlstatic.com/D_987766-MLA45597452480_042021-O.jpg</t>
  </si>
  <si>
    <t>https://d17riqmt8yes2m.cloudfront.net/images/245815/755529508501.jpg,http://http2.mlstatic.com/D_636102-MLA49052594733_022022-O.jpg,http://http2.mlstatic.com/D_978707-MLA49052617602_022022-O.jpg,http://http2.mlstatic.com/D_739747-MLA47765594210_102021-O.jpg,http://http2.mlstatic.com/D_766808-MLA45535785182_042021-O.jpg</t>
  </si>
  <si>
    <t>Correaje Pistolera Policial Universal Guerrillera Mini</t>
  </si>
  <si>
    <t>http://http2.mlstatic.com/D_804932-MLA46368234641_062021-O.jpg,http://http2.mlstatic.com/D_930285-MLA46368234639_062021-O.jpg,http://http2.mlstatic.com/D_859329-MLA46368234640_062021-O.jpg,http://http2.mlstatic.com/D_924913-MLA46368234642_062021-O.jpg,http://http2.mlstatic.com/D_906013-MLA46368234636_062021-O.jpg,http://http2.mlstatic.com/D_718791-MLA46368234638_062021-O.jpg,http://http2.mlstatic.com/D_976522-MLA46368234637_062021-O.jpg</t>
  </si>
  <si>
    <t>Correaje Pistolera Riñonera Diestro Zurdo</t>
  </si>
  <si>
    <t>http://http2.mlstatic.com/D_822031-MLA46368233557_062021-O.jpg,http://http2.mlstatic.com/D_959023-MLA46368233554_062021-O.jpg,http://http2.mlstatic.com/D_728491-MLA46368233560_062021-O.jpg,http://http2.mlstatic.com/D_810203-MLA46368233555_062021-O.jpg,http://http2.mlstatic.com/D_800803-MLA46368233562_062021-O.jpg,http://http2.mlstatic.com/D_747480-MLA46368233556_062021-O.jpg,http://http2.mlstatic.com/D_709932-MLA46368233559_062021-O.jpg,http://http2.mlstatic.com/D_752395-MLA46368233561_062021-O.jpg,http://http2.mlstatic.com/D_713344-MLA46368233558_062021-O.jpg</t>
  </si>
  <si>
    <t>http://http2.mlstatic.com/D_807624-MLA45535785129_042021-O.jpg,http://http2.mlstatic.com/D_999259-MLA45535785125_042021-O.jpg,http://http2.mlstatic.com/D_857842-MLA45535785127_042021-O.jpg,http://http2.mlstatic.com/D_878998-MLA45535785128_042021-O.jpg</t>
  </si>
  <si>
    <t>Estrella Dorada Metálica De Antigüedad Con 5 Puntas</t>
  </si>
  <si>
    <t>http://http2.mlstatic.com/D_879836-MLA46667532418_072021-O.jpg,http://http2.mlstatic.com/D_977446-MLA46667390801_072021-O.jpg,http://http2.mlstatic.com/D_879878-MLA46667422704_072021-O.jpg,http://http2.mlstatic.com/D_858533-MLA46667392802_072021-O.jpg,http://http2.mlstatic.com/D_739753-MLA46667414699_072021-O.jpg,http://http2.mlstatic.com/D_752920-MLA46667572022_072021-O.jpg</t>
  </si>
  <si>
    <t>Funda Pistolera Táctica Universal</t>
  </si>
  <si>
    <t>http://http2.mlstatic.com/D_885315-MLA46368233687_062021-O.jpg,http://http2.mlstatic.com/D_672826-MLA46368233688_062021-O.jpg,http://http2.mlstatic.com/D_808045-MLA46368233686_062021-O.jpg,http://http2.mlstatic.com/D_933135-MLA46368233691_062021-O.jpg,http://http2.mlstatic.com/D_657523-MLA46368233690_062021-O.jpg,http://http2.mlstatic.com/D_968235-MLA46368233689_062021-O.jpg,http://http2.mlstatic.com/D_752917-MLA46368233685_062021-O.jpg,http://http2.mlstatic.com/D_635842-MLA46368233683_062021-O.jpg,http://http2.mlstatic.com/D_934027-MLA46368233684_062021-O.jpg</t>
  </si>
  <si>
    <t>Fusiles Cruzados Metálicos Infantería Dorados Rerda</t>
  </si>
  <si>
    <t>http://http2.mlstatic.com/D_736498-MLA47218553695_082021-O.jpg,http://http2.mlstatic.com/D_856268-MLA47218551705_082021-O.jpg,http://http2.mlstatic.com/D_988406-MLA47218566668_082021-O.jpg,http://http2.mlstatic.com/D_825188-MLA47218532813_082021-O.jpg,http://http2.mlstatic.com/D_620778-MLA47218611280_082021-O.jpg,http://http2.mlstatic.com/D_673309-MLA47218602336_082021-O.jpg</t>
  </si>
  <si>
    <t>Garibaldina Chaquetilla Táctica Cuello Mao Rip Stop En Cuota</t>
  </si>
  <si>
    <t>Gorra De Seguridad Ajustable Rerda</t>
  </si>
  <si>
    <t>http://http2.mlstatic.com/D_756935-MLA48530917258_122021-O.jpg,http://http2.mlstatic.com/D_776498-MLA48530952091_122021-O.jpg,http://http2.mlstatic.com/D_802890-MLA48530909285_122021-O.jpg,http://http2.mlstatic.com/D_956130-MLA48530889421_122021-O.jpg,http://http2.mlstatic.com/D_742606-MLA48530759944_122021-O.jpg,http://http2.mlstatic.com/D_632740-MLA48530888409_122021-O.jpg,http://http2.mlstatic.com/D_641513-MLA48530888411_122021-O.jpg,http://http2.mlstatic.com/D_991497-MLA48530946139_122021-O.jpg,http://http2.mlstatic.com/D_690438-MLA48530914337_122021-O.jpg,http://http2.mlstatic.com/D_886256-MLA48530889442_122021-O.jpg</t>
  </si>
  <si>
    <t>Gorra Lisa De Béisbol</t>
  </si>
  <si>
    <t>http://http2.mlstatic.com/D_925934-MLA46335821434_062021-O.jpg,http://http2.mlstatic.com/D_818575-MLA46335821432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</si>
  <si>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Gris - Unico</t>
  </si>
  <si>
    <t>http://http2.mlstatic.com/D_913159-MLA46336005772_062021-O.jpg,http://http2.mlstatic.com/D_731190-MLA46336017771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</si>
  <si>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Azul - Unico</t>
  </si>
  <si>
    <t>http://http2.mlstatic.com/D_839418-MLA46335978858_062021-O.jpg,http://http2.mlstatic.com/D_924523-MLA46335978860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</si>
  <si>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Gorra Negra Ajustable Rerda</t>
  </si>
  <si>
    <t>http://http2.mlstatic.com/D_748766-MLA47258302851_082021-O.jpg,http://http2.mlstatic.com/D_665365-MLA47258305843_082021-O.jpg,http://http2.mlstatic.com/D_668966-MLA47258268942_082021-O.jpg,http://http2.mlstatic.com/D_815353-MLA47258281968_082021-O.jpg,http://http2.mlstatic.com/D_760425-MLA47258311879_082021-O.jpg,http://http2.mlstatic.com/D_837006-MLA47258306889_082021-O.jpg,http://http2.mlstatic.com/D_735391-MLA47258323731_082021-O.jpg,http://http2.mlstatic.com/D_869810-MLA47258397022_082021-O.jpg</t>
  </si>
  <si>
    <t>http://http2.mlstatic.com/D_635147-MLA46113191389_052021-O.jpg,http://http2.mlstatic.com/D_794351-MLA46113191392_052021-O.jpg,http://http2.mlstatic.com/D_616917-MLA46113191391_052021-O.jpg,http://http2.mlstatic.com/D_982486-MLA46113191397_052021-O.jpg,http://http2.mlstatic.com/D_708922-MLA46113191396_052021-O.jpg,http://http2.mlstatic.com/D_769245-MLA46113191398_052021-O.jpg,http://http2.mlstatic.com/D_825394-MLA46113191394_052021-O.jpg,http://http2.mlstatic.com/D_676014-MLA46113191390_052021-O.jpg,http://http2.mlstatic.com/D_831400-MLA46113191395_052021-O.jpg,http://http2.mlstatic.com/D_954731-MLA46113191393_052021-O.jpg</t>
  </si>
  <si>
    <t>Gorro Ushanka Táctico Con Piel Alta Montaña</t>
  </si>
  <si>
    <t>http://http2.mlstatic.com/D_675190-MLA46113191371_052021-O.jpg,http://http2.mlstatic.com/D_701066-MLA46113191379_052021-O.jpg,http://http2.mlstatic.com/D_919428-MLA46113191378_052021-O.jpg,http://http2.mlstatic.com/D_735893-MLA46113191374_052021-O.jpg,http://http2.mlstatic.com/D_855698-MLA46113191376_052021-O.jpg,http://http2.mlstatic.com/D_720842-MLA46113191377_052021-O.jpg,http://http2.mlstatic.com/D_903511-MLA46113191370_052021-O.jpg,http://http2.mlstatic.com/D_873637-MLA46113191372_052021-O.jpg,http://http2.mlstatic.com/D_726496-MLA46113191375_052021-O.jpg,http://http2.mlstatic.com/D_980394-MLA46113191373_052021-O.jpg</t>
  </si>
  <si>
    <t>Guante Mitón Táctico Negro Biker Enduro Pista Atv Gripp</t>
  </si>
  <si>
    <t>http://http2.mlstatic.com/D_650158-MLA47382683559_092021-O.jpg,http://http2.mlstatic.com/D_751432-MLA47382810192_092021-O.jpg,http://http2.mlstatic.com/D_831937-MLA47382793250_092021-O.jpg,http://http2.mlstatic.com/D_747565-MLA47382683563_092021-O.jpg,http://http2.mlstatic.com/D_760559-MLA47382663656_092021-O.jpg,http://http2.mlstatic.com/D_875210-MLA47382663672_092021-O.jpg,http://http2.mlstatic.com/D_986343-MLA47382683598_092021-O.jpg,http://http2.mlstatic.com/D_718827-MLA47382635880_092021-O.jpg,http://http2.mlstatic.com/D_772783-MLA47382736475_092021-O.jpg,http://http2.mlstatic.com/D_675211-MLA47382757361_092021-O.jpg</t>
  </si>
  <si>
    <t>Guantes Mitón De Neprene Talle Xl</t>
  </si>
  <si>
    <t>http://http2.mlstatic.com/D_911077-MLA46335821514_062021-O.jpg,http://http2.mlstatic.com/D_905718-MLA46335821509_062021-O.jpg,http://http2.mlstatic.com/D_738494-MLA46335821515_062021-O.jpg,http://http2.mlstatic.com/D_624929-MLA46335821513_062021-O.jpg,http://http2.mlstatic.com/D_870167-MLA46335821510_062021-O.jpg,http://http2.mlstatic.com/D_897483-MLA46335821516_062021-O.jpg,http://http2.mlstatic.com/D_667953-MLA46335821511_062021-O.jpg,http://http2.mlstatic.com/D_646117-MLA46335821512_062021-O.jpg,http://http2.mlstatic.com/D_774390-MLA46335821508_062021-O.jpg,http://http2.mlstatic.com/D_852239-MLA46335821507_062021-O.jpg</t>
  </si>
  <si>
    <t>Guantes Térmicos Rerda</t>
  </si>
  <si>
    <t>http://http2.mlstatic.com/D_822162-MLA46336219718_062021-O.jpg,http://http2.mlstatic.com/D_755036-MLA46336286432_062021-O.jpg,http://http2.mlstatic.com/D_771613-MLA46336220865_062021-O.jpg,http://http2.mlstatic.com/D_702994-MLA46336246655_062021-O.jpg,http://http2.mlstatic.com/D_759813-MLA46336286499_062021-O.jpg,http://http2.mlstatic.com/D_652095-MLA46336249658_062021-O.jpg,http://http2.mlstatic.com/D_959696-MLA46336222733_062021-O.jpg,http://http2.mlstatic.com/D_874447-MLA46336372049_062021-O.jpg</t>
  </si>
  <si>
    <t>Lapicera Táctica Operaciones Especiales De Metal Negro</t>
  </si>
  <si>
    <t>https://d17riqmt8yes2m.cloudfront.net/images/245815/925346497801.jpg</t>
  </si>
  <si>
    <t>http://http2.mlstatic.com/D_902562-MLA45597877138_042021-O.jpg,http://http2.mlstatic.com/D_617811-MLA45535785199_042021-O.jpg,http://http2.mlstatic.com/D_992918-MLA45597872213_042021-O.jpg,http://http2.mlstatic.com/D_941466-MLA45597856557_042021-O.jpg</t>
  </si>
  <si>
    <t>Linterna A Pilas Aaa Aluminio Mini Led Cree Zoom</t>
  </si>
  <si>
    <t>http://http2.mlstatic.com/D_828091-MLA46595795769_072021-O.jpg,http://http2.mlstatic.com/D_617284-MLA46595828405_072021-O.jpg,http://http2.mlstatic.com/D_882025-MLA46595795790_072021-O.jpg,http://http2.mlstatic.com/D_802268-MLA46595765989_072021-O.jpg,http://http2.mlstatic.com/D_751669-MLA46595790797_072021-O.jpg,http://http2.mlstatic.com/D_994936-MLA46595776872_072021-O.jpg,http://http2.mlstatic.com/D_999758-MLA46595790799_072021-O.jpg</t>
  </si>
  <si>
    <t>http://http2.mlstatic.com/D_696277-MLA46596289913_072021-O.jpg,http://http2.mlstatic.com/D_882145-MLA46596311694_072021-O.jpg,http://http2.mlstatic.com/D_828857-MLA46596307773_072021-O.jpg,http://http2.mlstatic.com/D_949957-MLA46596286929_072021-O.jpg,http://http2.mlstatic.com/D_630099-MLA46596319618_072021-O.jpg,http://http2.mlstatic.com/D_792091-MLA46596315695_072021-O.jpg,http://http2.mlstatic.com/D_604143-MLA46596374281_072021-O.jpg,http://http2.mlstatic.com/D_772746-MLA46596387181_072021-O.jpg,http://http2.mlstatic.com/D_606254-MLA46596289932_072021-O.jpg</t>
  </si>
  <si>
    <t>Maletín Porta Pistolas Táctico Rerda</t>
  </si>
  <si>
    <t>http://http2.mlstatic.com/D_748498-MLA46332322022_062021-O.jpg,http://http2.mlstatic.com/D_838654-MLA46332322023_062021-O.jpg,http://http2.mlstatic.com/D_662465-MLA46332322018_062021-O.jpg,http://http2.mlstatic.com/D_886012-MLA46332322024_062021-O.jpg,http://http2.mlstatic.com/D_753745-MLA46332322027_062021-O.jpg,http://http2.mlstatic.com/D_697760-MLA46332322019_062021-O.jpg,http://http2.mlstatic.com/D_966377-MLA46332322021_062021-O.jpg,http://http2.mlstatic.com/D_816188-MLA46332322025_062021-O.jpg,http://http2.mlstatic.com/D_844700-MLA46332322020_062021-O.jpg,http://http2.mlstatic.com/D_664088-MLA46332322026_062021-O.jpg</t>
  </si>
  <si>
    <t>Mochila Bolso Táctico Camuflado 50 Litros</t>
  </si>
  <si>
    <t>Acu - Acu</t>
  </si>
  <si>
    <t>http://http2.mlstatic.com/D_789555-MLA46307446602_062021-O.jpg,http://http2.mlstatic.com/D_604280-MLA46307446607_062021-O.jpg,http://http2.mlstatic.com/D_791654-MLA46307446603_062021-O.jpg,http://http2.mlstatic.com/D_911168-MLA46307446604_062021-O.jpg,http://http2.mlstatic.com/D_600784-MLA46307446605_062021-O.jpg,http://http2.mlstatic.com/D_749440-MLA46307446600_062021-O.jpg,http://http2.mlstatic.com/D_884196-MLA46307446608_062021-O.jpg,http://http2.mlstatic.com/D_837401-MLA46307446601_062021-O.jpg,http://http2.mlstatic.com/D_815748-MLA46307446609_062021-O.jpg,http://http2.mlstatic.com/D_681505-MLA46307446606_062021-O.jpg</t>
  </si>
  <si>
    <t>Verde - Verde</t>
  </si>
  <si>
    <t>http://http2.mlstatic.com/D_717345-MLA46307446610_062021-O.jpg,http://http2.mlstatic.com/D_749440-MLA46307446600_062021-O.jpg,http://http2.mlstatic.com/D_884196-MLA46307446608_062021-O.jpg,http://http2.mlstatic.com/D_837401-MLA46307446601_062021-O.jpg,http://http2.mlstatic.com/D_815748-MLA46307446609_062021-O.jpg,http://http2.mlstatic.com/D_681505-MLA46307446606_062021-O.jpg</t>
  </si>
  <si>
    <t>Mochila Bolso Táctico Crazy Ants 30 Litros</t>
  </si>
  <si>
    <t>http://http2.mlstatic.com/D_839363-MLA46307320448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</si>
  <si>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http://http2.mlstatic.com/D_608149-MLA46307320451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</si>
  <si>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http://http2.mlstatic.com/D_951800-MLA46307320458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</si>
  <si>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Multicam - Multicam</t>
  </si>
  <si>
    <t>http://http2.mlstatic.com/D_727875-MLA46307320446_062021-O.jpg,http://http2.mlstatic.com/D_711446-MLA46307320454_062021-O.jpg,http://http2.mlstatic.com/D_978862-MLA46307320447_062021-O.jpg,http://http2.mlstatic.com/D_891068-MLA46307320450_062021-O.jpg,http://http2.mlstatic.com/D_712290-MLA46307320457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</si>
  <si>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Beige - Beige</t>
  </si>
  <si>
    <t>http://http2.mlstatic.com/D_675660-MLA46307320449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</si>
  <si>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Mochila Camel Back 10 Litros Camuflada</t>
  </si>
  <si>
    <t>http://http2.mlstatic.com/D_636167-MLA48664974480_122021-O.jpg,http://http2.mlstatic.com/D_747862-MLA48665159248_122021-O.jpg,http://http2.mlstatic.com/D_831234-MLA48665194128_122021-O.jpg,http://http2.mlstatic.com/D_768299-MLA48665128409_122021-O.jpg,http://http2.mlstatic.com/D_680353-MLA48665181147_122021-O.jpg,http://http2.mlstatic.com/D_724326-MLA48665160279_122021-O.jpg</t>
  </si>
  <si>
    <t>http://http2.mlstatic.com/D_707704-MLA48664961584_122021-O.jpg,http://http2.mlstatic.com/D_608085-MLA48664987441_122021-O.jpg,http://http2.mlstatic.com/D_730472-MLA48664993643_122021-O.jpg,http://http2.mlstatic.com/D_735504-MLA48664966765_122021-O.jpg,http://http2.mlstatic.com/D_749058-MLA48664970694_122021-O.jpg,http://http2.mlstatic.com/D_791871-MLA48665023609_122021-O.jpg,http://http2.mlstatic.com/D_873839-MLA48664979677_122021-O.jpg</t>
  </si>
  <si>
    <t>http://http2.mlstatic.com/D_867950-MLA48664993577_122021-O.jpg,http://http2.mlstatic.com/D_829524-MLA48665136382_122021-O.jpg,http://http2.mlstatic.com/D_638046-MLA48665145303_122021-O.jpg,http://http2.mlstatic.com/D_954668-MLA48665164232_122021-O.jpg,http://http2.mlstatic.com/D_655532-MLA48665136383_122021-O.jpg,http://http2.mlstatic.com/D_600606-MLA48665132414_122021-O.jpg</t>
  </si>
  <si>
    <t>http://http2.mlstatic.com/D_950694-MLA48664977650_122021-O.jpg,http://http2.mlstatic.com/D_691087-MLA48665138359_122021-O.jpg,http://http2.mlstatic.com/D_697677-MLA48665132410_122021-O.jpg,http://http2.mlstatic.com/D_999012-MLA48665149286_122021-O.jpg,http://http2.mlstatic.com/D_981480-MLA48665155286_122021-O.jpg,http://http2.mlstatic.com/D_965882-MLA48665132411_122021-O.jpg</t>
  </si>
  <si>
    <t>http://http2.mlstatic.com/D_812207-MLA48664979478_122021-O.jpg,http://http2.mlstatic.com/D_991743-MLA48665019586_122021-O.jpg,http://http2.mlstatic.com/D_916874-MLA48664968812_122021-O.jpg,http://http2.mlstatic.com/D_949783-MLA48665021569_122021-O.jpg,http://http2.mlstatic.com/D_699422-MLA48664997675_122021-O.jpg,http://http2.mlstatic.com/D_670099-MLA48664982802_122021-O.jpg</t>
  </si>
  <si>
    <t>http://http2.mlstatic.com/D_888856-MLA48665035318_122021-O.jpg,http://http2.mlstatic.com/D_976865-MLA48665138349_122021-O.jpg,http://http2.mlstatic.com/D_952838-MLA48665198109_122021-O.jpg,http://http2.mlstatic.com/D_626075-MLA48665157252_122021-O.jpg,http://http2.mlstatic.com/D_910994-MLA48665139335_122021-O.jpg,http://http2.mlstatic.com/D_815065-MLA48665181153_122021-O.jpg</t>
  </si>
  <si>
    <t>http://http2.mlstatic.com/D_933622-MLA48664961727_122021-O.jpg,http://http2.mlstatic.com/D_746729-MLA48665172176_122021-O.jpg,http://http2.mlstatic.com/D_966768-MLA48665166260_122021-O.jpg,http://http2.mlstatic.com/D_677081-MLA48665162239_122021-O.jpg,http://http2.mlstatic.com/D_949099-MLA48665181156_122021-O.jpg,http://http2.mlstatic.com/D_617470-MLA48665136372_122021-O.jpg</t>
  </si>
  <si>
    <t>http://http2.mlstatic.com/D_990853-MLA48664961752_122021-O.jpg,http://http2.mlstatic.com/D_770520-MLA48665140395_122021-O.jpg,http://http2.mlstatic.com/D_707559-MLA48665139347_122021-O.jpg,http://http2.mlstatic.com/D_634800-MLA48665149289_122021-O.jpg,http://http2.mlstatic.com/D_913321-MLA48665145306_122021-O.jpg,http://http2.mlstatic.com/D_885431-MLA48665149291_122021-O.jpg</t>
  </si>
  <si>
    <t>http://http2.mlstatic.com/D_943659-MLA48665003560_122021-O.jpg,http://http2.mlstatic.com/D_615853-MLA48665128429_122021-O.jpg,http://http2.mlstatic.com/D_698586-MLA48665181173_122021-O.jpg,http://http2.mlstatic.com/D_815493-MLA48665172199_122021-O.jpg,http://http2.mlstatic.com/D_833296-MLA48665162259_122021-O.jpg,http://http2.mlstatic.com/D_870341-MLA48665136396_122021-O.jpg</t>
  </si>
  <si>
    <t>Digital Tiger Woodland - Camuflado</t>
  </si>
  <si>
    <t>http://http2.mlstatic.com/D_870359-MLA49016176652_022022-O.jpg,http://http2.mlstatic.com/D_623805-MLA45598106139_042021-O.jpg,http://http2.mlstatic.com/D_676410-MLA45598068721_042021-O.jpg,http://http2.mlstatic.com/D_826507-MLA45598106143_042021-O.jpg,http://http2.mlstatic.com/D_623937-MLA45598083447_042021-O.jpg,http://http2.mlstatic.com/D_954337-MLA45598068725_042021-O.jpg</t>
  </si>
  <si>
    <t>Pitón Gris - Camuflado</t>
  </si>
  <si>
    <t>http://http2.mlstatic.com/D_887149-MLA45535774335_042021-O.jpg,http://http2.mlstatic.com/D_677412-MLA45598047545_042021-O.jpg,http://http2.mlstatic.com/D_907831-MLA45598047551_042021-O.jpg,http://http2.mlstatic.com/D_653877-MLA45598047555_042021-O.jpg,http://http2.mlstatic.com/D_633849-MLA45598035860_042021-O.jpg,http://http2.mlstatic.com/D_833906-MLA45598035864_042021-O.jpg</t>
  </si>
  <si>
    <t>Pitón Beige - Camuflado</t>
  </si>
  <si>
    <t>http://http2.mlstatic.com/D_742585-MLA45535774333_042021-O.jpg,http://http2.mlstatic.com/D_870218-MLA45598057312_042021-O.jpg,http://http2.mlstatic.com/D_685387-MLA45598035797_042021-O.jpg,http://http2.mlstatic.com/D_885883-MLA45598045527_042021-O.jpg,http://http2.mlstatic.com/D_993470-MLA45598037763_042021-O.jpg,http://http2.mlstatic.com/D_701600-MLA45598051473_042021-O.jpg</t>
  </si>
  <si>
    <t>Gris - Camuflado</t>
  </si>
  <si>
    <t>http://http2.mlstatic.com/D_646557-MLA45598114384_042021-O.jpg,http://http2.mlstatic.com/D_857146-MLA45535774347_042021-O.jpg,http://http2.mlstatic.com/D_663193-MLA45598095172_042021-O.jpg,http://http2.mlstatic.com/D_727420-MLA45598068643_042021-O.jpg,http://http2.mlstatic.com/D_921143-MLA45598095178_042021-O.jpg,http://http2.mlstatic.com/D_868681-MLA45598106053_042021-O.jpg,http://http2.mlstatic.com/D_844514-MLA45598102100_042021-O.jpg</t>
  </si>
  <si>
    <t>Pitón Verde - Camuflado</t>
  </si>
  <si>
    <t>http://http2.mlstatic.com/D_919881-MLA45535774344_042021-O.jpg,http://http2.mlstatic.com/D_692467-MLA45598068591_042021-O.jpg,http://http2.mlstatic.com/D_680351-MLA45598096085_042021-O.jpg,http://http2.mlstatic.com/D_978672-MLA45598083329_042021-O.jpg,http://http2.mlstatic.com/D_944427-MLA45598059885_042021-O.jpg,http://http2.mlstatic.com/D_710070-MLA45598095114_042021-O.jpg</t>
  </si>
  <si>
    <t>Real Tree - Camuflado</t>
  </si>
  <si>
    <t>http://http2.mlstatic.com/D_908860-MLA45598095603_042021-O.jpg,http://http2.mlstatic.com/D_625618-MLA45598095207_042021-O.jpg,http://http2.mlstatic.com/D_880311-MLA45598096172_042021-O.jpg,http://http2.mlstatic.com/D_746222-MLA45598106095_042021-O.jpg,http://http2.mlstatic.com/D_693178-MLA45598059969_042021-O.jpg,http://http2.mlstatic.com/D_641887-MLA45598102135_042021-O.jpg</t>
  </si>
  <si>
    <t>Digital Woodland - Camuflado</t>
  </si>
  <si>
    <t>http://http2.mlstatic.com/D_829146-MLA45535774327_042021-O.jpg,http://http2.mlstatic.com/D_908952-MLA45598083190_042021-O.jpg,http://http2.mlstatic.com/D_776238-MLA45598083192_042021-O.jpg,http://http2.mlstatic.com/D_653401-MLA45598051948_042021-O.jpg,http://http2.mlstatic.com/D_686803-MLA45598059727_042021-O.jpg,http://http2.mlstatic.com/D_958265-MLA45598068468_042021-O.jpg</t>
  </si>
  <si>
    <t>Digital Fuerza Aérea - Camuflado</t>
  </si>
  <si>
    <t>http://http2.mlstatic.com/D_804298-MLA45535774336_042021-O.jpg,http://http2.mlstatic.com/D_853811-MLA45598095337_042021-O.jpg,http://http2.mlstatic.com/D_968087-MLA45598114052_042021-O.jpg,http://http2.mlstatic.com/D_699596-MLA45598083512_042021-O.jpg,http://http2.mlstatic.com/D_720469-MLA45598068805_042021-O.jpg,http://http2.mlstatic.com/D_861752-MLA45598098294_042021-O.jpg</t>
  </si>
  <si>
    <t>Negro - Camuflado</t>
  </si>
  <si>
    <t>http://http2.mlstatic.com/D_997365-MLA45598096765_042021-O.jpg,http://http2.mlstatic.com/D_653590-MLA45598102683_042021-O.jpg,http://http2.mlstatic.com/D_864269-MLA45535774337_042021-O.jpg,http://http2.mlstatic.com/D_955831-MLA45598068371_042021-O.jpg,http://http2.mlstatic.com/D_962496-MLA45598068372_042021-O.jpg,http://http2.mlstatic.com/D_785432-MLA45598083109_042021-O.jpg,http://http2.mlstatic.com/D_845544-MLA45598068377_042021-O.jpg,http://http2.mlstatic.com/D_807099-MLA45598047790_042021-O.jpg</t>
  </si>
  <si>
    <t>Verde - Camuflado</t>
  </si>
  <si>
    <t>http://http2.mlstatic.com/D_823856-MLA45598096851_042021-O.jpg,http://http2.mlstatic.com/D_994818-MLA45598098845_042021-O.jpg,http://http2.mlstatic.com/D_889584-MLA45598083004_042021-O.jpg,http://http2.mlstatic.com/D_822673-MLA45598068293_042021-O.jpg,http://http2.mlstatic.com/D_791979-MLA45598059550_042021-O.jpg,http://http2.mlstatic.com/D_661688-MLA45598047700_042021-O.jpg,http://http2.mlstatic.com/D_730186-MLA45598083009_042021-O.jpg</t>
  </si>
  <si>
    <t>Digital Naval - Camuflado</t>
  </si>
  <si>
    <t>http://http2.mlstatic.com/D_658949-MLA45535774349_042021-O.jpg,http://http2.mlstatic.com/D_909902-MLA45598083548_042021-O.jpg,http://http2.mlstatic.com/D_995164-MLA45598102275_042021-O.jpg,http://http2.mlstatic.com/D_967470-MLA45598102277_042021-O.jpg,http://http2.mlstatic.com/D_613970-MLA45598113127_042021-O.jpg,http://http2.mlstatic.com/D_887862-MLA45598113129_042021-O.jpg</t>
  </si>
  <si>
    <t>Woodland - Camuflado</t>
  </si>
  <si>
    <t>http://http2.mlstatic.com/D_891298-MLA45598142080_042021-O.jpg,http://http2.mlstatic.com/D_700398-MLA45598102845_042021-O.jpg,http://http2.mlstatic.com/D_947875-MLA45598044714_042021-O.jpg,http://http2.mlstatic.com/D_661727-MLA45598049626_042021-O.jpg,http://http2.mlstatic.com/D_740130-MLA45598045678_042021-O.jpg,http://http2.mlstatic.com/D_687767-MLA45598049630_042021-O.jpg,http://http2.mlstatic.com/D_700420-MLA45598035953_042021-O.jpg</t>
  </si>
  <si>
    <t>Digital Desert - Camuflado</t>
  </si>
  <si>
    <t>http://http2.mlstatic.com/D_651834-MLA45598096908_042021-O.jpg,http://http2.mlstatic.com/D_977335-MLA45598049648_042021-O.jpg,http://http2.mlstatic.com/D_678009-MLA45598045700_042021-O.jpg,http://http2.mlstatic.com/D_891366-MLA45598057493_042021-O.jpg,http://http2.mlstatic.com/D_942499-MLA45598044746_042021-O.jpg,http://http2.mlstatic.com/D_894643-MLA45598049652_042021-O.jpg</t>
  </si>
  <si>
    <t>Beige - Camuflado</t>
  </si>
  <si>
    <t>http://http2.mlstatic.com/D_924805-MLA45598148004_042021-O.jpg,http://http2.mlstatic.com/D_647926-MLA45598113787_042021-O.jpg,http://http2.mlstatic.com/D_643989-MLA45598098976_042021-O.jpg,http://http2.mlstatic.com/D_986366-MLA45535774325_042021-O.jpg,http://http2.mlstatic.com/D_609939-MLA45598059439_042021-O.jpg,http://http2.mlstatic.com/D_721647-MLA45598035907_042021-O.jpg,http://http2.mlstatic.com/D_797811-MLA45598049589_042021-O.jpg,http://http2.mlstatic.com/D_798585-MLA45598047601_042021-O.jpg,http://http2.mlstatic.com/D_797299-MLA45598051601_042021-O.jpg</t>
  </si>
  <si>
    <t>Acu - Camuflado</t>
  </si>
  <si>
    <t>http://http2.mlstatic.com/D_604605-MLA45535774348_042021-O.jpg,http://http2.mlstatic.com/D_897439-MLA45598045758_042021-O.jpg,http://http2.mlstatic.com/D_706868-MLA45598085028_042021-O.jpg,http://http2.mlstatic.com/D_893166-MLA45598049715_042021-O.jpg,http://http2.mlstatic.com/D_718519-MLA45598085030_042021-O.jpg,http://http2.mlstatic.com/D_904477-MLA45598049716_042021-O.jpg</t>
  </si>
  <si>
    <t>Multicam - Camuflado</t>
  </si>
  <si>
    <t>http://http2.mlstatic.com/D_790092-MLA45598114582_042021-O.jpg,http://http2.mlstatic.com/D_847152-MLA45598049743_042021-O.jpg,http://http2.mlstatic.com/D_959375-MLA45598047748_042021-O.jpg,http://http2.mlstatic.com/D_720685-MLA45598047749_042021-O.jpg,http://http2.mlstatic.com/D_895622-MLA45598047750_042021-O.jpg,http://http2.mlstatic.com/D_986832-MLA45598047751_042021-O.jpg</t>
  </si>
  <si>
    <t>Tri Desert - Camuflado</t>
  </si>
  <si>
    <t>http://http2.mlstatic.com/D_866011-MLA45598096711_042021-O.jpg,http://http2.mlstatic.com/D_694915-MLA45598045880_042021-O.jpg,http://http2.mlstatic.com/D_870699-MLA45598047833_042021-O.jpg,http://http2.mlstatic.com/D_935883-MLA45598045884_042021-O.jpg,http://http2.mlstatic.com/D_940956-MLA45598057659_042021-O.jpg,http://http2.mlstatic.com/D_772841-MLA45598057660_042021-O.jpg</t>
  </si>
  <si>
    <t>http://http2.mlstatic.com/D_888822-MLA45597928387_042021-O.jpg,http://http2.mlstatic.com/D_861770-MLA45597945210_042021-O.jpg,http://http2.mlstatic.com/D_825960-MLA45597945209_042021-O.jpg,http://http2.mlstatic.com/D_920397-MLA45597937343_042021-O.jpg,http://http2.mlstatic.com/D_696873-MLA45597928402_042021-O.jpg</t>
  </si>
  <si>
    <t>http://http2.mlstatic.com/D_772877-MLA45535779984_042021-O.jpg,http://http2.mlstatic.com/D_675109-MLA45597919479_042021-O.jpg,http://http2.mlstatic.com/D_754115-MLA45597928327_042021-O.jpg,http://http2.mlstatic.com/D_964819-MLA45597945149_042021-O.jpg,http://http2.mlstatic.com/D_606067-MLA45597937290_042021-O.jpg</t>
  </si>
  <si>
    <t>http://http2.mlstatic.com/D_889854-MLA49052686428_022022-O.jpg,http://http2.mlstatic.com/D_837501-MLA45597919402_042021-O.jpg,http://http2.mlstatic.com/D_715791-MLA45597929261_042021-O.jpg,http://http2.mlstatic.com/D_681131-MLA45597894994_042021-O.jpg,http://http2.mlstatic.com/D_859869-MLA45597895000_042021-O.jpg</t>
  </si>
  <si>
    <t>http://http2.mlstatic.com/D_679764-MLA45597926211_042021-O.jpg,http://http2.mlstatic.com/D_824409-MLA45597926215_042021-O.jpg,http://http2.mlstatic.com/D_943278-MLA45597889915_042021-O.jpg,http://http2.mlstatic.com/D_709261-MLA45597926239_042021-O.jpg,http://http2.mlstatic.com/D_934782-MLA45597889933_042021-O.jpg</t>
  </si>
  <si>
    <t>http://http2.mlstatic.com/D_645196-MLA46307321205_062021-O.jpg,http://http2.mlstatic.com/D_723770-MLA46307321206_062021-O.jpg,http://http2.mlstatic.com/D_857914-MLA46307321197_062021-O.jpg,http://http2.mlstatic.com/D_710204-MLA46307321203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</si>
  <si>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606243-MLA46307321207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</si>
  <si>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792232-MLA46307321202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</si>
  <si>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860810-MLA46307321200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</si>
  <si>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720938-MLA46307322055_062021-O.jpg,http://http2.mlstatic.com/D_887217-MLA46307322066_062021-O.jpg,http://http2.mlstatic.com/D_693462-MLA46307322061_062021-O.jpg,http://http2.mlstatic.com/D_617687-MLA46307322059_062021-O.jpg,http://http2.mlstatic.com/D_612362-MLA46307322068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</si>
  <si>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http://http2.mlstatic.com/D_690875-MLA46307322067_062021-O.jpg,http://http2.mlstatic.com/D_753524-MLA46307322063_062021-O.jpg,http://http2.mlstatic.com/D_784168-MLA46307322064_062021-O.jpg,http://http2.mlstatic.com/D_705794-MLA46307322050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</si>
  <si>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Selva Negra - Selva Negra</t>
  </si>
  <si>
    <t>http://http2.mlstatic.com/D_935345-MLA46307322051_062021-O.jpg,http://http2.mlstatic.com/D_920945-MLA46307322054_062021-O.jpg,http://http2.mlstatic.com/D_743309-MLA46307322065_062021-O.jpg,http://http2.mlstatic.com/D_799372-MLA46307322058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</si>
  <si>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Woodland - Woodland</t>
  </si>
  <si>
    <t>http://http2.mlstatic.com/D_935750-MLA46307322047_062021-O.jpg,http://http2.mlstatic.com/D_888763-MLA46307322053_062021-O.jpg,http://http2.mlstatic.com/D_794337-MLA46307322052_062021-O.jpg,http://http2.mlstatic.com/D_743309-MLA46307322065_062021-O.jpg,http://http2.mlstatic.com/D_867290-MLA46307322069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</si>
  <si>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Mochila Táctica Camuflada 35 Litros Mediana 3d</t>
  </si>
  <si>
    <t>http://http2.mlstatic.com/D_887721-MLA45583782259_042021-O.jpg,http://http2.mlstatic.com/D_974685-MLA45583787154_042021-O.jpg,http://http2.mlstatic.com/D_987163-MLA45583774505_042021-O.jpg,http://http2.mlstatic.com/D_779067-MLA45583781388_042021-O.jpg,http://http2.mlstatic.com/D_722960-MLA45583774515_042021-O.jpg,http://http2.mlstatic.com/D_929410-MLA45535786094_042021-O.jpg,http://http2.mlstatic.com/D_833104-MLA45535786085_042021-O.jpg</t>
  </si>
  <si>
    <t>http://http2.mlstatic.com/D_929410-MLA45535786094_042021-O.jpg,http://http2.mlstatic.com/D_833104-MLA45535786085_042021-O.jpg,http://http2.mlstatic.com/D_649298-MLA45583756863_042021-O.jpg,http://http2.mlstatic.com/D_950245-MLA45583790086_042021-O.jpg,http://http2.mlstatic.com/D_672532-MLA45583774518_042021-O.jpg,http://http2.mlstatic.com/D_634081-MLA45583771598_042021-O.jpg,http://http2.mlstatic.com/D_846574-MLA45583765724_042021-O.jpg</t>
  </si>
  <si>
    <t>http://http2.mlstatic.com/D_643032-MLA45583781110_042021-O.jpg,http://http2.mlstatic.com/D_929410-MLA45535786094_042021-O.jpg,http://http2.mlstatic.com/D_833104-MLA45535786085_042021-O.jpg</t>
  </si>
  <si>
    <t>http://http2.mlstatic.com/D_777324-MLA45583736869_042021-O.jpg,http://http2.mlstatic.com/D_929410-MLA45535786094_042021-O.jpg,http://http2.mlstatic.com/D_833104-MLA45535786085_042021-O.jpg</t>
  </si>
  <si>
    <t>http://http2.mlstatic.com/D_662005-MLA45583783253_042021-O.jpg,http://http2.mlstatic.com/D_775876-MLA45583782303_042021-O.jpg,http://http2.mlstatic.com/D_807592-MLA45583781425_042021-O.jpg,http://http2.mlstatic.com/D_752847-MLA45583783301_042021-O.jpg,http://http2.mlstatic.com/D_629726-MLA45583765759_042021-O.jpg,http://http2.mlstatic.com/D_929410-MLA45535786094_042021-O.jpg,http://http2.mlstatic.com/D_833104-MLA45535786085_042021-O.jpg</t>
  </si>
  <si>
    <t>http://http2.mlstatic.com/D_933418-MLA45583728888_042021-O.jpg,http://http2.mlstatic.com/D_827380-MLA45583752615_042021-O.jpg,http://http2.mlstatic.com/D_971972-MLA45583734826_042021-O.jpg,http://http2.mlstatic.com/D_652295-MLA45583774189_042021-O.jpg,http://http2.mlstatic.com/D_705642-MLA45583781042_042021-O.jpg,http://http2.mlstatic.com/D_929410-MLA45535786094_042021-O.jpg,http://http2.mlstatic.com/D_833104-MLA45535786085_042021-O.jpg</t>
  </si>
  <si>
    <t>http://http2.mlstatic.com/D_786176-MLA45583774747_042021-O.jpg,http://http2.mlstatic.com/D_929410-MLA45535786094_042021-O.jpg,http://http2.mlstatic.com/D_833104-MLA45535786085_042021-O.jpg</t>
  </si>
  <si>
    <t>http://http2.mlstatic.com/D_770868-MLA45535786072_042021-O.jpg,http://http2.mlstatic.com/D_611673-MLA45583782104_042021-O.jpg,http://http2.mlstatic.com/D_889131-MLA45583736934_042021-O.jpg,http://http2.mlstatic.com/D_609021-MLA45583782128_042021-O.jpg,http://http2.mlstatic.com/D_659507-MLA45583787026_042021-O.jpg,http://http2.mlstatic.com/D_929410-MLA45535786094_042021-O.jpg,http://http2.mlstatic.com/D_833104-MLA45535786085_042021-O.jpg</t>
  </si>
  <si>
    <t>http://http2.mlstatic.com/D_775027-MLA45583771624_042021-O.jpg,http://http2.mlstatic.com/D_929410-MLA45535786094_042021-O.jpg,http://http2.mlstatic.com/D_833104-MLA45535786085_042021-O.jpg</t>
  </si>
  <si>
    <t>http://http2.mlstatic.com/D_675940-MLA45535785117_042021-O.jpg</t>
  </si>
  <si>
    <t>http://http2.mlstatic.com/D_893215-MLA45583644083_042021-O.jpg</t>
  </si>
  <si>
    <t>http://http2.mlstatic.com/D_931273-MLA45583649027_042021-O.jpg</t>
  </si>
  <si>
    <t>http://http2.mlstatic.com/D_708767-MLA45583627796_042021-O.jpg</t>
  </si>
  <si>
    <t>http://http2.mlstatic.com/D_622749-MLA45535785121_042021-O.jpg</t>
  </si>
  <si>
    <t>http://http2.mlstatic.com/D_679410-MLA45535785115_042021-O.jpg</t>
  </si>
  <si>
    <t>http://http2.mlstatic.com/D_846309-MLA49052894548_022022-O.jpg,http://http2.mlstatic.com/D_927990-MLA45598436622_042021-O.jpg,http://http2.mlstatic.com/D_763583-MLA45535785258_042021-O.jpg,http://http2.mlstatic.com/D_993099-MLA45535785257_042021-O.jpg,http://http2.mlstatic.com/D_777945-MLA45535785249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976045-MLA45598495166_042021-O.jpg</t>
  </si>
  <si>
    <t>http://http2.mlstatic.com/D_998450-MLA45598475208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696901-MLA45598475404_042021-O.jpg</t>
  </si>
  <si>
    <t>http://http2.mlstatic.com/D_923177-MLA45598470099_042021-O.jpg,http://http2.mlstatic.com/D_875615-MLA45598433950_042021-O.jpg,http://http2.mlstatic.com/D_744122-MLA45535785270_042021-O.jpg,http://http2.mlstatic.com/D_912459-MLA45598462249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733929-MLA45598473573_042021-O.jpg</t>
  </si>
  <si>
    <t>http://http2.mlstatic.com/D_721051-MLA45598425919_042021-O.jpg,http://http2.mlstatic.com/D_774729-MLA45598471007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621110-MLA45598470726_042021-O.jpg</t>
  </si>
  <si>
    <t>http://http2.mlstatic.com/D_769508-MLA45535785269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748634-MLA45598469760_042021-O.jpg</t>
  </si>
  <si>
    <t>http://http2.mlstatic.com/D_723673-MLA45535785255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757622-MLA45598470702_042021-O.jpg</t>
  </si>
  <si>
    <t>http://http2.mlstatic.com/D_734023-MLA45598470336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729005-MLA45598479378_042021-O.jpg</t>
  </si>
  <si>
    <t>http://http2.mlstatic.com/D_930361-MLA45535785246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764694-MLA45598479466_042021-O.jpg</t>
  </si>
  <si>
    <t>http://http2.mlstatic.com/D_787532-MLA45535785250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857904-MLA45598479549_042021-O.jpg</t>
  </si>
  <si>
    <t>http://http2.mlstatic.com/D_672140-MLA45598473131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687825-MLA45598455880_042021-O.jpg</t>
  </si>
  <si>
    <t>http://http2.mlstatic.com/D_842720-MLA45535785259_042021-O.jpg,http://http2.mlstatic.com/D_812893-MLA45535785253_042021-O.jpg,http://http2.mlstatic.com/D_988466-MLA45598471221_042021-O.jpg,http://http2.mlstatic.com/D_982728-MLA45598455503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604078-MLA45598449989_042021-O.jpg</t>
  </si>
  <si>
    <t>http://http2.mlstatic.com/D_777583-MLA45535785254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633729-MLA45598473442_042021-O.jpg</t>
  </si>
  <si>
    <t>http://http2.mlstatic.com/D_955564-MLA45535785243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604306-MLA45598470556_042021-O.jpg</t>
  </si>
  <si>
    <t>Mochila Táctica Treeking 20 Litros</t>
  </si>
  <si>
    <t>http://http2.mlstatic.com/D_739162-MLA45597660669_042021-O.jpg,http://http2.mlstatic.com/D_710226-MLA45597647896_042021-O.jpg,http://http2.mlstatic.com/D_923330-MLA45597670380_042021-O.jpg,http://http2.mlstatic.com/D_964765-MLA45597670441_042021-O.jpg,http://http2.mlstatic.com/D_855365-MLA45597650806_042021-O.jpg,http://http2.mlstatic.com/D_672135-MLA45597610283_042021-O.jpg,http://http2.mlstatic.com/D_896340-MLA45597619035_042021-O.jpg,http://http2.mlstatic.com/D_770181-MLA45597615158_042021-O.jpg,http://http2.mlstatic.com/D_944183-MLA45597607330_042021-O.jpg,http://http2.mlstatic.com/D_821121-MLA45597615159_042021-O.jpg</t>
  </si>
  <si>
    <t>http://http2.mlstatic.com/D_626271-MLA45535786112_042021-O.jpg,http://http2.mlstatic.com/D_905151-MLA45597587711_042021-O.jpg,http://http2.mlstatic.com/D_752673-MLA45597614165_042021-O.jpg,http://http2.mlstatic.com/D_850493-MLA45597615095_042021-O.jpg,http://http2.mlstatic.com/D_625748-MLA45597609259_042021-O.jpg,http://http2.mlstatic.com/D_863159-MLA45597609261_042021-O.jpg</t>
  </si>
  <si>
    <t>http://http2.mlstatic.com/D_946480-MLA49052824282_022022-O.jpg,http://http2.mlstatic.com/D_631550-MLA45597645854_042021-O.jpg,http://http2.mlstatic.com/D_641449-MLA45597607379_042021-O.jpg,http://http2.mlstatic.com/D_681159-MLA45597609371_042021-O.jpg,http://http2.mlstatic.com/D_802517-MLA45597614276_042021-O.jpg,http://http2.mlstatic.com/D_708158-MLA45597610335_042021-O.jpg,http://http2.mlstatic.com/D_749231-MLA45597619088_042021-O.jpg</t>
  </si>
  <si>
    <t>http://http2.mlstatic.com/D_867987-MLA45597657215_042021-O.jpg,http://http2.mlstatic.com/D_612359-MLA45597651222_042021-O.jpg,http://http2.mlstatic.com/D_761036-MLA45597630799_042021-O.jpg,http://http2.mlstatic.com/D_733274-MLA45597630802_042021-O.jpg,http://http2.mlstatic.com/D_796817-MLA45597630803_042021-O.jpg,http://http2.mlstatic.com/D_885402-MLA45597660018_042021-O.jpg</t>
  </si>
  <si>
    <t>http://http2.mlstatic.com/D_910092-MLA45535786124_042021-O.jpg,http://http2.mlstatic.com/D_862808-MLA45597605468_042021-O.jpg,http://http2.mlstatic.com/D_973273-MLA45597605470_042021-O.jpg,http://http2.mlstatic.com/D_844420-MLA45597607461_042021-O.jpg,http://http2.mlstatic.com/D_893632-MLA45597598691_042021-O.jpg,http://http2.mlstatic.com/D_697652-MLA45597609438_042021-O.jpg</t>
  </si>
  <si>
    <t>http://http2.mlstatic.com/D_890986-MLA45597690027_042021-O.jpg,http://http2.mlstatic.com/D_816307-MLA45597598392_042021-O.jpg,http://http2.mlstatic.com/D_696250-MLA45597587618_042021-O.jpg,http://http2.mlstatic.com/D_745155-MLA45597574898_042021-O.jpg,http://http2.mlstatic.com/D_640474-MLA45597610135_042021-O.jpg,http://http2.mlstatic.com/D_773684-MLA45597607184_042021-O.jpg</t>
  </si>
  <si>
    <t>http://http2.mlstatic.com/D_637667-MLA45597670083_042021-O.jpg,http://http2.mlstatic.com/D_912981-MLA45597651541_042021-O.jpg,http://http2.mlstatic.com/D_656570-MLA45597647606_042021-O.jpg,http://http2.mlstatic.com/D_723188-MLA45597651562_042021-O.jpg,http://http2.mlstatic.com/D_889996-MLA45597652060_042021-O.jpg,http://http2.mlstatic.com/D_893219-MLA45597650076_042021-O.jpg,http://http2.mlstatic.com/D_887648-MLA45597647120_042021-O.jpg,http://http2.mlstatic.com/D_891658-MLA45597630614_042021-O.jpg,http://http2.mlstatic.com/D_735685-MLA45597624761_042021-O.jpg</t>
  </si>
  <si>
    <t>http://http2.mlstatic.com/D_613046-MLA45535786127_042021-O.jpg,http://http2.mlstatic.com/D_751064-MLA45597624840_042021-O.jpg,http://http2.mlstatic.com/D_955625-MLA45597647211_042021-O.jpg,http://http2.mlstatic.com/D_686989-MLA45597650152_042021-O.jpg,http://http2.mlstatic.com/D_738494-MLA45597652157_042021-O.jpg,http://http2.mlstatic.com/D_911896-MLA45597645239_042021-O.jpg</t>
  </si>
  <si>
    <t>http://http2.mlstatic.com/D_942958-MLA45597650640_042021-O.jpg,http://http2.mlstatic.com/D_606782-MLA45597657552_042021-O.jpg,http://http2.mlstatic.com/D_686255-MLA45597651672_042021-O.jpg,http://http2.mlstatic.com/D_645224-MLA45597665341_042021-O.jpg,http://http2.mlstatic.com/D_742472-MLA45597645091_042021-O.jpg,http://http2.mlstatic.com/D_821467-MLA45597645094_042021-O.jpg,http://http2.mlstatic.com/D_791987-MLA45597630560_042021-O.jpg,http://http2.mlstatic.com/D_733301-MLA45597647072_042021-O.jpg,http://http2.mlstatic.com/D_616919-MLA45597624710_042021-O.jpg</t>
  </si>
  <si>
    <t>http://http2.mlstatic.com/D_915624-MLA45535786106_042021-O.jpg,http://http2.mlstatic.com/D_730680-MLA45597645351_042021-O.jpg,http://http2.mlstatic.com/D_675966-MLA45597651251_042021-O.jpg,http://http2.mlstatic.com/D_814094-MLA45597650251_042021-O.jpg,http://http2.mlstatic.com/D_825900-MLA45597660047_042021-O.jpg,http://http2.mlstatic.com/D_838001-MLA45597647335_042021-O.jpg</t>
  </si>
  <si>
    <t>http://http2.mlstatic.com/D_840881-MLA45597630982_042021-O.jpg,http://http2.mlstatic.com/D_947074-MLA45597647249_042021-O.jpg,http://http2.mlstatic.com/D_885046-MLA45597647250_042021-O.jpg,http://http2.mlstatic.com/D_804541-MLA45597647255_042021-O.jpg,http://http2.mlstatic.com/D_630260-MLA45597630756_042021-O.jpg,http://http2.mlstatic.com/D_783638-MLA45597657060_042021-O.jpg</t>
  </si>
  <si>
    <t>http://http2.mlstatic.com/D_794561-MLA45535786131_042021-O.jpg,http://http2.mlstatic.com/D_990185-MLA45597624798_042021-O.jpg,http://http2.mlstatic.com/D_873162-MLA45597630666_042021-O.jpg,http://http2.mlstatic.com/D_779484-MLA45597650121_042021-O.jpg,http://http2.mlstatic.com/D_851149-MLA45597615980_042021-O.jpg,http://http2.mlstatic.com/D_743430-MLA45597652114_042021-O.jpg</t>
  </si>
  <si>
    <t>http://http2.mlstatic.com/D_730688-MLA45597435581_042021-O.jpg,http://http2.mlstatic.com/D_725551-MLA45597440080_042021-O.jpg,http://http2.mlstatic.com/D_632515-MLA45597435201_042021-O.jpg,http://http2.mlstatic.com/D_936864-MLA45597386939_042021-O.jpg,http://http2.mlstatic.com/D_635642-MLA45597441080_042021-O.jpg,http://http2.mlstatic.com/D_677924-MLA45597442061_042021-O.jpg</t>
  </si>
  <si>
    <t>http://http2.mlstatic.com/D_689460-MLA45597448216_042021-O.jpg,http://http2.mlstatic.com/D_604450-MLA45597438309_042021-O.jpg,http://http2.mlstatic.com/D_730531-MLA45597441260_042021-O.jpg,http://http2.mlstatic.com/D_920640-MLA45597432547_042021-O.jpg,http://http2.mlstatic.com/D_851928-MLA45597441262_042021-O.jpg,http://http2.mlstatic.com/D_828697-MLA45597402962_042021-O.jpg</t>
  </si>
  <si>
    <t>http://http2.mlstatic.com/D_884540-MLA45535781461_042021-O.jpg,http://http2.mlstatic.com/D_734337-MLA45597446104_042021-O.jpg,http://http2.mlstatic.com/D_880424-MLA45597432487_042021-O.jpg,http://http2.mlstatic.com/D_731551-MLA45597446108_042021-O.jpg,http://http2.mlstatic.com/D_947393-MLA45597442174_042021-O.jpg,http://http2.mlstatic.com/D_937607-MLA45597438266_042021-O.jpg</t>
  </si>
  <si>
    <t>http://http2.mlstatic.com/D_739766-MLA45597432752_042021-O.jpg,http://http2.mlstatic.com/D_619081-MLA45597441121_042021-O.jpg,http://http2.mlstatic.com/D_911551-MLA45597446021_042021-O.jpg,http://http2.mlstatic.com/D_846364-MLA45597386973_042021-O.jpg,http://http2.mlstatic.com/D_671462-MLA45597441127_042021-O.jpg,http://http2.mlstatic.com/D_828818-MLA45597442085_042021-O.jpg</t>
  </si>
  <si>
    <t>http://http2.mlstatic.com/D_990774-MLA45597448282_042021-O.jpg,http://http2.mlstatic.com/D_738471-MLA45597402855_042021-O.jpg,http://http2.mlstatic.com/D_851889-MLA45597438227_042021-O.jpg,http://http2.mlstatic.com/D_755623-MLA45597440153_042021-O.jpg,http://http2.mlstatic.com/D_869388-MLA45597448013_042021-O.jpg,http://http2.mlstatic.com/D_941191-MLA45597448014_042021-O.jpg</t>
  </si>
  <si>
    <t>http://http2.mlstatic.com/D_717205-MLA45535781460_042021-O.jpg,http://http2.mlstatic.com/D_636905-MLA45535781464_042021-O.jpg,http://http2.mlstatic.com/D_881582-MLA45535781453_042021-O.jpg,http://http2.mlstatic.com/D_644302-MLA45597402696_042021-O.jpg,http://http2.mlstatic.com/D_842413-MLA45597375978_042021-O.jpg,http://http2.mlstatic.com/D_649138-MLA45597432248_042021-O.jpg,http://http2.mlstatic.com/D_922464-MLA45597438066_042021-O.jpg,http://http2.mlstatic.com/D_861945-MLA45597420571_042021-O.jpg</t>
  </si>
  <si>
    <t>http://http2.mlstatic.com/D_736749-MLA45535781458_042021-O.jpg,http://http2.mlstatic.com/D_645020-MLA45597402741_042021-O.jpg,http://http2.mlstatic.com/D_635634-MLA45597432318_042021-O.jpg,http://http2.mlstatic.com/D_765398-MLA45597440038_042021-O.jpg,http://http2.mlstatic.com/D_756326-MLA45597432319_042021-O.jpg,http://http2.mlstatic.com/D_740181-MLA45597386898_042021-O.jpg</t>
  </si>
  <si>
    <t>Morral Porta Objetos Rerda</t>
  </si>
  <si>
    <t>Ninguno - Negro - Liso</t>
  </si>
  <si>
    <t>http://http2.mlstatic.com/D_758652-MLA46401101029_062021-O.jpg,http://http2.mlstatic.com/D_976959-MLA46401079172_062021-O.jpg,http://http2.mlstatic.com/D_616042-MLA46401097139_062021-O.jpg,http://http2.mlstatic.com/D_915168-MLA46401011747_062021-O.jpg,http://http2.mlstatic.com/D_666891-MLA46335821439_062021-O.jpg,http://http2.mlstatic.com/D_626952-MLA46335821440_062021-O.jpg,http://http2.mlstatic.com/D_963870-MLA46335821444_062021-O.jpg,http://http2.mlstatic.com/D_851344-MLA46335821441_062021-O.jpg,http://http2.mlstatic.com/D_733233-MLA46335821437_062021-O.jpg</t>
  </si>
  <si>
    <t>Muslera Pistolera Nivel 2 Bersa Thunder Y Pro</t>
  </si>
  <si>
    <t>http://http2.mlstatic.com/D_634799-MLA46368234521_062021-O.jpg,http://http2.mlstatic.com/D_693093-MLA46368234518_062021-O.jpg,http://http2.mlstatic.com/D_902070-MLA46368234517_062021-O.jpg,http://http2.mlstatic.com/D_677355-MLA46368234519_062021-O.jpg,http://http2.mlstatic.com/D_722984-MLA46368234523_062021-O.jpg,http://http2.mlstatic.com/D_770688-MLA46368234516_062021-O.jpg,http://http2.mlstatic.com/D_985630-MLA46368234520_062021-O.jpg,http://http2.mlstatic.com/D_992577-MLA46368234522_062021-O.jpg</t>
  </si>
  <si>
    <t>Muslera Pistolera Táctica Doble Seguro</t>
  </si>
  <si>
    <t>http://http2.mlstatic.com/D_829168-MLA46368235564_062021-O.jpg,http://http2.mlstatic.com/D_787594-MLA46368235569_062021-O.jpg,http://http2.mlstatic.com/D_990357-MLA46368235571_062021-O.jpg,http://http2.mlstatic.com/D_826046-MLA46368235566_062021-O.jpg,http://http2.mlstatic.com/D_997774-MLA46368235568_062021-O.jpg,http://http2.mlstatic.com/D_677372-MLA46368235567_062021-O.jpg,http://http2.mlstatic.com/D_725658-MLA46368235565_062021-O.jpg,http://http2.mlstatic.com/D_870873-MLA46368235570_062021-O.jpg</t>
  </si>
  <si>
    <t>Muslera Pistolera Táctica Escorpión Std</t>
  </si>
  <si>
    <t>http://http2.mlstatic.com/D_617306-MLA46368235369_062021-O.jpg,http://http2.mlstatic.com/D_978686-MLA46368235374_062021-O.jpg,http://http2.mlstatic.com/D_779666-MLA46368235371_062021-O.jpg,http://http2.mlstatic.com/D_676064-MLA46368235376_062021-O.jpg,http://http2.mlstatic.com/D_839937-MLA46368235375_062021-O.jpg,http://http2.mlstatic.com/D_802174-MLA46368235377_062021-O.jpg,http://http2.mlstatic.com/D_863519-MLA46368235372_062021-O.jpg,http://http2.mlstatic.com/D_678277-MLA46368235370_062021-O.jpg,http://http2.mlstatic.com/D_633944-MLA46368235373_062021-O.jpg</t>
  </si>
  <si>
    <t>Muslera Tactica P/cargador Pistolera Premium</t>
  </si>
  <si>
    <t>http://http2.mlstatic.com/D_695836-MLA46368234617_062021-O.jpg,http://http2.mlstatic.com/D_897188-MLA46368234608_062021-O.jpg,http://http2.mlstatic.com/D_629864-MLA46368234611_062021-O.jpg,http://http2.mlstatic.com/D_647268-MLA46368234615_062021-O.jpg,http://http2.mlstatic.com/D_997617-MLA46368234612_062021-O.jpg,http://http2.mlstatic.com/D_640506-MLA46368234609_062021-O.jpg,http://http2.mlstatic.com/D_995018-MLA46368234614_062021-O.jpg,http://http2.mlstatic.com/D_744084-MLA46368234613_062021-O.jpg,http://http2.mlstatic.com/D_948225-MLA46368234610_062021-O.jpg,http://http2.mlstatic.com/D_688640-MLA46368234616_062021-O.jpg</t>
  </si>
  <si>
    <t>Nombre Parche Pectoral Bordado Infantería Rerda</t>
  </si>
  <si>
    <t>http://http2.mlstatic.com/D_730089-MLA47218406061_082021-O.jpg,http://http2.mlstatic.com/D_857540-MLA47218292426_082021-O.jpg,http://http2.mlstatic.com/D_735352-MLA47218346298_082021-O.jpg,http://http2.mlstatic.com/D_654318-MLA47218417001_082021-O.jpg,http://http2.mlstatic.com/D_858121-MLA47218311419_082021-O.jpg,http://http2.mlstatic.com/D_678483-MLA47218284444_082021-O.jpg</t>
  </si>
  <si>
    <t>Pantalón Cargo Breeche Montada Caballería</t>
  </si>
  <si>
    <t>http://http2.mlstatic.com/D_995400-MLA47382019086_092021-O.jpg,http://http2.mlstatic.com/D_947365-MLA47382019096_092021-O.jpg,http://http2.mlstatic.com/D_732889-MLA47382019088_092021-O.jpg,http://http2.mlstatic.com/D_783420-MLA47382019094_092021-O.jpg,http://http2.mlstatic.com/D_693047-MLA47382019091_092021-O.jpg</t>
  </si>
  <si>
    <t>http://http2.mlstatic.com/D_966219-MLA47382019089_092021-O.jpg,http://http2.mlstatic.com/D_989627-MLA47382019098_092021-O.jpg,http://http2.mlstatic.com/D_755679-MLA47382019095_092021-O.jpg,http://http2.mlstatic.com/D_744245-MLA47382019090_092021-O.jpg,http://http2.mlstatic.com/D_693047-MLA47382019091_092021-O.jpg</t>
  </si>
  <si>
    <t>Pantalón Cargo Breeche Montada Caballería Premium</t>
  </si>
  <si>
    <t>http://http2.mlstatic.com/D_966664-MLA47382020100_092021-O.jpg,http://http2.mlstatic.com/D_786173-MLA47382020090_092021-O.jpg,http://http2.mlstatic.com/D_926074-MLA47382020096_092021-O.jpg,http://http2.mlstatic.com/D_837600-MLA47382020093_092021-O.jpg,http://http2.mlstatic.com/D_649882-MLA47382020102_092021-O.jpg</t>
  </si>
  <si>
    <t>http://http2.mlstatic.com/D_747867-MLA47382020091_092021-O.jpg,http://http2.mlstatic.com/D_659479-MLA47382020099_092021-O.jpg,http://http2.mlstatic.com/D_973216-MLA47382020098_092021-O.jpg,http://http2.mlstatic.com/D_866460-MLA47382020092_092021-O.jpg,http://http2.mlstatic.com/D_649882-MLA47382020102_092021-O.jpg</t>
  </si>
  <si>
    <t>Pantalón Cargo Breeche Montada Caballería T:50-54</t>
  </si>
  <si>
    <t>http://http2.mlstatic.com/D_792002-MLA47382016909_092021-O.jpg,http://http2.mlstatic.com/D_904452-MLA47382016910_092021-O.jpg,http://http2.mlstatic.com/D_925063-MLA47382016913_092021-O.jpg,http://http2.mlstatic.com/D_977833-MLA47382016917_092021-O.jpg,http://http2.mlstatic.com/D_684609-MLA47382016918_092021-O.jpg,http://http2.mlstatic.com/D_860631-MLA47382016919_092021-O.jpg,http://http2.mlstatic.com/D_891880-MLA47382016912_092021-O.jpg,http://http2.mlstatic.com/D_691658-MLA47382016922_092021-O.jpg,http://http2.mlstatic.com/D_940322-MLA47382016914_092021-O.jpg,http://http2.mlstatic.com/D_738406-MLA47382016916_092021-O.jpg</t>
  </si>
  <si>
    <t>http://http2.mlstatic.com/D_972149-MLA47382016921_092021-O.jpg,http://http2.mlstatic.com/D_674376-MLA47382016915_092021-O.jpg,http://http2.mlstatic.com/D_647607-MLA47382016911_092021-O.jpg,http://http2.mlstatic.com/D_990678-MLA47382016920_092021-O.jpg,http://http2.mlstatic.com/D_684609-MLA47382016918_092021-O.jpg,http://http2.mlstatic.com/D_860631-MLA47382016919_092021-O.jpg,http://http2.mlstatic.com/D_891880-MLA47382016912_092021-O.jpg,http://http2.mlstatic.com/D_691658-MLA47382016922_092021-O.jpg,http://http2.mlstatic.com/D_940322-MLA47382016914_092021-O.jpg,http://http2.mlstatic.com/D_738406-MLA47382016916_092021-O.jpg</t>
  </si>
  <si>
    <t>Pantalón Cargo Breeche Montada Caballería T:50-54 Premium</t>
  </si>
  <si>
    <t>http://http2.mlstatic.com/D_825693-MLA47382015971_092021-O.jpg,http://http2.mlstatic.com/D_676894-MLA47382015969_092021-O.jpg,http://http2.mlstatic.com/D_948887-MLA47382015959_092021-O.jpg,http://http2.mlstatic.com/D_925317-MLA47382015962_092021-O.jpg,http://http2.mlstatic.com/D_727926-MLA47382015968_092021-O.jpg,http://http2.mlstatic.com/D_648552-MLA47382015961_092021-O.jpg,http://http2.mlstatic.com/D_931658-MLA47382015963_092021-O.jpg,http://http2.mlstatic.com/D_645323-MLA47382015964_092021-O.jpg,http://http2.mlstatic.com/D_604058-MLA47382015965_092021-O.jpg,http://http2.mlstatic.com/D_698941-MLA47382015967_092021-O.jpg</t>
  </si>
  <si>
    <t>http://http2.mlstatic.com/D_958461-MLA47382015966_092021-O.jpg,http://http2.mlstatic.com/D_968413-MLA47382015972_092021-O.jpg,http://http2.mlstatic.com/D_834738-MLA47382015970_092021-O.jpg,http://http2.mlstatic.com/D_965023-MLA47382015960_092021-O.jpg,http://http2.mlstatic.com/D_727926-MLA47382015968_092021-O.jpg,http://http2.mlstatic.com/D_648552-MLA47382015961_092021-O.jpg,http://http2.mlstatic.com/D_931658-MLA47382015963_092021-O.jpg,http://http2.mlstatic.com/D_645323-MLA47382015964_092021-O.jpg,http://http2.mlstatic.com/D_604058-MLA47382015965_092021-O.jpg,http://http2.mlstatic.com/D_698941-MLA47382015967_092021-O.jpg</t>
  </si>
  <si>
    <t>Pantalón Cargo Gendarmería Rerda Premium</t>
  </si>
  <si>
    <t>Verde - Lisa - 36</t>
  </si>
  <si>
    <t>http://http2.mlstatic.com/D_642647-MLA47588644973_092021-O.jpg,http://http2.mlstatic.com/D_856301-MLA47588644974_092021-O.jpg,http://http2.mlstatic.com/D_924276-MLA47588644977_092021-O.jpg</t>
  </si>
  <si>
    <t>Verde - Lisa - 40</t>
  </si>
  <si>
    <t>Verde - Lisa - 42</t>
  </si>
  <si>
    <t>Verde - Lisa - 38</t>
  </si>
  <si>
    <t>Verde - Lisa - 48</t>
  </si>
  <si>
    <t>Verde - Lisa - 44</t>
  </si>
  <si>
    <t>Verde - Lisa - 46</t>
  </si>
  <si>
    <t>Verde - Lisa - 34</t>
  </si>
  <si>
    <t>Pantalón Cargo Gendarmería Rerda T:50-54</t>
  </si>
  <si>
    <t>Verde - Lisa - 54</t>
  </si>
  <si>
    <t>http://http2.mlstatic.com/D_652408-MLA47588647442_092021-O.jpg,http://http2.mlstatic.com/D_639535-MLA47588647437_092021-O.jpg,http://http2.mlstatic.com/D_795526-MLA47588647438_092021-O.jpg,http://http2.mlstatic.com/D_626146-MLA47588647445_092021-O.jpg,http://http2.mlstatic.com/D_816301-MLA47588647440_092021-O.jpg,http://http2.mlstatic.com/D_610761-MLA47588647439_092021-O.jpg,http://http2.mlstatic.com/D_800829-MLA47588647441_092021-O.jpg,http://http2.mlstatic.com/D_742378-MLA47588647443_092021-O.jpg,http://http2.mlstatic.com/D_987050-MLA47588647444_092021-O.jpg</t>
  </si>
  <si>
    <t>Verde - Lisa - 52</t>
  </si>
  <si>
    <t>Verde - Lisa - 50</t>
  </si>
  <si>
    <t>Pantalón Cargo Táctico Americana Policía Gabardina Premium</t>
  </si>
  <si>
    <t>http://http2.mlstatic.com/D_753981-MLA47410156847_092021-O.jpg,http://http2.mlstatic.com/D_844103-MLA47410110956_092021-O.jpg,http://http2.mlstatic.com/D_720941-MLA47410330337_092021-O.jpg,http://http2.mlstatic.com/D_691751-MLA47410284482_092021-O.jpg,http://http2.mlstatic.com/D_914263-MLA47410165828_092021-O.jpg</t>
  </si>
  <si>
    <t>http://http2.mlstatic.com/D_611031-MLA47410303463_092021-O.jpg,http://http2.mlstatic.com/D_852273-MLA47410157865_092021-O.jpg,http://http2.mlstatic.com/D_831627-MLA47410129918_092021-O.jpg,http://http2.mlstatic.com/D_857216-MLA47410156859_092021-O.jpg,http://http2.mlstatic.com/D_656631-MLA47410417103_092021-O.jpg</t>
  </si>
  <si>
    <t>http://http2.mlstatic.com/D_896467-MLA47410187702_092021-O.jpg,http://http2.mlstatic.com/D_992087-MLA47410149844_092021-O.jpg,http://http2.mlstatic.com/D_676631-MLA47410266536_092021-O.jpg,http://http2.mlstatic.com/D_640159-MLA47410153859_092021-O.jpg,http://http2.mlstatic.com/D_742262-MLA47410127953_092021-O.jpg</t>
  </si>
  <si>
    <t>Pantalón Cargo Táctico Americana Rip Stop Premium</t>
  </si>
  <si>
    <t>http://http2.mlstatic.com/D_801321-MLA47717322926_092021-O.jpg,http://http2.mlstatic.com/D_779013-MLA47717318966_092021-O.jpg,http://http2.mlstatic.com/D_688222-MLA47717322927_092021-O.jpg,http://http2.mlstatic.com/D_643602-MLA47717416297_092021-O.jpg,http://http2.mlstatic.com/D_813500-MLA47717497007_092021-O.jpg,http://http2.mlstatic.com/D_961667-MLA47717495026_092021-O.jpg,http://http2.mlstatic.com/D_980184-MLA47717424384_092021-O.jpg,http://http2.mlstatic.com/D_635199-MLA47717495028_092021-O.jpg,http://http2.mlstatic.com/D_873786-MLA47717462168_092021-O.jpg,http://http2.mlstatic.com/D_700327-MLA47717379595_092021-O.jpg</t>
  </si>
  <si>
    <t>http://http2.mlstatic.com/D_633439-MLA47717336935_092021-O.jpg,http://http2.mlstatic.com/D_717387-MLA47717374628_092021-O.jpg,http://http2.mlstatic.com/D_650850-MLA47717486037_092021-O.jpg,http://http2.mlstatic.com/D_832674-MLA47717398408_092021-O.jpg,http://http2.mlstatic.com/D_813786-MLA47717444241_092021-O.jpg,http://http2.mlstatic.com/D_999680-MLA47717458233_092021-O.jpg,http://http2.mlstatic.com/D_835083-MLA47717468193_092021-O.jpg,http://http2.mlstatic.com/D_827859-MLA47717343933_092021-O.jpg,http://http2.mlstatic.com/D_664951-MLA47717416410_092021-O.jpg,http://http2.mlstatic.com/D_720700-MLA47717354813_092021-O.jpg</t>
  </si>
  <si>
    <t>Azul noche - Liso - 36</t>
  </si>
  <si>
    <t>http://http2.mlstatic.com/D_625646-MLA47717448219_092021-O.jpg,http://http2.mlstatic.com/D_981416-MLA47717360678_092021-O.jpg,http://http2.mlstatic.com/D_778962-MLA47717339820_092021-O.jpg,http://http2.mlstatic.com/D_766378-MLA47717424319_092021-O.jpg,http://http2.mlstatic.com/D_713702-MLA47717489040_092021-O.jpg,http://http2.mlstatic.com/D_921987-MLA47717486117_092021-O.jpg,http://http2.mlstatic.com/D_601722-MLA47717416401_092021-O.jpg,http://http2.mlstatic.com/D_610577-MLA47717425385_092021-O.jpg,http://http2.mlstatic.com/D_692887-MLA47717466171_092021-O.jpg,http://http2.mlstatic.com/D_971158-MLA47717398480_092021-O.jpg</t>
  </si>
  <si>
    <t>http://http2.mlstatic.com/D_979819-MLA47717379511_092021-O.jpg,http://http2.mlstatic.com/D_696955-MLA47717332880_092021-O.jpg,http://http2.mlstatic.com/D_993709-MLA47717448196_092021-O.jpg,http://http2.mlstatic.com/D_990032-MLA47717436213_092021-O.jpg,http://http2.mlstatic.com/D_647285-MLA47717424369_092021-O.jpg,http://http2.mlstatic.com/D_861345-MLA47717465189_092021-O.jpg,http://http2.mlstatic.com/D_977309-MLA47717339897_092021-O.jpg,http://http2.mlstatic.com/D_683988-MLA47717368704_092021-O.jpg,http://http2.mlstatic.com/D_805783-MLA47717360749_092021-O.jpg,http://http2.mlstatic.com/D_619564-MLA47717374692_092021-O.jpg</t>
  </si>
  <si>
    <t>Azul noche - Liso - 38</t>
  </si>
  <si>
    <t>Azul noche - Liso - 40</t>
  </si>
  <si>
    <t>Azul noche - Liso - 42</t>
  </si>
  <si>
    <t>Azul noche - Liso - 48</t>
  </si>
  <si>
    <t>Azul noche - Liso - 44</t>
  </si>
  <si>
    <t>Azul noche - Liso - 34</t>
  </si>
  <si>
    <t>Azul noche - Liso - 46</t>
  </si>
  <si>
    <t>Pantalón Cargo Táctico Americana Rip Stop T:50-54 Premium</t>
  </si>
  <si>
    <t>http://http2.mlstatic.com/D_868764-MLA47717379696_092021-O.jpg,http://http2.mlstatic.com/D_951271-MLA47717368786_092021-O.jpg,http://http2.mlstatic.com/D_878512-MLA47717339962_092021-O.jpg,http://http2.mlstatic.com/D_650121-MLA47717509061_092021-O.jpg,http://http2.mlstatic.com/D_904335-MLA47717425493_092021-O.jpg,http://http2.mlstatic.com/D_773734-MLA47717436463_092021-O.jpg,http://http2.mlstatic.com/D_964808-MLA47717375912_092021-O.jpg,http://http2.mlstatic.com/D_803314-MLA47717458358_092021-O.jpg,http://http2.mlstatic.com/D_633066-MLA47717498202_092021-O.jpg,http://http2.mlstatic.com/D_865145-MLA47717436466_092021-O.jpg</t>
  </si>
  <si>
    <t>Azul noche - Liso - 52</t>
  </si>
  <si>
    <t>http://http2.mlstatic.com/D_755840-MLA47717374757_092021-O.jpg,http://http2.mlstatic.com/D_750547-MLA47717379679_092021-O.jpg,http://http2.mlstatic.com/D_641288-MLA47717368775_092021-O.jpg,http://http2.mlstatic.com/D_719748-MLA47717488139_092021-O.jpg,http://http2.mlstatic.com/D_701266-MLA47717462274_092021-O.jpg,http://http2.mlstatic.com/D_693462-MLA47717489220_092021-O.jpg,http://http2.mlstatic.com/D_674605-MLA47717398599_092021-O.jpg,http://http2.mlstatic.com/D_878964-MLA47717509118_092021-O.jpg,http://http2.mlstatic.com/D_660553-MLA47717416538_092021-O.jpg,http://http2.mlstatic.com/D_924999-MLA47717480302_092021-O.jpg</t>
  </si>
  <si>
    <t>Azul noche - Liso - 54</t>
  </si>
  <si>
    <t>http://http2.mlstatic.com/D_735815-MLA47717360797_092021-O.jpg,http://http2.mlstatic.com/D_812791-MLA47717487161_092021-O.jpg,http://http2.mlstatic.com/D_683652-MLA47717509035_092021-O.jpg,http://http2.mlstatic.com/D_792528-MLA47717375826_092021-O.jpg,http://http2.mlstatic.com/D_938346-MLA47717510100_092021-O.jpg,http://http2.mlstatic.com/D_626023-MLA47717379751_092021-O.jpg,http://http2.mlstatic.com/D_882075-MLA47717518041_092021-O.jpg,http://http2.mlstatic.com/D_667178-MLA47717466286_092021-O.jpg,http://http2.mlstatic.com/D_667972-MLA47717480286_092021-O.jpg,http://http2.mlstatic.com/D_792591-MLA47717478286_092021-O.jpg</t>
  </si>
  <si>
    <t>http://http2.mlstatic.com/D_877395-MLA47717427498_092021-O.jpg,http://http2.mlstatic.com/D_950939-MLA47717480257_092021-O.jpg,http://http2.mlstatic.com/D_967778-MLA47717424481_092021-O.jpg,http://http2.mlstatic.com/D_828267-MLA47717458305_092021-O.jpg,http://http2.mlstatic.com/D_859356-MLA47717458320_092021-O.jpg,http://http2.mlstatic.com/D_683428-MLA47717509138_092021-O.jpg,http://http2.mlstatic.com/D_614850-MLA47717436475_092021-O.jpg,http://http2.mlstatic.com/D_925170-MLA47717488235_092021-O.jpg,http://http2.mlstatic.com/D_733398-MLA47717441430_092021-O.jpg,http://http2.mlstatic.com/D_934627-MLA47717485245_092021-O.jpg</t>
  </si>
  <si>
    <t>Azul noche - Liso - 50</t>
  </si>
  <si>
    <t>Pantalón Combate Dama Clásico Antidesgarro</t>
  </si>
  <si>
    <t>https://d17riqmt8yes2m.cloudfront.net/images/245815/729740691114.jpg,https://d17riqmt8yes2m.cloudfront.net/images/245815/462139740759.jpg</t>
  </si>
  <si>
    <t>https://d17riqmt8yes2m.cloudfront.net/images/245815/420272009704.jpg,https://d17riqmt8yes2m.cloudfront.net/images/245815/33527646720.jpg</t>
  </si>
  <si>
    <t>Pantalón Combate Dama Clásico Antidesgarro Premium</t>
  </si>
  <si>
    <t>Pantalón Combate Dama Clásico Antidesgarro T:50-54</t>
  </si>
  <si>
    <t>Pantalón Combate Dama Clásico Antidesgarro T:50-54 Premium</t>
  </si>
  <si>
    <t>Pantalón De Combate Táctico Camuflado Americano</t>
  </si>
  <si>
    <t>http://http2.mlstatic.com/D_830161-MLA47409802419_092021-O.jpg,http://http2.mlstatic.com/D_799305-MLA47409835203_092021-O.jpg,http://http2.mlstatic.com/D_636034-MLA47409847075_092021-O.jpg,http://http2.mlstatic.com/D_762844-MLA47409800436_092021-O.jpg,http://http2.mlstatic.com/D_609253-MLA48408411228_122021-O.jpg,http://http2.mlstatic.com/D_644707-MLA48408312652_122021-O.jpg,http://http2.mlstatic.com/D_961495-MLA48408287849_122021-O.jpg,http://http2.mlstatic.com/D_718392-MLA48408414226_122021-O.jpg,http://http2.mlstatic.com/D_960211-MLA48408312654_122021-O.jpg,http://http2.mlstatic.com/D_845015-MLA48408325626_122021-O.jpg</t>
  </si>
  <si>
    <t>http://http2.mlstatic.com/D_820812-MLA47265167529_082021-O.jpg,http://http2.mlstatic.com/D_987085-MLA47265220265_082021-O.jpg,http://http2.mlstatic.com/D_726103-MLA47265241197_082021-O.jpg,http://http2.mlstatic.com/D_779095-MLA47265220266_082021-O.jpg,http://http2.mlstatic.com/D_647985-MLA48408932037_122021-O.jpg,http://http2.mlstatic.com/D_649987-MLA48408912195_122021-O.jpg,http://http2.mlstatic.com/D_897153-MLA48408837838_122021-O.jpg,http://http2.mlstatic.com/D_725375-MLA48408852847_122021-O.jpg,http://http2.mlstatic.com/D_724255-MLA48408920128_122021-O.jpg,http://http2.mlstatic.com/D_839792-MLA48408842808_122021-O.jpg</t>
  </si>
  <si>
    <t>Acu - 46</t>
  </si>
  <si>
    <t>http://http2.mlstatic.com/D_655674-MLA46332321761_062021-O.jpg,http://http2.mlstatic.com/D_612324-MLA48408843879_122021-O.jpg,http://http2.mlstatic.com/D_716567-MLA48408822939_122021-O.jpg,http://http2.mlstatic.com/D_763986-MLA48408903350_122021-O.jpg,http://http2.mlstatic.com/D_846689-MLA48408822941_122021-O.jpg,http://http2.mlstatic.com/D_848933-MLA48408856775_122021-O.jpg,http://http2.mlstatic.com/D_720991-MLA48408926096_122021-O.jpg</t>
  </si>
  <si>
    <t>Tigger Azul - 40</t>
  </si>
  <si>
    <t>http://http2.mlstatic.com/D_744668-MLA47307295658_082021-O.jpg,http://http2.mlstatic.com/D_843076-MLA47307335529_082021-O.jpg,http://http2.mlstatic.com/D_970042-MLA48408913263_122021-O.jpg,http://http2.mlstatic.com/D_686755-MLA47307395251_082021-O.jpg,http://http2.mlstatic.com/D_665228-MLA48408847868_122021-O.jpg,http://http2.mlstatic.com/D_786261-MLA48408856799_122021-O.jpg,http://http2.mlstatic.com/D_938986-MLA48408879601_122021-O.jpg,http://http2.mlstatic.com/D_834175-MLA48408934077_122021-O.jpg,http://http2.mlstatic.com/D_808570-MLA48408907340_122021-O.jpg,http://http2.mlstatic.com/D_890027-MLA48408889526_122021-O.jpg</t>
  </si>
  <si>
    <t>Tigger Azul - 48</t>
  </si>
  <si>
    <t>Selva Negra - 34</t>
  </si>
  <si>
    <t>Tigger Azul - 44</t>
  </si>
  <si>
    <t>Tigger Azul - 42</t>
  </si>
  <si>
    <t>Acu - 42</t>
  </si>
  <si>
    <t>Acu - 38</t>
  </si>
  <si>
    <t>Acu - 34</t>
  </si>
  <si>
    <t>Acu - 44</t>
  </si>
  <si>
    <t>Tigger Azul - 46</t>
  </si>
  <si>
    <t>Acu - 48</t>
  </si>
  <si>
    <t>Acu - 40</t>
  </si>
  <si>
    <t>Tigger Azul - 38</t>
  </si>
  <si>
    <t>Tigger Azul - 34</t>
  </si>
  <si>
    <t>Acu - 36</t>
  </si>
  <si>
    <t>Tigger Azul - 36</t>
  </si>
  <si>
    <t>Pantalón De Combate Táctico Camuflado Americano T:50-54</t>
  </si>
  <si>
    <t>http://http2.mlstatic.com/D_779665-MLA47265087934_082021-O.jpg,http://http2.mlstatic.com/D_625532-MLA47265195580_082021-O.jpg,http://http2.mlstatic.com/D_939151-MLA47265169761_082021-O.jpg,http://http2.mlstatic.com/D_764805-MLA47265136857_082021-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</si>
  <si>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http://http2.mlstatic.com/D_888142-MLA47409950573_092021-O.jpg,http://http2.mlstatic.com/D_885575-MLA47409963459_092021-O.jpg,http://http2.mlstatic.com/D_807850-MLA47409962551_092021-O.jpg,http://http2.mlstatic.com/D_781655-MLA47409942627_092021-O.jpg,http://http2.mlstatic.com/D_773757-MLA47409962561_092021-O.jpg,http://http2.mlstatic.com/D_985918-MLA47409955584_092021-O.jpg,http://http2.mlstatic.com/D_817553-MLA47409944655_092021-O.jpg,http://http2.mlstatic.com/D_788426-MLA47409940655_092021-O.jpg,http://http2.mlstatic.com/D_904048-MLA47409966519_092021-O.jpg,http://http2.mlstatic.com/D_795396-MLA47409962583_092021-O.jpg</t>
  </si>
  <si>
    <t>Tigger Azul - 52</t>
  </si>
  <si>
    <t>http://http2.mlstatic.com/D_644096-MLA47307395262_082021-O.jpg,http://http2.mlstatic.com/D_803762-MLA47307337453_082021-O.jpg,http://http2.mlstatic.com/D_640734-MLA47307316594_082021-O.jpg,http://http2.mlstatic.com/D_792823-MLA47307290775_082021-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</si>
  <si>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Acu - 52</t>
  </si>
  <si>
    <t>http://http2.mlstatic.com/D_973053-MLA46332675814_062021-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</si>
  <si>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Tigger Azul - 54</t>
  </si>
  <si>
    <t>Acu - 54</t>
  </si>
  <si>
    <t>Acu - 50</t>
  </si>
  <si>
    <t>Tigger Azul - 50</t>
  </si>
  <si>
    <t>Pantalón De Combate Táctico Camuflado Americano T:56-60</t>
  </si>
  <si>
    <t>http://http2.mlstatic.com/D_702060-MLA47307290966_082021-O.jpg,http://http2.mlstatic.com/D_932622-MLA47307337634_082021-O.jpg,http://http2.mlstatic.com/D_951222-MLA47307381443_082021-O.jpg,http://http2.mlstatic.com/D_696162-MLA47307311745_082021-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</si>
  <si>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Tigger Azul - 60</t>
  </si>
  <si>
    <t>http://http2.mlstatic.com/D_672918-MLA47307390258_082021-O.jpg,http://http2.mlstatic.com/D_929190-MLA47307322555_082021-O.jpg,http://http2.mlstatic.com/D_803835-MLA47307370345_082021-O.jpg,http://http2.mlstatic.com/D_671806-MLA47307375321_082021-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</si>
  <si>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Acu - 58</t>
  </si>
  <si>
    <t>http://http2.mlstatic.com/D_621836-MLA46332675810_062021-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</si>
  <si>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Digital Gris - 56</t>
  </si>
  <si>
    <t>http://http2.mlstatic.com/D_915834-MLA47410142597_092021-O.jpg,http://http2.mlstatic.com/D_870382-MLA47410317092_092021-O.jpg,http://http2.mlstatic.com/D_946236-MLA47410135587_092021-O.jpg,http://http2.mlstatic.com/D_841698-MLA47410175505_092021-O.jpg,http://http2.mlstatic.com/D_882734-MLA47410137597_092021-O.jpg,http://http2.mlstatic.com/D_873300-MLA47410129611_092021-O.jpg,http://http2.mlstatic.com/D_734487-MLA47410231377_092021-O.jpg,http://http2.mlstatic.com/D_697481-MLA47410244363_092021-O.jpg,http://http2.mlstatic.com/D_776338-MLA47410143583_092021-O.jpg,http://http2.mlstatic.com/D_618654-MLA47410129612_092021-O.jpg</t>
  </si>
  <si>
    <t>Acu - 60</t>
  </si>
  <si>
    <t>Digital Gris - 58</t>
  </si>
  <si>
    <t>Acu - 56</t>
  </si>
  <si>
    <t>Tigger Azul - 56</t>
  </si>
  <si>
    <t>Digital Gris - 60</t>
  </si>
  <si>
    <t>Tigger Azul - 58</t>
  </si>
  <si>
    <t>Pantalón De Combate Táctico Camuflado Americano T:62-66</t>
  </si>
  <si>
    <t>Digital Gris - 64</t>
  </si>
  <si>
    <t>http://http2.mlstatic.com/D_910830-MLA47410303689_092021-O.jpg,http://http2.mlstatic.com/D_754713-MLA47410519034_092021-O.jpg,http://http2.mlstatic.com/D_783885-MLA47410476120_092021-O.jpg,http://http2.mlstatic.com/D_922811-MLA47410472157_092021-O.jpg,http://http2.mlstatic.com/D_997552-MLA47410417353_092021-O.jpg,http://http2.mlstatic.com/D_829106-MLA47410187962_092021-O.jpg,http://http2.mlstatic.com/D_809631-MLA47410508074_092021-O.jpg,http://http2.mlstatic.com/D_617974-MLA47410231921_092021-O.jpg,http://http2.mlstatic.com/D_944786-MLA47410509083_092021-O.jpg,http://http2.mlstatic.com/D_964365-MLA47410330630_092021-O.jpg</t>
  </si>
  <si>
    <t>Tigger Azul - 62</t>
  </si>
  <si>
    <t>http://http2.mlstatic.com/D_731681-MLA47307388270_082021-O.jpg,http://http2.mlstatic.com/D_713354-MLA47307295692_082021-O.jpg,http://http2.mlstatic.com/D_934897-MLA47307301691_082021-O.jpg,http://http2.mlstatic.com/D_869268-MLA47307297712_082021-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</si>
  <si>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Acu - 62</t>
  </si>
  <si>
    <t>http://http2.mlstatic.com/D_735274-MLA46332674861_062021-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</si>
  <si>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Acu - 64</t>
  </si>
  <si>
    <t>Tigger Azul - 64</t>
  </si>
  <si>
    <t>Acu - 66</t>
  </si>
  <si>
    <t>Tigger Azul - 66</t>
  </si>
  <si>
    <t>Digital Gris - 66</t>
  </si>
  <si>
    <t>Selva Negra - 64</t>
  </si>
  <si>
    <t>http://http2.mlstatic.com/D_967982-MLA47265153794_082021-O.jpg,http://http2.mlstatic.com/D_981698-MLA47265115917_082021-O.jpg,http://http2.mlstatic.com/D_657578-MLA47265340136_082021-O.jpg,http://http2.mlstatic.com/D_736280-MLA47265220516_082021-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</si>
  <si>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Selva Negra - 62</t>
  </si>
  <si>
    <t>Selva Negra - 66</t>
  </si>
  <si>
    <t>Digital Gris - 62</t>
  </si>
  <si>
    <t>Pantalón Táctico Americana Policía Gabardina</t>
  </si>
  <si>
    <t>http://http2.mlstatic.com/D_672518-MLA47410484589_092021-O.jpg,http://http2.mlstatic.com/D_804153-MLA47410530489_092021-O.jpg,http://http2.mlstatic.com/D_893059-MLA47410464667_092021-O.jpg,http://http2.mlstatic.com/D_751608-MLA47410473638_092021-O.jpg,http://http2.mlstatic.com/D_662195-MLA47410516527_092021-O.jpg</t>
  </si>
  <si>
    <t>http://http2.mlstatic.com/D_663222-MLA47410467615_092021-O.jpg,http://http2.mlstatic.com/D_685458-MLA47410503515_092021-O.jpg,http://http2.mlstatic.com/D_622788-MLA47410493520_092021-O.jpg,http://http2.mlstatic.com/D_831732-MLA47410578213_092021-O.jpg,http://http2.mlstatic.com/D_762684-MLA47410464696_092021-O.jpg</t>
  </si>
  <si>
    <t>http://http2.mlstatic.com/D_669813-MLA47410452682_092021-O.jpg,http://http2.mlstatic.com/D_863394-MLA47410489579_092021-O.jpg,http://http2.mlstatic.com/D_679526-MLA47410447699_092021-O.jpg,http://http2.mlstatic.com/D_672075-MLA47410467645_092021-O.jpg,http://http2.mlstatic.com/D_644212-MLA47410530505_092021-O.jpg</t>
  </si>
  <si>
    <t>Pantalón Táctico Americana Policía Gabardina T:50-54</t>
  </si>
  <si>
    <t>http://http2.mlstatic.com/D_735620-MLA47409855991_092021-O.jpg,http://http2.mlstatic.com/D_817109-MLA47409998150_092021-O.jpg,http://http2.mlstatic.com/D_820832-MLA47409955419_092021-O.jpg,http://http2.mlstatic.com/D_774923-MLA47409862925_092021-O.jpg,http://http2.mlstatic.com/D_906781-MLA47410022022_092021-O.jpg,http://http2.mlstatic.com/D_709512-MLA47409946549_092021-O.jpg,http://http2.mlstatic.com/D_943643-MLA47409942545_092021-O.jpg,http://http2.mlstatic.com/D_738899-MLA47409973369_092021-O.jpg,http://http2.mlstatic.com/D_731865-MLA47409973371_092021-O.jpg,http://http2.mlstatic.com/D_647432-MLA47409940561_092021-O.jpg</t>
  </si>
  <si>
    <t>http://http2.mlstatic.com/D_740693-MLA47409954381_092021-O.jpg,http://http2.mlstatic.com/D_690041-MLA47409950430_092021-O.jpg,http://http2.mlstatic.com/D_921218-MLA47409855977_092021-O.jpg,http://http2.mlstatic.com/D_698347-MLA47409976262_092021-O.jpg,http://http2.mlstatic.com/D_632087-MLA47409967364_092021-O.jpg,http://http2.mlstatic.com/D_710440-MLA47409955464_092021-O.jpg,http://http2.mlstatic.com/D_654090-MLA47409956490_092021-O.jpg,http://http2.mlstatic.com/D_896472-MLA47409946536_092021-O.jpg,http://http2.mlstatic.com/D_675693-MLA47409993229_092021-O.jpg,http://http2.mlstatic.com/D_626415-MLA47410022054_092021-O.jpg</t>
  </si>
  <si>
    <t>http://http2.mlstatic.com/D_688899-MLA47409950411_092021-O.jpg,http://http2.mlstatic.com/D_994700-MLA47409958361_092021-O.jpg,http://http2.mlstatic.com/D_681658-MLA47409946460_092021-O.jpg,http://http2.mlstatic.com/D_900635-MLA47409855959_092021-O.jpg,http://http2.mlstatic.com/D_741491-MLA47409950443_092021-O.jpg,http://http2.mlstatic.com/D_763224-MLA47409958430_092021-O.jpg,http://http2.mlstatic.com/D_859100-MLA47409963376_092021-O.jpg,http://http2.mlstatic.com/D_674955-MLA47409864969_092021-O.jpg,http://http2.mlstatic.com/D_940025-MLA47409939527_092021-O.jpg,http://http2.mlstatic.com/D_920430-MLA47409976321_092021-O.jpg</t>
  </si>
  <si>
    <t>Pantalón Táctico Americana Policía Gabardina T:50-54 Premium</t>
  </si>
  <si>
    <t>http://http2.mlstatic.com/D_964701-MLA47410186910_092021-O.jpg,http://http2.mlstatic.com/D_889693-MLA47410157969_092021-O.jpg,http://http2.mlstatic.com/D_908347-MLA47410453055_092021-O.jpg,http://http2.mlstatic.com/D_985453-MLA47410157970_092021-O.jpg</t>
  </si>
  <si>
    <t>http://http2.mlstatic.com/D_943780-MLA47410467077_092021-O.jpg,http://http2.mlstatic.com/D_794666-MLA47410179947_092021-O.jpg,http://http2.mlstatic.com/D_929200-MLA47410165962_092021-O.jpg,http://http2.mlstatic.com/D_874489-MLA47410206902_092021-O.jpg</t>
  </si>
  <si>
    <t>http://http2.mlstatic.com/D_680792-MLA47410187804_092021-O.jpg,http://http2.mlstatic.com/D_657736-MLA47410231752_092021-O.jpg,http://http2.mlstatic.com/D_682191-MLA47410175928_092021-O.jpg,http://http2.mlstatic.com/D_665290-MLA47410186894_092021-O.jpg</t>
  </si>
  <si>
    <t>Pantalón Táctico Americana Policía Gabardina T:56-60</t>
  </si>
  <si>
    <t>http://http2.mlstatic.com/D_977846-MLA47409958136_092021-O.jpg,http://http2.mlstatic.com/D_788053-MLA47409963108_092021-O.jpg,http://http2.mlstatic.com/D_914447-MLA47409940227_092021-O.jpg,http://http2.mlstatic.com/D_983511-MLA47409847803_092021-O.jpg</t>
  </si>
  <si>
    <t>http://http2.mlstatic.com/D_765653-MLA47409940194_092021-O.jpg,http://http2.mlstatic.com/D_680993-MLA47409837866_092021-O.jpg,http://http2.mlstatic.com/D_842762-MLA47409950165_092021-O.jpg,http://http2.mlstatic.com/D_793898-MLA47409967061_092021-O.jpg</t>
  </si>
  <si>
    <t>http://http2.mlstatic.com/D_634947-MLA47409939301_092021-O.jpg,http://http2.mlstatic.com/D_781566-MLA47409948230_092021-O.jpg,http://http2.mlstatic.com/D_947305-MLA47409864722_092021-O.jpg,http://http2.mlstatic.com/D_743709-MLA47409847858_092021-O.jpg</t>
  </si>
  <si>
    <t>Pantalón Táctico Americana Policía Gabardina T:62-66</t>
  </si>
  <si>
    <t>Azul - 66</t>
  </si>
  <si>
    <t>http://http2.mlstatic.com/D_714941-MLA47410244043_092021-O.jpg,http://http2.mlstatic.com/D_955673-MLA47410142287_092021-O.jpg,http://http2.mlstatic.com/D_619308-MLA47410156258_092021-O.jpg,http://http2.mlstatic.com/D_865542-MLA47410095441_092021-O.jpg</t>
  </si>
  <si>
    <t>Azul - 62</t>
  </si>
  <si>
    <t>http://http2.mlstatic.com/D_623936-MLA47410175220_092021-O.jpg,http://http2.mlstatic.com/D_943644-MLA47410129321_092021-O.jpg,http://http2.mlstatic.com/D_984562-MLA47410143267_092021-O.jpg,http://http2.mlstatic.com/D_904802-MLA47410153273_092021-O.jpg</t>
  </si>
  <si>
    <t>http://http2.mlstatic.com/D_817671-MLA47409998978_092021-O.jpg,http://http2.mlstatic.com/D_853423-MLA47410153256_092021-O.jpg,http://http2.mlstatic.com/D_920683-MLA47410157250_092021-O.jpg,http://http2.mlstatic.com/D_747925-MLA47410133256_092021-O.jpg</t>
  </si>
  <si>
    <t>Azul - 64</t>
  </si>
  <si>
    <t>Pantalón Táctico Americana Requisa</t>
  </si>
  <si>
    <t>Requisa - Camuflado - 40</t>
  </si>
  <si>
    <t>http://http2.mlstatic.com/D_827702-MLA45597682503_042021-O.jpg,http://http2.mlstatic.com/D_971136-MLA45597670754_042021-O.jpg,http://http2.mlstatic.com/D_943971-MLA45597693300_042021-O.jpg,http://http2.mlstatic.com/D_835171-MLA45597693298_042021-O.jpg,http://http2.mlstatic.com/D_899719-MLA45535786253_042021-O.jpg,http://http2.mlstatic.com/D_602204-MLA45597696287_042021-O.jpg,http://http2.mlstatic.com/D_623770-MLA45597693355_042021-O.jpg,http://http2.mlstatic.com/D_878029-MLA45597695343_042021-O.jpg,http://http2.mlstatic.com/D_925069-MLA45597695344_042021-O.jpg,http://http2.mlstatic.com/D_765466-MLA45597696292_042021-O.jpg</t>
  </si>
  <si>
    <t>Requisa - Camuflado - 42</t>
  </si>
  <si>
    <t>Requisa - Camuflado - 44</t>
  </si>
  <si>
    <t>Requisa - Camuflado - 36</t>
  </si>
  <si>
    <t>Requisa - Camuflado - 34</t>
  </si>
  <si>
    <t>Requisa - Camuflado - 38</t>
  </si>
  <si>
    <t>Requisa - Camuflado - 46</t>
  </si>
  <si>
    <t>Requisa - Camuflado - 48</t>
  </si>
  <si>
    <t>Requisa - Camuflado - 50</t>
  </si>
  <si>
    <t>http://http2.mlstatic.com/D_707240-MLA45597880661_042021-O.jpg,http://http2.mlstatic.com/D_665985-MLA45597894361_042021-O.jpg,http://http2.mlstatic.com/D_676655-MLA45597889462_042021-O.jpg,http://http2.mlstatic.com/D_692463-MLA45597904146_042021-O.jpg,http://http2.mlstatic.com/D_647985-MLA45597872872_042021-O.jpg,http://http2.mlstatic.com/D_766978-MLA45597889537_042021-O.jpg,http://http2.mlstatic.com/D_952606-MLA45597878750_042021-O.jpg,http://http2.mlstatic.com/D_626046-MLA45597885651_042021-O.jpg,http://http2.mlstatic.com/D_809004-MLA45597883656_042021-O.jpg,http://http2.mlstatic.com/D_797014-MLA45597886617_042021-O.jpg</t>
  </si>
  <si>
    <t>Requisa - Camuflado - 54</t>
  </si>
  <si>
    <t>Requisa - Camuflado - 52</t>
  </si>
  <si>
    <t>Pantalón Táctico Americana Rip Stop</t>
  </si>
  <si>
    <t>http://http2.mlstatic.com/D_739669-MLA47717301134_092021-O.jpg,http://http2.mlstatic.com/D_656598-MLA47717311090_092021-O.jpg,http://http2.mlstatic.com/D_796252-MLA47717260431_092021-O.jpg,http://http2.mlstatic.com/D_672238-MLA47717183978_092021-O.jpg,http://http2.mlstatic.com/D_859089-MLA48406973905_122021-O.jpg,http://http2.mlstatic.com/D_986694-MLA48407015646_122021-O.jpg,http://http2.mlstatic.com/D_880862-MLA48406961917_122021-O.jpg,http://http2.mlstatic.com/D_852249-MLA48406993773_122021-O.jpg,http://http2.mlstatic.com/D_656587-MLA48406958970_122021-O.jpg,http://http2.mlstatic.com/D_600773-MLA48406963988_122021-O.jpg</t>
  </si>
  <si>
    <t>http://http2.mlstatic.com/D_995981-MLA47717294269_092021-O.jpg,http://http2.mlstatic.com/D_908663-MLA47717277389_092021-O.jpg,http://http2.mlstatic.com/D_812650-MLA47717199960_092021-O.jpg,http://http2.mlstatic.com/D_728841-MLA47717260505_092021-O.jpg,http://http2.mlstatic.com/D_673529-MLA48407036546_122021-O.jpg,http://http2.mlstatic.com/D_811753-MLA48407042551_122021-O.jpg,http://http2.mlstatic.com/D_607228-MLA48407044554_122021-O.jpg,http://http2.mlstatic.com/D_645854-MLA48407007699_122021-O.jpg,http://http2.mlstatic.com/D_656796-MLA48407113136_122021-O.jpg,http://http2.mlstatic.com/D_633269-MLA48407126118_122021-O.jpg</t>
  </si>
  <si>
    <t>http://http2.mlstatic.com/D_653940-MLA47717336094_092021-O.jpg,http://http2.mlstatic.com/D_887627-MLA47717276517_092021-O.jpg,http://http2.mlstatic.com/D_703725-MLA47717324177_092021-O.jpg,http://http2.mlstatic.com/D_823665-MLA47717232829_092021-O.jpg,http://http2.mlstatic.com/D_830979-MLA48408389307_122021-O.jpg,http://http2.mlstatic.com/D_636766-MLA48408392295_122021-O.jpg,http://http2.mlstatic.com/D_952747-MLA48408410191_122021-O.jpg,http://http2.mlstatic.com/D_792835-MLA48408391252_122021-O.jpg,http://http2.mlstatic.com/D_789770-MLA48408314631_122021-O.jpg,http://http2.mlstatic.com/D_715914-MLA48408298756_122021-O.jpg</t>
  </si>
  <si>
    <t>http://http2.mlstatic.com/D_840713-MLA47717331116_092021-O.jpg,http://http2.mlstatic.com/D_645967-MLA47717260612_092021-O.jpg,http://http2.mlstatic.com/D_688595-MLA47717291373_092021-O.jpg,http://http2.mlstatic.com/D_887276-MLA47717287392_092021-O.jpg,http://http2.mlstatic.com/D_777190-MLA48406974000_122021-O.jpg,http://http2.mlstatic.com/D_603753-MLA48407058555_122021-O.jpg,http://http2.mlstatic.com/D_898090-MLA48406962997_122021-O.jpg,http://http2.mlstatic.com/D_608091-MLA48407015771_122021-O.jpg,http://http2.mlstatic.com/D_965122-MLA48407044629_122021-O.jpg,http://http2.mlstatic.com/D_899466-MLA48407141113_122021-O.jpg</t>
  </si>
  <si>
    <t>Pantalón Táctico Americana Rip Stop T:50-54</t>
  </si>
  <si>
    <t>http://http2.mlstatic.com/D_676141-MLA47717269766_092021-O.jpg,http://http2.mlstatic.com/D_694455-MLA47717368004_092021-O.jpg,http://http2.mlstatic.com/D_738359-MLA47717327351_092021-O.jpg,http://http2.mlstatic.com/D_977731-MLA47717287609_092021-O.jpg,http://http2.mlstatic.com/D_868696-MLA47717309453_092021-O.jpg,http://http2.mlstatic.com/D_857917-MLA47717327376_092021-O.jpg,http://http2.mlstatic.com/D_758476-MLA47717360065_092021-O.jpg,http://http2.mlstatic.com/D_984915-MLA47717360064_092021-O.jpg,http://http2.mlstatic.com/D_619753-MLA47717298498_092021-O.jpg,http://http2.mlstatic.com/D_855057-MLA47717309467_092021-O.jpg</t>
  </si>
  <si>
    <t>http://http2.mlstatic.com/D_727737-MLA47717250889_092021-O.jpg,http://http2.mlstatic.com/D_947265-MLA47717285558_092021-O.jpg,http://http2.mlstatic.com/D_687555-MLA47717270664_092021-O.jpg,http://http2.mlstatic.com/D_758130-MLA47717311390_092021-O.jpg,http://http2.mlstatic.com/D_770765-MLA47717311396_092021-O.jpg,http://http2.mlstatic.com/D_886839-MLA47717315418_092021-O.jpg,http://http2.mlstatic.com/D_939807-MLA47717327333_092021-O.jpg,http://http2.mlstatic.com/D_936331-MLA47717324312_092021-O.jpg,http://http2.mlstatic.com/D_732607-MLA47717331326_092021-O.jpg,http://http2.mlstatic.com/D_805470-MLA47717260771_092021-O.jpg</t>
  </si>
  <si>
    <t>http://http2.mlstatic.com/D_699330-MLA47717260823_092021-O.jpg,http://http2.mlstatic.com/D_698225-MLA47717287653_092021-O.jpg,http://http2.mlstatic.com/D_868901-MLA47717269817_092021-O.jpg,http://http2.mlstatic.com/D_709181-MLA47717298518_092021-O.jpg,http://http2.mlstatic.com/D_989669-MLA47717368060_092021-O.jpg,http://http2.mlstatic.com/D_955186-MLA47717287675_092021-O.jpg,http://http2.mlstatic.com/D_836312-MLA47717309498_092021-O.jpg,http://http2.mlstatic.com/D_779101-MLA47717277753_092021-O.jpg,http://http2.mlstatic.com/D_739783-MLA47717315496_092021-O.jpg,http://http2.mlstatic.com/D_998196-MLA47717303531_092021-O.jpg</t>
  </si>
  <si>
    <t>http://http2.mlstatic.com/D_740282-MLA47717281567_092021-O.jpg,http://http2.mlstatic.com/D_860114-MLA47717354012_092021-O.jpg,http://http2.mlstatic.com/D_611891-MLA47717266652_092021-O.jpg,http://http2.mlstatic.com/D_978162-MLA47717260730_092021-O.jpg,http://http2.mlstatic.com/D_649396-MLA47717310389_092021-O.jpg,http://http2.mlstatic.com/D_903352-MLA47717291514_092021-O.jpg,http://http2.mlstatic.com/D_923793-MLA47717223951_092021-O.jpg,http://http2.mlstatic.com/D_722373-MLA47717291517_092021-O.jpg,http://http2.mlstatic.com/D_933195-MLA47717291519_092021-O.jpg,http://http2.mlstatic.com/D_873871-MLA47717311375_092021-O.jpg</t>
  </si>
  <si>
    <t>Pantalón Táctico Antidesgarro Clásico Cargo</t>
  </si>
  <si>
    <t>Azul Neuquén - Liso - 42</t>
  </si>
  <si>
    <t>http://http2.mlstatic.com/D_630894-MLA47342707673_092021-O.jpg,http://http2.mlstatic.com/D_854126-MLA47342789327_092021-O.jpg,http://http2.mlstatic.com/D_762112-MLA47342650973_092021-O.jpg,http://http2.mlstatic.com/D_995645-MLA47342719648_092021-O.jpg,http://http2.mlstatic.com/D_973133-MLA45599623579_042021-O.jpg,http://http2.mlstatic.com/D_844947-MLA45599655341_042021-O.jpg,http://http2.mlstatic.com/D_716138-MLA45599655344_042021-O.jpg,http://http2.mlstatic.com/D_980795-MLA45599657285_042021-O.jpg,http://http2.mlstatic.com/D_683243-MLA45599640525_042021-O.jpg,http://http2.mlstatic.com/D_888628-MLA45599657289_042021-O.jpg</t>
  </si>
  <si>
    <t>Azul Neuquén - Liso - 46</t>
  </si>
  <si>
    <t>http://http2.mlstatic.com/D_788489-MLA47342760266_092021-O.jpg,http://http2.mlstatic.com/D_741106-MLA47342758321_092021-O.jpg,http://http2.mlstatic.com/D_761294-MLA47342740362_092021-O.jpg,http://http2.mlstatic.com/D_902739-MLA47342700593_092021-O.jpg,http://http2.mlstatic.com/D_615333-MLA47342760460_092021-O.jpg,http://http2.mlstatic.com/D_847146-MLA47342752481_092021-O.jpg,http://http2.mlstatic.com/D_650683-MLA47342760484_092021-O.jpg,http://http2.mlstatic.com/D_681697-MLA47342758541_092021-O.jpg,http://http2.mlstatic.com/D_697349-MLA47342758543_092021-O.jpg,http://http2.mlstatic.com/D_743441-MLA47342707731_092021-O.jpg</t>
  </si>
  <si>
    <t>Azul Neuquén - Liso - 48</t>
  </si>
  <si>
    <t>http://http2.mlstatic.com/D_618585-MLA47342741332_092021-O.jpg,http://http2.mlstatic.com/D_682085-MLA47342717459_092021-O.jpg,http://http2.mlstatic.com/D_773364-MLA47342731372_092021-O.jpg,http://http2.mlstatic.com/D_660377-MLA47342769238_092021-O.jpg,http://http2.mlstatic.com/D_796934-MLA45599657128_042021-O.jpg,http://http2.mlstatic.com/D_673205-MLA45599656277_042021-O.jpg,http://http2.mlstatic.com/D_608045-MLA45599655366_042021-O.jpg,http://http2.mlstatic.com/D_689466-MLA45599636568_042021-O.jpg,http://http2.mlstatic.com/D_889781-MLA45599650428_042021-O.jpg,http://http2.mlstatic.com/D_864307-MLA45599647466_042021-O.jpg</t>
  </si>
  <si>
    <t>http://http2.mlstatic.com/D_956818-MLA47342817087_092021-O.jpg,http://http2.mlstatic.com/D_874224-MLA47342731445_092021-O.jpg,http://http2.mlstatic.com/D_932659-MLA47342742386_092021-O.jpg,http://http2.mlstatic.com/D_888605-MLA47342784257_092021-O.jpg,http://http2.mlstatic.com/D_887515-MLA45599589682_042021-O.jpg,http://http2.mlstatic.com/D_703539-MLA45599636632_042021-O.jpg,http://http2.mlstatic.com/D_857328-MLA45599642581_042021-O.jpg,http://http2.mlstatic.com/D_965348-MLA45599623753_042021-O.jpg,http://http2.mlstatic.com/D_687307-MLA45599609858_042021-O.jpg,http://http2.mlstatic.com/D_965016-MLA45599655431_042021-O.jpg</t>
  </si>
  <si>
    <t>http://http2.mlstatic.com/D_964548-MLA47342740459_092021-O.jpg,http://http2.mlstatic.com/D_641630-MLA47342713623_092021-O.jpg,http://http2.mlstatic.com/D_905286-MLA47342760375_092021-O.jpg,http://http2.mlstatic.com/D_740999-MLA47342799257_092021-O.jpg,http://http2.mlstatic.com/D_786403-MLA45599650144_042021-O.jpg,http://http2.mlstatic.com/D_848057-MLA45599609824_042021-O.jpg,http://http2.mlstatic.com/D_979110-MLA45599636605_042021-O.jpg,http://http2.mlstatic.com/D_819370-MLA45599609830_042021-O.jpg,http://http2.mlstatic.com/D_756910-MLA45599623715_042021-O.jpg,http://http2.mlstatic.com/D_963660-MLA45599657360_042021-O.jpg</t>
  </si>
  <si>
    <t>Azul Neuquén - Liso - 44</t>
  </si>
  <si>
    <t>Azul Neuquén - Liso - 36</t>
  </si>
  <si>
    <t>Azul Neuquén - Liso - 38</t>
  </si>
  <si>
    <t>Beige - Liso - 34</t>
  </si>
  <si>
    <t>Beige - Liso - 48</t>
  </si>
  <si>
    <t>Azul Neuquén - Liso - 40</t>
  </si>
  <si>
    <t>Azul Neuquén - Liso - 34</t>
  </si>
  <si>
    <t>Pantalón Táctico Antidesgarro Clásico Cargo Premium</t>
  </si>
  <si>
    <t>Pantalón Táctico Antidesgarro Policía Neuquén</t>
  </si>
  <si>
    <t>http://http2.mlstatic.com/D_616771-MLA47410317801_092021-O.jpg,http://http2.mlstatic.com/D_837901-MLA47410493204_092021-O.jpg,http://http2.mlstatic.com/D_808072-MLA47410453331_092021-O.jpg,http://http2.mlstatic.com/D_664346-MLA47410516162_092021-O.jpg,http://http2.mlstatic.com/D_913372-MLA47410485255_092021-O.jpg,http://http2.mlstatic.com/D_738453-MLA47410303833_092021-O.jpg,http://http2.mlstatic.com/D_829510-MLA47410495209_092021-O.jpg,http://http2.mlstatic.com/D_854565-MLA47410502235_092021-O.jpg</t>
  </si>
  <si>
    <t>Pantalón Táctico Cargo Gabardina</t>
  </si>
  <si>
    <t>Gris Penitenciaría Federal - Liso - 40</t>
  </si>
  <si>
    <t>http://http2.mlstatic.com/D_975891-MLA45583820862_042021-O.jpg,http://http2.mlstatic.com/D_747202-MLA45535781580_042021-O.jpg,http://http2.mlstatic.com/D_986821-MLA45535781578_042021-O.jpg,http://http2.mlstatic.com/D_954934-MLA45597332118_042021-O.jpg,http://http2.mlstatic.com/D_684577-MLA45597313390_042021-O.jpg,http://http2.mlstatic.com/D_764803-MLA45597303619_042021-O.jpg,http://http2.mlstatic.com/D_736570-MLA45597292901_042021-O.jpg,http://http2.mlstatic.com/D_810124-MLA45597292904_042021-O.jpg</t>
  </si>
  <si>
    <t>Gris Penitenciaría Federal - Liso - 36</t>
  </si>
  <si>
    <t>Gris Penitenciaría Federal - Liso - 38</t>
  </si>
  <si>
    <t>http://http2.mlstatic.com/D_849720-MLA45583842422_042021-O.jpg,http://http2.mlstatic.com/D_774428-MLA45535781591_042021-O.jpg,http://http2.mlstatic.com/D_971721-MLA45583829864_042021-O.jpg,http://http2.mlstatic.com/D_973391-MLA45583846389_042021-O.jpg,http://http2.mlstatic.com/D_986821-MLA45535781578_042021-O.jpg,http://http2.mlstatic.com/D_974603-MLA45597282961_042021-O.jpg,http://http2.mlstatic.com/D_973689-MLA45597309297_042021-O.jpg,http://http2.mlstatic.com/D_624475-MLA45597282964_042021-O.jpg,http://http2.mlstatic.com/D_720137-MLA45597303461_042021-O.jpg,http://http2.mlstatic.com/D_971526-MLA45597309302_042021-O.jpg</t>
  </si>
  <si>
    <t>http://http2.mlstatic.com/D_925542-MLA45583829761_042021-O.jpg,http://http2.mlstatic.com/D_995498-MLA45535781572_042021-O.jpg,http://http2.mlstatic.com/D_937173-MLA45583845322_042021-O.jpg,http://http2.mlstatic.com/D_821130-MLA45583842331_042021-O.jpg,http://http2.mlstatic.com/D_986821-MLA45535781578_042021-O.jpg,http://http2.mlstatic.com/D_768613-MLA45597309370_042021-O.jpg,http://http2.mlstatic.com/D_679214-MLA45597303528_042021-O.jpg,http://http2.mlstatic.com/D_882845-MLA45597309365_042021-O.jpg,http://http2.mlstatic.com/D_721377-MLA45597318285_042021-O.jpg,http://http2.mlstatic.com/D_653023-MLA45597303535_042021-O.jpg</t>
  </si>
  <si>
    <t>http://http2.mlstatic.com/D_769672-MLA45535781584_042021-O.jpg,http://http2.mlstatic.com/D_913475-MLA45583834819_042021-O.jpg,http://http2.mlstatic.com/D_876209-MLA45535781581_042021-O.jpg,http://http2.mlstatic.com/D_855244-MLA45583845498_042021-O.jpg,http://http2.mlstatic.com/D_986821-MLA45535781578_042021-O.jpg,http://http2.mlstatic.com/D_907858-MLA45597314175_042021-O.jpg,http://http2.mlstatic.com/D_664810-MLA45597315151_042021-O.jpg,http://http2.mlstatic.com/D_646304-MLA45597315154_042021-O.jpg,http://http2.mlstatic.com/D_933437-MLA45597303369_042021-O.jpg,http://http2.mlstatic.com/D_644399-MLA45597313169_042021-O.jpg</t>
  </si>
  <si>
    <t>Gris Penitenciaría Federal - Liso - 42</t>
  </si>
  <si>
    <t>Gris Penitenciaría Federal - Liso - 48</t>
  </si>
  <si>
    <t>Gris Penitenciaría Federal - Liso - 44</t>
  </si>
  <si>
    <t>Gris Penitenciaría Federal - Liso - 34</t>
  </si>
  <si>
    <t>Gris Penitenciaría Federal - Liso - 46</t>
  </si>
  <si>
    <t>Gris - Liso - 62</t>
  </si>
  <si>
    <t>Azul - Liso - 66</t>
  </si>
  <si>
    <t>Gris - Liso - 64</t>
  </si>
  <si>
    <t>Azul - Liso - 64</t>
  </si>
  <si>
    <t>Azul - Liso - 62</t>
  </si>
  <si>
    <t>Gris Penitenciaría Federal - Liso - 62</t>
  </si>
  <si>
    <t>Gris Penitenciaría Federal - Liso - 66</t>
  </si>
  <si>
    <t>Negro - Liso - 66</t>
  </si>
  <si>
    <t>Gris Penitenciaría Federal - Liso - 64</t>
  </si>
  <si>
    <t>Negro - Liso - 62</t>
  </si>
  <si>
    <t>Negro - Liso - 64</t>
  </si>
  <si>
    <t>Gris - Liso - 66</t>
  </si>
  <si>
    <t>Pantalón Táctico Gabardina Kadima</t>
  </si>
  <si>
    <t>http://http2.mlstatic.com/D_990421-MLA47474467123_092021-O.jpg,http://http2.mlstatic.com/D_680048-MLA47474511078_092021-O.jpg,http://http2.mlstatic.com/D_609344-MLA47474128994_092021-O.jpg,http://http2.mlstatic.com/D_858173-MLA47474524057_092021-O.jpg</t>
  </si>
  <si>
    <t>http://http2.mlstatic.com/D_935800-MLA47474128976_092021-O.jpg,http://http2.mlstatic.com/D_893030-MLA47474464140_092021-O.jpg,http://http2.mlstatic.com/D_685803-MLA47474493095_092021-O.jpg,http://http2.mlstatic.com/D_849958-MLA47474128977_092021-O.jpg</t>
  </si>
  <si>
    <t>Pantalón Táctico Gabardina Kadima Premium</t>
  </si>
  <si>
    <t>http://http2.mlstatic.com/D_700869-MLA47474560153_092021-O.jpg,http://http2.mlstatic.com/D_922896-MLA47474466327_092021-O.jpg,http://http2.mlstatic.com/D_771806-MLA47474506307_092021-O.jpg,http://http2.mlstatic.com/D_850745-MLA47474477321_092021-O.jpg</t>
  </si>
  <si>
    <t>http://http2.mlstatic.com/D_896118-MLA47474493289_092021-O.jpg,http://http2.mlstatic.com/D_901988-MLA47474419431_092021-O.jpg,http://http2.mlstatic.com/D_691515-MLA47474483304_092021-O.jpg,http://http2.mlstatic.com/D_700384-MLA47474514265_092021-O.jpg</t>
  </si>
  <si>
    <t>Pantalón Táctico Jazak Rip Stop</t>
  </si>
  <si>
    <t>http://http2.mlstatic.com/D_918009-MLA45599677136_042021-O.jpg,http://http2.mlstatic.com/D_600433-MLA45599657665_042021-O.jpg,http://http2.mlstatic.com/D_785094-MLA45599642871_042021-O.jpg,http://http2.mlstatic.com/D_922434-MLA45599636918_042021-O.jpg,http://http2.mlstatic.com/D_912218-MLA48408871775_122021-O.jpg,http://http2.mlstatic.com/D_788986-MLA48408852974_122021-O.jpg,http://http2.mlstatic.com/D_921300-MLA48408871777_122021-O.jpg,http://http2.mlstatic.com/D_900831-MLA48408870743_122021-O.jpg,http://http2.mlstatic.com/D_866760-MLA48408927218_122021-O.jpg,http://http2.mlstatic.com/D_758491-MLA48408941045_122021-O.jpg</t>
  </si>
  <si>
    <t>http://http2.mlstatic.com/D_944179-MLA45599656884_042021-O.jpg,http://http2.mlstatic.com/D_777352-MLA45599650931_042021-O.jpg,http://http2.mlstatic.com/D_962675-MLA45599689041_042021-O.jpg,http://http2.mlstatic.com/D_666772-MLA45599688082_042021-O.jpg,http://http2.mlstatic.com/D_782204-MLA48408956104_122021-O.jpg,http://http2.mlstatic.com/D_641231-MLA48408920459_122021-O.jpg,http://http2.mlstatic.com/D_754487-MLA48408957077_122021-O.jpg,http://http2.mlstatic.com/D_708625-MLA48408911578_122021-O.jpg,http://http2.mlstatic.com/D_996736-MLA48408962077_122021-O.jpg,http://http2.mlstatic.com/D_923330-MLA48408867978_122021-O.jpg</t>
  </si>
  <si>
    <t>http://http2.mlstatic.com/D_777262-MLA45599642959_042021-O.jpg,http://http2.mlstatic.com/D_871964-MLA45599636989_042021-O.jpg,http://http2.mlstatic.com/D_859723-MLA45599656773_042021-O.jpg,http://http2.mlstatic.com/D_835204-MLA45599642957_042021-O.jpg,http://http2.mlstatic.com/D_851895-MLA48408879696_122021-O.jpg,http://http2.mlstatic.com/D_901186-MLA48408900460_122021-O.jpg,http://http2.mlstatic.com/D_872062-MLA48408913329_122021-O.jpg,http://http2.mlstatic.com/D_675569-MLA48408918275_122021-O.jpg,http://http2.mlstatic.com/D_611057-MLA48408839989_122021-O.jpg,http://http2.mlstatic.com/D_877320-MLA48408932172_122021-O.jpg</t>
  </si>
  <si>
    <t>http://http2.mlstatic.com/D_894033-MLA47496225714_092021-O.jpg,http://http2.mlstatic.com/D_820486-MLA47496252663_092021-O.jpg,http://http2.mlstatic.com/D_679178-MLA47496369421_092021-O.jpg,http://http2.mlstatic.com/D_996308-MLA48408948256_122021-O.jpg,http://http2.mlstatic.com/D_658794-MLA48408927491_122021-O.jpg,http://http2.mlstatic.com/D_686053-MLA48408917510_122021-O.jpg,http://http2.mlstatic.com/D_860316-MLA48408889867_122021-O.jpg,http://http2.mlstatic.com/D_817008-MLA48408946252_122021-O.jpg,http://http2.mlstatic.com/D_768349-MLA48408929482_122021-O.jpg</t>
  </si>
  <si>
    <t>Pantalón Táctico Jazak Rip Stop T:50-54</t>
  </si>
  <si>
    <t>http://http2.mlstatic.com/D_764872-MLA45599677781_042021-O.jpg,http://http2.mlstatic.com/D_683044-MLA45599707095_042021-O.jpg,http://http2.mlstatic.com/D_906261-MLA45599685545_042021-O.jpg,http://http2.mlstatic.com/D_992008-MLA45599685547_042021-O.jpg</t>
  </si>
  <si>
    <t>http://http2.mlstatic.com/D_889779-MLA45599677730_042021-O.jpg,http://http2.mlstatic.com/D_989761-MLA45599693310_042021-O.jpg,http://http2.mlstatic.com/D_723695-MLA45599693314_042021-O.jpg,http://http2.mlstatic.com/D_834999-MLA45599693315_042021-O.jpg</t>
  </si>
  <si>
    <t>http://http2.mlstatic.com/D_677654-MLA45599688610_042021-O.jpg,http://http2.mlstatic.com/D_773784-MLA45599677850_042021-O.jpg,http://http2.mlstatic.com/D_854583-MLA45599688612_042021-O.jpg,http://http2.mlstatic.com/D_994310-MLA45599694357_042021-O.jpg</t>
  </si>
  <si>
    <t>http://http2.mlstatic.com/D_796015-MLA47496223899_092021-O.jpg,http://http2.mlstatic.com/D_718373-MLA47496280722_092021-O.jpg,http://http2.mlstatic.com/D_673971-MLA47496170881_092021-O.jpg</t>
  </si>
  <si>
    <t>Pantalón Táctico Policía Río Negro Y Chubut</t>
  </si>
  <si>
    <t>http://http2.mlstatic.com/D_700224-MLA47410489413_092021-O.jpg,http://http2.mlstatic.com/D_648258-MLA47410578092_092021-O.jpg,http://http2.mlstatic.com/D_654345-MLA47410531315_092021-O.jpg,http://http2.mlstatic.com/D_911877-MLA47410531316_092021-O.jpg,http://http2.mlstatic.com/D_670064-MLA47410495438_092021-O.jpg,http://http2.mlstatic.com/D_660819-MLA47410471492_092021-O.jpg,http://http2.mlstatic.com/D_943100-MLA47410508461_092021-O.jpg,http://http2.mlstatic.com/D_939748-MLA47410452599_092021-O.jpg,http://http2.mlstatic.com/D_844848-MLA47410483483_092021-O.jpg,http://http2.mlstatic.com/D_847265-MLA47410539324_092021-O.jpg</t>
  </si>
  <si>
    <t>http://http2.mlstatic.com/D_913708-MLA47410550254_092021-O.jpg,http://http2.mlstatic.com/D_989814-MLA47410477463_092021-O.jpg,http://http2.mlstatic.com/D_700662-MLA47410549256_092021-O.jpg,http://http2.mlstatic.com/D_780587-MLA47410417709_092021-O.jpg,http://http2.mlstatic.com/D_630250-MLA47410503421_092021-O.jpg,http://http2.mlstatic.com/D_801843-MLA47410472487_092021-O.jpg,http://http2.mlstatic.com/D_778992-MLA47410488499_092021-O.jpg,http://http2.mlstatic.com/D_716794-MLA47410476486_092021-O.jpg,http://http2.mlstatic.com/D_708356-MLA47410464573_092021-O.jpg,http://http2.mlstatic.com/D_777374-MLA47410489456_092021-O.jpg</t>
  </si>
  <si>
    <t>Pantalón Táctico Policía Río Negro Y Chubut T:50-54</t>
  </si>
  <si>
    <t>http://http2.mlstatic.com/D_954058-MLA47410142544_092021-O.jpg,http://http2.mlstatic.com/D_643316-MLA47410158461_092021-O.jpg,http://http2.mlstatic.com/D_635120-MLA47410152507_092021-O.jpg,http://http2.mlstatic.com/D_765679-MLA47410095666_092021-O.jpg,http://http2.mlstatic.com/D_874194-MLA47410136508_092021-O.jpg,http://http2.mlstatic.com/D_858551-MLA47410262269_092021-O.jpg,http://http2.mlstatic.com/D_624915-MLA47410148488_092021-O.jpg,http://http2.mlstatic.com/D_893194-MLA47410179439_092021-O.jpg,http://http2.mlstatic.com/D_639858-MLA47410137553_092021-O.jpg,http://http2.mlstatic.com/D_777431-MLA47410156515_092021-O.jpg</t>
  </si>
  <si>
    <t>http://http2.mlstatic.com/D_765760-MLA47410317014_092021-O.jpg,http://http2.mlstatic.com/D_648569-MLA47410147511_092021-O.jpg,http://http2.mlstatic.com/D_985324-MLA47410115583_092021-O.jpg,http://http2.mlstatic.com/D_769765-MLA47410148448_092021-O.jpg,http://http2.mlstatic.com/D_987236-MLA47410165474_092021-O.jpg,http://http2.mlstatic.com/D_771407-MLA47410231321_092021-O.jpg,http://http2.mlstatic.com/D_901745-MLA47410137549_092021-O.jpg,http://http2.mlstatic.com/D_942874-MLA47410152522_092021-O.jpg,http://http2.mlstatic.com/D_777865-MLA47410262263_092021-O.jpg,http://http2.mlstatic.com/D_996471-MLA47410142560_092021-O.jpg</t>
  </si>
  <si>
    <t>Pantalón Táctico Policía Río Negro Y Chubut T:56-60</t>
  </si>
  <si>
    <t>http://http2.mlstatic.com/D_995050-MLA47410141380_092021-O.jpg,http://http2.mlstatic.com/D_811161-MLA47410231194_092021-O.jpg,http://http2.mlstatic.com/D_823810-MLA47410244183_092021-O.jpg,http://http2.mlstatic.com/D_929487-MLA47410189304_092021-O.jpg,http://http2.mlstatic.com/D_960102-MLA47410035900_092021-O.jpg,http://http2.mlstatic.com/D_671332-MLA47410179341_092021-O.jpg,http://http2.mlstatic.com/D_658520-MLA47410095595_092021-O.jpg,http://http2.mlstatic.com/D_982101-MLA47410137447_092021-O.jpg,http://http2.mlstatic.com/D_938410-MLA47410144424_092021-O.jpg,http://http2.mlstatic.com/D_681283-MLA47410187320_092021-O.jpg</t>
  </si>
  <si>
    <t>http://http2.mlstatic.com/D_846023-MLA47410144396_092021-O.jpg,http://http2.mlstatic.com/D_743852-MLA47410143407_092021-O.jpg,http://http2.mlstatic.com/D_954666-MLA47410165380_092021-O.jpg,http://http2.mlstatic.com/D_956237-MLA47410116449_092021-O.jpg,http://http2.mlstatic.com/D_975573-MLA47410158379_092021-O.jpg,http://http2.mlstatic.com/D_823680-MLA47410244233_092021-O.jpg,http://http2.mlstatic.com/D_619312-MLA47410115527_092021-O.jpg,http://http2.mlstatic.com/D_669757-MLA47410116491_092021-O.jpg,http://http2.mlstatic.com/D_999952-MLA47410127481_092021-O.jpg,http://http2.mlstatic.com/D_739738-MLA47410079642_092021-O.jpg</t>
  </si>
  <si>
    <t>Pantalón Verde Táctico Cargo Rip Stop Rerda</t>
  </si>
  <si>
    <t>http://http2.mlstatic.com/D_735071-MLA47588647449_092021-O.jpg,http://http2.mlstatic.com/D_735262-MLA47588647454_092021-O.jpg,http://http2.mlstatic.com/D_624071-MLA47588647452_092021-O.jpg</t>
  </si>
  <si>
    <t>Pantalón Verde Táctico Cargo Rip Stop Rerda T:50-54 Premium</t>
  </si>
  <si>
    <t>http://http2.mlstatic.com/D_849042-MLA47588644982_092021-O.jpg,http://http2.mlstatic.com/D_736380-MLA47588644986_092021-O.jpg,http://http2.mlstatic.com/D_885994-MLA47588644983_092021-O.jpg,http://http2.mlstatic.com/D_789623-MLA47588644989_092021-O.jpg,http://http2.mlstatic.com/D_853835-MLA47588644990_092021-O.jpg,http://http2.mlstatic.com/D_619161-MLA47588644985_092021-O.jpg,http://http2.mlstatic.com/D_907288-MLA47588644987_092021-O.jpg,http://http2.mlstatic.com/D_791045-MLA47588644984_092021-O.jpg,http://http2.mlstatic.com/D_821917-MLA47588644988_092021-O.jpg</t>
  </si>
  <si>
    <t>http://http2.mlstatic.com/D_789814-MLA45583637106_042021-O.jpg,http://http2.mlstatic.com/D_776483-MLA45583634212_042021-O.jpg,http://http2.mlstatic.com/D_775719-MLA45535786034_042021-O.jpg,http://http2.mlstatic.com/D_702966-MLA45535786029_042021-O.jpg,http://http2.mlstatic.com/D_806507-MLA45535786030_042021-O.jpg,http://http2.mlstatic.com/D_744785-MLA45535786033_042021-O.jpg</t>
  </si>
  <si>
    <t>Pistolera Automatic Holster Ah Bersa Thunder Pro Premium</t>
  </si>
  <si>
    <t>Pistolera Automatic Holster Beretta Px4 Storm N 5 Premium</t>
  </si>
  <si>
    <t>http://http2.mlstatic.com/D_830596-MLA46168608099_052021-O.jpg,http://http2.mlstatic.com/D_861566-MLA46168539636_052021-O.jpg,http://http2.mlstatic.com/D_822608-MLA46168610088_052021-O.jpg,http://http2.mlstatic.com/D_718821-MLA46168587239_052021-O.jpg,http://http2.mlstatic.com/D_866308-MLA46168587240_052021-O.jpg,http://http2.mlstatic.com/D_601614-MLA46168561804_052021-O.jpg,http://http2.mlstatic.com/D_682976-MLA46168561806_052021-O.jpg,http://http2.mlstatic.com/D_911761-MLA46168561812_052021-O.jpg,http://http2.mlstatic.com/D_864916-MLA46168561807_052021-O.jpg,http://http2.mlstatic.com/D_926829-MLA46168561803_052021-O.jpg</t>
  </si>
  <si>
    <t>Pistolera Automatic Holster Beretta Px4 Storm Nivel 5</t>
  </si>
  <si>
    <t>Pistolera Bersa Thunder Mini Termo Formada</t>
  </si>
  <si>
    <t>http://http2.mlstatic.com/D_881093-MLA46741493886_072021-O.jpg,http://http2.mlstatic.com/D_853096-MLA46741524675_072021-O.jpg,http://http2.mlstatic.com/D_737363-MLA46741477964_072021-O.jpg,http://http2.mlstatic.com/D_796489-MLA46741640109_072021-O.jpg,http://http2.mlstatic.com/D_869377-MLA46741550622_072021-O.jpg,http://http2.mlstatic.com/D_770102-MLA46741493911_072021-O.jpg,http://http2.mlstatic.com/D_739002-MLA46741596391_072021-O.jpg,http://http2.mlstatic.com/D_752123-MLA46741566559_072021-O.jpg,http://http2.mlstatic.com/D_802902-MLA46741627271_072021-O.jpg,http://http2.mlstatic.com/D_911531-MLA46741604369_072021-O.jpg</t>
  </si>
  <si>
    <t>http://http2.mlstatic.com/D_971976-MLA46741570483_072021-O.jpg,http://http2.mlstatic.com/D_760106-MLA46741627248_072021-O.jpg,http://http2.mlstatic.com/D_614774-MLA46741493889_072021-O.jpg,http://http2.mlstatic.com/D_689263-MLA46741653035_072021-O.jpg,http://http2.mlstatic.com/D_916999-MLA46741591417_072021-O.jpg,http://http2.mlstatic.com/D_915051-MLA46741627279_072021-O.jpg,http://http2.mlstatic.com/D_634157-MLA46741601391_072021-O.jpg,http://http2.mlstatic.com/D_936050-MLA46741572562_072021-O.jpg,http://http2.mlstatic.com/D_800954-MLA46741519814_072021-O.jpg</t>
  </si>
  <si>
    <t>Pistolera Bersa Thunder Pro Nivel De Seguridad 2</t>
  </si>
  <si>
    <t>http://http2.mlstatic.com/D_764138-MLA48037509955_102021-O.jpg,http://http2.mlstatic.com/D_819728-MLA48037637342_102021-O.jpg,http://http2.mlstatic.com/D_918193-MLA48037484971_102021-O.jpg,http://http2.mlstatic.com/D_631969-MLA48037701007_102021-O.jpg,http://http2.mlstatic.com/D_999027-MLA48037713004_102021-O.jpg,http://http2.mlstatic.com/D_976092-MLA48037633403_102021-O.jpg,http://http2.mlstatic.com/D_743646-MLA48037596548_102021-O.jpg,http://http2.mlstatic.com/D_838616-MLA48037509997_102021-O.jpg,http://http2.mlstatic.com/D_840492-MLA48037688102_102021-O.jpg</t>
  </si>
  <si>
    <t>http://http2.mlstatic.com/D_925120-MLA46368234574_062021-O.jpg,http://http2.mlstatic.com/D_900530-MLA46368234582_062021-O.jpg,http://http2.mlstatic.com/D_894264-MLA46368234575_062021-O.jpg,http://http2.mlstatic.com/D_899465-MLA46368234581_062021-O.jpg,http://http2.mlstatic.com/D_839925-MLA46368234583_062021-O.jpg,http://http2.mlstatic.com/D_710667-MLA46368234576_062021-O.jpg,http://http2.mlstatic.com/D_864452-MLA46368234578_062021-O.jpg,http://http2.mlstatic.com/D_624850-MLA46368234580_062021-O.jpg,http://http2.mlstatic.com/D_789139-MLA46368234577_062021-O.jpg,http://http2.mlstatic.com/D_934684-MLA46368234579_062021-O.jpg</t>
  </si>
  <si>
    <t>Pistolera Bersa Ultra Compact , Thunder, Pro Y Mini</t>
  </si>
  <si>
    <t>http://http2.mlstatic.com/D_907214-MLA46368234524_062021-O.jpg,http://http2.mlstatic.com/D_799977-MLA46368234525_062021-O.jpg,http://http2.mlstatic.com/D_726274-MLA46368234533_062021-O.jpg,http://http2.mlstatic.com/D_753479-MLA46368234526_062021-O.jpg,http://http2.mlstatic.com/D_745646-MLA46368234528_062021-O.jpg,http://http2.mlstatic.com/D_711326-MLA46368234531_062021-O.jpg,http://http2.mlstatic.com/D_745593-MLA46368234527_062021-O.jpg,http://http2.mlstatic.com/D_809976-MLA46368234529_062021-O.jpg,http://http2.mlstatic.com/D_977657-MLA46368234532_062021-O.jpg</t>
  </si>
  <si>
    <t>Pistolera Doble Seguro Universal Geo</t>
  </si>
  <si>
    <t>http://http2.mlstatic.com/D_948346-MLA46368233784_062021-O.jpg,http://http2.mlstatic.com/D_719117-MLA46368233780_062021-O.jpg,http://http2.mlstatic.com/D_860833-MLA46368233785_062021-O.jpg,http://http2.mlstatic.com/D_663574-MLA46368233782_062021-O.jpg,http://http2.mlstatic.com/D_757907-MLA46368233781_062021-O.jpg,http://http2.mlstatic.com/D_896683-MLA46368233778_062021-O.jpg,http://http2.mlstatic.com/D_737954-MLA46368233779_062021-O.jpg,http://http2.mlstatic.com/D_754324-MLA46368233783_062021-O.jpg,http://http2.mlstatic.com/D_675404-MLA46368233786_062021-O.jpg</t>
  </si>
  <si>
    <t>Pistolera Houston N2_41 Bersa Thunder Y Pro</t>
  </si>
  <si>
    <t>http://http2.mlstatic.com/D_707902-MLA46276746523_062021-O.jpg,http://http2.mlstatic.com/D_659345-MLA46276746518_062021-O.jpg,http://http2.mlstatic.com/D_717955-MLA46276746521_062021-O.jpg,http://http2.mlstatic.com/D_974444-MLA46276746524_062021-O.jpg,http://http2.mlstatic.com/D_963645-MLA46276746526_062021-O.jpg,http://http2.mlstatic.com/D_714941-MLA46276746525_062021-O.jpg,http://http2.mlstatic.com/D_724341-MLA46276746522_062021-O.jpg,http://http2.mlstatic.com/D_938157-MLA46276746519_062021-O.jpg,http://http2.mlstatic.com/D_682991-MLA46276746517_062021-O.jpg,http://http2.mlstatic.com/D_980287-MLA46276746520_062021-O.jpg</t>
  </si>
  <si>
    <t>Pistolera Houston Taurus Pt92/b92/96 Nivel 2</t>
  </si>
  <si>
    <t>http://http2.mlstatic.com/D_621740-MLA46276745715_062021-O.jpg,http://http2.mlstatic.com/D_990350-MLA46276745714_062021-O.jpg,http://http2.mlstatic.com/D_739280-MLA46276745711_062021-O.jpg,http://http2.mlstatic.com/D_801225-MLA46276745707_062021-O.jpg,http://http2.mlstatic.com/D_786004-MLA46276745712_062021-O.jpg,http://http2.mlstatic.com/D_605705-MLA46276745708_062021-O.jpg,http://http2.mlstatic.com/D_770197-MLA46276745713_062021-O.jpg,http://http2.mlstatic.com/D_637451-MLA46276745709_062021-O.jpg,http://http2.mlstatic.com/D_849403-MLA46276745710_062021-O.jpg</t>
  </si>
  <si>
    <t>Pistolera Interna De Gamuza</t>
  </si>
  <si>
    <t>http://http2.mlstatic.com/D_792354-MLA46368233754_062021-O.jpg,http://http2.mlstatic.com/D_636099-MLA46368233757_062021-O.jpg,http://http2.mlstatic.com/D_781661-MLA46368233751_062021-O.jpg,http://http2.mlstatic.com/D_913170-MLA46368233756_062021-O.jpg,http://http2.mlstatic.com/D_845265-MLA46368233753_062021-O.jpg,http://http2.mlstatic.com/D_630703-MLA46368233752_062021-O.jpg,http://http2.mlstatic.com/D_890203-MLA46368233755_062021-O.jpg</t>
  </si>
  <si>
    <t>Pistolera Nivel 2 Ajustable Bersa Thunder Y Pro</t>
  </si>
  <si>
    <t>http://http2.mlstatic.com/D_858397-MLA46368233830_062021-O.jpg,http://http2.mlstatic.com/D_967269-MLA46368233828_062021-O.jpg,http://http2.mlstatic.com/D_727383-MLA46368233825_062021-O.jpg,http://http2.mlstatic.com/D_713683-MLA46368233829_062021-O.jpg,http://http2.mlstatic.com/D_659349-MLA46368233827_062021-O.jpg,http://http2.mlstatic.com/D_751659-MLA46368233826_062021-O.jpg,http://http2.mlstatic.com/D_615897-MLA46368233831_062021-O.jpg,http://http2.mlstatic.com/D_712367-MLA46368233833_062021-O.jpg,http://http2.mlstatic.com/D_908041-MLA46368233832_062021-O.jpg</t>
  </si>
  <si>
    <t>Pistolera Nivel 2 Glock 17 Para Zurdo</t>
  </si>
  <si>
    <t>http://http2.mlstatic.com/D_709699-MLA46368233565_062021-O.jpg,http://http2.mlstatic.com/D_725919-MLA46368233570_062021-O.jpg,http://http2.mlstatic.com/D_616884-MLA46368233569_062021-O.jpg,http://http2.mlstatic.com/D_887108-MLA46368233571_062021-O.jpg,http://http2.mlstatic.com/D_684260-MLA46368233566_062021-O.jpg,http://http2.mlstatic.com/D_917675-MLA46368233564_062021-O.jpg,http://http2.mlstatic.com/D_957087-MLA46368233568_062021-O.jpg,http://http2.mlstatic.com/D_928889-MLA46368233563_062021-O.jpg,http://http2.mlstatic.com/D_874539-MLA46368233567_062021-O.jpg</t>
  </si>
  <si>
    <t>Pistolera Nivel 2 Polímero Glock 1719 Base Intercambiable</t>
  </si>
  <si>
    <t>http://http2.mlstatic.com/D_990166-MLA45597332996_042021-O.jpg,http://http2.mlstatic.com/D_758815-MLA45597332995_042021-O.jpg,http://http2.mlstatic.com/D_628330-MLA45597375157_042021-O.jpg,http://http2.mlstatic.com/D_781398-MLA45597318972_042021-O.jpg,http://http2.mlstatic.com/D_909501-MLA45597315994_042021-O.jpg,http://http2.mlstatic.com/D_688245-MLA45597332783_042021-O.jpg,http://http2.mlstatic.com/D_740951-MLA45597318976_042021-O.jpg,http://http2.mlstatic.com/D_947830-MLA45597318977_042021-O.jpg</t>
  </si>
  <si>
    <t>http://http2.mlstatic.com/D_681286-MLA48341438571_112021-O.jpg,http://http2.mlstatic.com/D_617629-MLA48341475334_112021-O.jpg,http://http2.mlstatic.com/D_802548-MLA48341468400_112021-O.jpg,http://http2.mlstatic.com/D_978002-MLA48341438573_112021-O.jpg,http://http2.mlstatic.com/D_620398-MLA48341502111_112021-O.jpg,http://http2.mlstatic.com/D_601844-MLA48341772739_112021-O.jpg,http://http2.mlstatic.com/D_803223-MLA48341763775_112021-O.jpg,http://http2.mlstatic.com/D_886178-MLA48341786603_112021-O.jpg,http://http2.mlstatic.com/D_879131-MLA48341768845_112021-O.jpg,http://http2.mlstatic.com/D_668367-MLA48341796537_112021-O.jpg</t>
  </si>
  <si>
    <t>Pistolera Nivel 5 Automatic Holster Glock</t>
  </si>
  <si>
    <t>http://http2.mlstatic.com/D_852826-MLA46368235474_062021-O.jpg,http://http2.mlstatic.com/D_680586-MLA46368235483_062021-O.jpg,http://http2.mlstatic.com/D_686185-MLA46368235482_062021-O.jpg,http://http2.mlstatic.com/D_667821-MLA46368235477_062021-O.jpg,http://http2.mlstatic.com/D_822632-MLA46368235480_062021-O.jpg,http://http2.mlstatic.com/D_941060-MLA46368235475_062021-O.jpg,http://http2.mlstatic.com/D_816375-MLA46368235478_062021-O.jpg,http://http2.mlstatic.com/D_872380-MLA46368235481_062021-O.jpg,http://http2.mlstatic.com/D_922720-MLA46368235476_062021-O.jpg,http://http2.mlstatic.com/D_982638-MLA46368235479_062021-O.jpg</t>
  </si>
  <si>
    <t>Pistolera Nivel 5 Automatic Holster Glock Premium</t>
  </si>
  <si>
    <t>Pistolera Nivel 5 PX4 Automatic Holster</t>
  </si>
  <si>
    <t>http://http2.mlstatic.com/D_689574-MLA46368234757_062021-O.jpg,http://http2.mlstatic.com/D_726597-MLA46368234754_062021-O.jpg,http://http2.mlstatic.com/D_949567-MLA46368234752_062021-O.jpg,http://http2.mlstatic.com/D_938570-MLA46368234753_062021-O.jpg,http://http2.mlstatic.com/D_828395-MLA46368234755_062021-O.jpg,http://http2.mlstatic.com/D_720455-MLA46368234759_062021-O.jpg,http://http2.mlstatic.com/D_789211-MLA46368234758_062021-O.jpg,http://http2.mlstatic.com/D_854135-MLA46368234751_062021-O.jpg,http://http2.mlstatic.com/D_787351-MLA46368234760_062021-O.jpg,http://http2.mlstatic.com/D_821680-MLA46368234756_062021-O.jpg</t>
  </si>
  <si>
    <t>Pistolera Nivel 5 PX4 Automatic Holster Premium</t>
  </si>
  <si>
    <t>http://http2.mlstatic.com/D_689574-MLA46368234757_062021-O.jpg,http://http2.mlstatic.com/D_726597-MLA46368234754_062021-O.jpg,http://http2.mlstatic.com/D_938570-MLA46368234753_062021-O.jpg,http://http2.mlstatic.com/D_949567-MLA46368234752_062021-O.jpg,http://http2.mlstatic.com/D_828395-MLA46368234755_062021-O.jpg,http://http2.mlstatic.com/D_720455-MLA46368234759_062021-O.jpg,http://http2.mlstatic.com/D_789211-MLA46368234758_062021-O.jpg,http://http2.mlstatic.com/D_854135-MLA46368234751_062021-O.jpg,http://http2.mlstatic.com/D_787351-MLA46368234760_062021-O.jpg,http://http2.mlstatic.com/D_821680-MLA46368234756_062021-O.jpg</t>
  </si>
  <si>
    <t>http://http2.mlstatic.com/D_830763-MLA46368235427_062021-O.jpg,http://http2.mlstatic.com/D_868671-MLA46368235426_062021-O.jpg,http://http2.mlstatic.com/D_969657-MLA46368235423_062021-O.jpg,http://http2.mlstatic.com/D_709793-MLA46368235424_062021-O.jpg,http://http2.mlstatic.com/D_843003-MLA46368235425_062021-O.jpg,http://http2.mlstatic.com/D_911781-MLA46368235429_062021-O.jpg,http://http2.mlstatic.com/D_958758-MLA46368235428_062021-O.jpg,http://http2.mlstatic.com/D_657772-MLA46368235430_062021-O.jpg,http://http2.mlstatic.com/D_767779-MLA46368235431_062021-O.jpg</t>
  </si>
  <si>
    <t>Pistolera Simple Multi Marca Y Universal</t>
  </si>
  <si>
    <t>http://http2.mlstatic.com/D_723983-MLA46567128156_062021-O.jpg,http://http2.mlstatic.com/D_851440-MLA46567147009_062021-O.jpg,http://http2.mlstatic.com/D_845743-MLA46567147041_062021-O.jpg,http://http2.mlstatic.com/D_884822-MLA46567147036_062021-O.jpg,http://http2.mlstatic.com/D_982879-MLA46567140094_062021-O.jpg,http://http2.mlstatic.com/D_868240-MLA46567119238_062021-O.jpg,http://http2.mlstatic.com/D_680406-MLA46567031975_062021-O.jpg</t>
  </si>
  <si>
    <t>http://http2.mlstatic.com/D_826570-MLA46567115257_062021-O.jpg,http://http2.mlstatic.com/D_980943-MLA46567077625_062021-O.jpg,http://http2.mlstatic.com/D_812777-MLA46567069734_062021-O.jpg,http://http2.mlstatic.com/D_626630-MLA46567082578_062021-O.jpg,http://http2.mlstatic.com/D_977741-MLA46567115280_062021-O.jpg,http://http2.mlstatic.com/D_952579-MLA46567085581_062021-O.jpg,http://http2.mlstatic.com/D_897857-MLA46567041959_062021-O.jpg</t>
  </si>
  <si>
    <t>http://http2.mlstatic.com/D_866326-MLA46443194972_062021-O.jpg,http://http2.mlstatic.com/D_949924-MLA46443263650_062021-O.jpg,http://http2.mlstatic.com/D_673545-MLA46443264730_062021-O.jpg,http://http2.mlstatic.com/D_719030-MLA46443542010_062021-O.jpg,http://http2.mlstatic.com/D_748438-MLA46443409989_062021-O.jpg,http://http2.mlstatic.com/D_839896-MLA46443417928_062021-O.jpg,http://http2.mlstatic.com/D_831883-MLA46443431852_062021-O.jpg,http://http2.mlstatic.com/D_737965-MLA46443418932_062021-O.jpg</t>
  </si>
  <si>
    <t>http://http2.mlstatic.com/D_819056-MLA46443247770_062021-O.jpg,http://http2.mlstatic.com/D_807458-MLA46443237790_062021-O.jpg,http://http2.mlstatic.com/D_899189-MLA46443227833_062021-O.jpg,http://http2.mlstatic.com/D_815216-MLA46443467679_062021-O.jpg,http://http2.mlstatic.com/D_608206-MLA46443418912_062021-O.jpg,http://http2.mlstatic.com/D_971660-MLA46443423839_062021-O.jpg,http://http2.mlstatic.com/D_730581-MLA46443445777_062021-O.jpg,http://http2.mlstatic.com/D_821506-MLA46443450801_062021-O.jpg</t>
  </si>
  <si>
    <t>Pistolera Todo Calibre Porta Cargador</t>
  </si>
  <si>
    <t>http://http2.mlstatic.com/D_702608-MLA46368235584_062021-O.jpg,http://http2.mlstatic.com/D_917402-MLA46368235585_062021-O.jpg,http://http2.mlstatic.com/D_807411-MLA46368235590_062021-O.jpg,http://http2.mlstatic.com/D_637790-MLA46368235587_062021-O.jpg,http://http2.mlstatic.com/D_825997-MLA46368235586_062021-O.jpg,http://http2.mlstatic.com/D_807573-MLA46368235591_062021-O.jpg,http://http2.mlstatic.com/D_843236-MLA46368235588_062021-O.jpg,http://http2.mlstatic.com/D_818460-MLA46368235589_062021-O.jpg</t>
  </si>
  <si>
    <t>Pistolera Táctica Nivel 2 Taurus Pt92</t>
  </si>
  <si>
    <t>http://http2.mlstatic.com/D_932805-MLA46368235291_062021-O.jpg,http://http2.mlstatic.com/D_718667-MLA46368235288_062021-O.jpg,http://http2.mlstatic.com/D_627837-MLA46368235294_062021-O.jpg,http://http2.mlstatic.com/D_629491-MLA46368235295_062021-O.jpg,http://http2.mlstatic.com/D_655263-MLA46368235287_062021-O.jpg,http://http2.mlstatic.com/D_979047-MLA46368235289_062021-O.jpg,http://http2.mlstatic.com/D_829287-MLA46368235293_062021-O.jpg,http://http2.mlstatic.com/D_732428-MLA46368235290_062021-O.jpg,http://http2.mlstatic.com/D_752078-MLA46368235286_062021-O.jpg,http://http2.mlstatic.com/D_734525-MLA46368235292_062021-O.jpg</t>
  </si>
  <si>
    <t>Pistolera Táctica Todo Calibre De Cuero</t>
  </si>
  <si>
    <t>http://http2.mlstatic.com/D_775979-MLA46368233733_062021-O.jpg,http://http2.mlstatic.com/D_712801-MLA46368233735_062021-O.jpg,http://http2.mlstatic.com/D_741310-MLA46368233740_062021-O.jpg,http://http2.mlstatic.com/D_695282-MLA46368233738_062021-O.jpg,http://http2.mlstatic.com/D_665737-MLA46368233736_062021-O.jpg,http://http2.mlstatic.com/D_756269-MLA46368233734_062021-O.jpg,http://http2.mlstatic.com/D_765929-MLA46368233737_062021-O.jpg,http://http2.mlstatic.com/D_869814-MLA46368233732_062021-O.jpg,http://http2.mlstatic.com/D_607383-MLA46368233741_062021-O.jpg,http://http2.mlstatic.com/D_984833-MLA46368233739_062021-O.jpg</t>
  </si>
  <si>
    <t>Pistolera Táctica Univesal Termoformada</t>
  </si>
  <si>
    <t>http://http2.mlstatic.com/D_949028-MLA46368233530_062021-O.jpg,http://http2.mlstatic.com/D_686619-MLA46368233532_062021-O.jpg,http://http2.mlstatic.com/D_925804-MLA46368233528_062021-O.jpg,http://http2.mlstatic.com/D_780386-MLA46368233533_062021-O.jpg,http://http2.mlstatic.com/D_679461-MLA46368233534_062021-O.jpg,http://http2.mlstatic.com/D_845118-MLA46368233535_062021-O.jpg,http://http2.mlstatic.com/D_988044-MLA46368233536_062021-O.jpg,http://http2.mlstatic.com/D_779107-MLA46368233531_062021-O.jpg,http://http2.mlstatic.com/D_657435-MLA46368233529_062021-O.jpg</t>
  </si>
  <si>
    <t>Pistolera Universal De Cuero</t>
  </si>
  <si>
    <t>http://http2.mlstatic.com/D_789288-MLA46386117119_062021-O.jpg,http://http2.mlstatic.com/D_975942-MLA46386076309_062021-O.jpg,http://http2.mlstatic.com/D_828671-MLA46368233573_062021-O.jpg,http://http2.mlstatic.com/D_809849-MLA46368233575_062021-O.jpg,http://http2.mlstatic.com/D_763450-MLA46368233576_062021-O.jpg,http://http2.mlstatic.com/D_955460-MLA46368233577_062021-O.jpg,http://http2.mlstatic.com/D_983973-MLA46368233578_062021-O.jpg</t>
  </si>
  <si>
    <t>http://http2.mlstatic.com/D_741640-MLA46368235248_062021-O.jpg,http://http2.mlstatic.com/D_984938-MLA46368235245_062021-O.jpg,http://http2.mlstatic.com/D_680222-MLA46368235247_062021-O.jpg,http://http2.mlstatic.com/D_933182-MLA46368235242_062021-O.jpg,http://http2.mlstatic.com/D_881673-MLA46368235244_062021-O.jpg,http://http2.mlstatic.com/D_952594-MLA46368235243_062021-O.jpg,http://http2.mlstatic.com/D_707506-MLA46368235246_062021-O.jpg</t>
  </si>
  <si>
    <t>Plataforma De Polímero Para Sistema Molle</t>
  </si>
  <si>
    <t>http://http2.mlstatic.com/D_703356-MLA45597366507_042021-O.jpg,http://http2.mlstatic.com/D_657210-MLA45597357635_042021-O.jpg,http://http2.mlstatic.com/D_821876-MLA45597366504_042021-O.jpg,http://http2.mlstatic.com/D_737915-MLA45597373393_042021-O.jpg,http://http2.mlstatic.com/D_795407-MLA45597373444_042021-O.jpg,http://http2.mlstatic.com/D_882009-MLA45597372455_042021-O.jpg,http://http2.mlstatic.com/D_668749-MLA45597373448_042021-O.jpg,http://http2.mlstatic.com/D_983823-MLA45597342994_042021-O.jpg,http://http2.mlstatic.com/D_979519-MLA45597377396_042021-O.jpg</t>
  </si>
  <si>
    <t>http://http2.mlstatic.com/D_661297-MLA46276746458_062021-O.jpg,http://http2.mlstatic.com/D_862572-MLA46276746460_062021-O.jpg,http://http2.mlstatic.com/D_958277-MLA46276746459_062021-O.jpg,http://http2.mlstatic.com/D_772358-MLA46276746455_062021-O.jpg,http://http2.mlstatic.com/D_881348-MLA46276746461_062021-O.jpg,http://http2.mlstatic.com/D_780578-MLA46276746456_062021-O.jpg,http://http2.mlstatic.com/D_651927-MLA46276746464_062021-O.jpg,http://http2.mlstatic.com/D_729310-MLA46276746462_062021-O.jpg,http://http2.mlstatic.com/D_675059-MLA46276746463_062021-O.jpg,http://http2.mlstatic.com/D_772871-MLA46276746457_062021-O.jpg</t>
  </si>
  <si>
    <t>Porta Cargador Doble Houston Rp113</t>
  </si>
  <si>
    <t>http://http2.mlstatic.com/D_912026-MLA46301998445_062021-O.jpg,http://http2.mlstatic.com/D_664650-MLA46301998448_062021-O.jpg,http://http2.mlstatic.com/D_973847-MLA46301998447_062021-O.jpg,http://http2.mlstatic.com/D_898858-MLA46301998443_062021-O.jpg,http://http2.mlstatic.com/D_824571-MLA46301998444_062021-O.jpg,http://http2.mlstatic.com/D_892231-MLA46301998449_062021-O.jpg,http://http2.mlstatic.com/D_805493-MLA46301998446_062021-O.jpg,http://http2.mlstatic.com/D_963935-MLA46301998441_062021-O.jpg,http://http2.mlstatic.com/D_782569-MLA46301998442_062021-O.jpg</t>
  </si>
  <si>
    <t>Porta Tonfa Con Aro De Metal Rerda</t>
  </si>
  <si>
    <t>http://http2.mlstatic.com/D_825005-MLA47064726814_082021-O.jpg,http://http2.mlstatic.com/D_981335-MLA47064721831_082021-O.jpg,http://http2.mlstatic.com/D_968827-MLA47064904041_082021-O.jpg,http://http2.mlstatic.com/D_756221-MLA47064847720_082021-O.jpg,http://http2.mlstatic.com/D_749764-MLA47064876536_082021-O.jpg,http://http2.mlstatic.com/D_777505-MLA47064982065_082021-O.jpg,http://http2.mlstatic.com/D_648164-MLA47064767956_082021-O.jpg,http://http2.mlstatic.com/D_988829-MLA47064904383_082021-O.jpg</t>
  </si>
  <si>
    <t>Porta Tonfa Con Aro De Metal Rerda Premium</t>
  </si>
  <si>
    <t>http://http2.mlstatic.com/D_825005-MLA47064726814_082021-O.jpg,http://http2.mlstatic.com/D_981335-MLA47064721831_082021-O.jpg,http://http2.mlstatic.com/D_968827-MLA47064904041_082021-O.jpg,http://http2.mlstatic.com/D_957624-MLA47064917441_082021-O.jpg,http://http2.mlstatic.com/D_619681-MLA47064912454_082021-O.jpg,http://http2.mlstatic.com/D_930053-MLA47064817885_082021-O.jpg,http://http2.mlstatic.com/D_666889-MLA47064974151_082021-O.jpg,http://http2.mlstatic.com/D_806633-MLA47064847792_082021-O.jpg</t>
  </si>
  <si>
    <t>Pouch Botiquín Táctico Sistema Molle</t>
  </si>
  <si>
    <t>http://http2.mlstatic.com/D_769347-MLA46570831726_062021-O.jpg,http://http2.mlstatic.com/D_974591-MLA46570831729_062021-O.jpg,http://http2.mlstatic.com/D_885518-MLA46570831722_062021-O.jpg,http://http2.mlstatic.com/D_799884-MLA46570831730_062021-O.jpg,http://http2.mlstatic.com/D_771100-MLA46570831724_062021-O.jpg,http://http2.mlstatic.com/D_955134-MLA46570831725_062021-O.jpg,http://http2.mlstatic.com/D_921380-MLA46570831728_062021-O.jpg,http://http2.mlstatic.com/D_622814-MLA46570831723_062021-O.jpg,http://http2.mlstatic.com/D_755623-MLA46570831731_062021-O.jpg,http://http2.mlstatic.com/D_667590-MLA46570831727_062021-O.jpg</t>
  </si>
  <si>
    <t>Pouch Porta Elementos Grande Sistema Molle</t>
  </si>
  <si>
    <t>http://http2.mlstatic.com/D_833245-MLA46570832595_062021-O.jpg,http://http2.mlstatic.com/D_721034-MLA46570832597_062021-O.jpg,http://http2.mlstatic.com/D_728116-MLA46570832593_062021-O.jpg,http://http2.mlstatic.com/D_763200-MLA46570832598_062021-O.jpg,http://http2.mlstatic.com/D_745148-MLA46570832599_062021-O.jpg,http://http2.mlstatic.com/D_913752-MLA46570832592_062021-O.jpg,http://http2.mlstatic.com/D_761452-MLA46570832596_062021-O.jpg,http://http2.mlstatic.com/D_765808-MLA46570832594_062021-O.jpg</t>
  </si>
  <si>
    <t>http://http2.mlstatic.com/D_639773-MLA46897941078_072021-O.jpg,http://http2.mlstatic.com/D_734040-MLA46897838623_072021-O.jpg,http://http2.mlstatic.com/D_893283-MLA46897893295_072021-O.jpg</t>
  </si>
  <si>
    <t>http://http2.mlstatic.com/D_638421-MLA46897844801_072021-O.jpg</t>
  </si>
  <si>
    <t>http://http2.mlstatic.com/D_922924-MLA46570831785_062021-O.jpg,http://http2.mlstatic.com/D_819984-MLA46897841591_072021-O.jpg</t>
  </si>
  <si>
    <t>http://http2.mlstatic.com/D_717202-MLA46897941255_072021-O.jpg,http://http2.mlstatic.com/D_680167-MLA46570831783_062021-O.jpg,http://http2.mlstatic.com/D_656679-MLA46570831789_062021-O.jpg</t>
  </si>
  <si>
    <t>http://http2.mlstatic.com/D_720693-MLA46570831798_062021-O.jpg,http://http2.mlstatic.com/D_714229-MLA46897814492_072021-O.jpg,http://http2.mlstatic.com/D_991712-MLA46570831790_062021-O.jpg,http://http2.mlstatic.com/D_738150-MLA46897840501_072021-O.jpg</t>
  </si>
  <si>
    <t>http://http2.mlstatic.com/D_895702-MLA46897929322_072021-O.jpg</t>
  </si>
  <si>
    <t>http://http2.mlstatic.com/D_919567-MLA46897850983_072021-O.jpg,http://http2.mlstatic.com/D_643105-MLA46897967281_072021-O.jpg,http://http2.mlstatic.com/D_969321-MLA46897870808_072021-O.jpg,http://http2.mlstatic.com/D_847552-MLA46897929467_072021-O.jpg</t>
  </si>
  <si>
    <t>Rabiza Antiperdida De Broche Con Abrojo</t>
  </si>
  <si>
    <t>http://http2.mlstatic.com/D_664630-MLA46723825964_072021-O.jpg,http://http2.mlstatic.com/D_971054-MLA46723825963_072021-O.jpg,http://http2.mlstatic.com/D_931232-MLA46723825961_072021-O.jpg,http://http2.mlstatic.com/D_653036-MLA46723825960_072021-O.jpg,http://http2.mlstatic.com/D_777346-MLA46723825962_072021-O.jpg,http://http2.mlstatic.com/D_910543-MLA46723825967_072021-O.jpg,http://http2.mlstatic.com/D_888991-MLA46723825965_072021-O.jpg,http://http2.mlstatic.com/D_783778-MLA46723825966_072021-O.jpg,http://http2.mlstatic.com/D_948306-MLA46723825968_072021-O.jpg</t>
  </si>
  <si>
    <t>Rabiza Antipérdida Con Abrojo Táctica</t>
  </si>
  <si>
    <t>http://http2.mlstatic.com/D_934508-MLA45597695729_042021-O.jpg,http://http2.mlstatic.com/D_776387-MLA45597690797_042021-O.jpg,http://http2.mlstatic.com/D_705248-MLA45597693764_042021-O.jpg,http://http2.mlstatic.com/D_928764-MLA45597700643_042021-O.jpg,http://http2.mlstatic.com/D_932152-MLA45597682971_042021-O.jpg,http://http2.mlstatic.com/D_970080-MLA45597696808_042021-O.jpg,http://http2.mlstatic.com/D_620302-MLA45597700716_042021-O.jpg,http://http2.mlstatic.com/D_716809-MLA45597704672_042021-O.jpg,http://http2.mlstatic.com/D_911569-MLA45597716315_042021-O.jpg,http://http2.mlstatic.com/D_671231-MLA45597700719_042021-O.jpg</t>
  </si>
  <si>
    <t>https://d17riqmt8yes2m.cloudfront.net/images/245815/373028406098.jpg,https://d17riqmt8yes2m.cloudfront.net/images/245815/967102072150.jpg,https://d17riqmt8yes2m.cloudfront.net/images/245815/700359009173.jpg</t>
  </si>
  <si>
    <t>Remera Manga Corta Con Estampa Policía Azul</t>
  </si>
  <si>
    <t>https://edgardoraul.github.io/imagenes_rerda/2220292/1.jpg,https://edgardoraul.github.io/imagenes_rerda/2220292/2.jpg,https://edgardoraul.github.io/imagenes_rerda/2220292/3.jpg,https://edgardoraul.github.io/imagenes_rerda/2220292/4.jpg,https://edgardoraul.github.io/imagenes_rerda/2220292/tabla.jpg</t>
  </si>
  <si>
    <t>Remera Manga Corta Con Estampa Policía Negro</t>
  </si>
  <si>
    <t>https://edgardoraul.github.io/imagenes_rerda/2220456/1.jpg,https://edgardoraul.github.io/imagenes_rerda/2220456/2.jpg,https://edgardoraul.github.io/imagenes_rerda/2220456/3.jpg,https://edgardoraul.github.io/imagenes_rerda/2220456/4.jpg,https://edgardoraul.github.io/imagenes_rerda/2220456/tabla.jpg</t>
  </si>
  <si>
    <t>Remera Mangas Cortas De Combate Con Cierre</t>
  </si>
  <si>
    <t>https://edgardoraul.github.io/imagenes_rerda/2101877/1.jpg,https://edgardoraul.github.io/imagenes_rerda/2101877/2.jpg,https://edgardoraul.github.io/imagenes_rerda/2101877/tabla.jpg</t>
  </si>
  <si>
    <t>https://edgardoraul.github.io/imagenes_rerda/2101750/1.jpg,https://edgardoraul.github.io/imagenes_rerda/2101750/2.jpg,https://edgardoraul.github.io/imagenes_rerda/2101750/3.jpg,https://edgardoraul.github.io/imagenes_rerda/2101750/4.jpg,https://edgardoraul.github.io/imagenes_rerda/2101750/5.jpg,https://edgardoraul.github.io/imagenes_rerda/2101750/tabla.jpg</t>
  </si>
  <si>
    <t>https://edgardoraul.github.io/imagenes_rerda/2101495/1.jpg,https://edgardoraul.github.io/imagenes_rerda/2101495/2.jpg,https://edgardoraul.github.io/imagenes_rerda/2101495/3.jpg,https://edgardoraul.github.io/imagenes_rerda/2101495/4.jpg,https://edgardoraul.github.io/imagenes_rerda/2101495/5.jpg,https://edgardoraul.github.io/imagenes_rerda/2101495/tabla.jpg</t>
  </si>
  <si>
    <t>https://edgardoraul.github.io/imagenes_rerda/2101900/1.jpg,https://edgardoraul.github.io/imagenes_rerda/2101900/2.jpg,https://edgardoraul.github.io/imagenes_rerda/2101900/3.jpg,https://edgardoraul.github.io/imagenes_rerda/2101900/4.jpg,https://edgardoraul.github.io/imagenes_rerda/2101900/5.jpg,https://edgardoraul.github.io/imagenes_rerda/2101900/tabla.jpg</t>
  </si>
  <si>
    <t>Blanca - Liso - XXL</t>
  </si>
  <si>
    <t>https://edgardoraul.github.io/imagenes_rerda/2101100/1.jpg,https://edgardoraul.github.io/imagenes_rerda/2101100/2.jpg,https://edgardoraul.github.io/imagenes_rerda/2101100/3.jpg,https://edgardoraul.github.io/imagenes_rerda/2101100/4.jpg,https://edgardoraul.github.io/imagenes_rerda/2101100/tabla.jpg</t>
  </si>
  <si>
    <t>Blanca - Liso - M</t>
  </si>
  <si>
    <t>Blanca - Liso - XS</t>
  </si>
  <si>
    <t>Blanca - Liso - XL</t>
  </si>
  <si>
    <t>Blanca - Liso - L</t>
  </si>
  <si>
    <t>Blanca - Liso - 3XS</t>
  </si>
  <si>
    <t>Blanca - Liso - S</t>
  </si>
  <si>
    <t>Blanca - Liso - XXS</t>
  </si>
  <si>
    <t>Remera Mangas Cortas De Combate Con Cierre T:3xl-5xl</t>
  </si>
  <si>
    <t>Beige - Liso - 3XL</t>
  </si>
  <si>
    <t>Beige - Liso - 5XL</t>
  </si>
  <si>
    <t>Blanca - Liso - 3XL</t>
  </si>
  <si>
    <t>Blanca - Liso - 5XL</t>
  </si>
  <si>
    <t>Blanca - Liso - 4XL</t>
  </si>
  <si>
    <t>Beige - Liso - 4XL</t>
  </si>
  <si>
    <t>Remera Mangas Largas De Combate Con Cierre</t>
  </si>
  <si>
    <t>https://edgardoraul.github.io/imagenes_rerda/2101496/1.jpg,https://edgardoraul.github.io/imagenes_rerda/2101496/2.jpg,https://edgardoraul.github.io/imagenes_rerda/2101496/3.jpg,https://edgardoraul.github.io/imagenes_rerda/2101496/4.jpg,https://edgardoraul.github.io/imagenes_rerda/2101496/5.jpg,https://edgardoraul.github.io/imagenes_rerda/2101496/6.jpg,https://edgardoraul.github.io/imagenes_rerda/2101496/7.jpg,https://edgardoraul.github.io/imagenes_rerda/2101496/8.jpg,https://edgardoraul.github.io/imagenes_rerda/2101496/tabla.jpg</t>
  </si>
  <si>
    <t>https://edgardoraul.github.io/imagenes_rerda/2101901/1.jpg,https://edgardoraul.github.io/imagenes_rerda/2101901/2.jpg,https://edgardoraul.github.io/imagenes_rerda/2101901/3.jpg,https://edgardoraul.github.io/imagenes_rerda/2101901/4.jpg,https://edgardoraul.github.io/imagenes_rerda/2101901/5.jpg,https://edgardoraul.github.io/imagenes_rerda/2101901/6.jpg,https://edgardoraul.github.io/imagenes_rerda/2101901/7.jpg,https://edgardoraul.github.io/imagenes_rerda/2101901/8.jpg,https://edgardoraul.github.io/imagenes_rerda/2101901/tabla.jpg</t>
  </si>
  <si>
    <t>http://http2.mlstatic.com/D_682209-MLA45583715561_042021-O.jpg,http://http2.mlstatic.com/D_715741-MLA45535785289_042021-O.jpg,http://http2.mlstatic.com/D_942126-MLA45583674920_042021-O.jpg,http://http2.mlstatic.com/D_668153-MLA45583736080_042021-O.jpg,http://http2.mlstatic.com/D_951033-MLA45583727336_042021-O.jpg,http://http2.mlstatic.com/D_992345-MLA45535785285_042021-O.jpg,http://http2.mlstatic.com/D_973588-MLA45535785275_042021-O.jpg,http://http2.mlstatic.com/D_950866-MLA45535785282_042021-O.jpg</t>
  </si>
  <si>
    <t>https://edgardoraul.github.io/imagenes_rerda/2101751/1.jpg,https://edgardoraul.github.io/imagenes_rerda/2101751/2.jpg,https://edgardoraul.github.io/imagenes_rerda/2101751/3.jpg,https://edgardoraul.github.io/imagenes_rerda/2101751/4.jpg,https://edgardoraul.github.io/imagenes_rerda/2101751/5.jpg,https://edgardoraul.github.io/imagenes_rerda/2101751/6.jpg,https://edgardoraul.github.io/imagenes_rerda/2101751/7.jpg,https://edgardoraul.github.io/imagenes_rerda/2101751/8.jpg,https://edgardoraul.github.io/imagenes_rerda/2101751/tabla.jpg</t>
  </si>
  <si>
    <t>http://http2.mlstatic.com/D_714304-MLA45535785274_042021-O.jpg,http://http2.mlstatic.com/D_670453-MLA45535785278_042021-O.jpg,http://http2.mlstatic.com/D_818411-MLA45535785290_042021-O.jpg,http://http2.mlstatic.com/D_616429-MLA45583727109_042021-O.jpg,http://http2.mlstatic.com/D_702323-MLA45583658934_042021-O.jpg,http://http2.mlstatic.com/D_992345-MLA45535785285_042021-O.jpg,http://http2.mlstatic.com/D_973588-MLA45535785275_042021-O.jpg,http://http2.mlstatic.com/D_950866-MLA45535785282_042021-O.jpg</t>
  </si>
  <si>
    <t>Remera Mangas Largas De Combate Con Cierre Premium</t>
  </si>
  <si>
    <t>Remera Mangas Largas De Combate Con Cierre T:3xl-5xl</t>
  </si>
  <si>
    <t>Remera Policia Anti Desgarro Con Abrojos Azul</t>
  </si>
  <si>
    <t>https://d17riqmt8yes2m.cloudfront.net/images/245815/693026441694.jpg,https://d17riqmt8yes2m.cloudfront.net/images/245815/568655697513.jpg,https://d17riqmt8yes2m.cloudfront.net/images/245815/153636310368.jpg,https://d17riqmt8yes2m.cloudfront.net/images/245815/546479069999.jpg</t>
  </si>
  <si>
    <t>Remera Policia Anti Desgarro Con Abrojos Negra</t>
  </si>
  <si>
    <t>https://d17riqmt8yes2m.cloudfront.net/images/245815/323304547374.jpg,https://d17riqmt8yes2m.cloudfront.net/images/245815/880489287552.jpg,https://d17riqmt8yes2m.cloudfront.net/images/245815/603115999300.jpg,https://d17riqmt8yes2m.cloudfront.net/images/245815/227418152998.jpg</t>
  </si>
  <si>
    <t>Tricota Policial De Lana Cuello Escote En V</t>
  </si>
  <si>
    <t>http://http2.mlstatic.com/D_935112-MLA46390235680_062021-O.jpg,http://http2.mlstatic.com/D_951890-MLA46390201881_062021-O.jpg,http://http2.mlstatic.com/D_695305-MLA46390218745_062021-O.jpg,http://http2.mlstatic.com/D_659662-MLA46390242711_062021-O.jpg,http://http2.mlstatic.com/D_949679-MLA46390224747_062021-O.jpg,http://http2.mlstatic.com/D_662190-MLA46390188943_062021-O.jpg,http://http2.mlstatic.com/D_866467-MLA46390364355_062021-O.jpg,http://http2.mlstatic.com/D_739968-MLA46390186936_062021-O.jpg,http://http2.mlstatic.com/D_784384-MLA46390237622_062021-O.jpg,http://http2.mlstatic.com/D_776901-MLA46390286531_062021-O.jpg</t>
  </si>
  <si>
    <t>http://http2.mlstatic.com/D_810212-MLA46389895659_062021-O.jpg,http://http2.mlstatic.com/D_982686-MLA46389884700_062021-O.jpg,http://http2.mlstatic.com/D_953892-MLA46390433066_062021-O.jpg,http://http2.mlstatic.com/D_996578-MLA46390240425_062021-O.jpg,http://http2.mlstatic.com/D_963046-MLA46390256341_062021-O.jpg,http://http2.mlstatic.com/D_721499-MLA46390358074_062021-O.jpg,http://http2.mlstatic.com/D_807087-MLA46390235463_062021-O.jpg,http://http2.mlstatic.com/D_862843-MLA46390280245_062021-O.jpg</t>
  </si>
  <si>
    <t>Tricota Policial De Lana Cuello Polera Forrada</t>
  </si>
  <si>
    <t>https://edgardoraul.github.io/imagenes_rerda/2301888/1.jpg,https://edgardoraul.github.io/imagenes_rerda/2301888/2.jpg,https://edgardoraul.github.io/imagenes_rerda/2301888/3.jpg,https://edgardoraul.github.io/imagenes_rerda/2301888/4.jpg,https://edgardoraul.github.io/imagenes_rerda/2301888/5.jpg,https://edgardoraul.github.io/imagenes_rerda/2301888/6.jpg,https://edgardoraul.github.io/imagenes_rerda/2301888/7.jpg,https://edgardoraul.github.io/imagenes_rerda/2301888/8.jpg,https://edgardoraul.github.io/imagenes_rerda/2301888/tabla.jpg</t>
  </si>
  <si>
    <t>Verde - 4XL</t>
  </si>
  <si>
    <t>https://edgardoraul.github.io/imagenes_rerda/2301300/1.jpg,https://edgardoraul.github.io/imagenes_rerda/2301300/2.jpg,https://edgardoraul.github.io/imagenes_rerda/2301300/3.jpg,https://edgardoraul.github.io/imagenes_rerda/2301300/4.jpg,https://edgardoraul.github.io/imagenes_rerda/2301300/5.jpg,https://edgardoraul.github.io/imagenes_rerda/2301300/6.jpg,https://edgardoraul.github.io/imagenes_rerda/2301300/7.jpg,https://edgardoraul.github.io/imagenes_rerda/2301300/tabla.jpg</t>
  </si>
  <si>
    <t>https://edgardoraul.github.io/imagenes_rerda/2301048/1.jpg,https://edgardoraul.github.io/imagenes_rerda/2301048/2.jpg,https://edgardoraul.github.io/imagenes_rerda/2301048/3.jpg,https://edgardoraul.github.io/imagenes_rerda/2301048/4.jpg,https://edgardoraul.github.io/imagenes_rerda/2301048/5.jpg,https://edgardoraul.github.io/imagenes_rerda/2301048/6.jpg,https://edgardoraul.github.io/imagenes_rerda/2301048/7.jpg,https://edgardoraul.github.io/imagenes_rerda/2301048/tabla.jpg</t>
  </si>
  <si>
    <t>https://edgardoraul.github.io/imagenes_rerda/2301158/1.jpg,https://edgardoraul.github.io/imagenes_rerda/2301158/2.jpg,https://edgardoraul.github.io/imagenes_rerda/2301158/3.jpg,https://edgardoraul.github.io/imagenes_rerda/2301158/4.jpg,https://edgardoraul.github.io/imagenes_rerda/2301158/5.jpg,https://edgardoraul.github.io/imagenes_rerda/2301158/6.jpg,https://edgardoraul.github.io/imagenes_rerda/2301158/7.jpg,https://edgardoraul.github.io/imagenes_rerda/2301158/tabla.jpg</t>
  </si>
  <si>
    <t>Verde - XXS</t>
  </si>
  <si>
    <t>Verde - 3XL</t>
  </si>
  <si>
    <t>Verde - 3XS</t>
  </si>
  <si>
    <t>Verde - 5XL</t>
  </si>
  <si>
    <t>Verde - XS</t>
  </si>
  <si>
    <t>Tricota Policial De Lana Cuello Redondo Forrada</t>
  </si>
  <si>
    <t>https://edgardoraul.github.io/imagenes_rerda/2301900/1.jpg,https://edgardoraul.github.io/imagenes_rerda/2301900/2.jpg,https://edgardoraul.github.io/imagenes_rerda/2301900/3.jpg,https://edgardoraul.github.io/imagenes_rerda/2301900/tabla.jpg</t>
  </si>
  <si>
    <t>https://edgardoraul.github.io/imagenes_rerda/2301333/1.jpg,https://edgardoraul.github.io/imagenes_rerda/2301333/2.jpg,https://edgardoraul.github.io/imagenes_rerda/2301333/3.jpg,https://edgardoraul.github.io/imagenes_rerda/2301333/tabla.jpg</t>
  </si>
  <si>
    <t>https://edgardoraul.github.io/imagenes_rerda/2301777/1.jpg,https://edgardoraul.github.io/imagenes_rerda/2301777/2.jpg,https://edgardoraul.github.io/imagenes_rerda/2301777/3.jpg,https://edgardoraul.github.io/imagenes_rerda/2301777/tabla.jpg</t>
  </si>
  <si>
    <t>Tricota Policial De Polar Cuello Polera</t>
  </si>
  <si>
    <t>http://http2.mlstatic.com/D_728229-MLA46399252541_062021-O.jpg,http://http2.mlstatic.com/D_650436-MLA46399203779_062021-O.jpg,http://http2.mlstatic.com/D_797711-MLA46399258547_062021-O.jpg,http://http2.mlstatic.com/D_825573-MLA46399203820_062021-O.jpg,http://http2.mlstatic.com/D_962989-MLA46399220778_062021-O.jpg,http://http2.mlstatic.com/D_886375-MLA46399218785_062021-O.jpg,http://http2.mlstatic.com/D_765613-MLA46399311175_062021-O.jpg,http://http2.mlstatic.com/D_758631-MLA46399254547_062021-O.jpg,http://http2.mlstatic.com/D_623366-MLA46399247570_062021-O.jpg</t>
  </si>
  <si>
    <t>http://http2.mlstatic.com/D_826845-MLA46390975077_062021-O.jpg,http://http2.mlstatic.com/D_780983-MLA46390950239_062021-O.jpg,http://http2.mlstatic.com/D_837660-MLA46390844876_062021-O.jpg,http://http2.mlstatic.com/D_921550-MLA46390947237_062021-O.jpg,http://http2.mlstatic.com/D_739549-MLA46390945276_062021-O.jpg,http://http2.mlstatic.com/D_824160-MLA46390903574_062021-O.jpg,http://http2.mlstatic.com/D_712584-MLA46390910529_062021-O.jpg,http://http2.mlstatic.com/D_602640-MLA46390903576_062021-O.jpg,http://http2.mlstatic.com/D_835157-MLA46390947257_062021-O.jpg,http://http2.mlstatic.com/D_877313-MLA46390864834_062021-O.jpg</t>
  </si>
  <si>
    <t>http://http2.mlstatic.com/D_895448-MLA46399264762_062021-O.jpg,http://http2.mlstatic.com/D_745883-MLA46399328260_062021-O.jpg,http://http2.mlstatic.com/D_941714-MLA46399247812_062021-O.jpg,http://http2.mlstatic.com/D_671499-MLA46399346095_062021-O.jpg,http://http2.mlstatic.com/D_900367-MLA46399311423_062021-O.jpg,http://http2.mlstatic.com/D_695843-MLA46399350106_062021-O.jpg,http://http2.mlstatic.com/D_621933-MLA46399317369_062021-O.jpg,http://http2.mlstatic.com/D_689744-MLA46399337198_062021-O.jpg,http://http2.mlstatic.com/D_633722-MLA46399263778_062021-O.jpg</t>
  </si>
  <si>
    <t>Tricota Policial De Polar Cuello Polera Premium</t>
  </si>
  <si>
    <t>Tricota Policial Térmica Con Cuello Alto Forrada Rerda</t>
  </si>
  <si>
    <t>03</t>
  </si>
  <si>
    <t>06</t>
  </si>
  <si>
    <t>061.jpg</t>
  </si>
  <si>
    <t>031.jpg</t>
  </si>
  <si>
    <t>https://edgardoraul.github.io/imagenes_rerda/8518014/091.jpg</t>
  </si>
  <si>
    <t>https://edgardoraul.github.io/imagenes_rerda/8518014/061.jpg</t>
  </si>
  <si>
    <t>https://edgardoraul.github.io/imagenes_rerda/8518014/031.jpg</t>
  </si>
  <si>
    <t>4120044##</t>
  </si>
  <si>
    <t>ABROJO ASP+SUA 0.25 X 0.11 RER</t>
  </si>
  <si>
    <t>ACCESORIO CLIP P/MOLLE NIVEL 2 N2-5M FUN</t>
  </si>
  <si>
    <t>ADAPTADOR MOLLE TB M015</t>
  </si>
  <si>
    <t>AEROSOL GAS POLICE 60 ML RER</t>
  </si>
  <si>
    <t>AEROSOL GAS SABRE 150498 - 22GR. AB</t>
  </si>
  <si>
    <t>AEROSOL GAS SABRE 150499 - 60 GRS AB</t>
  </si>
  <si>
    <t>AEROSOL GAS SABRE 150500 - 120 GRS AB</t>
  </si>
  <si>
    <t>AEROSOL GAS SABRE LADY 22 GR RER</t>
  </si>
  <si>
    <t>AEROSOL GAS SMITH AND WESSON 22 GR MIN</t>
  </si>
  <si>
    <t>AEROSOL POLICE 110 GRS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</si>
  <si>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</si>
  <si>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</si>
  <si>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</si>
  <si>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</si>
  <si>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</si>
  <si>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</si>
  <si>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</si>
  <si>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AMBO 46/54 RER</t>
  </si>
  <si>
    <t>AMBO QUIRURJICO</t>
  </si>
  <si>
    <t>ANTIPARRA 3000MS/19.00 GLA</t>
  </si>
  <si>
    <t>ANTIPARRA 3000RM/19.00 GLA</t>
  </si>
  <si>
    <t>ANTIPARRA SPORT 3000BM/19.00 GLA</t>
  </si>
  <si>
    <t>ANTIPARRA SPORT 3104DR/11.85 GLA</t>
  </si>
  <si>
    <t>APLIQUE ESPALDA BORD EMOP GRANDE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</si>
  <si>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</si>
  <si>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</si>
  <si>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</si>
  <si>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</si>
  <si>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</si>
  <si>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</si>
  <si>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</si>
  <si>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</si>
  <si>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</si>
  <si>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</si>
  <si>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</si>
  <si>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</si>
  <si>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</si>
  <si>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</si>
  <si>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</si>
  <si>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</si>
  <si>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</si>
  <si>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</si>
  <si>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</si>
  <si>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</si>
  <si>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</si>
  <si>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</si>
  <si>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</si>
  <si>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</si>
  <si>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</si>
  <si>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</si>
  <si>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</si>
  <si>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</si>
  <si>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</si>
  <si>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</si>
  <si>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</si>
  <si>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</si>
  <si>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</si>
  <si>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</si>
  <si>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</si>
  <si>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</si>
  <si>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</si>
  <si>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</si>
  <si>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</si>
  <si>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</si>
  <si>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</si>
  <si>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</si>
  <si>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</si>
  <si>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</si>
  <si>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</si>
  <si>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</si>
  <si>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</si>
  <si>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</si>
  <si>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</si>
  <si>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</si>
  <si>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</si>
  <si>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</si>
  <si>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</si>
  <si>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</si>
  <si>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</si>
  <si>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</si>
  <si>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</si>
  <si>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</si>
  <si>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</si>
  <si>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</si>
  <si>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</si>
  <si>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</si>
  <si>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</si>
  <si>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BICI ELECTRICA ROBSTEP 4.4 BLUE E-BIKE</t>
  </si>
  <si>
    <t>BINOCULARES PROFESIONAL 25X60 L690 LUG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</si>
  <si>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</si>
  <si>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</si>
  <si>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</si>
  <si>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</si>
  <si>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</si>
  <si>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</si>
  <si>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</si>
  <si>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</si>
  <si>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</si>
  <si>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</si>
  <si>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</si>
  <si>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</si>
  <si>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</si>
  <si>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</si>
  <si>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</si>
  <si>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CLASSIC 200 MIC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</si>
  <si>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</si>
  <si>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</si>
  <si>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</si>
  <si>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</si>
  <si>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</si>
  <si>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</si>
  <si>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</si>
  <si>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</si>
  <si>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</si>
  <si>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</si>
  <si>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</si>
  <si>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</si>
  <si>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</si>
  <si>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</si>
  <si>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</si>
  <si>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</si>
  <si>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</si>
  <si>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</si>
  <si>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</si>
  <si>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</si>
  <si>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</si>
  <si>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</si>
  <si>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</si>
  <si>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</si>
  <si>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</si>
  <si>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</si>
  <si>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</si>
  <si>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</si>
  <si>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</si>
  <si>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</si>
  <si>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</si>
  <si>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</si>
  <si>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</si>
  <si>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</si>
  <si>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</si>
  <si>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</si>
  <si>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</si>
  <si>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</si>
  <si>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</si>
  <si>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</si>
  <si>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</si>
  <si>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</si>
  <si>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</si>
  <si>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</si>
  <si>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</si>
  <si>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</si>
  <si>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</si>
  <si>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</si>
  <si>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</si>
  <si>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</si>
  <si>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</si>
  <si>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</si>
  <si>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</si>
  <si>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</si>
  <si>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</si>
  <si>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</si>
  <si>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</si>
  <si>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</si>
  <si>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</si>
  <si>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</si>
  <si>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</si>
  <si>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</si>
  <si>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</si>
  <si>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</si>
  <si>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</si>
  <si>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</si>
  <si>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</si>
  <si>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</si>
  <si>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</si>
  <si>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</si>
  <si>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</si>
  <si>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</si>
  <si>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</si>
  <si>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</si>
  <si>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</si>
  <si>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</si>
  <si>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</si>
  <si>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</si>
  <si>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</si>
  <si>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</si>
  <si>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</si>
  <si>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</si>
  <si>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</si>
  <si>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</si>
  <si>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</si>
  <si>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</si>
  <si>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</si>
  <si>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</si>
  <si>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</si>
  <si>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</si>
  <si>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</si>
  <si>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</si>
  <si>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</si>
  <si>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</si>
  <si>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</si>
  <si>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</si>
  <si>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</si>
  <si>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</si>
  <si>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</si>
  <si>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</si>
  <si>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</si>
  <si>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</si>
  <si>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</si>
  <si>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</si>
  <si>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</si>
  <si>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</si>
  <si>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</si>
  <si>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</si>
  <si>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</si>
  <si>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</si>
  <si>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</si>
  <si>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</si>
  <si>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</si>
  <si>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</si>
  <si>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</si>
  <si>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</si>
  <si>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</si>
  <si>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</si>
  <si>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</si>
  <si>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</si>
  <si>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</si>
  <si>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</si>
  <si>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</si>
  <si>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</si>
  <si>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</si>
  <si>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</si>
  <si>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</si>
  <si>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</si>
  <si>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</si>
  <si>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</si>
  <si>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</si>
  <si>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</si>
  <si>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</si>
  <si>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</si>
  <si>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</si>
  <si>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</si>
  <si>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</si>
  <si>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</si>
  <si>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</si>
  <si>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</si>
  <si>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</si>
  <si>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</si>
  <si>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</si>
  <si>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</si>
  <si>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</si>
  <si>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</si>
  <si>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</si>
  <si>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</si>
  <si>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</si>
  <si>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</si>
  <si>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</si>
  <si>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</si>
  <si>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</si>
  <si>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</si>
  <si>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</si>
  <si>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</si>
  <si>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</si>
  <si>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</si>
  <si>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</si>
  <si>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</si>
  <si>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</si>
  <si>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</si>
  <si>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</si>
  <si>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</si>
  <si>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</si>
  <si>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</si>
  <si>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</si>
  <si>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</si>
  <si>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</si>
  <si>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</si>
  <si>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</si>
  <si>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</si>
  <si>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</si>
  <si>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</si>
  <si>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</si>
  <si>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</si>
  <si>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</si>
  <si>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</si>
  <si>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</si>
  <si>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</si>
  <si>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</si>
  <si>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</si>
  <si>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</si>
  <si>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</si>
  <si>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</si>
  <si>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</si>
  <si>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</si>
  <si>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</si>
  <si>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</si>
  <si>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</si>
  <si>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</si>
  <si>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</si>
  <si>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</si>
  <si>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</si>
  <si>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</si>
  <si>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</si>
  <si>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</si>
  <si>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</si>
  <si>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MULTICAM 34/48 RER</t>
  </si>
  <si>
    <t>BOMB CONDOR RIP MULTICAM 50/54 RER</t>
  </si>
  <si>
    <t>BOMB CONDOR RIP MULTICAM 56/60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</si>
  <si>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</si>
  <si>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</si>
  <si>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</si>
  <si>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</si>
  <si>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</si>
  <si>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</si>
  <si>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</si>
  <si>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</si>
  <si>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</si>
  <si>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</si>
  <si>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</si>
  <si>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</si>
  <si>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</si>
  <si>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</si>
  <si>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</si>
  <si>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</si>
  <si>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</si>
  <si>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</si>
  <si>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</si>
  <si>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</si>
  <si>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</si>
  <si>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</si>
  <si>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</si>
  <si>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</si>
  <si>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</si>
  <si>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</si>
  <si>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</si>
  <si>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</si>
  <si>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</si>
  <si>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</si>
  <si>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</si>
  <si>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</si>
  <si>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</si>
  <si>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</si>
  <si>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</si>
  <si>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</si>
  <si>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</si>
  <si>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</si>
  <si>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</si>
  <si>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</si>
  <si>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</si>
  <si>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</si>
  <si>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</si>
  <si>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</si>
  <si>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</si>
  <si>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</si>
  <si>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</si>
  <si>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</si>
  <si>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</si>
  <si>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</si>
  <si>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</si>
  <si>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</si>
  <si>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</si>
  <si>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</si>
  <si>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</si>
  <si>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</si>
  <si>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</si>
  <si>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</si>
  <si>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</si>
  <si>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</si>
  <si>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</si>
  <si>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</si>
  <si>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</si>
  <si>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</si>
  <si>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</si>
  <si>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</si>
  <si>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</si>
  <si>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</si>
  <si>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</si>
  <si>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</si>
  <si>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</si>
  <si>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</si>
  <si>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</si>
  <si>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</si>
  <si>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</si>
  <si>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</si>
  <si>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</si>
  <si>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</si>
  <si>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</si>
  <si>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</si>
  <si>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</si>
  <si>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</si>
  <si>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</si>
  <si>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</si>
  <si>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</si>
  <si>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</si>
  <si>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</si>
  <si>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</si>
  <si>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</si>
  <si>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</si>
  <si>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</si>
  <si>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</si>
  <si>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</si>
  <si>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</si>
  <si>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</si>
  <si>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</si>
  <si>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</si>
  <si>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</si>
  <si>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</si>
  <si>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</si>
  <si>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</si>
  <si>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</si>
  <si>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</si>
  <si>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</si>
  <si>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</si>
  <si>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</si>
  <si>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</si>
  <si>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</si>
  <si>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</si>
  <si>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</si>
  <si>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</si>
  <si>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</si>
  <si>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</si>
  <si>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</si>
  <si>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</si>
  <si>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</si>
  <si>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</si>
  <si>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</si>
  <si>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</si>
  <si>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</si>
  <si>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</si>
  <si>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</si>
  <si>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</si>
  <si>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</si>
  <si>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CAMEL OJAL PLAST RER</t>
  </si>
  <si>
    <t>BORCEGUI TACTICO NEGRO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</si>
  <si>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</si>
  <si>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</si>
  <si>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</si>
  <si>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</si>
  <si>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</si>
  <si>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</si>
  <si>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</si>
  <si>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</si>
  <si>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</si>
  <si>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</si>
  <si>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</si>
  <si>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</si>
  <si>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</si>
  <si>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</si>
  <si>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</si>
  <si>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</si>
  <si>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</si>
  <si>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</si>
  <si>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</si>
  <si>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</si>
  <si>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</si>
  <si>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</si>
  <si>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</si>
  <si>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</si>
  <si>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</si>
  <si>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</si>
  <si>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</si>
  <si>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</si>
  <si>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</si>
  <si>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</si>
  <si>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</si>
  <si>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</si>
  <si>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</si>
  <si>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</si>
  <si>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</si>
  <si>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</si>
  <si>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</si>
  <si>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</si>
  <si>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</si>
  <si>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</si>
  <si>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</si>
  <si>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</si>
  <si>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</si>
  <si>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</si>
  <si>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</si>
  <si>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</si>
  <si>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</si>
  <si>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</si>
  <si>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</si>
  <si>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</si>
  <si>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</si>
  <si>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</si>
  <si>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</si>
  <si>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</si>
  <si>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</si>
  <si>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</si>
  <si>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</si>
  <si>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</si>
  <si>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</si>
  <si>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</si>
  <si>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</si>
  <si>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</si>
  <si>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</si>
  <si>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</si>
  <si>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</si>
  <si>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</si>
  <si>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</si>
  <si>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</si>
  <si>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</si>
  <si>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</si>
  <si>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</si>
  <si>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</si>
  <si>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</si>
  <si>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</si>
  <si>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</si>
  <si>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</si>
  <si>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</si>
  <si>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SIR JONS 34/44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</si>
  <si>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</si>
  <si>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</si>
  <si>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</si>
  <si>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</si>
  <si>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</si>
  <si>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</si>
  <si>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</si>
  <si>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</si>
  <si>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</si>
  <si>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</si>
  <si>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</si>
  <si>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</si>
  <si>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</si>
  <si>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</si>
  <si>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</si>
  <si>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</si>
  <si>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</si>
  <si>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</si>
  <si>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</si>
  <si>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</si>
  <si>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</si>
  <si>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</si>
  <si>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</si>
  <si>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</si>
  <si>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</si>
  <si>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</si>
  <si>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</si>
  <si>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</si>
  <si>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</si>
  <si>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</si>
  <si>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</si>
  <si>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</si>
  <si>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</si>
  <si>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</si>
  <si>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</si>
  <si>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</si>
  <si>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</si>
  <si>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</si>
  <si>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</si>
  <si>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</si>
  <si>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</si>
  <si>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</si>
  <si>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</si>
  <si>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</si>
  <si>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</si>
  <si>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</si>
  <si>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</si>
  <si>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</si>
  <si>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</si>
  <si>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</si>
  <si>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</si>
  <si>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</si>
  <si>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</si>
  <si>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</si>
  <si>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</si>
  <si>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</si>
  <si>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</si>
  <si>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</si>
  <si>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</si>
  <si>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</si>
  <si>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</si>
  <si>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</si>
  <si>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</si>
  <si>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</si>
  <si>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</si>
  <si>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</si>
  <si>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</si>
  <si>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</si>
  <si>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</si>
  <si>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</si>
  <si>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</si>
  <si>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</si>
  <si>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</si>
  <si>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</si>
  <si>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</si>
  <si>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</si>
  <si>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</si>
  <si>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</si>
  <si>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</si>
  <si>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</si>
  <si>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</si>
  <si>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</si>
  <si>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</si>
  <si>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</si>
  <si>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</si>
  <si>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</si>
  <si>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</si>
  <si>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</si>
  <si>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</si>
  <si>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</si>
  <si>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</si>
  <si>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</si>
  <si>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</si>
  <si>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</si>
  <si>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</si>
  <si>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</si>
  <si>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</si>
  <si>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</si>
  <si>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</si>
  <si>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</si>
  <si>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</si>
  <si>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</si>
  <si>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</si>
  <si>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</si>
  <si>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</si>
  <si>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</si>
  <si>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</si>
  <si>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</si>
  <si>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</si>
  <si>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</si>
  <si>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</si>
  <si>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</si>
  <si>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</si>
  <si>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</si>
  <si>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</si>
  <si>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</si>
  <si>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</si>
  <si>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</si>
  <si>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</si>
  <si>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</si>
  <si>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</si>
  <si>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</si>
  <si>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</si>
  <si>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</si>
  <si>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</si>
  <si>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CAMOING CATRE STEEL RER</t>
  </si>
  <si>
    <t>CAMP ALPHA  MA-1G300</t>
  </si>
  <si>
    <t>CAMP ALPHA  SONIC 600</t>
  </si>
  <si>
    <t>CAMP ALPHA CWJ450</t>
  </si>
  <si>
    <t>CAMP ALPHA FEROCITY 500</t>
  </si>
  <si>
    <t>CAMP ALPHA MA1 690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</si>
  <si>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</si>
  <si>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</si>
  <si>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</si>
  <si>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</si>
  <si>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</si>
  <si>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</si>
  <si>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</si>
  <si>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MJM21000C4 MA-1 3XL RER</t>
  </si>
  <si>
    <t>CAMP ALPHA MJM22000C4 45/P 3XL LUG</t>
  </si>
  <si>
    <t>CAMP ALPHA MJS113132C1 SUMMIT 2XL RER</t>
  </si>
  <si>
    <t>CAMP BERNA VESTIR/VIVO AZ/NE WKB682 GYG</t>
  </si>
  <si>
    <t>CAMP CORTA AZUL IUSP</t>
  </si>
  <si>
    <t>CAMP CORTA CUELLO DESMONT AZUL EM</t>
  </si>
  <si>
    <t>CAMP CORTA CUELLO DESMONT GRIS EM</t>
  </si>
  <si>
    <t>CAMP CORTA CUELLO DESMONT NEGRA EM</t>
  </si>
  <si>
    <t>CAMP DESM OFERTA RER</t>
  </si>
  <si>
    <t>CAMP FRACTION 8121  2XS/3XL RER</t>
  </si>
  <si>
    <t>CAMP GABARDINA AZUL CORTA</t>
  </si>
  <si>
    <t>CAMP GABARDINA NEGRA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</si>
  <si>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</si>
  <si>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</si>
  <si>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</si>
  <si>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</si>
  <si>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</si>
  <si>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</si>
  <si>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MONTREAL AZ INFLA/POLAR LB2022 GYG</t>
  </si>
  <si>
    <t>CAMP MONTREAL NE INFLA/POLARLB2022 GYG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</si>
  <si>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</si>
  <si>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</si>
  <si>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</si>
  <si>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</si>
  <si>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</si>
  <si>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</si>
  <si>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</si>
  <si>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</si>
  <si>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</si>
  <si>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</si>
  <si>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</si>
  <si>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</si>
  <si>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</si>
  <si>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</si>
  <si>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</si>
  <si>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</si>
  <si>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C/CAPU AZUL FRAN ARD</t>
  </si>
  <si>
    <t>CAMP PLUMA C/CAPU GRIS TORC ARD</t>
  </si>
  <si>
    <t>CAMP PLUMA C/CAPU NEGRA ARD</t>
  </si>
  <si>
    <t>CAMP PLUMA C/CAPU ROJA ARD</t>
  </si>
  <si>
    <t>CAMP PLUMA NEGRA BRILLO S/CAP ART102 RER</t>
  </si>
  <si>
    <t>CAMP PLUMA NEGRA ULTRA LIGTH ORIG RER</t>
  </si>
  <si>
    <t>CAMP PLUMA SIN CAPU AZUL FRAN ARD</t>
  </si>
  <si>
    <t>CAMP PLUMA SIN CAPU AZUL OSCURO ARD</t>
  </si>
  <si>
    <t>CAMP PLUMA SIN CAPU BEIGE ARD</t>
  </si>
  <si>
    <t>CAMP PLUMA SIN CAPU GRIS ARD</t>
  </si>
  <si>
    <t>CAMP PLUMA SIN CAPU GRIS CLARO ARD</t>
  </si>
  <si>
    <t>CAMP PLUMA SIN CAPU GRIS TORCASA ARD</t>
  </si>
  <si>
    <t>CAMP PLUMA SIN CAPU NEGRA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</si>
  <si>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</si>
  <si>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</si>
  <si>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</si>
  <si>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</si>
  <si>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</si>
  <si>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</si>
  <si>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</si>
  <si>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</si>
  <si>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</si>
  <si>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</si>
  <si>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</si>
  <si>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REVERS NEGRO/GRIS 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</si>
  <si>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</si>
  <si>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</si>
  <si>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</si>
  <si>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</si>
  <si>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</si>
  <si>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</si>
  <si>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</si>
  <si>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</si>
  <si>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</si>
  <si>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 PREMIUM AZUL 2XS/2XL RER</t>
  </si>
  <si>
    <t>CAMP SOFTSHEL PREMIUM AZUL 3XL/6XL RER</t>
  </si>
  <si>
    <t>CAMP SOFTSHEL PREMIUM NEGRA 2XS/2XL RER</t>
  </si>
  <si>
    <t>CAMP SOFTSHEL PREMIUM NEGRA 3XL/6XL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</si>
  <si>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</si>
  <si>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</si>
  <si>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</si>
  <si>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</si>
  <si>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</si>
  <si>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</si>
  <si>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</si>
  <si>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</si>
  <si>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</si>
  <si>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</si>
  <si>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</si>
  <si>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</si>
  <si>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</si>
  <si>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USPALLATA SOFT NEGRA LB1209 GYG</t>
  </si>
  <si>
    <t>CAMP VERDE FLUOR TUCUMAN RER</t>
  </si>
  <si>
    <t>CAMP VERDE POLAR LMGE RER</t>
  </si>
  <si>
    <t>CAMP WJS43901 SARAH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</si>
  <si>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</si>
  <si>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</si>
  <si>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</si>
  <si>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</si>
  <si>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</si>
  <si>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</si>
  <si>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</si>
  <si>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</si>
  <si>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</si>
  <si>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</si>
  <si>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</si>
  <si>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</si>
  <si>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</si>
  <si>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</si>
  <si>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</si>
  <si>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</si>
  <si>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</si>
  <si>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</si>
  <si>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</si>
  <si>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</si>
  <si>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2.5 X 2.5</t>
  </si>
  <si>
    <t>CARPA AUTOMATICA 2X2 4462</t>
  </si>
  <si>
    <t>CARPA AUTOMATICA TECHO SIMPLE 2X1.5X1.1</t>
  </si>
  <si>
    <t>CARPA AUTOMATICA TECHO SIMPLE 2X2X1.35 4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</si>
  <si>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</si>
  <si>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</si>
  <si>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</si>
  <si>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</si>
  <si>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</si>
  <si>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2 PERSONAS RDT052 MIC</t>
  </si>
  <si>
    <t>CARPA EASYCAMP 4 PERSONAS A.9014 MIC</t>
  </si>
  <si>
    <t>CARPA NAWATA 4 9004 MIC</t>
  </si>
  <si>
    <t>CARPA SUPER EASY II 9002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</si>
  <si>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</si>
  <si>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</si>
  <si>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</si>
  <si>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</si>
  <si>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</si>
  <si>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</si>
  <si>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</si>
  <si>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</si>
  <si>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</si>
  <si>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BOMB CUTRALCO ABROJO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</si>
  <si>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</si>
  <si>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</si>
  <si>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</si>
  <si>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</si>
  <si>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</si>
  <si>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</si>
  <si>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</si>
  <si>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</si>
  <si>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PETREO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</si>
  <si>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</si>
  <si>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</si>
  <si>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</si>
  <si>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</si>
  <si>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</si>
  <si>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</si>
  <si>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</si>
  <si>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</si>
  <si>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</si>
  <si>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</si>
  <si>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</si>
  <si>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</si>
  <si>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</si>
  <si>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</si>
  <si>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</si>
  <si>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</si>
  <si>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</si>
  <si>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</si>
  <si>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</si>
  <si>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</si>
  <si>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</si>
  <si>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CASQ RIP TIGER CELESTE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</si>
  <si>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</si>
  <si>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</si>
  <si>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</si>
  <si>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</si>
  <si>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</si>
  <si>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</si>
  <si>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</si>
  <si>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</si>
  <si>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</si>
  <si>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</si>
  <si>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</si>
  <si>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</si>
  <si>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</si>
  <si>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</si>
  <si>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</si>
  <si>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</si>
  <si>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</si>
  <si>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</si>
  <si>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</si>
  <si>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</si>
  <si>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</si>
  <si>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</si>
  <si>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</si>
  <si>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</si>
  <si>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</si>
  <si>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</si>
  <si>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</si>
  <si>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</si>
  <si>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</si>
  <si>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</si>
  <si>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</si>
  <si>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</si>
  <si>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</si>
  <si>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</si>
  <si>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</si>
  <si>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</si>
  <si>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</si>
  <si>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</si>
  <si>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</si>
  <si>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</si>
  <si>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</si>
  <si>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</si>
  <si>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</si>
  <si>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</si>
  <si>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</si>
  <si>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</si>
  <si>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</si>
  <si>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</si>
  <si>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</si>
  <si>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</si>
  <si>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</si>
  <si>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</si>
  <si>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</si>
  <si>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</si>
  <si>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</si>
  <si>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</si>
  <si>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</si>
  <si>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</si>
  <si>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</si>
  <si>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</si>
  <si>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</si>
  <si>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</si>
  <si>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</si>
  <si>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</si>
  <si>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</si>
  <si>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3XL/5XL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</si>
  <si>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</si>
  <si>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</si>
  <si>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</si>
  <si>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</si>
  <si>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</si>
  <si>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</si>
  <si>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</si>
  <si>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</si>
  <si>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</si>
  <si>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</si>
  <si>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</si>
  <si>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</si>
  <si>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</si>
  <si>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</si>
  <si>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</si>
  <si>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</si>
  <si>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</si>
  <si>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</si>
  <si>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</si>
  <si>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</si>
  <si>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</si>
  <si>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</si>
  <si>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</si>
  <si>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</si>
  <si>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</si>
  <si>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</si>
  <si>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</si>
  <si>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</si>
  <si>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</si>
  <si>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</si>
  <si>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</si>
  <si>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</si>
  <si>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</si>
  <si>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</si>
  <si>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</si>
  <si>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</si>
  <si>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</si>
  <si>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</si>
  <si>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</si>
  <si>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</si>
  <si>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</si>
  <si>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</si>
  <si>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</si>
  <si>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</si>
  <si>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</si>
  <si>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</si>
  <si>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</si>
  <si>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</si>
  <si>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</si>
  <si>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</si>
  <si>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</si>
  <si>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</si>
  <si>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</si>
  <si>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</si>
  <si>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</si>
  <si>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</si>
  <si>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</si>
  <si>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</si>
  <si>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</si>
  <si>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</si>
  <si>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</si>
  <si>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</si>
  <si>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</si>
  <si>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</si>
  <si>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</si>
  <si>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</si>
  <si>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</si>
  <si>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</si>
  <si>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</si>
  <si>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</si>
  <si>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</si>
  <si>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</si>
  <si>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</si>
  <si>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</si>
  <si>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</si>
  <si>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</si>
  <si>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</si>
  <si>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</si>
  <si>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</si>
  <si>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</si>
  <si>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</si>
  <si>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</si>
  <si>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</si>
  <si>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</si>
  <si>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</si>
  <si>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</si>
  <si>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</si>
  <si>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</si>
  <si>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</si>
  <si>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</si>
  <si>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</si>
  <si>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</si>
  <si>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</si>
  <si>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</si>
  <si>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</si>
  <si>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</si>
  <si>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</si>
  <si>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</si>
  <si>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</si>
  <si>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</si>
  <si>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</si>
  <si>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</si>
  <si>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</si>
  <si>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</si>
  <si>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</si>
  <si>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</si>
  <si>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</si>
  <si>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</si>
  <si>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</si>
  <si>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</si>
  <si>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NEG/VER ART 0948532016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</si>
  <si>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</si>
  <si>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</si>
  <si>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</si>
  <si>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</si>
  <si>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</si>
  <si>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</si>
  <si>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</si>
  <si>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</si>
  <si>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</si>
  <si>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</si>
  <si>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</si>
  <si>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</si>
  <si>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</si>
  <si>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</si>
  <si>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</si>
  <si>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</si>
  <si>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</si>
  <si>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</si>
  <si>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</si>
  <si>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</si>
  <si>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</si>
  <si>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CORTAPLUMAS CAMUFLADO 20 FNC LUG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</si>
  <si>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</si>
  <si>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</si>
  <si>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</si>
  <si>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</si>
  <si>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</si>
  <si>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</si>
  <si>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</si>
  <si>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</si>
  <si>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</si>
  <si>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</si>
  <si>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</si>
  <si>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</si>
  <si>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</si>
  <si>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</si>
  <si>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</si>
  <si>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</si>
  <si>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</si>
  <si>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</si>
  <si>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</si>
  <si>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</si>
  <si>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</si>
  <si>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</si>
  <si>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</si>
  <si>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</si>
  <si>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</si>
  <si>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</si>
  <si>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</si>
  <si>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</si>
  <si>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</si>
  <si>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</si>
  <si>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</si>
  <si>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</si>
  <si>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</si>
  <si>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</si>
  <si>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</si>
  <si>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</si>
  <si>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</si>
  <si>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</si>
  <si>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</si>
  <si>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</si>
  <si>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</si>
  <si>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</si>
  <si>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</si>
  <si>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</si>
  <si>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</si>
  <si>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</si>
  <si>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</si>
  <si>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</si>
  <si>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</si>
  <si>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</si>
  <si>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</si>
  <si>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</si>
  <si>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</si>
  <si>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</si>
  <si>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</si>
  <si>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</si>
  <si>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</si>
  <si>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</si>
  <si>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</si>
  <si>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</si>
  <si>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</si>
  <si>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</si>
  <si>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</si>
  <si>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</si>
  <si>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</si>
  <si>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</si>
  <si>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</si>
  <si>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</si>
  <si>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</si>
  <si>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</si>
  <si>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</si>
  <si>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JEFATURA DEPARTAMENT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</si>
  <si>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</si>
  <si>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</si>
  <si>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</si>
  <si>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</si>
  <si>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</si>
  <si>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</si>
  <si>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</si>
  <si>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</si>
  <si>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</si>
  <si>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</si>
  <si>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</si>
  <si>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</si>
  <si>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</si>
  <si>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</si>
  <si>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</si>
  <si>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</si>
  <si>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</si>
  <si>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</si>
  <si>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</si>
  <si>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</si>
  <si>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</si>
  <si>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</si>
  <si>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</si>
  <si>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</si>
  <si>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</si>
  <si>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</si>
  <si>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</si>
  <si>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</si>
  <si>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</si>
  <si>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</si>
  <si>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</si>
  <si>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</si>
  <si>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</si>
  <si>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</si>
  <si>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</si>
  <si>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</si>
  <si>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</si>
  <si>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</si>
  <si>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</si>
  <si>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</si>
  <si>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</si>
  <si>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</si>
  <si>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</si>
  <si>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</si>
  <si>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</si>
  <si>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</si>
  <si>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</si>
  <si>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</si>
  <si>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</si>
  <si>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</si>
  <si>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</si>
  <si>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</si>
  <si>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</si>
  <si>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</si>
  <si>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</si>
  <si>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</si>
  <si>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</si>
  <si>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</si>
  <si>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</si>
  <si>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</si>
  <si>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</si>
  <si>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</si>
  <si>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</si>
  <si>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</si>
  <si>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</si>
  <si>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</si>
  <si>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</si>
  <si>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</si>
  <si>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</si>
  <si>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</si>
  <si>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</si>
  <si>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</si>
  <si>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</si>
  <si>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</si>
  <si>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</si>
  <si>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</si>
  <si>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DEL NQN DIV MOTORIZADA DE.MO.SE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</si>
  <si>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</si>
  <si>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</si>
  <si>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</si>
  <si>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</si>
  <si>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</si>
  <si>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</si>
  <si>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</si>
  <si>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</si>
  <si>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</si>
  <si>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</si>
  <si>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</si>
  <si>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</si>
  <si>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</si>
  <si>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</si>
  <si>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</si>
  <si>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</si>
  <si>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</si>
  <si>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</si>
  <si>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</si>
  <si>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</si>
  <si>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</si>
  <si>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</si>
  <si>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</si>
  <si>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</si>
  <si>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</si>
  <si>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</si>
  <si>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</si>
  <si>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</si>
  <si>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</si>
  <si>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</si>
  <si>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</si>
  <si>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</si>
  <si>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</si>
  <si>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</si>
  <si>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</si>
  <si>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</si>
  <si>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</si>
  <si>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</si>
  <si>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</si>
  <si>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</si>
  <si>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</si>
  <si>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</si>
  <si>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</si>
  <si>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</si>
  <si>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</si>
  <si>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</si>
  <si>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</si>
  <si>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</si>
  <si>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</si>
  <si>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</si>
  <si>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</si>
  <si>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</si>
  <si>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</si>
  <si>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</si>
  <si>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</si>
  <si>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</si>
  <si>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</si>
  <si>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</si>
  <si>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</si>
  <si>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</si>
  <si>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</si>
  <si>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</si>
  <si>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</si>
  <si>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</si>
  <si>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</si>
  <si>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</si>
  <si>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</si>
  <si>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</si>
  <si>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</si>
  <si>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</si>
  <si>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</si>
  <si>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</si>
  <si>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</si>
  <si>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</si>
  <si>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</si>
  <si>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</si>
  <si>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</si>
  <si>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</si>
  <si>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</si>
  <si>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</si>
  <si>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</si>
  <si>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</si>
  <si>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</si>
  <si>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</si>
  <si>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</si>
  <si>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</si>
  <si>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</si>
  <si>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</si>
  <si>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</si>
  <si>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</si>
  <si>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</si>
  <si>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</si>
  <si>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</si>
  <si>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</si>
  <si>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</si>
  <si>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</si>
  <si>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</si>
  <si>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</si>
  <si>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</si>
  <si>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</si>
  <si>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</si>
  <si>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</si>
  <si>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</si>
  <si>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</si>
  <si>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</si>
  <si>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</si>
  <si>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</si>
  <si>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</si>
  <si>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</si>
  <si>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</si>
  <si>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</si>
  <si>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</si>
  <si>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</si>
  <si>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ARMY RIP VERDE RER</t>
  </si>
  <si>
    <t>GARIBALDINA JAZAK RIP INFANT 2XS/2XL RER</t>
  </si>
  <si>
    <t>GARIBALDINA JAZAK RIP INFANT 3XL/5XL RER</t>
  </si>
  <si>
    <t>GARIBALDINA JAZAK RIP TIG CE 2XS/2XL RER</t>
  </si>
  <si>
    <t>GARIBALDINA JAZAK RIP TIG CE 3XL/5XL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</si>
  <si>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</si>
  <si>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</si>
  <si>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</si>
  <si>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</si>
  <si>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</si>
  <si>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</si>
  <si>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</si>
  <si>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</si>
  <si>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</si>
  <si>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</si>
  <si>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</si>
  <si>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</si>
  <si>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</si>
  <si>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</si>
  <si>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</si>
  <si>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</si>
  <si>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</si>
  <si>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</si>
  <si>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</si>
  <si>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</si>
  <si>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</si>
  <si>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</si>
  <si>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</si>
  <si>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</si>
  <si>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</si>
  <si>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</si>
  <si>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</si>
  <si>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</si>
  <si>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</si>
  <si>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</si>
  <si>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</si>
  <si>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</si>
  <si>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</si>
  <si>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</si>
  <si>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</si>
  <si>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</si>
  <si>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</si>
  <si>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</si>
  <si>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</si>
  <si>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</si>
  <si>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</si>
  <si>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</si>
  <si>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</si>
  <si>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</si>
  <si>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</si>
  <si>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</si>
  <si>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</si>
  <si>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</si>
  <si>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</si>
  <si>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</si>
  <si>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</si>
  <si>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</si>
  <si>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</si>
  <si>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</si>
  <si>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</si>
  <si>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</si>
  <si>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</si>
  <si>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</si>
  <si>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</si>
  <si>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</si>
  <si>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</si>
  <si>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</si>
  <si>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</si>
  <si>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</si>
  <si>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</si>
  <si>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</si>
  <si>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</si>
  <si>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</si>
  <si>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</si>
  <si>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</si>
  <si>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</si>
  <si>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</si>
  <si>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</si>
  <si>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</si>
  <si>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</si>
  <si>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</si>
  <si>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</si>
  <si>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</si>
  <si>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</si>
  <si>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</si>
  <si>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</si>
  <si>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</si>
  <si>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</si>
  <si>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</si>
  <si>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</si>
  <si>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</si>
  <si>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</si>
  <si>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</si>
  <si>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</si>
  <si>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</si>
  <si>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</si>
  <si>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</si>
  <si>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</si>
  <si>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</si>
  <si>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</si>
  <si>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</si>
  <si>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</si>
  <si>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</si>
  <si>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</si>
  <si>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</si>
  <si>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</si>
  <si>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</si>
  <si>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</si>
  <si>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</si>
  <si>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</si>
  <si>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</si>
  <si>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</si>
  <si>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</si>
  <si>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</si>
  <si>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</si>
  <si>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</si>
  <si>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</si>
  <si>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</si>
  <si>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</si>
  <si>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</si>
  <si>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</si>
  <si>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</si>
  <si>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</si>
  <si>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</si>
  <si>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</si>
  <si>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</si>
  <si>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</si>
  <si>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</si>
  <si>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</si>
  <si>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</si>
  <si>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</si>
  <si>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</si>
  <si>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</si>
  <si>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</si>
  <si>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CORTO OR</t>
  </si>
  <si>
    <t>GUANTES TACTICO MITON BEIGE LARGO OR</t>
  </si>
  <si>
    <t>GUANTES TACTICO MITON BEIGE XL</t>
  </si>
  <si>
    <t>GUANTES TACTICO MITON NEGRO CORTO OR</t>
  </si>
  <si>
    <t>GUANTES TACTICO MITON NEGRO LARGO OR</t>
  </si>
  <si>
    <t>GUANTES TACTICO MITON VERDE CORTO OR</t>
  </si>
  <si>
    <t>GUANTES TACTICO MITON VERDE LARGO OR</t>
  </si>
  <si>
    <t>GUANTES TERMICOS NEGRO RER</t>
  </si>
  <si>
    <t>HEBILLA DOR CINTO TROPA RER</t>
  </si>
  <si>
    <t>HOMB BI PENIT MZA 2SOL SERRETA ALCAIDE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</si>
  <si>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</si>
  <si>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</si>
  <si>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</si>
  <si>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</si>
  <si>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</si>
  <si>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</si>
  <si>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</si>
  <si>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</si>
  <si>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</si>
  <si>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</si>
  <si>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</si>
  <si>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</si>
  <si>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</si>
  <si>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</si>
  <si>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</si>
  <si>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</si>
  <si>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</si>
  <si>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</si>
  <si>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+ 1 PLATEA</t>
  </si>
  <si>
    <t>HOMB BI POL 1 ROMBO DORADO CHICO</t>
  </si>
  <si>
    <t>HOMB BI POL 1 ROMBO PLATEADO CHICO</t>
  </si>
  <si>
    <t>HOMB BI POL 2 ROMBOS DORADOS</t>
  </si>
  <si>
    <t>HOMB BI POL 2 ROMBOS PLATEADOS CHIC</t>
  </si>
  <si>
    <t>HOMB BI POL 3 ROMBOS PLATEADOS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</si>
  <si>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</si>
  <si>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</si>
  <si>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</si>
  <si>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</si>
  <si>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</si>
  <si>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</si>
  <si>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</si>
  <si>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</si>
  <si>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</si>
  <si>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</si>
  <si>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</si>
  <si>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</si>
  <si>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</si>
  <si>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</si>
  <si>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</si>
  <si>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</si>
  <si>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</si>
  <si>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</si>
  <si>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</si>
  <si>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</si>
  <si>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</si>
  <si>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</si>
  <si>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</si>
  <si>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</si>
  <si>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</si>
  <si>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</si>
  <si>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</si>
  <si>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</si>
  <si>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</si>
  <si>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</si>
  <si>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</si>
  <si>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</si>
  <si>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</si>
  <si>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</si>
  <si>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</si>
  <si>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</si>
  <si>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</si>
  <si>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</si>
  <si>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</si>
  <si>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</si>
  <si>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</si>
  <si>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</si>
  <si>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</si>
  <si>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</si>
  <si>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</si>
  <si>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</si>
  <si>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</si>
  <si>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</si>
  <si>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</si>
  <si>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</si>
  <si>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</si>
  <si>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</si>
  <si>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</si>
  <si>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</si>
  <si>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</si>
  <si>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</si>
  <si>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</si>
  <si>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</si>
  <si>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</si>
  <si>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</si>
  <si>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</si>
  <si>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</si>
  <si>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</si>
  <si>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</si>
  <si>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</si>
  <si>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</si>
  <si>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</si>
  <si>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</si>
  <si>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</si>
  <si>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</si>
  <si>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</si>
  <si>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</si>
  <si>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</si>
  <si>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</si>
  <si>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</si>
  <si>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</si>
  <si>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</si>
  <si>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</si>
  <si>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</si>
  <si>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</si>
  <si>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</si>
  <si>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</si>
  <si>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</si>
  <si>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</si>
  <si>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</si>
  <si>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</si>
  <si>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</si>
  <si>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</si>
  <si>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</si>
  <si>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</si>
  <si>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</si>
  <si>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</si>
  <si>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</si>
  <si>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</si>
  <si>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</si>
  <si>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</si>
  <si>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</si>
  <si>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</si>
  <si>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</si>
  <si>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</si>
  <si>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</si>
  <si>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</si>
  <si>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</si>
  <si>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</si>
  <si>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</si>
  <si>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</si>
  <si>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</si>
  <si>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</si>
  <si>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</si>
  <si>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</si>
  <si>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</si>
  <si>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</si>
  <si>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</si>
  <si>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</si>
  <si>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</si>
  <si>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</si>
  <si>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</si>
  <si>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</si>
  <si>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</si>
  <si>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</si>
  <si>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</si>
  <si>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</si>
  <si>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</si>
  <si>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</si>
  <si>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</si>
  <si>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</si>
  <si>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</si>
  <si>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</si>
  <si>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</si>
  <si>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</si>
  <si>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</si>
  <si>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</si>
  <si>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</si>
  <si>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</si>
  <si>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</si>
  <si>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</si>
  <si>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</si>
  <si>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</si>
  <si>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</si>
  <si>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</si>
  <si>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</si>
  <si>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</si>
  <si>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</si>
  <si>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</si>
  <si>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</si>
  <si>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</si>
  <si>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</si>
  <si>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</si>
  <si>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</si>
  <si>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</si>
  <si>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</si>
  <si>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</si>
  <si>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</si>
  <si>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</si>
  <si>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</si>
  <si>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</si>
  <si>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</si>
  <si>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</si>
  <si>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</si>
  <si>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</si>
  <si>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</si>
  <si>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</si>
  <si>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</si>
  <si>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</si>
  <si>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</si>
  <si>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</si>
  <si>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</si>
  <si>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</si>
  <si>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</si>
  <si>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</si>
  <si>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</si>
  <si>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</si>
  <si>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</si>
  <si>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</si>
  <si>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</si>
  <si>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</si>
  <si>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</si>
  <si>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</si>
  <si>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</si>
  <si>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</si>
  <si>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</si>
  <si>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</si>
  <si>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</si>
  <si>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</si>
  <si>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</si>
  <si>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</si>
  <si>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</si>
  <si>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</si>
  <si>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</si>
  <si>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</si>
  <si>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</si>
  <si>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</si>
  <si>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</si>
  <si>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</si>
  <si>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</si>
  <si>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</si>
  <si>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</si>
  <si>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</si>
  <si>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</si>
  <si>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</si>
  <si>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</si>
  <si>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</si>
  <si>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</si>
  <si>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</si>
  <si>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</si>
  <si>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</si>
  <si>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</si>
  <si>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</si>
  <si>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</si>
  <si>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</si>
  <si>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</si>
  <si>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</si>
  <si>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</si>
  <si>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</si>
  <si>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</si>
  <si>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</si>
  <si>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</si>
  <si>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</si>
  <si>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</si>
  <si>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</si>
  <si>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</si>
  <si>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</si>
  <si>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</si>
  <si>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</si>
  <si>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</si>
  <si>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</si>
  <si>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</si>
  <si>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</si>
  <si>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</si>
  <si>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</si>
  <si>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</si>
  <si>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</si>
  <si>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</si>
  <si>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</si>
  <si>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</si>
  <si>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</si>
  <si>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</si>
  <si>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</si>
  <si>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</si>
  <si>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</si>
  <si>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</si>
  <si>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</si>
  <si>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</si>
  <si>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</si>
  <si>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</si>
  <si>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</si>
  <si>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</si>
  <si>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</si>
  <si>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</si>
  <si>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</si>
  <si>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</si>
  <si>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</si>
  <si>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</si>
  <si>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</si>
  <si>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</si>
  <si>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</si>
  <si>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</si>
  <si>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</si>
  <si>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</si>
  <si>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</si>
  <si>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</si>
  <si>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</si>
  <si>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</si>
  <si>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</si>
  <si>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</si>
  <si>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</si>
  <si>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</si>
  <si>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</si>
  <si>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</si>
  <si>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</si>
  <si>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</si>
  <si>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</si>
  <si>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</si>
  <si>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</si>
  <si>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</si>
  <si>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</si>
  <si>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</si>
  <si>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</si>
  <si>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</si>
  <si>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</si>
  <si>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</si>
  <si>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</si>
  <si>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</si>
  <si>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</si>
  <si>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</si>
  <si>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</si>
  <si>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</si>
  <si>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</si>
  <si>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</si>
  <si>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</si>
  <si>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</si>
  <si>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</si>
  <si>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</si>
  <si>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</si>
  <si>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</si>
  <si>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</si>
  <si>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</si>
  <si>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</si>
  <si>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</si>
  <si>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</si>
  <si>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</si>
  <si>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</si>
  <si>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</si>
  <si>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</si>
  <si>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</si>
  <si>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</si>
  <si>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</si>
  <si>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</si>
  <si>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</si>
  <si>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</si>
  <si>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</si>
  <si>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</si>
  <si>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</si>
  <si>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</si>
  <si>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</si>
  <si>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</si>
  <si>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</si>
  <si>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</si>
  <si>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</si>
  <si>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DOR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</si>
  <si>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</si>
  <si>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</si>
  <si>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</si>
  <si>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</si>
  <si>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</si>
  <si>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</si>
  <si>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</si>
  <si>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</si>
  <si>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</si>
  <si>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</si>
  <si>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</si>
  <si>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</si>
  <si>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</si>
  <si>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</si>
  <si>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</si>
  <si>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</si>
  <si>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</si>
  <si>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</si>
  <si>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</si>
  <si>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</si>
  <si>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</si>
  <si>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</si>
  <si>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</si>
  <si>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</si>
  <si>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</si>
  <si>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</si>
  <si>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</si>
  <si>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</si>
  <si>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</si>
  <si>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</si>
  <si>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</si>
  <si>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</si>
  <si>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</si>
  <si>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</si>
  <si>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</si>
  <si>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</si>
  <si>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</si>
  <si>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</si>
  <si>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</si>
  <si>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</si>
  <si>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</si>
  <si>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</si>
  <si>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</si>
  <si>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</si>
  <si>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</si>
  <si>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</si>
  <si>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</si>
  <si>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</si>
  <si>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</si>
  <si>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</si>
  <si>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</si>
  <si>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</si>
  <si>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</si>
  <si>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</si>
  <si>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</si>
  <si>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</si>
  <si>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</si>
  <si>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</si>
  <si>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</si>
  <si>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</si>
  <si>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</si>
  <si>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</si>
  <si>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</si>
  <si>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</si>
  <si>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</si>
  <si>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</si>
  <si>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</si>
  <si>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</si>
  <si>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</si>
  <si>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</si>
  <si>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CON LUZ, LASER Y CABLE 4490/4495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</si>
  <si>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</si>
  <si>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</si>
  <si>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</si>
  <si>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</si>
  <si>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</si>
  <si>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</si>
  <si>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</si>
  <si>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</si>
  <si>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</si>
  <si>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</si>
  <si>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</si>
  <si>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</si>
  <si>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</si>
  <si>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</si>
  <si>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</si>
  <si>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</si>
  <si>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</si>
  <si>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</si>
  <si>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</si>
  <si>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</si>
  <si>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</si>
  <si>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</si>
  <si>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</si>
  <si>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</si>
  <si>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</si>
  <si>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</si>
  <si>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</si>
  <si>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</si>
  <si>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</si>
  <si>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</si>
  <si>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</si>
  <si>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</si>
  <si>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</si>
  <si>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</si>
  <si>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CPBL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</si>
  <si>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</si>
  <si>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</si>
  <si>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</si>
  <si>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</si>
  <si>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</si>
  <si>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</si>
  <si>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</si>
  <si>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</si>
  <si>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</si>
  <si>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</si>
  <si>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</si>
  <si>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</si>
  <si>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</si>
  <si>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</si>
  <si>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</si>
  <si>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</si>
  <si>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</si>
  <si>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</si>
  <si>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</si>
  <si>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</si>
  <si>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</si>
  <si>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</si>
  <si>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</si>
  <si>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</si>
  <si>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</si>
  <si>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</si>
  <si>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</si>
  <si>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MOLLE C/ELASTICO 0774-78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</si>
  <si>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</si>
  <si>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</si>
  <si>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</si>
  <si>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</si>
  <si>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</si>
  <si>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</si>
  <si>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</si>
  <si>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</si>
  <si>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</si>
  <si>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</si>
  <si>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</si>
  <si>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</si>
  <si>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</si>
  <si>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</si>
  <si>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</si>
  <si>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</si>
  <si>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</si>
  <si>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</si>
  <si>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</si>
  <si>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</si>
  <si>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</si>
  <si>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</si>
  <si>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</si>
  <si>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</si>
  <si>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</si>
  <si>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</si>
  <si>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</si>
  <si>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</si>
  <si>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</si>
  <si>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</si>
  <si>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</si>
  <si>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</si>
  <si>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</si>
  <si>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</si>
  <si>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</si>
  <si>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</si>
  <si>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</si>
  <si>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</si>
  <si>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</si>
  <si>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</si>
  <si>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</si>
  <si>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</si>
  <si>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</si>
  <si>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</si>
  <si>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</si>
  <si>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</si>
  <si>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</si>
  <si>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</si>
  <si>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</si>
  <si>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</si>
  <si>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</si>
  <si>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</si>
  <si>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</si>
  <si>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</si>
  <si>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</si>
  <si>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</si>
  <si>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</si>
  <si>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</si>
  <si>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</si>
  <si>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</si>
  <si>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</si>
  <si>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</si>
  <si>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</si>
  <si>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</si>
  <si>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</si>
  <si>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</si>
  <si>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</si>
  <si>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</si>
  <si>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</si>
  <si>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</si>
  <si>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</si>
  <si>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</si>
  <si>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</si>
  <si>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</si>
  <si>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</si>
  <si>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</si>
  <si>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</si>
  <si>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</si>
  <si>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</si>
  <si>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</si>
  <si>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</si>
  <si>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</si>
  <si>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</si>
  <si>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</si>
  <si>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</si>
  <si>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</si>
  <si>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</si>
  <si>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</si>
  <si>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</si>
  <si>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</si>
  <si>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</si>
  <si>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</si>
  <si>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</si>
  <si>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</si>
  <si>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</si>
  <si>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</si>
  <si>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</si>
  <si>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</si>
  <si>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</si>
  <si>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</si>
  <si>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</si>
  <si>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</si>
  <si>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</si>
  <si>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</si>
  <si>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</si>
  <si>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</si>
  <si>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</si>
  <si>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</si>
  <si>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</si>
  <si>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</si>
  <si>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</si>
  <si>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</si>
  <si>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</si>
  <si>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</si>
  <si>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</si>
  <si>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</si>
  <si>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</si>
  <si>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</si>
  <si>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</si>
  <si>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</si>
  <si>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</si>
  <si>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</si>
  <si>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</si>
  <si>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</si>
  <si>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</si>
  <si>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</si>
  <si>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</si>
  <si>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</si>
  <si>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</si>
  <si>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</si>
  <si>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</si>
  <si>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</si>
  <si>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</si>
  <si>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</si>
  <si>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</si>
  <si>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</si>
  <si>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</si>
  <si>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</si>
  <si>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</si>
  <si>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</si>
  <si>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</si>
  <si>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</si>
  <si>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</si>
  <si>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</si>
  <si>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</si>
  <si>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</si>
  <si>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</si>
  <si>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</si>
  <si>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</si>
  <si>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</si>
  <si>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</si>
  <si>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</si>
  <si>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</si>
  <si>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</si>
  <si>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</si>
  <si>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</si>
  <si>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</si>
  <si>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</si>
  <si>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</si>
  <si>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</si>
  <si>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</si>
  <si>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</si>
  <si>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</si>
  <si>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</si>
  <si>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</si>
  <si>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</si>
  <si>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</si>
  <si>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</si>
  <si>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</si>
  <si>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</si>
  <si>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</si>
  <si>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</si>
  <si>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</si>
  <si>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</si>
  <si>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</si>
  <si>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</si>
  <si>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</si>
  <si>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</si>
  <si>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</si>
  <si>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</si>
  <si>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</si>
  <si>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</si>
  <si>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</si>
  <si>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</si>
  <si>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</si>
  <si>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</si>
  <si>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</si>
  <si>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</si>
  <si>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</si>
  <si>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</si>
  <si>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</si>
  <si>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</si>
  <si>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</si>
  <si>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</si>
  <si>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</si>
  <si>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</si>
  <si>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</si>
  <si>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</si>
  <si>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</si>
  <si>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</si>
  <si>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</si>
  <si>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</si>
  <si>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</si>
  <si>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</si>
  <si>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</si>
  <si>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</si>
  <si>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</si>
  <si>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</si>
  <si>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</si>
  <si>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</si>
  <si>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</si>
  <si>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</si>
  <si>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</si>
  <si>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</si>
  <si>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</si>
  <si>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</si>
  <si>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</si>
  <si>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</si>
  <si>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</si>
  <si>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</si>
  <si>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</si>
  <si>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</si>
  <si>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</si>
  <si>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</si>
  <si>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</si>
  <si>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</si>
  <si>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</si>
  <si>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</si>
  <si>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</si>
  <si>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</si>
  <si>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</si>
  <si>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</si>
  <si>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</si>
  <si>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</si>
  <si>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</si>
  <si>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</si>
  <si>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</si>
  <si>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</si>
  <si>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</si>
  <si>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</si>
  <si>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</si>
  <si>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</si>
  <si>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</si>
  <si>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</si>
  <si>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</si>
  <si>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</si>
  <si>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</si>
  <si>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</si>
  <si>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</si>
  <si>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</si>
  <si>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</si>
  <si>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</si>
  <si>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</si>
  <si>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</si>
  <si>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</si>
  <si>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</si>
  <si>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</si>
  <si>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</si>
  <si>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</si>
  <si>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</si>
  <si>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</si>
  <si>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INTERNA MOLDEADA CON FLEJE TB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</si>
  <si>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</si>
  <si>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</si>
  <si>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</si>
  <si>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</si>
  <si>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</si>
  <si>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</si>
  <si>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</si>
  <si>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</si>
  <si>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</si>
  <si>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</si>
  <si>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</si>
  <si>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</si>
  <si>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</si>
  <si>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</si>
  <si>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</si>
  <si>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</si>
  <si>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</si>
  <si>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</si>
  <si>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</si>
  <si>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</si>
  <si>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</si>
  <si>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</si>
  <si>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</si>
  <si>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</si>
  <si>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</si>
  <si>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</si>
  <si>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</si>
  <si>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</si>
  <si>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</si>
  <si>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</si>
  <si>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</si>
  <si>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</si>
  <si>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</si>
  <si>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</si>
  <si>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</si>
  <si>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</si>
  <si>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</si>
  <si>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</si>
  <si>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</si>
  <si>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</si>
  <si>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</si>
  <si>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</si>
  <si>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</si>
  <si>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</si>
  <si>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</si>
  <si>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</si>
  <si>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</si>
  <si>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</si>
  <si>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</si>
  <si>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</si>
  <si>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</si>
  <si>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</si>
  <si>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</si>
  <si>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</si>
  <si>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</si>
  <si>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</si>
  <si>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</si>
  <si>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9/17 C XTR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</si>
  <si>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</si>
  <si>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</si>
  <si>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</si>
  <si>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</si>
  <si>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</si>
  <si>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</si>
  <si>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</si>
  <si>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</si>
  <si>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</si>
  <si>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</si>
  <si>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</si>
  <si>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</si>
  <si>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</si>
  <si>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</si>
  <si>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</si>
  <si>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</si>
  <si>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</si>
  <si>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</si>
  <si>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</si>
  <si>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</si>
  <si>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</si>
  <si>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</si>
  <si>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</si>
  <si>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</si>
  <si>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</si>
  <si>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</si>
  <si>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</si>
  <si>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</si>
  <si>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</si>
  <si>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</si>
  <si>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</si>
  <si>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CTA T513 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</si>
  <si>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</si>
  <si>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</si>
  <si>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</si>
  <si>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</si>
  <si>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</si>
  <si>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</si>
  <si>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</si>
  <si>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</si>
  <si>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</si>
  <si>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</si>
  <si>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</si>
  <si>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</si>
  <si>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</si>
  <si>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</si>
  <si>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</si>
  <si>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</si>
  <si>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</si>
  <si>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</si>
  <si>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</si>
  <si>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</si>
  <si>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</si>
  <si>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</si>
  <si>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</si>
  <si>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</si>
  <si>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</si>
  <si>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</si>
  <si>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</si>
  <si>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</si>
  <si>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</si>
  <si>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</si>
  <si>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</si>
  <si>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</si>
  <si>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</si>
  <si>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</si>
  <si>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</si>
  <si>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</si>
  <si>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</si>
  <si>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</si>
  <si>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GRIS VERDE CON GANCHO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</si>
  <si>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</si>
  <si>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</si>
  <si>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</si>
  <si>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</si>
  <si>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</si>
  <si>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</si>
  <si>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</si>
  <si>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</si>
  <si>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</si>
  <si>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</si>
  <si>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</si>
  <si>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</si>
  <si>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</si>
  <si>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</si>
  <si>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</si>
  <si>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</si>
  <si>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</si>
  <si>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</si>
  <si>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</si>
  <si>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</si>
  <si>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</si>
  <si>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</si>
  <si>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</si>
  <si>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</si>
  <si>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</si>
  <si>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</si>
  <si>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</si>
  <si>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</si>
  <si>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</si>
  <si>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</si>
  <si>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</si>
  <si>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</si>
  <si>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</si>
  <si>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</si>
  <si>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</si>
  <si>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</si>
  <si>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</si>
  <si>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</si>
  <si>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</si>
  <si>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</si>
  <si>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</si>
  <si>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</si>
  <si>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</si>
  <si>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</si>
  <si>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</si>
  <si>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</si>
  <si>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</si>
  <si>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</si>
  <si>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</si>
  <si>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</si>
  <si>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</si>
  <si>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</si>
  <si>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</si>
  <si>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</si>
  <si>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</si>
  <si>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</si>
  <si>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</si>
  <si>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</si>
  <si>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</si>
  <si>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</si>
  <si>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</si>
  <si>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</si>
  <si>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</si>
  <si>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</si>
  <si>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</si>
  <si>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</si>
  <si>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</si>
  <si>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</si>
  <si>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</si>
  <si>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</si>
  <si>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</si>
  <si>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</si>
  <si>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</si>
  <si>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</si>
  <si>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</si>
  <si>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</si>
  <si>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</si>
  <si>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</si>
  <si>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</si>
  <si>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MULTIUSO GRANDE PCH001 MOLLE EM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</si>
  <si>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</si>
  <si>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</si>
  <si>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</si>
  <si>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</si>
  <si>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</si>
  <si>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</si>
  <si>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</si>
  <si>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</si>
  <si>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</si>
  <si>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</si>
  <si>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</si>
  <si>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</si>
  <si>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</si>
  <si>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</si>
  <si>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</si>
  <si>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</si>
  <si>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</si>
  <si>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</si>
  <si>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</si>
  <si>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</si>
  <si>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</si>
  <si>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</si>
  <si>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</si>
  <si>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</si>
  <si>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</si>
  <si>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</si>
  <si>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</si>
  <si>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</si>
  <si>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</si>
  <si>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</si>
  <si>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</si>
  <si>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</si>
  <si>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</si>
  <si>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</si>
  <si>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</si>
  <si>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</si>
  <si>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</si>
  <si>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</si>
  <si>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</si>
  <si>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</si>
  <si>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</si>
  <si>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</si>
  <si>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</si>
  <si>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</si>
  <si>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</si>
  <si>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</si>
  <si>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</si>
  <si>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</si>
  <si>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</si>
  <si>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</si>
  <si>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</si>
  <si>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</si>
  <si>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</si>
  <si>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</si>
  <si>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</si>
  <si>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</si>
  <si>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</si>
  <si>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</si>
  <si>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</si>
  <si>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</si>
  <si>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</si>
  <si>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</si>
  <si>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</si>
  <si>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</si>
  <si>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</si>
  <si>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</si>
  <si>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</si>
  <si>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</si>
  <si>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</si>
  <si>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</si>
  <si>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</si>
  <si>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</si>
  <si>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</si>
  <si>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</si>
  <si>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</si>
  <si>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</si>
  <si>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</si>
  <si>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</si>
  <si>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</si>
  <si>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</si>
  <si>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</si>
  <si>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</si>
  <si>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</si>
  <si>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</si>
  <si>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</si>
  <si>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</si>
  <si>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</si>
  <si>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</si>
  <si>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</si>
  <si>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</si>
  <si>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</si>
  <si>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</si>
  <si>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</si>
  <si>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</si>
  <si>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</si>
  <si>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</si>
  <si>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</si>
  <si>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</si>
  <si>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</si>
  <si>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</si>
  <si>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</si>
  <si>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</si>
  <si>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</si>
  <si>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</si>
  <si>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</si>
  <si>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</si>
  <si>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</si>
  <si>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</si>
  <si>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</si>
  <si>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</si>
  <si>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</si>
  <si>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</si>
  <si>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</si>
  <si>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</si>
  <si>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</si>
  <si>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</si>
  <si>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</si>
  <si>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</si>
  <si>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</si>
  <si>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</si>
  <si>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</si>
  <si>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</si>
  <si>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</si>
  <si>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</si>
  <si>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</si>
  <si>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</si>
  <si>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</si>
  <si>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</si>
  <si>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</si>
  <si>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MARRON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</si>
  <si>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</si>
  <si>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</si>
  <si>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</si>
  <si>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</si>
  <si>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</si>
  <si>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</si>
  <si>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</si>
  <si>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</si>
  <si>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</si>
  <si>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</si>
  <si>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</si>
  <si>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</si>
  <si>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</si>
  <si>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</si>
  <si>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</si>
  <si>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</si>
  <si>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</si>
  <si>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</si>
  <si>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</si>
  <si>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</si>
  <si>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</si>
  <si>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</si>
  <si>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</si>
  <si>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</si>
  <si>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</si>
  <si>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</si>
  <si>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</si>
  <si>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</si>
  <si>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</si>
  <si>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CAMISA MC BAT CEL NQN SOLAP 34/44 RER</t>
  </si>
  <si>
    <t>CAMISA MC BAT CEL NQN SOLAP 46/50 RER</t>
  </si>
  <si>
    <t>CAMISA MC BAT CEL NQN SOLAP 52/56 RER</t>
  </si>
  <si>
    <t>4120545##</t>
  </si>
  <si>
    <t>4130151##</t>
  </si>
  <si>
    <t>032.jpg</t>
  </si>
  <si>
    <t>092.jpg</t>
  </si>
  <si>
    <t>4120497##</t>
  </si>
  <si>
    <t>18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</si>
  <si>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</si>
  <si>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</si>
  <si>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</si>
  <si>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</si>
  <si>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</si>
  <si>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</si>
  <si>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</si>
  <si>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</si>
  <si>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096.jpg</t>
  </si>
  <si>
    <t>186.jpg</t>
  </si>
  <si>
    <t>097.jpg</t>
  </si>
  <si>
    <t>098.jpg</t>
  </si>
  <si>
    <t>187.jpg</t>
  </si>
  <si>
    <t>188.jpg</t>
  </si>
  <si>
    <t>5101559##</t>
  </si>
  <si>
    <t>5101560##</t>
  </si>
  <si>
    <t>5101561##</t>
  </si>
  <si>
    <t>1120287##</t>
  </si>
  <si>
    <t>1120288##</t>
  </si>
  <si>
    <t>1120286##</t>
  </si>
  <si>
    <t>5101439##</t>
  </si>
  <si>
    <t>5101135##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</si>
  <si>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</si>
  <si>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</si>
  <si>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</si>
  <si>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</si>
  <si>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</si>
  <si>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</si>
  <si>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AGEN OSS ESCUDO BORDADO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</si>
  <si>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</si>
  <si>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</si>
  <si>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</si>
  <si>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</si>
  <si>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</si>
  <si>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</si>
  <si>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PANT NINIA 2/12 RER</t>
  </si>
  <si>
    <t>BOMB CLAS SAT TERM SATIN/POLAR  34/48</t>
  </si>
  <si>
    <t>BOMB CLAS SAT TERM SATIN/POLAR 50/54</t>
  </si>
  <si>
    <t>BOMB CONDOR RIP MULTICAM 62/66 RER</t>
  </si>
  <si>
    <t>BOMB NINO RIP MIMETICA</t>
  </si>
  <si>
    <t>BOMB AMER GAB PETREO 56/60</t>
  </si>
  <si>
    <t>BOMB AMER GAB PETREO 62/66 RER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</si>
  <si>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</si>
  <si>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</si>
  <si>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</si>
  <si>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</si>
  <si>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</si>
  <si>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</si>
  <si>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</si>
  <si>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</si>
  <si>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</si>
  <si>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</si>
  <si>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</si>
  <si>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</si>
  <si>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</si>
  <si>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</si>
  <si>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</si>
  <si>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</si>
  <si>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</si>
  <si>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</si>
  <si>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</si>
  <si>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</si>
  <si>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</si>
  <si>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</si>
  <si>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</si>
  <si>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</si>
  <si>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</si>
  <si>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</si>
  <si>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</si>
  <si>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</si>
  <si>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</si>
  <si>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</si>
  <si>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BOMB AMER GAB PETREO 34/48 RER</t>
  </si>
  <si>
    <t>BOMB AMER GAB PETREO 50/54</t>
  </si>
  <si>
    <t>PANT AZUL TROPICAL 34/48 RER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</si>
  <si>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</si>
  <si>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</si>
  <si>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</si>
  <si>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</si>
  <si>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</si>
  <si>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</si>
  <si>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</si>
  <si>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BOMB CLAS RIP PETREO 50/54 RER</t>
  </si>
  <si>
    <t>BOMB CLAS RIP PETREO 56/60 RER</t>
  </si>
  <si>
    <t>BOMB CLAS RIP PETREO 62/66</t>
  </si>
  <si>
    <t>BOMB CLAS GAB NEGRA DAMA/SPANDE 56/60RER</t>
  </si>
  <si>
    <t>BOMB CLAS RIP PETREO DAMA 34/48 RER</t>
  </si>
  <si>
    <t>BOMB CLAS RIP PETREO DAMA 50/54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</si>
  <si>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</si>
  <si>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</si>
  <si>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</si>
  <si>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</si>
  <si>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</si>
  <si>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</si>
  <si>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BOMB CLAS RIP GN VERDE 56/60</t>
  </si>
  <si>
    <t>BOMB LINT PLAST</t>
  </si>
  <si>
    <t>BOMB DURAC</t>
  </si>
  <si>
    <t>BOMB FARO</t>
  </si>
  <si>
    <t>BOMB LINT FLEXIBLE IMAN</t>
  </si>
  <si>
    <t>BREECHES AZUL 62/66 RER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</si>
  <si>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</si>
  <si>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</si>
  <si>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</si>
  <si>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</si>
  <si>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</si>
  <si>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</si>
  <si>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</si>
  <si>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</si>
  <si>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</si>
  <si>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</si>
  <si>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</si>
  <si>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</si>
  <si>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</si>
  <si>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</si>
  <si>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</si>
  <si>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</si>
  <si>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</si>
  <si>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</si>
  <si>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</si>
  <si>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</si>
  <si>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</si>
  <si>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</si>
  <si>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</si>
  <si>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</si>
  <si>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</si>
  <si>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</si>
  <si>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</si>
  <si>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</si>
  <si>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</si>
  <si>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</si>
  <si>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</si>
  <si>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</si>
  <si>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</si>
  <si>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</si>
  <si>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</si>
  <si>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</si>
  <si>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</si>
  <si>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</si>
  <si>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</si>
  <si>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</si>
  <si>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</si>
  <si>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</si>
  <si>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</si>
  <si>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</si>
  <si>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</si>
  <si>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</si>
  <si>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BOMB AMER RIP VIAL TUC 34/48 RER</t>
  </si>
  <si>
    <t>BOMB AMER RIP VIAL TUC 50/54 RER</t>
  </si>
  <si>
    <t>BOMB AMER RIP VIAL TUC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</si>
  <si>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</si>
  <si>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</si>
  <si>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</si>
  <si>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</si>
  <si>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</si>
  <si>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</si>
  <si>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</si>
  <si>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</si>
  <si>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</si>
  <si>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</si>
  <si>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</si>
  <si>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</si>
  <si>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</si>
  <si>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</si>
  <si>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</si>
  <si>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</si>
  <si>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</si>
  <si>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</si>
  <si>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</si>
  <si>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</si>
  <si>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</si>
  <si>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</si>
  <si>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</si>
  <si>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SDFASFA</t>
  </si>
  <si>
    <t>CAJA DE REGALO NAVIDAD X3 RER</t>
  </si>
  <si>
    <t>ADORNO NAVIDAD RER</t>
  </si>
  <si>
    <t>GUANTES</t>
  </si>
  <si>
    <t>SHORT GRIS LMGE RER</t>
  </si>
  <si>
    <t>SHORT IUSP RER</t>
  </si>
  <si>
    <t>SHORT NEGRO INFANTERIA RER</t>
  </si>
  <si>
    <t>POLAR AZUL C/CIERRE  LMGE RER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</si>
  <si>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</si>
  <si>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</si>
  <si>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</si>
  <si>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</si>
  <si>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</si>
  <si>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</si>
  <si>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</si>
  <si>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</si>
  <si>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</si>
  <si>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MC POLO ROJA 3XS/2XL RER</t>
  </si>
  <si>
    <t>CHOMBA MC POLO ROJA 3XL/5XL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</si>
  <si>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</si>
  <si>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</si>
  <si>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</si>
  <si>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</si>
  <si>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</si>
  <si>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</si>
  <si>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</si>
  <si>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</si>
  <si>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</si>
  <si>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</si>
  <si>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</si>
  <si>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INFANTERIA RER</t>
  </si>
  <si>
    <t>CHOMBA MC CIERRE LAS PIRCAS RER</t>
  </si>
  <si>
    <t>CHOMBA ML CIERRE AZUL FRA LA RIOJA RER</t>
  </si>
  <si>
    <t>CHOMBA MC POLO AZUL FRA C/LOGOS RER</t>
  </si>
  <si>
    <t>CHOMBA MC POLO CHOCON RER</t>
  </si>
  <si>
    <t>CHOMBA BLANCA POL. TMAN PATR. URBANA</t>
  </si>
  <si>
    <t>CHOMBA MC POLO ROJA INSTRUCT 3XS/2XL RER</t>
  </si>
  <si>
    <t>CHOMBA MC POLO ROJA INSTRUCT 3XL/6XL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</si>
  <si>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</si>
  <si>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</si>
  <si>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</si>
  <si>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</si>
  <si>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</si>
  <si>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</si>
  <si>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</si>
  <si>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</si>
  <si>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</si>
  <si>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</si>
  <si>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</si>
  <si>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</si>
  <si>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</si>
  <si>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</si>
  <si>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CHOMBA MC POLO VIAL SAN JUAN 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</si>
  <si>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</si>
  <si>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</si>
  <si>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</si>
  <si>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</si>
  <si>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</si>
  <si>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</si>
  <si>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</si>
  <si>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</si>
  <si>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</si>
  <si>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</si>
  <si>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</si>
  <si>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</si>
  <si>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</si>
  <si>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</si>
  <si>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</si>
  <si>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</si>
  <si>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MC POLO AZUL HOMBRE RER</t>
  </si>
  <si>
    <t>CHOMBA ML POLO ESCUE POLICIA 3XS/2XL RER</t>
  </si>
  <si>
    <t>CHOMBA ML POLO ESCUE POLICIA 3XL/5XL RER</t>
  </si>
  <si>
    <t>CHOMBA MC POLO ESCUE POLICIA 3XS/2XL RER</t>
  </si>
  <si>
    <t>CHOMBA MC POLO ESCUE POLICIA 3XL/5XL RER</t>
  </si>
  <si>
    <t>CHOMBA STAR</t>
  </si>
  <si>
    <t>CHOMBA MC POLO BLANCA IUSP RER</t>
  </si>
  <si>
    <t>TRICOTA STAR</t>
  </si>
  <si>
    <t>CHOMBA MC POLO ECO ESC+ BANDER RER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</si>
  <si>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</si>
  <si>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</si>
  <si>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</si>
  <si>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</si>
  <si>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</si>
  <si>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</si>
  <si>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</si>
  <si>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</si>
  <si>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</si>
  <si>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</si>
  <si>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</si>
  <si>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</si>
  <si>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</si>
  <si>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2XS/2XL</t>
  </si>
  <si>
    <t>REMERA MC AZUL ESC SUBOF POL TUC 3XL/6XL</t>
  </si>
  <si>
    <t>REMERA MC TECNICATURA PENIT IUSP GRIS</t>
  </si>
  <si>
    <t>REMERA MC ROJA LISA GEI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</si>
  <si>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</si>
  <si>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</si>
  <si>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</si>
  <si>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</si>
  <si>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</si>
  <si>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</si>
  <si>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</si>
  <si>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</si>
  <si>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</si>
  <si>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</si>
  <si>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</si>
  <si>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ART21791C1 ARMY GEI</t>
  </si>
  <si>
    <t>REMERA MC ALPHA DOT21754C1 DONT T GEI</t>
  </si>
  <si>
    <t>REMERA MC BLANCA IUSP GEI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</si>
  <si>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</si>
  <si>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</si>
  <si>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</si>
  <si>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</si>
  <si>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</si>
  <si>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</si>
  <si>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</si>
  <si>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</si>
  <si>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</si>
  <si>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</si>
  <si>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</si>
  <si>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</si>
  <si>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</si>
  <si>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</si>
  <si>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</si>
  <si>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</si>
  <si>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</si>
  <si>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</si>
  <si>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</si>
  <si>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</si>
  <si>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</si>
  <si>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</si>
  <si>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</si>
  <si>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</si>
  <si>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</si>
  <si>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</si>
  <si>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</si>
  <si>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</si>
  <si>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</si>
  <si>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</si>
  <si>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</si>
  <si>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</si>
  <si>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</si>
  <si>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</si>
  <si>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</si>
  <si>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</si>
  <si>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</si>
  <si>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</si>
  <si>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</si>
  <si>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</si>
  <si>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</si>
  <si>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</si>
  <si>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</si>
  <si>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PANT FRIZA AZUL IUSP 2XS/2XL</t>
  </si>
  <si>
    <t>PANT FRIZA AZUL IUSP 3XL/6XL</t>
  </si>
  <si>
    <t>CONJ GRIS\AZUL LISO RER</t>
  </si>
  <si>
    <t>BOLSA DE POLIETILENO CON CIERRE</t>
  </si>
  <si>
    <t>BOLSA DE POLIETILENO TRANSP C CIERRE</t>
  </si>
  <si>
    <t>BOLSA POLIET TRANSP C CIERRE PRESION</t>
  </si>
  <si>
    <t>BOLSA POLIETILENO TRANSP C CIERRE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</si>
  <si>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</si>
  <si>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</si>
  <si>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</si>
  <si>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</si>
  <si>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</si>
  <si>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</si>
  <si>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</si>
  <si>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</si>
  <si>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</si>
  <si>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</si>
  <si>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</si>
  <si>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</si>
  <si>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</si>
  <si>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</si>
  <si>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</si>
  <si>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</si>
  <si>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</si>
  <si>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</si>
  <si>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</si>
  <si>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</si>
  <si>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</si>
  <si>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</si>
  <si>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</si>
  <si>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</si>
  <si>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</si>
  <si>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</si>
  <si>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</si>
  <si>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</si>
  <si>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</si>
  <si>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</si>
  <si>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</si>
  <si>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</si>
  <si>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</si>
  <si>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</si>
  <si>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</si>
  <si>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</si>
  <si>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</si>
  <si>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</si>
  <si>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</si>
  <si>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</si>
  <si>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</si>
  <si>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</si>
  <si>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</si>
  <si>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BAT CEL NQN C/ESC 34/44 RER</t>
  </si>
  <si>
    <t>CAMISA ML BAT CEL NQN C/ESC 46/50 RER</t>
  </si>
  <si>
    <t>CAMISA ML BAT NQN C/ESC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</si>
  <si>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</si>
  <si>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</si>
  <si>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</si>
  <si>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</si>
  <si>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</si>
  <si>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</si>
  <si>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</si>
  <si>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</si>
  <si>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</si>
  <si>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</si>
  <si>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</si>
  <si>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</si>
  <si>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</si>
  <si>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</si>
  <si>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</si>
  <si>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</si>
  <si>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</si>
  <si>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</si>
  <si>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</si>
  <si>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</si>
  <si>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</si>
  <si>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</si>
  <si>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</si>
  <si>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</si>
  <si>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</si>
  <si>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</si>
  <si>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</si>
  <si>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</si>
  <si>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</si>
  <si>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</si>
  <si>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</si>
  <si>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</si>
  <si>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</si>
  <si>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</si>
  <si>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</si>
  <si>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</si>
  <si>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</si>
  <si>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</si>
  <si>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</si>
  <si>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</si>
  <si>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</si>
  <si>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</si>
  <si>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</si>
  <si>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</si>
  <si>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</si>
  <si>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</si>
  <si>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</si>
  <si>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</si>
  <si>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</si>
  <si>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</si>
  <si>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</si>
  <si>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</si>
  <si>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</si>
  <si>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</si>
  <si>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</si>
  <si>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46/50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</si>
  <si>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</si>
  <si>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</si>
  <si>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</si>
  <si>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</si>
  <si>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</si>
  <si>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</si>
  <si>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34/44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</si>
  <si>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</si>
  <si>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</si>
  <si>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</si>
  <si>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</si>
  <si>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</si>
  <si>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</si>
  <si>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</si>
  <si>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</si>
  <si>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</si>
  <si>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</si>
  <si>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</si>
  <si>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</si>
  <si>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</si>
  <si>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</si>
  <si>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</si>
  <si>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</si>
  <si>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</si>
  <si>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</si>
  <si>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</si>
  <si>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</si>
  <si>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</si>
  <si>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</si>
  <si>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</si>
  <si>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</si>
  <si>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</si>
  <si>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</si>
  <si>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</si>
  <si>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</si>
  <si>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MJS113132C1 SUMMIT RER</t>
  </si>
  <si>
    <t>CAMP ALPHA MOD B-15 RER</t>
  </si>
  <si>
    <t>CAMP DEPORTIVA BL/AZ RER</t>
  </si>
  <si>
    <t>CAMP ALPHA MJS11132</t>
  </si>
  <si>
    <t>CAMP MJS11132 XXL</t>
  </si>
  <si>
    <t>CAMP AMERICA SEGURIDAD RER</t>
  </si>
  <si>
    <t>CAMP SEG SARPOL VFLUOR CINT 2XS/2XL RER</t>
  </si>
  <si>
    <t>CAMP SEG SARPOL VFLUOR CINT 3XL/5XL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</si>
  <si>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</si>
  <si>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</si>
  <si>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</si>
  <si>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</si>
  <si>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</si>
  <si>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</si>
  <si>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</si>
  <si>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</si>
  <si>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</si>
  <si>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</si>
  <si>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</si>
  <si>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</si>
  <si>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</si>
  <si>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ALPHA MJN30000C4 N-2B LUG</t>
  </si>
  <si>
    <t>CAMP SOFT SHELL NEGRA 2XL/5XL RER</t>
  </si>
  <si>
    <t>CAMP ALPHA MJN31000 XXXL LUG</t>
  </si>
  <si>
    <t>CAMP ALPHA MJN32000</t>
  </si>
  <si>
    <t>CAMP ALPHA MJM38029C1 D-TEC 2XL</t>
  </si>
  <si>
    <t>CAMP ALPHA MJM38029C1 D-TEC 3XL</t>
  </si>
  <si>
    <t>CAMP ALPHA WJD38014C1 DARLA LUG</t>
  </si>
  <si>
    <t>CAMP MJB34000 XXL</t>
  </si>
  <si>
    <t>CAMP TERMICO MULTICAM/RIP CUELLO 2XS/2XL</t>
  </si>
  <si>
    <t>CAMP ALPHA MJI38016 LUG</t>
  </si>
  <si>
    <t>CAMP ALPHA MJI38016 XXL</t>
  </si>
  <si>
    <t>CAMP ALPHA MJI38016 XXXL</t>
  </si>
  <si>
    <t>CAMP ALPHA MVF4301C1 FEROCITY 3XL</t>
  </si>
  <si>
    <t>CAMP TERMICO RURAL/RIP CUELLO 3XL/6XL</t>
  </si>
  <si>
    <t>CAMP WJA43903C1 ADRIENNE 2XL RER</t>
  </si>
  <si>
    <t>CAMP WJA43903C1 ADRIENNE XS/XL RER</t>
  </si>
  <si>
    <t>CAMP ALPHA MJI43910 XXL LUG</t>
  </si>
  <si>
    <t>CAMP ALPHA MJS44507C1 STABILIZER LUG</t>
  </si>
  <si>
    <t>CAMP ALPHA MJS44507C1 STABILIZER2X LUG</t>
  </si>
  <si>
    <t>CAMP ALPHA MJN441C1 N-B2 SONIC 2XL LUG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</si>
  <si>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</si>
  <si>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</si>
  <si>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</si>
  <si>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</si>
  <si>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</si>
  <si>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</si>
  <si>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</si>
  <si>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</si>
  <si>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</si>
  <si>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</si>
  <si>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</si>
  <si>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</si>
  <si>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</si>
  <si>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</si>
  <si>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</si>
  <si>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</si>
  <si>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</si>
  <si>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</si>
  <si>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</si>
  <si>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</si>
  <si>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</si>
  <si>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</si>
  <si>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</si>
  <si>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</si>
  <si>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</si>
  <si>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</si>
  <si>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</si>
  <si>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</si>
  <si>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</si>
  <si>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</si>
  <si>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</si>
  <si>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</si>
  <si>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CAMP ALFHA MJM38029C1 D-TEC S/XL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</si>
  <si>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</si>
  <si>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</si>
  <si>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</si>
  <si>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</si>
  <si>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</si>
  <si>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CAMP PLUMA SIN CAPU UVA ARD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</si>
  <si>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</si>
  <si>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</si>
  <si>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</si>
  <si>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</si>
  <si>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SEARCH AND DESTROY HOODIE RER</t>
  </si>
  <si>
    <t>CAMP INVEST VERDE RER</t>
  </si>
  <si>
    <t>CAMP UNITED ZIP HOODIE RER</t>
  </si>
  <si>
    <t>CAMP PALMAJ AMARILLA/NARANJA FLUOR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</si>
  <si>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</si>
  <si>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</si>
  <si>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</si>
  <si>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</si>
  <si>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</si>
  <si>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CASACA DAMA PROFESIONAL RER</t>
  </si>
  <si>
    <t>CHAQUETILLA BLANCA RER</t>
  </si>
  <si>
    <t>CHAQUETILLA GN RER</t>
  </si>
  <si>
    <t>BICI ELECTRICA OVERTECH B1 561002001</t>
  </si>
  <si>
    <t>LINTERNA CELULAR MULTIFUNCION RER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</si>
  <si>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</si>
  <si>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</si>
  <si>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</si>
  <si>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</si>
  <si>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</si>
  <si>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</si>
  <si>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</si>
  <si>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</si>
  <si>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</si>
  <si>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</si>
  <si>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</si>
  <si>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</si>
  <si>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</si>
  <si>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</si>
  <si>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</si>
  <si>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</si>
  <si>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</si>
  <si>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</si>
  <si>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</si>
  <si>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</si>
  <si>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</si>
  <si>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</si>
  <si>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</si>
  <si>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</si>
  <si>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</si>
  <si>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</si>
  <si>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</si>
  <si>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</si>
  <si>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</si>
  <si>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</si>
  <si>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</si>
  <si>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</si>
  <si>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</si>
  <si>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</si>
  <si>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</si>
  <si>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</si>
  <si>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</si>
  <si>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</si>
  <si>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</si>
  <si>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</si>
  <si>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</si>
  <si>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</si>
  <si>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</si>
  <si>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</si>
  <si>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</si>
  <si>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</si>
  <si>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</si>
  <si>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</si>
  <si>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</si>
  <si>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</si>
  <si>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</si>
  <si>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</si>
  <si>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</si>
  <si>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</si>
  <si>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</si>
  <si>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</si>
  <si>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</si>
  <si>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</si>
  <si>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</si>
  <si>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</si>
  <si>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</si>
  <si>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</si>
  <si>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</si>
  <si>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</si>
  <si>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</si>
  <si>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</si>
  <si>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</si>
  <si>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</si>
  <si>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</si>
  <si>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</si>
  <si>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</si>
  <si>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</si>
  <si>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</si>
  <si>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</si>
  <si>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</si>
  <si>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</si>
  <si>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</si>
  <si>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</si>
  <si>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</si>
  <si>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</si>
  <si>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</si>
  <si>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</si>
  <si>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</si>
  <si>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</si>
  <si>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</si>
  <si>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</si>
  <si>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</si>
  <si>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</si>
  <si>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</si>
  <si>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</si>
  <si>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</si>
  <si>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</si>
  <si>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</si>
  <si>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</si>
  <si>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</si>
  <si>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</si>
  <si>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</si>
  <si>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</si>
  <si>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</si>
  <si>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</si>
  <si>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</si>
  <si>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</si>
  <si>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</si>
  <si>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</si>
  <si>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</si>
  <si>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</si>
  <si>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</si>
  <si>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</si>
  <si>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</si>
  <si>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</si>
  <si>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</si>
  <si>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</si>
  <si>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TMAN CAMISA POLICIA</t>
  </si>
  <si>
    <t>ESC RECAUDO SEGURIDAD CHICO P/BOINA</t>
  </si>
  <si>
    <t>ESC BORD MZA USAR 7709625</t>
  </si>
  <si>
    <t>ESC BORD LR CHAMICAL MOTORIZADA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</si>
  <si>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</si>
  <si>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</si>
  <si>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</si>
  <si>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</si>
  <si>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</si>
  <si>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</si>
  <si>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</si>
  <si>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</si>
  <si>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</si>
  <si>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</si>
  <si>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</si>
  <si>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</si>
  <si>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</si>
  <si>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</si>
  <si>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</si>
  <si>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ESC BORD MZA TRANSITO GUAYMALLEN</t>
  </si>
  <si>
    <t>ESC GORRA PROVINCIAS VARIAS BORD ORO</t>
  </si>
  <si>
    <t>ESC BORD CPB POLICIA</t>
  </si>
  <si>
    <t>ESC INFANTERIA FUSILES CURSO NAC 2018</t>
  </si>
  <si>
    <t>ESC BORD STA CRUZ INFANT B/VISIB BRAZO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</si>
  <si>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</si>
  <si>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</si>
  <si>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</si>
  <si>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</si>
  <si>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</si>
  <si>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</si>
  <si>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</si>
  <si>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</si>
  <si>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</si>
  <si>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</si>
  <si>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</si>
  <si>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ESC BORD NQN. USAR 7709504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</si>
  <si>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</si>
  <si>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</si>
  <si>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</si>
  <si>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</si>
  <si>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</si>
  <si>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</si>
  <si>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</si>
  <si>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</si>
  <si>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</si>
  <si>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</si>
  <si>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</si>
  <si>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</si>
  <si>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</si>
  <si>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</si>
  <si>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</si>
  <si>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</si>
  <si>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</si>
  <si>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</si>
  <si>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</si>
  <si>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</si>
  <si>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</si>
  <si>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</si>
  <si>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</si>
  <si>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</si>
  <si>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</si>
  <si>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</si>
  <si>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</si>
  <si>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</si>
  <si>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</si>
  <si>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</si>
  <si>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</si>
  <si>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</si>
  <si>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</si>
  <si>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</si>
  <si>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</si>
  <si>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</si>
  <si>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</si>
  <si>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</si>
  <si>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</si>
  <si>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</si>
  <si>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</si>
  <si>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</si>
  <si>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</si>
  <si>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</si>
  <si>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</si>
  <si>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</si>
  <si>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</si>
  <si>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</si>
  <si>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</si>
  <si>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</si>
  <si>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</si>
  <si>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</si>
  <si>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</si>
  <si>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</si>
  <si>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</si>
  <si>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</si>
  <si>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</si>
  <si>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</si>
  <si>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</si>
  <si>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</si>
  <si>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</si>
  <si>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</si>
  <si>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</si>
  <si>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</si>
  <si>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</si>
  <si>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</si>
  <si>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</si>
  <si>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</si>
  <si>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</si>
  <si>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</si>
  <si>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</si>
  <si>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</si>
  <si>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</si>
  <si>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</si>
  <si>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</si>
  <si>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BANDERA BORD S.CRUZ BAJA V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</si>
  <si>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</si>
  <si>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</si>
  <si>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</si>
  <si>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</si>
  <si>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</si>
  <si>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</si>
  <si>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</si>
  <si>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</si>
  <si>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BORCEGUI TACTICO CUERO RERDA ESPECI RER</t>
  </si>
  <si>
    <t>BOTIN AMERICANO AGENCIA RER</t>
  </si>
  <si>
    <t>BOTIN CLASICO AGENCIA RER</t>
  </si>
  <si>
    <t>BORCEGUI TACTICO TODO CUERO ESPECIA RER</t>
  </si>
  <si>
    <t>BORCEGUI TACTICO CON CIERRE NO USAR RER</t>
  </si>
  <si>
    <t>BOTA PVC ESCORPIO 4989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</si>
  <si>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</si>
  <si>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</si>
  <si>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</si>
  <si>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</si>
  <si>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</si>
  <si>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</si>
  <si>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</si>
  <si>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</si>
  <si>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</si>
  <si>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</si>
  <si>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</si>
  <si>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</si>
  <si>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</si>
  <si>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</si>
  <si>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</si>
  <si>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</si>
  <si>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RIP DIGITAL MIMET RURAL</t>
  </si>
  <si>
    <t>CASQ REVER RIP GRIS/NEG</t>
  </si>
  <si>
    <t>CASQ RIP NEGRO C/OJALITO BORD NQN</t>
  </si>
  <si>
    <t>CASQ RIP AZUL C/OJALITO BORD NQN</t>
  </si>
  <si>
    <t>CASQ RIP RURAL  C/ABROJO</t>
  </si>
  <si>
    <t>CASQ REVER RIP PINTON/NEGRO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</si>
  <si>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</si>
  <si>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</si>
  <si>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</si>
  <si>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</si>
  <si>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</si>
  <si>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</si>
  <si>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</si>
  <si>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</si>
  <si>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</si>
  <si>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CHAMBERGO LMGE GRIS LSA</t>
  </si>
  <si>
    <t>CHAMBERGO LMGE VERDE LSA</t>
  </si>
  <si>
    <t>CHAMBERGO DE LANA GRIS</t>
  </si>
  <si>
    <t>CHAMBERGO DE LANA NEGRO LSA</t>
  </si>
  <si>
    <t>SOMBRERO GRIS PERLA COPA NAT SRH</t>
  </si>
  <si>
    <t>SOMBRERO NEGRO COPA NAT SRH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</si>
  <si>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</si>
  <si>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</si>
  <si>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</si>
  <si>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</si>
  <si>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</si>
  <si>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</si>
  <si>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</si>
  <si>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</si>
  <si>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</si>
  <si>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</si>
  <si>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</si>
  <si>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</si>
  <si>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</si>
  <si>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</si>
  <si>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</si>
  <si>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</si>
  <si>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</si>
  <si>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</si>
  <si>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</si>
  <si>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</si>
  <si>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</si>
  <si>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</si>
  <si>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</si>
  <si>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</si>
  <si>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</si>
  <si>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</si>
  <si>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</si>
  <si>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</si>
  <si>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</si>
  <si>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</si>
  <si>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</si>
  <si>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</si>
  <si>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</si>
  <si>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</si>
  <si>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</si>
  <si>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</si>
  <si>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</si>
  <si>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</si>
  <si>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</si>
  <si>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</si>
  <si>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</si>
  <si>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</si>
  <si>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</si>
  <si>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</si>
  <si>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</si>
  <si>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</si>
  <si>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</si>
  <si>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</si>
  <si>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</si>
  <si>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</si>
  <si>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</si>
  <si>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</si>
  <si>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</si>
  <si>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</si>
  <si>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</si>
  <si>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</si>
  <si>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</si>
  <si>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</si>
  <si>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</si>
  <si>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</si>
  <si>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</si>
  <si>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</si>
  <si>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</si>
  <si>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</si>
  <si>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</si>
  <si>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</si>
  <si>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</si>
  <si>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</si>
  <si>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</si>
  <si>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</si>
  <si>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</si>
  <si>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</si>
  <si>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</si>
  <si>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</si>
  <si>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</si>
  <si>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</si>
  <si>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</si>
  <si>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</si>
  <si>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CARGADOR USB SOLAR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</si>
  <si>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</si>
  <si>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</si>
  <si>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</si>
  <si>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</si>
  <si>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</si>
  <si>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</si>
  <si>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</si>
  <si>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</si>
  <si>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</si>
  <si>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</si>
  <si>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</si>
  <si>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</si>
  <si>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</si>
  <si>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</si>
  <si>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</si>
  <si>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3104CM/11.85 GLA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</si>
  <si>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</si>
  <si>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</si>
  <si>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</si>
  <si>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</si>
  <si>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</si>
  <si>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</si>
  <si>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</si>
  <si>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</si>
  <si>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</si>
  <si>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</si>
  <si>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</si>
  <si>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</si>
  <si>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</si>
  <si>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</si>
  <si>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</si>
  <si>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</si>
  <si>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</si>
  <si>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</si>
  <si>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</si>
  <si>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</si>
  <si>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</si>
  <si>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</si>
  <si>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</si>
  <si>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</si>
  <si>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</si>
  <si>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</si>
  <si>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</si>
  <si>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</si>
  <si>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</si>
  <si>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</si>
  <si>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</si>
  <si>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</si>
  <si>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</si>
  <si>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</si>
  <si>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</si>
  <si>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</si>
  <si>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</si>
  <si>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</si>
  <si>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</si>
  <si>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</si>
  <si>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</si>
  <si>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</si>
  <si>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</si>
  <si>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</si>
  <si>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</si>
  <si>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</si>
  <si>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</si>
  <si>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</si>
  <si>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</si>
  <si>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</si>
  <si>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</si>
  <si>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</si>
  <si>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</si>
  <si>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</si>
  <si>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</si>
  <si>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</si>
  <si>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</si>
  <si>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</si>
  <si>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</si>
  <si>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</si>
  <si>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</si>
  <si>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</si>
  <si>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</si>
  <si>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</si>
  <si>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</si>
  <si>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</si>
  <si>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</si>
  <si>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</si>
  <si>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</si>
  <si>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</si>
  <si>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</si>
  <si>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</si>
  <si>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</si>
  <si>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</si>
  <si>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</si>
  <si>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</si>
  <si>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</si>
  <si>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</si>
  <si>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</si>
  <si>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</si>
  <si>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</si>
  <si>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</si>
  <si>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</si>
  <si>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</si>
  <si>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</si>
  <si>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</si>
  <si>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</si>
  <si>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</si>
  <si>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</si>
  <si>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</si>
  <si>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</si>
  <si>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</si>
  <si>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</si>
  <si>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</si>
  <si>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</si>
  <si>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</si>
  <si>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</si>
  <si>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</si>
  <si>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</si>
  <si>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</si>
  <si>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150497-14GRS</t>
  </si>
  <si>
    <t>AEROSOL GAS SABRE 150498 - 22GR.</t>
  </si>
  <si>
    <t>AEROSOL GAS SABRE 150499 - 60 GRS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</si>
  <si>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</si>
  <si>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</si>
  <si>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</si>
  <si>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</si>
  <si>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</si>
  <si>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</si>
  <si>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</si>
  <si>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</si>
  <si>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</si>
  <si>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</si>
  <si>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</si>
  <si>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</si>
  <si>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</si>
  <si>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</si>
  <si>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</si>
  <si>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</si>
  <si>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</si>
  <si>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</si>
  <si>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</si>
  <si>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</si>
  <si>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</si>
  <si>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</si>
  <si>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</si>
  <si>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</si>
  <si>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</si>
  <si>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</si>
  <si>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</si>
  <si>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</si>
  <si>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</si>
  <si>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</si>
  <si>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</si>
  <si>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</si>
  <si>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</si>
  <si>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</si>
  <si>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</si>
  <si>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</si>
  <si>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</si>
  <si>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</si>
  <si>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</si>
  <si>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</si>
  <si>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</si>
  <si>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</si>
  <si>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</si>
  <si>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</si>
  <si>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</si>
  <si>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</si>
  <si>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</si>
  <si>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</si>
  <si>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CAMPING CADENA CERRUCHO P CORTAR</t>
  </si>
  <si>
    <t>SOGA PARA REMOLQUE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</si>
  <si>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</si>
  <si>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</si>
  <si>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</si>
  <si>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</si>
  <si>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</si>
  <si>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</si>
  <si>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</si>
  <si>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</si>
  <si>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</si>
  <si>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</si>
  <si>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</si>
  <si>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</si>
  <si>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</si>
  <si>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</si>
  <si>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</si>
  <si>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</si>
  <si>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</si>
  <si>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</si>
  <si>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</si>
  <si>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</si>
  <si>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</si>
  <si>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</si>
  <si>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</si>
  <si>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</si>
  <si>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</si>
  <si>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</si>
  <si>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</si>
  <si>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</si>
  <si>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</si>
  <si>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</si>
  <si>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</si>
  <si>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</si>
  <si>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</si>
  <si>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</si>
  <si>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</si>
  <si>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</si>
  <si>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</si>
  <si>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</si>
  <si>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CUCHILLO COLUMBIA NEGRO C/BRUJULA</t>
  </si>
  <si>
    <t>CUCHILLO CORTAPLUMA TRENTO BUTTERFLY 572</t>
  </si>
  <si>
    <t>CUCHILLO TRENTO COMMANDER 593</t>
  </si>
  <si>
    <t>CUCHILLO TRENTO ARMY STONEWASH</t>
  </si>
  <si>
    <t>CORREAS DE AMARRE R01</t>
  </si>
  <si>
    <t>CORTAPLUMAS 20 FNC CAMUFLADO C/NEGRO LUG</t>
  </si>
  <si>
    <t>CORTAPLUMAS 20 FCN ROJO (SUIZO)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</si>
  <si>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</si>
  <si>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</si>
  <si>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</si>
  <si>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</si>
  <si>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</si>
  <si>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</si>
  <si>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</si>
  <si>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</si>
  <si>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</si>
  <si>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CARPA 3 PERSONAS AUTOMATICA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</si>
  <si>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</si>
  <si>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</si>
  <si>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</si>
  <si>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</si>
  <si>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</si>
  <si>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</si>
  <si>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</si>
  <si>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</si>
  <si>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</si>
  <si>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</si>
  <si>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</si>
  <si>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</si>
  <si>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</si>
  <si>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</si>
  <si>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</si>
  <si>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</si>
  <si>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</si>
  <si>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</si>
  <si>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</si>
  <si>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</si>
  <si>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</si>
  <si>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</si>
  <si>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</si>
  <si>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</si>
  <si>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</si>
  <si>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</si>
  <si>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</si>
  <si>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</si>
  <si>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</si>
  <si>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</si>
  <si>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</si>
  <si>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</si>
  <si>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</si>
  <si>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</si>
  <si>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</si>
  <si>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</si>
  <si>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</si>
  <si>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RINIONER PORTA PIST. OLA RIN-121 RER</t>
  </si>
  <si>
    <t>PIST. CUERO AVENGER TANFOGLIO LARGA RER</t>
  </si>
  <si>
    <t>PIST. CUERO AVENCER TANFOGLIO CORTA RER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</si>
  <si>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</si>
  <si>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</si>
  <si>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</si>
  <si>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</si>
  <si>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</si>
  <si>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</si>
  <si>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</si>
  <si>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</si>
  <si>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</si>
  <si>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</si>
  <si>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</si>
  <si>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</si>
  <si>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</si>
  <si>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</si>
  <si>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</si>
  <si>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</si>
  <si>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</si>
  <si>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</si>
  <si>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</si>
  <si>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</si>
  <si>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</si>
  <si>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</si>
  <si>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</si>
  <si>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</si>
  <si>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</si>
  <si>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</si>
  <si>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</si>
  <si>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</si>
  <si>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</si>
  <si>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</si>
  <si>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</si>
  <si>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</si>
  <si>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</si>
  <si>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</si>
  <si>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</si>
  <si>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</si>
  <si>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</si>
  <si>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</si>
  <si>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</si>
  <si>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</si>
  <si>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</si>
  <si>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</si>
  <si>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</si>
  <si>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</si>
  <si>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</si>
  <si>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</si>
  <si>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</si>
  <si>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</si>
  <si>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</si>
  <si>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</si>
  <si>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</si>
  <si>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</si>
  <si>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</si>
  <si>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</si>
  <si>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</si>
  <si>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</si>
  <si>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</si>
  <si>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</si>
  <si>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</si>
  <si>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</si>
  <si>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</si>
  <si>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TERMO C/PORTACARG SIMPLE MAZ RER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</si>
  <si>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</si>
  <si>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</si>
  <si>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</si>
  <si>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</si>
  <si>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</si>
  <si>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</si>
  <si>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</si>
  <si>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</si>
  <si>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</si>
  <si>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</si>
  <si>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</si>
  <si>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</si>
  <si>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</si>
  <si>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</si>
  <si>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</si>
  <si>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</si>
  <si>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</si>
  <si>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</si>
  <si>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</si>
  <si>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</si>
  <si>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</si>
  <si>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</si>
  <si>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</si>
  <si>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</si>
  <si>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</si>
  <si>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</si>
  <si>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</si>
  <si>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</si>
  <si>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</si>
  <si>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</si>
  <si>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</si>
  <si>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</si>
  <si>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</si>
  <si>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</si>
  <si>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</si>
  <si>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</si>
  <si>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</si>
  <si>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</si>
  <si>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FREE TIME LMGE RER</t>
  </si>
  <si>
    <t>MEDIAS TERMICAS TRECKING 365 STX RER</t>
  </si>
  <si>
    <t>MEDIAS TERMICAS TRECKING 365 STX T1 RER</t>
  </si>
  <si>
    <t>MEDIAS TERMICAS TRECKING 365 STX T2 RER</t>
  </si>
  <si>
    <t>MEDIAS TERMICAS SKI T.37/41 RER</t>
  </si>
  <si>
    <t>MEDIAS TERMICAS SKI T.42/46 RER</t>
  </si>
  <si>
    <t>MEDIAS SKY STX180981 AB</t>
  </si>
  <si>
    <t>MEDIAS TERMICAS OUTDOOR RER</t>
  </si>
  <si>
    <t>MEDIAS TERMICAS OUTDOOR T.37/41</t>
  </si>
  <si>
    <t>MEDIAS TERMICAS OUTDOOR T.42/46</t>
  </si>
  <si>
    <t>MEDIAS STX 180986 AB</t>
  </si>
  <si>
    <t>MEDIAS SKY STX 180988 AB</t>
  </si>
  <si>
    <t>MEDIAS DOBLE CAPA STX RER</t>
  </si>
  <si>
    <t>MEDIAS STX DOBLE CAPA RER</t>
  </si>
  <si>
    <t>MEDIAS STX DOBLE CAPA</t>
  </si>
  <si>
    <t>TELA PLASTICA POLIESTER 100% NEGRO INT</t>
  </si>
  <si>
    <t>TELA IMPO POLYESTER CAM 001 RER</t>
  </si>
  <si>
    <t>TELA IMPO VERDE CLARO 002 RER</t>
  </si>
  <si>
    <t>TELA IMPO HEXA 003 RER</t>
  </si>
  <si>
    <t>TELA IMPO VERDE LISA 004 RER</t>
  </si>
  <si>
    <t>TELA IMPO HEXA VERDE 005 RER</t>
  </si>
  <si>
    <t>TELA SARGA  0480 INT</t>
  </si>
  <si>
    <t>ALPACUNA AZUL FC</t>
  </si>
  <si>
    <t>CAMPING 2P</t>
  </si>
  <si>
    <t>CAMPING 4P</t>
  </si>
  <si>
    <t>BOLSA ESTANCO</t>
  </si>
  <si>
    <t>CINTA PELIGRO</t>
  </si>
  <si>
    <t>PERCHAS UNIDAD LMGE RER</t>
  </si>
  <si>
    <t>FUNDA PARA TRAJE LMGE</t>
  </si>
  <si>
    <t>ABROJO ASP+SUA 0.50 X 0.60 RER</t>
  </si>
  <si>
    <t>ABROJO SOBRE COMBINADO RER</t>
  </si>
  <si>
    <t>5101102##</t>
  </si>
  <si>
    <t>23</t>
  </si>
  <si>
    <t>062.jpg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</si>
  <si>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</si>
  <si>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</si>
  <si>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</si>
  <si>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</si>
  <si>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</si>
  <si>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</si>
  <si>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</si>
  <si>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</si>
  <si>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033.jpg</t>
  </si>
  <si>
    <t>1120711##</t>
  </si>
  <si>
    <t>1120911##</t>
  </si>
  <si>
    <t>2601496##</t>
  </si>
  <si>
    <t>2601901##</t>
  </si>
  <si>
    <t>2601851##</t>
  </si>
  <si>
    <t>08</t>
  </si>
  <si>
    <t>22</t>
  </si>
  <si>
    <t>063.jpg</t>
  </si>
  <si>
    <t>064.jpg</t>
  </si>
  <si>
    <t>081.jpg</t>
  </si>
  <si>
    <t>082.jpg</t>
  </si>
  <si>
    <t>083.jpg</t>
  </si>
  <si>
    <t>084.jpg</t>
  </si>
  <si>
    <t>085.jpg</t>
  </si>
  <si>
    <t>221.jpg</t>
  </si>
  <si>
    <t>222.jpg</t>
  </si>
  <si>
    <t>223.jpg</t>
  </si>
  <si>
    <t>224.jpg</t>
  </si>
  <si>
    <t>225.jpg</t>
  </si>
  <si>
    <t>1120166##</t>
  </si>
  <si>
    <t>1120167##</t>
  </si>
  <si>
    <t>1120168##</t>
  </si>
  <si>
    <t>07</t>
  </si>
  <si>
    <t>071.jpg</t>
  </si>
  <si>
    <t>072.jpg</t>
  </si>
  <si>
    <t>073.jpg</t>
  </si>
  <si>
    <t>074.jpg</t>
  </si>
  <si>
    <t>034.jpg</t>
  </si>
  <si>
    <t>04</t>
  </si>
  <si>
    <t>041.jpg</t>
  </si>
  <si>
    <t>042.jpg</t>
  </si>
  <si>
    <t>043.jpg</t>
  </si>
  <si>
    <t>044.jpg</t>
  </si>
  <si>
    <t>045.jpg</t>
  </si>
  <si>
    <t>046.jpg</t>
  </si>
  <si>
    <t>047.jpg</t>
  </si>
  <si>
    <t>048.jpg</t>
  </si>
  <si>
    <t>049.jpg</t>
  </si>
  <si>
    <t>189.jpg</t>
  </si>
  <si>
    <t>226.jpg</t>
  </si>
  <si>
    <t>227.jpg</t>
  </si>
  <si>
    <t>228.jpg</t>
  </si>
  <si>
    <t>229.jpg</t>
  </si>
  <si>
    <t>5101885##</t>
  </si>
  <si>
    <t>21</t>
  </si>
  <si>
    <t>211.jpg</t>
  </si>
  <si>
    <t>212.jpg</t>
  </si>
  <si>
    <t>4120237##</t>
  </si>
  <si>
    <t>4120238##</t>
  </si>
  <si>
    <t>1120416##</t>
  </si>
  <si>
    <t>1120417##</t>
  </si>
  <si>
    <t>1120176##</t>
  </si>
  <si>
    <t>1120177##</t>
  </si>
  <si>
    <t>1120324##</t>
  </si>
  <si>
    <t>1120325##</t>
  </si>
  <si>
    <t>1120326##</t>
  </si>
  <si>
    <t>https://raw.githubusercontent.com/edgardoraul/imagenes_rerda/main/</t>
  </si>
  <si>
    <t>11</t>
  </si>
  <si>
    <t>111.jpg</t>
  </si>
  <si>
    <t>112.jpg</t>
  </si>
  <si>
    <t>113.jpg</t>
  </si>
  <si>
    <t>114.jpg</t>
  </si>
  <si>
    <t>05</t>
  </si>
  <si>
    <t>8205038##</t>
  </si>
  <si>
    <t>Código</t>
  </si>
  <si>
    <t>Descripción</t>
  </si>
  <si>
    <t>APLIQUE ESPALDA SERMEN</t>
  </si>
  <si>
    <t>BOMB KADIMA VIAL TUCUMAN 34/48 RER</t>
  </si>
  <si>
    <t>BOMB KADIMA VIAL TUCUMAN 50/54 RER</t>
  </si>
  <si>
    <t>BOMB KADIMA VIAL TUCUMAN 56/60 RER</t>
  </si>
  <si>
    <t>CHOMBA MC POLO COMBINADA MUNI RER</t>
  </si>
  <si>
    <t>REMERA MC SIN CIERRE AZUL BOMBEROS 3XS/2XL</t>
  </si>
  <si>
    <t>REMERA MC SIN CIERRE AZUL BOMBEROS 3XL/6XL</t>
  </si>
  <si>
    <t>REMERA MC SIN CIERRE BEIGE C/VIVO NE 3XS/2XL RER</t>
  </si>
  <si>
    <t>REMERA MC SIN CIERRE BEIGE C/VIVO NE 3XL/6XL RER</t>
  </si>
  <si>
    <t>CHOMBA MC POLO NEGRA SANTA CRUZ 3XS/2XL</t>
  </si>
  <si>
    <t>CHOMBA MC POLO NEGRA SANTA CRUZ 3XL/6XL</t>
  </si>
  <si>
    <t>REMERA MC NEGRA BOMBEROS NEUQUEN</t>
  </si>
  <si>
    <t>TRICOTA GRUPO RL NEGRA CUELLO V</t>
  </si>
  <si>
    <t>CHALECO FLUOR C/VIVO STAR</t>
  </si>
  <si>
    <t>CHALECO FLUOR C/VIVO RL</t>
  </si>
  <si>
    <t>CAMISA ML COMBINADO GRIS MUNI ESPERANZA RER</t>
  </si>
  <si>
    <t>CAMISA MC COMBINADO GRIS MUNI ESPERANZA RER</t>
  </si>
  <si>
    <t>CAMISA ML BAT BLANCA SIN TAPA</t>
  </si>
  <si>
    <t>CAMP ROMPEVIENTO URBANA MANG DESM 2XS/2XL RER</t>
  </si>
  <si>
    <t>CAMP. CHALECO TERMICO C/CARGADOR</t>
  </si>
  <si>
    <t>CAMP POLICIA SANTA CRUZ 2COL 3XL/7XL RER</t>
  </si>
  <si>
    <t>CAMP INVEST NEGRA T.E. 5XL/6XL RER</t>
  </si>
  <si>
    <t>CHAQUETILLA BLANCA DAMA RER</t>
  </si>
  <si>
    <t>CHAQUETILLA POLICIA/PENIT DAMA 176N0110 FC</t>
  </si>
  <si>
    <t>HOMB NEGRA LISA AGENTE INFOPE RER</t>
  </si>
  <si>
    <t>METAL BARRA DE CURSO CADETE LMGE PLAT FEM</t>
  </si>
  <si>
    <t>METAL LIBRITOS ESC DE CADETE PLAT FEM</t>
  </si>
  <si>
    <t>ESC BORD LA PRIMERA SEGURIDAD</t>
  </si>
  <si>
    <t>ESC BORD SEGURIDAD CHICO</t>
  </si>
  <si>
    <t>ESC BORD STAR</t>
  </si>
  <si>
    <t>ESC BORD MZA UNID EXPLOSIVOS</t>
  </si>
  <si>
    <t>ESC BORD DEPARTAMENTO SUSTR AUTOMOT NQN</t>
  </si>
  <si>
    <t>ESC BORD CUERPO PREVENCION BARRIAL CPB</t>
  </si>
  <si>
    <t>ESC BORD TMAN SS. PENITENCIARIO + BARG</t>
  </si>
  <si>
    <t>ESC BORD TMAN + BAND BV</t>
  </si>
  <si>
    <t>ESC BORD POL LA RIOJA ESC DE CADETES</t>
  </si>
  <si>
    <t>SOL BORD ORO CRIO DG</t>
  </si>
  <si>
    <t>BORCEGUI TACTICO DL006</t>
  </si>
  <si>
    <t>BORCEGUI TACTICO FULL GRAIN LEATHER</t>
  </si>
  <si>
    <t>BORCEGUI TACTICO FULL GRAIN LEATHER T.ESPECIAL</t>
  </si>
  <si>
    <t>BORCEGUI TACTICO DEL600</t>
  </si>
  <si>
    <t>CASQ RIP NEGRO OFICIAL SUP POL STA CRUZ</t>
  </si>
  <si>
    <t>GORRITA AZUL FAF</t>
  </si>
  <si>
    <t>GORRITA MZA PENITENCIARIA INFOPE</t>
  </si>
  <si>
    <t>SUDADERA RED MILITAR NEGRA ORF</t>
  </si>
  <si>
    <t>GRIFA INFANTERIA RER</t>
  </si>
  <si>
    <t>GRIFA CABALLERIA RER</t>
  </si>
  <si>
    <t>CORBATA GRUPO RL NEGRA</t>
  </si>
  <si>
    <t>CUCHILLO NEGRO C/FUNDA Y AFILADOR 0812-14 IMP</t>
  </si>
  <si>
    <t>CINTO RIGIDO DOBLE MOLLE</t>
  </si>
  <si>
    <t>CINTO TACTICO MOLLE CORTE LASER BO15L</t>
  </si>
  <si>
    <t>CINTURON COBRA HEB METALICA 5576 IMP</t>
  </si>
  <si>
    <t>CINT GALA AZUL POLICIA CINTA DORADA S/HEBILLA</t>
  </si>
  <si>
    <t>CINT GALA AZUL POLICIA CINTA NEGRA S/HEBILLA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</si>
  <si>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</si>
  <si>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</si>
  <si>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</si>
  <si>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</si>
  <si>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</si>
  <si>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</si>
  <si>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</si>
  <si>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</si>
  <si>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</si>
  <si>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PISTOLERA NIVEL 2 POLIM. GLOCK 19 / 23 / 32    BO7G19</t>
  </si>
  <si>
    <t>PIST. INTERNA KYDEX GLOCK KY-17G</t>
  </si>
  <si>
    <t>PORTA CARG KYDEX SIMPLE FCARBONO 9/4</t>
  </si>
  <si>
    <t>PORTA CARG DOBLE KYDEX 9/40 KY-113</t>
  </si>
  <si>
    <t>PORTA CARGADOR DOBLE UNIVERSAL C/TAPA POLIMERO BO4DT</t>
  </si>
  <si>
    <t>PORTA CARGADOR SIMPLE UNIVERSAL C/TAPA POLIMERO BO4ST</t>
  </si>
  <si>
    <t>PORTA CARGADOR DOBLE UNIVERSAL POLIMERO BO4D</t>
  </si>
  <si>
    <t>PORTA ESPOSA UNIVERSAL POLIMERO BO5</t>
  </si>
  <si>
    <t>PORTA CARGADOR POUCH DOBLE MOLLE</t>
  </si>
  <si>
    <t>PORTA ESPOSAS TACTICO UNIVERSAL DE POLIMERO BO5</t>
  </si>
  <si>
    <t>CHALECO PORTA PLACAS MOLLE</t>
  </si>
  <si>
    <t>MUÑEQUERA PORTA RELOJ RRD81 BLK</t>
  </si>
  <si>
    <t>BORD EN PRENDA KINETA</t>
  </si>
  <si>
    <t>MEDIAS TE149A SOX</t>
  </si>
  <si>
    <t>CHALECO TACTICO MOLLE AIRSOFT/PAINTBALL</t>
  </si>
  <si>
    <t>051.jpg</t>
  </si>
  <si>
    <t>075.jpg</t>
  </si>
  <si>
    <t>29</t>
  </si>
  <si>
    <t>13</t>
  </si>
  <si>
    <t>291.jpg</t>
  </si>
  <si>
    <t>292.jpg</t>
  </si>
  <si>
    <t>293.jpg</t>
  </si>
  <si>
    <t>294.jpg</t>
  </si>
  <si>
    <t>295.jpg</t>
  </si>
  <si>
    <t>131.jpg</t>
  </si>
  <si>
    <t>132.jpg</t>
  </si>
  <si>
    <t>01</t>
  </si>
  <si>
    <t>011.jpg</t>
  </si>
  <si>
    <t>012.jpg</t>
  </si>
  <si>
    <t>013.jpg</t>
  </si>
  <si>
    <t>rutaFinal</t>
  </si>
  <si>
    <t>D:\OneDrive\Dragonfish Color y Talle\Articulos</t>
  </si>
  <si>
    <t>D:\Web\imagenes_rerda</t>
  </si>
  <si>
    <t>https://img.rerda.com/imagenes_rerda/</t>
  </si>
  <si>
    <t>052.jpg</t>
  </si>
  <si>
    <t>053.jpg</t>
  </si>
  <si>
    <t>054.jpg</t>
  </si>
  <si>
    <t>BOMB CLAS RIP AZUL NOCHE 36/48 RER</t>
  </si>
  <si>
    <t>BOMB CLAS RIP AZUL NOCHE 50/54 RER</t>
  </si>
  <si>
    <t>CHOMBA MC JERSEY URBANA TUC 3XS/2XL RER</t>
  </si>
  <si>
    <t>CHOMBA MC JERSEY URBANA TUC 3XL/6XL RER</t>
  </si>
  <si>
    <t>CHOMBA MC CIERRE GUARDIA URB PILAR 3XS/2XL RER</t>
  </si>
  <si>
    <t>CHOMBA MC CIERRE GUARDIA URB PILAR 3XL/6XL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</si>
  <si>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</si>
  <si>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</si>
  <si>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</si>
  <si>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</si>
  <si>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</si>
  <si>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</si>
  <si>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</si>
  <si>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</si>
  <si>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REMERA MC TOSTADO LISO UCA</t>
  </si>
  <si>
    <t>CAMISA ML BLANCA GRUPO RL</t>
  </si>
  <si>
    <t>CAMISA MC BLANCA GRUPO RL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</si>
  <si>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</si>
  <si>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</si>
  <si>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</si>
  <si>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</si>
  <si>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</si>
  <si>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</si>
  <si>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GARIBALDINA MAO RIP AZUL NOCHE (442) 2XS/2XL</t>
  </si>
  <si>
    <t>GARIBALDINA MAO RIP AZUL NOCHE (442) 3XL/6XL</t>
  </si>
  <si>
    <t>HOMB AGEN SEGURITY</t>
  </si>
  <si>
    <t>ESC BORD LA LEYENDA SEGURIDAD PRIV RER</t>
  </si>
  <si>
    <t>HOMB NEGRA LA PRIMERA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</si>
  <si>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</si>
  <si>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</si>
  <si>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</si>
  <si>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</si>
  <si>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</si>
  <si>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</si>
  <si>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</si>
  <si>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</si>
  <si>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ESC BORD CONTROL PATRIMONIAL NIBEGE</t>
  </si>
  <si>
    <t>APLIQUE BLANCO RECAUDO</t>
  </si>
  <si>
    <t>ESC BORD AGENTES LAS RIOJA PEÑALOZA</t>
  </si>
  <si>
    <t>ESC BORD JEFATURA DEPARTAMENTAL GLLEN</t>
  </si>
  <si>
    <t>ESC BORD AGEN SEGURITY</t>
  </si>
  <si>
    <t>ESC BORD MZA INFANTERIA SANMARTIN</t>
  </si>
  <si>
    <t>ESC BORD MZA INFANTERIA MONTOYA</t>
  </si>
  <si>
    <t>ESC BORD MZA INFANTERIA BELGRANO</t>
  </si>
  <si>
    <t>ESC BORD CADETES POL NQN CRIO INSP STAUB</t>
  </si>
  <si>
    <t>APLIQUE LA LEYENDA SEG PRIVADA</t>
  </si>
  <si>
    <t>PARLANTE EUROSOUND DEVON ES-FL280 2000W</t>
  </si>
  <si>
    <t>AURICULARES BLUETOOTH DAEWOO DW-PR431</t>
  </si>
  <si>
    <t>AURICULAR TWS DAEWOO JAY DW-JD441</t>
  </si>
  <si>
    <t>BORCEGUI TACTICO GL818</t>
  </si>
  <si>
    <t>CASQ AZUL URBANO TUCUMAN</t>
  </si>
  <si>
    <t>CASQ AZUL URBANO IMPO TUCUMAN</t>
  </si>
  <si>
    <t>CASQ POLI CATAMARCA SUBCO/CO</t>
  </si>
  <si>
    <t>CASQ POLI CATAMARCA CRIO GRAL</t>
  </si>
  <si>
    <t>CASQ GAB BEIGE C/ABROJO</t>
  </si>
  <si>
    <t>CASQ RIP GRIS ABR SPP</t>
  </si>
  <si>
    <t>CASQ REVERS VIAL TMAN CRIO GRAL</t>
  </si>
  <si>
    <t>CASQ REVERS VIAL TMAN SUBCRIO/COM</t>
  </si>
  <si>
    <t>BONNY RIP NEGRO RER</t>
  </si>
  <si>
    <t>SUDADERA RED MILITAR BEIGE 160 X 0.45 RE</t>
  </si>
  <si>
    <t>CORBATA NEGRA SEGURYTEC</t>
  </si>
  <si>
    <t>BINOCULAR LARGAVISTA  TACTICO HIGH QUALITY 20X50 10282</t>
  </si>
  <si>
    <t>PUNTERO LASER RECARGABLE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</si>
  <si>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</si>
  <si>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</si>
  <si>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</si>
  <si>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</si>
  <si>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PISTOLERA NIVEL 2 POLIM. BERSA THUNDER/PRO/TPR BO7</t>
  </si>
  <si>
    <t>PIST NIVEL 2 TAURUS 809/TH9 B0</t>
  </si>
  <si>
    <t>PORTA CARGADOR DOBLE UNIVERSAL POLIMERO BO4DT</t>
  </si>
  <si>
    <t>MOCHILA TACTICA  MZ-RJ-A33 25 LTS</t>
  </si>
  <si>
    <t>MOCHILA TACTICA CORTE LASER  MZ-RJ-A26 25 LTS</t>
  </si>
  <si>
    <t>MOCHILA 3D MEDIANA 35L FRONT C/PORTABOTELLA</t>
  </si>
  <si>
    <t>MOCHILA ASALTO TACT40LT 3P LASER JSH1907</t>
  </si>
  <si>
    <t>4120028##</t>
  </si>
  <si>
    <t>https://img.rerda.com/imagenes_rerda/8505827/1.jpg</t>
  </si>
  <si>
    <t>https://img.rerda.com/imagenes_rerda/8505822/1.jpg</t>
  </si>
  <si>
    <t>https://img.rerda.com/imagenes_rerda/8505821/1.jpg,https://img.rerda.com/imagenes_rerda/8505821/2.jpg,https://img.rerda.com/imagenes_rerda/8505821/3.jpg</t>
  </si>
  <si>
    <t>https://img.rerda.com/imagenes_rerda/8505823/1.jpg</t>
  </si>
  <si>
    <t>https://img.rerda.com/imagenes_rerda/8505820/1.jpg</t>
  </si>
  <si>
    <t>https://img.rerda.com/imagenes_rerda/8505825/1.jpg</t>
  </si>
  <si>
    <t>https://img.rerda.com/imagenes_rerda/8505149/1.jpg,https://img.rerda.com/imagenes_rerda/8505149/2.jpg</t>
  </si>
  <si>
    <t>https://img.rerda.com/imagenes_rerda/8505172/1.jpg,https://img.rerda.com/imagenes_rerda/8505172/2.jpg</t>
  </si>
  <si>
    <t>https://img.rerda.com/imagenes_rerda/8505171/1.jpg,https://img.rerda.com/imagenes_rerda/8505171/2.jpg</t>
  </si>
  <si>
    <t>https://img.rerda.com/imagenes_rerda/8505173/1.jpg,https://img.rerda.com/imagenes_rerda/8505173/2.jpg</t>
  </si>
  <si>
    <t>https://img.rerda.com/imagenes_rerda/8505151/1.jpg,https://img.rerda.com/imagenes_rerda/8505151/2.jpg</t>
  </si>
  <si>
    <t>https://img.rerda.com/imagenes_rerda/8505161/1.jpg,https://img.rerda.com/imagenes_rerda/8505161/2.jpg</t>
  </si>
  <si>
    <t>https://img.rerda.com/imagenes_rerda/8505121/1.jpg</t>
  </si>
  <si>
    <t>https://img.rerda.com/imagenes_rerda/8505170/1.jpg,https://img.rerda.com/imagenes_rerda/8505170/2.jpg</t>
  </si>
  <si>
    <t>https://img.rerda.com/imagenes_rerda/8505122/1.jpg,https://img.rerda.com/imagenes_rerda/8505122/2.jpg</t>
  </si>
  <si>
    <t>https://img.rerda.com/imagenes_rerda/8505133/1.jpg</t>
  </si>
  <si>
    <t>https://img.rerda.com/imagenes_rerda/8505162/1.jpg,https://img.rerda.com/imagenes_rerda/8505162/2.jpg</t>
  </si>
  <si>
    <t>https://img.rerda.com/imagenes_rerda/8505153/1.jpg</t>
  </si>
  <si>
    <t>https://img.rerda.com/imagenes_rerda/8505123/1.jpg</t>
  </si>
  <si>
    <t>https://img.rerda.com/imagenes_rerda/8505124/1.jpg</t>
  </si>
  <si>
    <t>https://img.rerda.com/imagenes_rerda/8505125/1.jpg</t>
  </si>
  <si>
    <t>https://img.rerda.com/imagenes_rerda/8505126/1.jpg,https://img.rerda.com/imagenes_rerda/8505126/2.jpg</t>
  </si>
  <si>
    <t>https://img.rerda.com/imagenes_rerda/8505155/1.jpg,https://img.rerda.com/imagenes_rerda/8505155/2.jpg</t>
  </si>
  <si>
    <t>https://img.rerda.com/imagenes_rerda/8505154/1.jpg,https://img.rerda.com/imagenes_rerda/8505154/2.jpg,https://img.rerda.com/imagenes_rerda/8505154/3.jpg</t>
  </si>
  <si>
    <t>https://img.rerda.com/imagenes_rerda/8505174/1.jpg,https://img.rerda.com/imagenes_rerda/8505174/2.jpg</t>
  </si>
  <si>
    <t>https://img.rerda.com/imagenes_rerda/8503125/1.jpg,https://img.rerda.com/imagenes_rerda/8503125/2.jpg,https://img.rerda.com/imagenes_rerda/8503125/3.jpg</t>
  </si>
  <si>
    <t>https://img.rerda.com/imagenes_rerda/8503428/1.jpg,https://img.rerda.com/imagenes_rerda/8503428/2.jpg,https://img.rerda.com/imagenes_rerda/8503428/3.jpg</t>
  </si>
  <si>
    <t>https://img.rerda.com/imagenes_rerda/8520042/1.jpg,https://img.rerda.com/imagenes_rerda/8520042/2.jpg,https://img.rerda.com/imagenes_rerda/8520042/3.jpg,https://img.rerda.com/imagenes_rerda/8520042/4.jpg,https://img.rerda.com/imagenes_rerda/8520042/5.jpg,https://img.rerda.com/imagenes_rerda/8520042/6.jpg</t>
  </si>
  <si>
    <t>https://img.rerda.com/imagenes_rerda/8301558/1.jpg,https://img.rerda.com/imagenes_rerda/8301558/2.jpg,https://img.rerda.com/imagenes_rerda/8301558/3.jpg</t>
  </si>
  <si>
    <t>https://img.rerda.com/imagenes_rerda/8301000/1.jpg,https://img.rerda.com/imagenes_rerda/8301000/2.jpg</t>
  </si>
  <si>
    <t>https://img.rerda.com/imagenes_rerda/8301008/1.jpg,https://img.rerda.com/imagenes_rerda/8301008/2.jpg,https://img.rerda.com/imagenes_rerda/8301008/3.jpg</t>
  </si>
  <si>
    <t>https://img.rerda.com/imagenes_rerda/8301805/1.jpg,https://img.rerda.com/imagenes_rerda/8301805/2.jpg</t>
  </si>
  <si>
    <t>https://img.rerda.com/imagenes_rerda/8301495/1.jpg,https://img.rerda.com/imagenes_rerda/8301495/2.jpg,https://img.rerda.com/imagenes_rerda/8301495/3.jpg,https://img.rerda.com/imagenes_rerda/8301495/4.jpg,https://img.rerda.com/imagenes_rerda/8301495/5.jpg,https://img.rerda.com/imagenes_rerda/8301495/6.jpg</t>
  </si>
  <si>
    <t>https://img.rerda.com/imagenes_rerda/8301700/1.jpg,https://img.rerda.com/imagenes_rerda/8301700/2.jpg,https://img.rerda.com/imagenes_rerda/8301700/3.jpg,https://img.rerda.com/imagenes_rerda/8301700/4.jpg,https://img.rerda.com/imagenes_rerda/8301700/5.jpg,https://img.rerda.com/imagenes_rerda/8301700/6.jpg</t>
  </si>
  <si>
    <t>https://img.rerda.com/imagenes_rerda/8692232/1.jpg,https://img.rerda.com/imagenes_rerda/8692232/2.jpg,https://img.rerda.com/imagenes_rerda/8692232/3.jpg,https://img.rerda.com/imagenes_rerda/8692232/4.jpg</t>
  </si>
  <si>
    <t>https://img.rerda.com/imagenes_rerda/8692231/1.jpg,https://img.rerda.com/imagenes_rerda/8692231/2.jpg,https://img.rerda.com/imagenes_rerda/8692231/3.jpg,https://img.rerda.com/imagenes_rerda/8692231/4.jpg,https://img.rerda.com/imagenes_rerda/8692231/5.jpg</t>
  </si>
  <si>
    <t>https://img.rerda.com/imagenes_rerda/8692233/1.jpg,https://img.rerda.com/imagenes_rerda/8692233/2.jpg,https://img.rerda.com/imagenes_rerda/8692233/3.jpg,https://img.rerda.com/imagenes_rerda/8692233/4.jpg,https://img.rerda.com/imagenes_rerda/8692233/5.jpg</t>
  </si>
  <si>
    <t>https://img.rerda.com/imagenes_rerda/8205080/1.jpg,https://img.rerda.com/imagenes_rerda/8205080/2.jpg,https://img.rerda.com/imagenes_rerda/8205080/3.jpg,https://img.rerda.com/imagenes_rerda/8205080/4.jpg,https://img.rerda.com/imagenes_rerda/8205080/5.jpg,https://img.rerda.com/imagenes_rerda/8205080/6.jpg,https://img.rerda.com/imagenes_rerda/8205080/7.jpg,https://img.rerda.com/imagenes_rerda/8205080/8.jpg</t>
  </si>
  <si>
    <t>https://img.rerda.com/imagenes_rerda/8205881/1.jpg,https://img.rerda.com/imagenes_rerda/8205881/2.jpg,https://img.rerda.com/imagenes_rerda/8205881/3.jpg,https://img.rerda.com/imagenes_rerda/8205881/4.jpg,https://img.rerda.com/imagenes_rerda/8205881/5.jpg,https://img.rerda.com/imagenes_rerda/8205881/6.jpg</t>
  </si>
  <si>
    <t>https://img.rerda.com/imagenes_rerda/8205118/1.jpg,https://img.rerda.com/imagenes_rerda/8205118/2.jpg,https://img.rerda.com/imagenes_rerda/8205118/3.jpg,https://img.rerda.com/imagenes_rerda/8205118/4.jpg,https://img.rerda.com/imagenes_rerda/8205118/5.jpg,https://img.rerda.com/imagenes_rerda/8205118/6.jpg,https://img.rerda.com/imagenes_rerda/8205118/7.jpg</t>
  </si>
  <si>
    <t>https://img.rerda.com/imagenes_rerda/8205119/1.jpg,https://img.rerda.com/imagenes_rerda/8205119/2.jpg,https://img.rerda.com/imagenes_rerda/8205119/3.jpg,https://img.rerda.com/imagenes_rerda/8205119/4.jpg,https://img.rerda.com/imagenes_rerda/8205119/5.jpg,https://img.rerda.com/imagenes_rerda/8205119/6.jpg</t>
  </si>
  <si>
    <t>https://img.rerda.com/imagenes_rerda/8205051/1.jpg,https://img.rerda.com/imagenes_rerda/8205051/2.jpg,https://img.rerda.com/imagenes_rerda/8205051/3.jpg,https://img.rerda.com/imagenes_rerda/8205051/4.jpg,https://img.rerda.com/imagenes_rerda/8205051/5.jpg,https://img.rerda.com/imagenes_rerda/8205051/6.jpg,https://img.rerda.com/imagenes_rerda/8205051/7.jpg,https://img.rerda.com/imagenes_rerda/8205051/8.jpg,https://img.rerda.com/imagenes_rerda/8205051/9.jpg,https://img.rerda.com/imagenes_rerda/8205051/10.jpg</t>
  </si>
  <si>
    <t>https://img.rerda.com/imagenes_rerda/8205050/1.jpg,https://img.rerda.com/imagenes_rerda/8205050/2.jpg,https://img.rerda.com/imagenes_rerda/8205050/3.jpg,https://img.rerda.com/imagenes_rerda/8205050/4.jpg,https://img.rerda.com/imagenes_rerda/8205050/5.jpg,https://img.rerda.com/imagenes_rerda/8205050/6.jpg,https://img.rerda.com/imagenes_rerda/8205050/7.jpg,https://img.rerda.com/imagenes_rerda/8205050/8.jpg</t>
  </si>
  <si>
    <t>https://img.rerda.com/imagenes_rerda/8205600/1.jpg,https://img.rerda.com/imagenes_rerda/8205600/2.jpg,https://img.rerda.com/imagenes_rerda/8205600/3.jpg,https://img.rerda.com/imagenes_rerda/8205600/4.jpg</t>
  </si>
  <si>
    <t>https://img.rerda.com/imagenes_rerda/8205037/1.jpg,https://img.rerda.com/imagenes_rerda/8205037/2.jpg,https://img.rerda.com/imagenes_rerda/8205037/3.jpg,https://img.rerda.com/imagenes_rerda/8205037/4.jpg</t>
  </si>
  <si>
    <t>https://img.rerda.com/imagenes_rerda/8205818/1.jpg,https://img.rerda.com/imagenes_rerda/8205818/2.jpg,https://img.rerda.com/imagenes_rerda/8205818/3.jpg,https://img.rerda.com/imagenes_rerda/8205818/4.jpg,https://img.rerda.com/imagenes_rerda/8205818/5.jpg,https://img.rerda.com/imagenes_rerda/8205818/6.jpg</t>
  </si>
  <si>
    <t>https://img.rerda.com/imagenes_rerda/8205115/1.jpg,https://img.rerda.com/imagenes_rerda/8205115/2.jpg,https://img.rerda.com/imagenes_rerda/8205115/3.jpg,https://img.rerda.com/imagenes_rerda/8205115/4.jpg,https://img.rerda.com/imagenes_rerda/8205115/5.jpg,https://img.rerda.com/imagenes_rerda/8205115/6.jpg,https://img.rerda.com/imagenes_rerda/8205115/7.jpg</t>
  </si>
  <si>
    <t>https://img.rerda.com/imagenes_rerda/8205041/1.jpg,https://img.rerda.com/imagenes_rerda/8205041/2.jpg,https://img.rerda.com/imagenes_rerda/8205041/3.jpg,https://img.rerda.com/imagenes_rerda/8205041/4.jpg,https://img.rerda.com/imagenes_rerda/8205041/5.jpg,https://img.rerda.com/imagenes_rerda/8205041/6.jpg,https://img.rerda.com/imagenes_rerda/8205041/7.jpg</t>
  </si>
  <si>
    <t>https://img.rerda.com/imagenes_rerda/8205090/1.jpg,https://img.rerda.com/imagenes_rerda/8205090/2.jpg,https://img.rerda.com/imagenes_rerda/8205090/3.jpg,https://img.rerda.com/imagenes_rerda/8205090/4.jpg,https://img.rerda.com/imagenes_rerda/8205090/5.jpg,https://img.rerda.com/imagenes_rerda/8205090/6.jpg,https://img.rerda.com/imagenes_rerda/8205090/7.jpg</t>
  </si>
  <si>
    <t>https://img.rerda.com/imagenes_rerda/8205120/1.jpg,https://img.rerda.com/imagenes_rerda/8205120/2.jpg</t>
  </si>
  <si>
    <t>https://img.rerda.com/imagenes_rerda/8205040/1.jpg,https://img.rerda.com/imagenes_rerda/8205040/2.jpg,https://img.rerda.com/imagenes_rerda/8205040/3.jpg</t>
  </si>
  <si>
    <t>https://img.rerda.com/imagenes_rerda/8205060/1.jpg,https://img.rerda.com/imagenes_rerda/8205060/2.jpg,https://img.rerda.com/imagenes_rerda/8205060/3.jpg,https://img.rerda.com/imagenes_rerda/8205060/4.jpg</t>
  </si>
  <si>
    <t>https://img.rerda.com/imagenes_rerda/8205016/1.jpg,https://img.rerda.com/imagenes_rerda/8205016/2.jpg,https://img.rerda.com/imagenes_rerda/8205016/3.jpg,https://img.rerda.com/imagenes_rerda/8205016/4.jpg</t>
  </si>
  <si>
    <t>https://img.rerda.com/imagenes_rerda/8205018/1.jpg,https://img.rerda.com/imagenes_rerda/8205018/2.jpg,https://img.rerda.com/imagenes_rerda/8205018/3.jpg,https://img.rerda.com/imagenes_rerda/8205018/4.jpg,https://img.rerda.com/imagenes_rerda/8205018/5.jpg,https://img.rerda.com/imagenes_rerda/8205018/6.jpg,https://img.rerda.com/imagenes_rerda/8205018/7.jpg</t>
  </si>
  <si>
    <t>https://img.rerda.com/imagenes_rerda/8205010/1.jpg,https://img.rerda.com/imagenes_rerda/8205010/2.jpg,https://img.rerda.com/imagenes_rerda/8205010/3.jpg</t>
  </si>
  <si>
    <t>https://img.rerda.com/imagenes_rerda/8205020/1.jpg,https://img.rerda.com/imagenes_rerda/8205020/2.jpg,https://img.rerda.com/imagenes_rerda/8205020/3.jpg</t>
  </si>
  <si>
    <t>https://img.rerda.com/imagenes_rerda/7800000/1.jpg,https://img.rerda.com/imagenes_rerda/7800000/2.jpg</t>
  </si>
  <si>
    <t>https://img.rerda.com/imagenes_rerda/8511522/1.jpg,https://img.rerda.com/imagenes_rerda/8511522/2.jpg</t>
  </si>
  <si>
    <t>https://img.rerda.com/imagenes_rerda/8692010/1.jpg,https://img.rerda.com/imagenes_rerda/8692010/2.jpg,https://img.rerda.com/imagenes_rerda/8692010/3.jpg</t>
  </si>
  <si>
    <t>https://img.rerda.com/imagenes_rerda/8692011/1.jpg,https://img.rerda.com/imagenes_rerda/8692011/2.jpg,https://img.rerda.com/imagenes_rerda/8692011/3.jpg</t>
  </si>
  <si>
    <t>https://img.rerda.com/imagenes_rerda/8612057/1.jpg,https://img.rerda.com/imagenes_rerda/8612057/2.jpg,https://img.rerda.com/imagenes_rerda/8612057/3.jpg,https://img.rerda.com/imagenes_rerda/8612057/4.jpg</t>
  </si>
  <si>
    <t>https://img.rerda.com/imagenes_rerda/8612056/1.jpg,https://img.rerda.com/imagenes_rerda/8612056/2.jpg,https://img.rerda.com/imagenes_rerda/8612056/3.jpg,https://img.rerda.com/imagenes_rerda/8612056/4.jpg,https://img.rerda.com/imagenes_rerda/8612056/5.jpg,https://img.rerda.com/imagenes_rerda/8612056/6.jpg</t>
  </si>
  <si>
    <t>https://img.rerda.com/imagenes_rerda/8612058/1.jpg,https://img.rerda.com/imagenes_rerda/8612058/2.jpg,https://img.rerda.com/imagenes_rerda/8612058/3.jpg,https://img.rerda.com/imagenes_rerda/8612058/4.jpg</t>
  </si>
  <si>
    <t>https://img.rerda.com/imagenes_rerda/8303665/1.jpg,https://img.rerda.com/imagenes_rerda/8303665/2.jpg,https://img.rerda.com/imagenes_rerda/8303665/3.jpg,https://img.rerda.com/imagenes_rerda/8303665/4.jpg,https://img.rerda.com/imagenes_rerda/8303665/5.jpg</t>
  </si>
  <si>
    <t>https://img.rerda.com/imagenes_rerda/8303222/1.jpg,https://img.rerda.com/imagenes_rerda/8303222/2.jpg,https://img.rerda.com/imagenes_rerda/8303222/3.jpg,https://img.rerda.com/imagenes_rerda/8303222/4.jpg,https://img.rerda.com/imagenes_rerda/8303222/5.jpg</t>
  </si>
  <si>
    <t>https://img.rerda.com/imagenes_rerda/8303120/1.jpg,https://img.rerda.com/imagenes_rerda/8303120/2.jpg,https://img.rerda.com/imagenes_rerda/8303120/3.jpg,https://img.rerda.com/imagenes_rerda/8303120/4.jpg,https://img.rerda.com/imagenes_rerda/8303120/5.jpg,https://img.rerda.com/imagenes_rerda/8303120/6.jpg,https://img.rerda.com/imagenes_rerda/8303120/7.jpg,https://img.rerda.com/imagenes_rerda/8303120/8.jpg</t>
  </si>
  <si>
    <t>https://img.rerda.com/imagenes_rerda/8303130/1.jpg,https://img.rerda.com/imagenes_rerda/8303130/2.jpg,https://img.rerda.com/imagenes_rerda/8303130/3.jpg</t>
  </si>
  <si>
    <t>https://img.rerda.com/imagenes_rerda/8303003/1.jpg,https://img.rerda.com/imagenes_rerda/8303003/2.jpg,https://img.rerda.com/imagenes_rerda/8303003/3.jpg</t>
  </si>
  <si>
    <t>https://img.rerda.com/imagenes_rerda/2401242/1.jpg,https://img.rerda.com/imagenes_rerda/2401242/2.jpg,https://img.rerda.com/imagenes_rerda/2401242/3.jpg</t>
  </si>
  <si>
    <t>https://img.rerda.com/imagenes_rerda/2401550/1.jpg,https://img.rerda.com/imagenes_rerda/2401550/2.jpg,https://img.rerda.com/imagenes_rerda/2401550/3.jpg,https://img.rerda.com/imagenes_rerda/2401550/4.jpg</t>
  </si>
  <si>
    <t>https://img.rerda.com/imagenes_rerda/5102001/1.jpg,https://img.rerda.com/imagenes_rerda/5102001/2.jpg,https://img.rerda.com/imagenes_rerda/5102001/3.jpg</t>
  </si>
  <si>
    <t>https://img.rerda.com/imagenes_rerda/2401584/1.jpg,https://img.rerda.com/imagenes_rerda/2401584/2.jpg,https://img.rerda.com/imagenes_rerda/2401584/3.jpg</t>
  </si>
  <si>
    <t>https://img.rerda.com/imagenes_rerda/2401249/1.jpg,https://img.rerda.com/imagenes_rerda/2401249/2.jpg,https://img.rerda.com/imagenes_rerda/2401249/3.jpg,https://img.rerda.com/imagenes_rerda/2401249/4.jpg,https://img.rerda.com/imagenes_rerda/2401249/5.jpg,https://img.rerda.com/imagenes_rerda/2401249/6.jpg,https://img.rerda.com/imagenes_rerda/2401249/7.jpg,https://img.rerda.com/imagenes_rerda/2401249/8.jpg</t>
  </si>
  <si>
    <t>https://img.rerda.com/imagenes_rerda/2401022/1.jpg,https://img.rerda.com/imagenes_rerda/2401022/2.jpg,https://img.rerda.com/imagenes_rerda/2401022/3.jpg</t>
  </si>
  <si>
    <t>https://img.rerda.com/imagenes_rerda/8708116/1.jpg,https://img.rerda.com/imagenes_rerda/8708116/2.jpg,https://img.rerda.com/imagenes_rerda/8708116/3.jpg,https://img.rerda.com/imagenes_rerda/8708116/4.jpg,https://img.rerda.com/imagenes_rerda/8708116/5.jpg,https://img.rerda.com/imagenes_rerda/8708116/6.jpg</t>
  </si>
  <si>
    <t>https://img.rerda.com/imagenes_rerda/8708113/1.jpg,https://img.rerda.com/imagenes_rerda/8708113/2.jpg,https://img.rerda.com/imagenes_rerda/8708113/3.jpg,https://img.rerda.com/imagenes_rerda/8708113/4.jpg</t>
  </si>
  <si>
    <t>https://img.rerda.com/imagenes_rerda/2401103/1.jpg,https://img.rerda.com/imagenes_rerda/2401103/2.jpg,https://img.rerda.com/imagenes_rerda/2401103/3.jpg,https://img.rerda.com/imagenes_rerda/2401103/4.jpg</t>
  </si>
  <si>
    <t>https://img.rerda.com/imagenes_rerda/8708111/1.jpg,https://img.rerda.com/imagenes_rerda/8708111/2.jpg,https://img.rerda.com/imagenes_rerda/8708111/3.jpg,https://img.rerda.com/imagenes_rerda/8708111/4.jpg</t>
  </si>
  <si>
    <t>https://img.rerda.com/imagenes_rerda/8708112/1.jpg,https://img.rerda.com/imagenes_rerda/8708112/2.jpg,https://img.rerda.com/imagenes_rerda/8708112/3.jpg,https://img.rerda.com/imagenes_rerda/8708112/4.jpg,https://img.rerda.com/imagenes_rerda/8708112/5.jpg,https://img.rerda.com/imagenes_rerda/8708112/6.jpg,https://img.rerda.com/imagenes_rerda/8708112/7.jpg</t>
  </si>
  <si>
    <t>https://img.rerda.com/imagenes_rerda/8708999/1.jpg,https://img.rerda.com/imagenes_rerda/8708999/2.jpg,https://img.rerda.com/imagenes_rerda/8708999/3.jpg,https://img.rerda.com/imagenes_rerda/8708999/4.jpg,https://img.rerda.com/imagenes_rerda/8708999/5.jpg</t>
  </si>
  <si>
    <t>https://img.rerda.com/imagenes_rerda/8708888/1.jpg,https://img.rerda.com/imagenes_rerda/8708888/2.jpg,https://img.rerda.com/imagenes_rerda/8708888/3.jpg,https://img.rerda.com/imagenes_rerda/8708888/4.jpg,https://img.rerda.com/imagenes_rerda/8708888/5.jpg</t>
  </si>
  <si>
    <t>https://img.rerda.com/imagenes_rerda/8708300/1.jpg,https://img.rerda.com/imagenes_rerda/8708300/2.jpg,https://img.rerda.com/imagenes_rerda/8708300/3.jpg,https://img.rerda.com/imagenes_rerda/8708300/4.jpg</t>
  </si>
  <si>
    <t>https://img.rerda.com/imagenes_rerda/8708301/1.jpg,https://img.rerda.com/imagenes_rerda/8708301/2.jpg,https://img.rerda.com/imagenes_rerda/8708301/3.jpg,https://img.rerda.com/imagenes_rerda/8708301/4.jpg</t>
  </si>
  <si>
    <t>https://img.rerda.com/imagenes_rerda/2401298/1.jpg,https://img.rerda.com/imagenes_rerda/2401298/2.jpg,https://img.rerda.com/imagenes_rerda/2401298/3.jpg</t>
  </si>
  <si>
    <t>https://img.rerda.com/imagenes_rerda/8708651/1.jpg,https://img.rerda.com/imagenes_rerda/8708651/2.jpg,https://img.rerda.com/imagenes_rerda/8708651/3.jpg,https://img.rerda.com/imagenes_rerda/8708651/4.jpg,https://img.rerda.com/imagenes_rerda/8708651/5.jpg</t>
  </si>
  <si>
    <t>https://img.rerda.com/imagenes_rerda/2401100/1.jpg,https://img.rerda.com/imagenes_rerda/2401100/2.jpg,https://img.rerda.com/imagenes_rerda/2401100/3.jpg</t>
  </si>
  <si>
    <t>https://img.rerda.com/imagenes_rerda/8307810/1.jpg,https://img.rerda.com/imagenes_rerda/8307810/2.jpg,https://img.rerda.com/imagenes_rerda/8307810/3.jpg,https://img.rerda.com/imagenes_rerda/8307810/4.jpg,https://img.rerda.com/imagenes_rerda/8307810/5.jpg</t>
  </si>
  <si>
    <t>https://img.rerda.com/imagenes_rerda/5320787/1.jpg,https://img.rerda.com/imagenes_rerda/5320787/2.jpg,https://img.rerda.com/imagenes_rerda/5320787/3.jpg</t>
  </si>
  <si>
    <t>https://img.rerda.com/imagenes_rerda/8601050/1.jpg,https://img.rerda.com/imagenes_rerda/8601050/2.jpg,https://img.rerda.com/imagenes_rerda/8601050/3.jpg,https://img.rerda.com/imagenes_rerda/8601050/4.jpg</t>
  </si>
  <si>
    <t>https://img.rerda.com/imagenes_rerda/8701093/1.jpg</t>
  </si>
  <si>
    <t>https://img.rerda.com/imagenes_rerda/8701090/1.jpg</t>
  </si>
  <si>
    <t>https://img.rerda.com/imagenes_rerda/8701092/1.jpg</t>
  </si>
  <si>
    <t>https://img.rerda.com/imagenes_rerda/8701750/1.jpg,https://img.rerda.com/imagenes_rerda/8701750/2.jpg</t>
  </si>
  <si>
    <t>https://img.rerda.com/imagenes_rerda/8701541/1.jpg,https://img.rerda.com/imagenes_rerda/8701541/2.jpg,https://img.rerda.com/imagenes_rerda/8701541/3.jpg</t>
  </si>
  <si>
    <t>https://img.rerda.com/imagenes_rerda/8701542/1.jpg,https://img.rerda.com/imagenes_rerda/8701542/2.jpg,https://img.rerda.com/imagenes_rerda/8701542/3.jpg,https://img.rerda.com/imagenes_rerda/8701542/4.jpg</t>
  </si>
  <si>
    <t>https://img.rerda.com/imagenes_rerda/8701999/1.jpg,https://img.rerda.com/imagenes_rerda/8701999/2.jpg,https://img.rerda.com/imagenes_rerda/8701999/3.jpg,https://img.rerda.com/imagenes_rerda/8701999/4.jpg</t>
  </si>
  <si>
    <t>https://img.rerda.com/imagenes_rerda/8701735/1.jpg,https://img.rerda.com/imagenes_rerda/8701735/2.jpg,https://img.rerda.com/imagenes_rerda/8701735/3.jpg,https://img.rerda.com/imagenes_rerda/8701735/4.jpg</t>
  </si>
  <si>
    <t>https://img.rerda.com/imagenes_rerda/8701033/1.jpg,https://img.rerda.com/imagenes_rerda/8701033/2.jpg,https://img.rerda.com/imagenes_rerda/8701033/3.jpg</t>
  </si>
  <si>
    <t>https://img.rerda.com/imagenes_rerda/8701856/1.jpg,https://img.rerda.com/imagenes_rerda/8701856/2.jpg,https://img.rerda.com/imagenes_rerda/8701856/3.jpg</t>
  </si>
  <si>
    <t>https://img.rerda.com/imagenes_rerda/8701575/1.jpg,https://img.rerda.com/imagenes_rerda/8701575/2.jpg,https://img.rerda.com/imagenes_rerda/8701575/3.jpg</t>
  </si>
  <si>
    <t>https://img.rerda.com/imagenes_rerda/8701495/1.jpg,https://img.rerda.com/imagenes_rerda/8701495/2.jpg,https://img.rerda.com/imagenes_rerda/8701495/3.jpg,https://img.rerda.com/imagenes_rerda/8701495/4.jpg</t>
  </si>
  <si>
    <t>https://img.rerda.com/imagenes_rerda/8701494/1.jpg,https://img.rerda.com/imagenes_rerda/8701494/2.jpg,https://img.rerda.com/imagenes_rerda/8701494/3.jpg,https://img.rerda.com/imagenes_rerda/8701494/4.jpg</t>
  </si>
  <si>
    <t>https://img.rerda.com/imagenes_rerda/8614015/1.jpg,https://img.rerda.com/imagenes_rerda/8614015/2.jpg,https://img.rerda.com/imagenes_rerda/8614015/3.jpg,https://img.rerda.com/imagenes_rerda/8614015/4.jpg,https://img.rerda.com/imagenes_rerda/8614015/5.jpg</t>
  </si>
  <si>
    <t>https://img.rerda.com/imagenes_rerda/8614016/1.jpg,https://img.rerda.com/imagenes_rerda/8614016/2.jpg,https://img.rerda.com/imagenes_rerda/8614016/3.jpg,https://img.rerda.com/imagenes_rerda/8614016/4.jpg</t>
  </si>
  <si>
    <t>https://img.rerda.com/imagenes_rerda/8508132/1.jpg,https://img.rerda.com/imagenes_rerda/8508132/2.jpg</t>
  </si>
  <si>
    <t>https://img.rerda.com/imagenes_rerda/8521024/1.jpg,https://img.rerda.com/imagenes_rerda/8521024/2.jpg,https://img.rerda.com/imagenes_rerda/8521024/3.jpg,https://img.rerda.com/imagenes_rerda/8521024/4.jpg</t>
  </si>
  <si>
    <t>https://img.rerda.com/imagenes_rerda/8521102/1.jpg,https://img.rerda.com/imagenes_rerda/8521102/2.jpg,https://img.rerda.com/imagenes_rerda/8521102/3.jpg,https://img.rerda.com/imagenes_rerda/8521102/4.jpg,https://img.rerda.com/imagenes_rerda/8521102/5.jpg,https://img.rerda.com/imagenes_rerda/8521102/6.jpg,https://img.rerda.com/imagenes_rerda/8521102/7.jpg,https://img.rerda.com/imagenes_rerda/8521102/8.jpg,https://img.rerda.com/imagenes_rerda/8521102/9.jpg,https://img.rerda.com/imagenes_rerda/8521102/10.jpg</t>
  </si>
  <si>
    <t>https://img.rerda.com/imagenes_rerda/7709204/1.jpg</t>
  </si>
  <si>
    <t>https://img.rerda.com/imagenes_rerda/7709203/1.jpg</t>
  </si>
  <si>
    <t>https://img.rerda.com/imagenes_rerda/7709459/1.jpg</t>
  </si>
  <si>
    <t>https://img.rerda.com/imagenes_rerda/7709654/1.jpg</t>
  </si>
  <si>
    <t>https://img.rerda.com/imagenes_rerda/7709855/1.jpg</t>
  </si>
  <si>
    <t>https://img.rerda.com/imagenes_rerda/7709365/1.jpg</t>
  </si>
  <si>
    <t>https://img.rerda.com/imagenes_rerda/7709101/1.jpg</t>
  </si>
  <si>
    <t>https://img.rerda.com/imagenes_rerda/7709364/1.jpg</t>
  </si>
  <si>
    <t>https://img.rerda.com/imagenes_rerda/7709021/1.jpg</t>
  </si>
  <si>
    <t>https://img.rerda.com/imagenes_rerda/7709401/1.jpg</t>
  </si>
  <si>
    <t>https://img.rerda.com/imagenes_rerda/7709233/1.jpg</t>
  </si>
  <si>
    <t>https://img.rerda.com/imagenes_rerda/7709016/1.jpg</t>
  </si>
  <si>
    <t>https://img.rerda.com/imagenes_rerda/7709572/1.jpg</t>
  </si>
  <si>
    <t>https://img.rerda.com/imagenes_rerda/7709103/1.jpg</t>
  </si>
  <si>
    <t>https://img.rerda.com/imagenes_rerda/7709753/1.jpg</t>
  </si>
  <si>
    <t>https://img.rerda.com/imagenes_rerda/7709854/1.jpg</t>
  </si>
  <si>
    <t>https://img.rerda.com/imagenes_rerda/7709625/1.jpg</t>
  </si>
  <si>
    <t>https://img.rerda.com/imagenes_rerda/7709158/1.jpg</t>
  </si>
  <si>
    <t>https://img.rerda.com/imagenes_rerda/7709139/1.jpg</t>
  </si>
  <si>
    <t>https://img.rerda.com/imagenes_rerda/7709138/1.jpg</t>
  </si>
  <si>
    <t>https://img.rerda.com/imagenes_rerda/7709041/1.jpg</t>
  </si>
  <si>
    <t>https://img.rerda.com/imagenes_rerda/7709754/1.jpg</t>
  </si>
  <si>
    <t>https://img.rerda.com/imagenes_rerda/7709245/1.jpg</t>
  </si>
  <si>
    <t>https://img.rerda.com/imagenes_rerda/7709867/1.jpg</t>
  </si>
  <si>
    <t>https://img.rerda.com/imagenes_rerda/7709393/1.jpg</t>
  </si>
  <si>
    <t>https://img.rerda.com/imagenes_rerda/7709394/1.jpg</t>
  </si>
  <si>
    <t>https://img.rerda.com/imagenes_rerda/7709396/1.jpg,https://img.rerda.com/imagenes_rerda/7709396/2.jpg</t>
  </si>
  <si>
    <t>https://img.rerda.com/imagenes_rerda/7709600/1.jpg</t>
  </si>
  <si>
    <t>https://img.rerda.com/imagenes_rerda/7709421/1.jpg,https://img.rerda.com/imagenes_rerda/7709421/2.jpg</t>
  </si>
  <si>
    <t>https://img.rerda.com/imagenes_rerda/7709456/1.jpg</t>
  </si>
  <si>
    <t>https://img.rerda.com/imagenes_rerda/7709712/1.jpg</t>
  </si>
  <si>
    <t>https://img.rerda.com/imagenes_rerda/7709360/1.jpg</t>
  </si>
  <si>
    <t>https://img.rerda.com/imagenes_rerda/7709547/1.jpg</t>
  </si>
  <si>
    <t>https://img.rerda.com/imagenes_rerda/7709756/1.jpg</t>
  </si>
  <si>
    <t>https://img.rerda.com/imagenes_rerda/7709333/1.jpg</t>
  </si>
  <si>
    <t>https://img.rerda.com/imagenes_rerda/7709665/1.jpg</t>
  </si>
  <si>
    <t>https://img.rerda.com/imagenes_rerda/7709650/1.jpg</t>
  </si>
  <si>
    <t>https://img.rerda.com/imagenes_rerda/7709680/1.jpg</t>
  </si>
  <si>
    <t>https://img.rerda.com/imagenes_rerda/7709943/1.jpg</t>
  </si>
  <si>
    <t>https://img.rerda.com/imagenes_rerda/7709786/1.jpg,https://img.rerda.com/imagenes_rerda/7709786/2.jpg</t>
  </si>
  <si>
    <t>https://img.rerda.com/imagenes_rerda/7709330/1.jpg</t>
  </si>
  <si>
    <t>https://img.rerda.com/imagenes_rerda/7709013/1.jpg</t>
  </si>
  <si>
    <t>https://img.rerda.com/imagenes_rerda/7709014/1.jpg</t>
  </si>
  <si>
    <t>https://img.rerda.com/imagenes_rerda/7709380/1.jpg</t>
  </si>
  <si>
    <t>https://img.rerda.com/imagenes_rerda/7709661/1.jpg</t>
  </si>
  <si>
    <t>https://img.rerda.com/imagenes_rerda/7709653/1.jpg</t>
  </si>
  <si>
    <t>https://img.rerda.com/imagenes_rerda/7709662/1.jpg</t>
  </si>
  <si>
    <t>https://img.rerda.com/imagenes_rerda/7709015/1.jpg</t>
  </si>
  <si>
    <t>https://img.rerda.com/imagenes_rerda/7709420/1.jpg</t>
  </si>
  <si>
    <t>https://img.rerda.com/imagenes_rerda/7709755/1.jpg</t>
  </si>
  <si>
    <t>https://img.rerda.com/imagenes_rerda/7709788/1.jpg</t>
  </si>
  <si>
    <t>https://img.rerda.com/imagenes_rerda/7709787/1.jpg</t>
  </si>
  <si>
    <t>https://img.rerda.com/imagenes_rerda/7709156/1.jpg</t>
  </si>
  <si>
    <t>https://img.rerda.com/imagenes_rerda/7709852/1.jpg</t>
  </si>
  <si>
    <t>https://img.rerda.com/imagenes_rerda/7709789/1.jpg</t>
  </si>
  <si>
    <t>https://img.rerda.com/imagenes_rerda/7709310/1.jpg</t>
  </si>
  <si>
    <t>https://img.rerda.com/imagenes_rerda/7709790/1.jpg</t>
  </si>
  <si>
    <t>https://img.rerda.com/imagenes_rerda/7709504/1.jpg</t>
  </si>
  <si>
    <t>https://img.rerda.com/imagenes_rerda/7709061/1.jpg</t>
  </si>
  <si>
    <t>https://img.rerda.com/imagenes_rerda/7709425/1.jpg</t>
  </si>
  <si>
    <t>https://img.rerda.com/imagenes_rerda/7711091/1.jpg</t>
  </si>
  <si>
    <t>https://img.rerda.com/imagenes_rerda/7709460/1.jpg</t>
  </si>
  <si>
    <t>https://img.rerda.com/imagenes_rerda/7709461/1.jpg</t>
  </si>
  <si>
    <t>https://img.rerda.com/imagenes_rerda/7709465/1.jpg</t>
  </si>
  <si>
    <t>https://img.rerda.com/imagenes_rerda/7709341/1.jpg</t>
  </si>
  <si>
    <t>https://img.rerda.com/imagenes_rerda/7709308/1.jpg</t>
  </si>
  <si>
    <t>https://img.rerda.com/imagenes_rerda/7710001/1.jpg</t>
  </si>
  <si>
    <t>https://img.rerda.com/imagenes_rerda/7710221/1.jpg</t>
  </si>
  <si>
    <t>https://img.rerda.com/imagenes_rerda/7709668/1.jpg</t>
  </si>
  <si>
    <t>https://img.rerda.com/imagenes_rerda/8503045/1.jpg,https://img.rerda.com/imagenes_rerda/8503045/2.jpg,https://img.rerda.com/imagenes_rerda/8503045/3.jpg</t>
  </si>
  <si>
    <t>https://img.rerda.com/imagenes_rerda/8703613/1.jpg,https://img.rerda.com/imagenes_rerda/8703613/2.jpg,https://img.rerda.com/imagenes_rerda/8703613/3.jpg</t>
  </si>
  <si>
    <t>https://img.rerda.com/imagenes_rerda/8305000/1.jpg,https://img.rerda.com/imagenes_rerda/8305000/2.jpg,https://img.rerda.com/imagenes_rerda/8305000/3.jpg</t>
  </si>
  <si>
    <t>https://img.rerda.com/imagenes_rerda/8305006/1.jpg,https://img.rerda.com/imagenes_rerda/8305006/2.jpg,https://img.rerda.com/imagenes_rerda/8305006/3.jpg</t>
  </si>
  <si>
    <t>https://img.rerda.com/imagenes_rerda/8305002/1.jpg,https://img.rerda.com/imagenes_rerda/8305002/2.jpg,https://img.rerda.com/imagenes_rerda/8305002/3.jpg</t>
  </si>
  <si>
    <t>https://img.rerda.com/imagenes_rerda/8400002/1.jpg,https://img.rerda.com/imagenes_rerda/8400002/2.jpg</t>
  </si>
  <si>
    <t>https://img.rerda.com/imagenes_rerda/8517235/1.jpg,https://img.rerda.com/imagenes_rerda/8517235/2.jpg</t>
  </si>
  <si>
    <t>https://img.rerda.com/imagenes_rerda/8517103/1.jpg,https://img.rerda.com/imagenes_rerda/8517103/2.jpg,https://img.rerda.com/imagenes_rerda/8517103/3.jpg</t>
  </si>
  <si>
    <t>https://img.rerda.com/imagenes_rerda/8717033/1.jpg,https://img.rerda.com/imagenes_rerda/8717033/2.jpg,https://img.rerda.com/imagenes_rerda/8717033/3.jpg,https://img.rerda.com/imagenes_rerda/8717033/4.jpg</t>
  </si>
  <si>
    <t>https://img.rerda.com/imagenes_rerda/8517906/1.jpg,https://img.rerda.com/imagenes_rerda/8517906/2.jpg,https://img.rerda.com/imagenes_rerda/8517906/3.jpg,https://img.rerda.com/imagenes_rerda/8517906/4.jpg</t>
  </si>
  <si>
    <t>https://img.rerda.com/imagenes_rerda/8517901/1.jpg,https://img.rerda.com/imagenes_rerda/8517901/2.jpg,https://img.rerda.com/imagenes_rerda/8517901/3.jpg,https://img.rerda.com/imagenes_rerda/8517901/4.jpg</t>
  </si>
  <si>
    <t>https://img.rerda.com/imagenes_rerda/8517905/1.jpg,https://img.rerda.com/imagenes_rerda/8517905/2.jpg,https://img.rerda.com/imagenes_rerda/8517905/3.jpg,https://img.rerda.com/imagenes_rerda/8517905/4.jpg</t>
  </si>
  <si>
    <t>https://img.rerda.com/imagenes_rerda/8517900/1.jpg,https://img.rerda.com/imagenes_rerda/8517900/2.jpg</t>
  </si>
  <si>
    <t>https://img.rerda.com/imagenes_rerda/8517904/1.jpg,https://img.rerda.com/imagenes_rerda/8517904/2.jpg,https://img.rerda.com/imagenes_rerda/8517904/3.jpg</t>
  </si>
  <si>
    <t>https://img.rerda.com/imagenes_rerda/8517902/1.jpg,https://img.rerda.com/imagenes_rerda/8517902/2.jpg,https://img.rerda.com/imagenes_rerda/8517902/3.jpg,https://img.rerda.com/imagenes_rerda/8517902/4.jpg</t>
  </si>
  <si>
    <t>https://img.rerda.com/imagenes_rerda/8517000/1.jpg,https://img.rerda.com/imagenes_rerda/8517000/2.jpg</t>
  </si>
  <si>
    <t>https://img.rerda.com/imagenes_rerda/7703056/1.jpg</t>
  </si>
  <si>
    <t>https://img.rerda.com/imagenes_rerda/7703057/1.jpg</t>
  </si>
  <si>
    <t>https://img.rerda.com/imagenes_rerda/7703051/1.jpg,https://img.rerda.com/imagenes_rerda/7703051/2.jpg</t>
  </si>
  <si>
    <t>https://img.rerda.com/imagenes_rerda/7703052/1.jpg</t>
  </si>
  <si>
    <t>https://img.rerda.com/imagenes_rerda/7703050/1.jpg</t>
  </si>
  <si>
    <t>https://img.rerda.com/imagenes_rerda/7703053/1.jpg,https://img.rerda.com/imagenes_rerda/7703053/2.jpg</t>
  </si>
  <si>
    <t>https://img.rerda.com/imagenes_rerda/7703109/1.jpg</t>
  </si>
  <si>
    <t>https://img.rerda.com/imagenes_rerda/7703185/1.jpg,https://img.rerda.com/imagenes_rerda/7703185/2.jpg</t>
  </si>
  <si>
    <t>https://img.rerda.com/imagenes_rerda/7703158/1.jpg</t>
  </si>
  <si>
    <t>https://img.rerda.com/imagenes_rerda/7703157/1.jpg,https://img.rerda.com/imagenes_rerda/7703157/2.jpg</t>
  </si>
  <si>
    <t>https://img.rerda.com/imagenes_rerda/7703129/1.jpg</t>
  </si>
  <si>
    <t>https://img.rerda.com/imagenes_rerda/7703130/1.jpg</t>
  </si>
  <si>
    <t>https://img.rerda.com/imagenes_rerda/8513173/1.jpg,https://img.rerda.com/imagenes_rerda/8513173/2.jpg</t>
  </si>
  <si>
    <t>https://img.rerda.com/imagenes_rerda/8503600/1.jpg,https://img.rerda.com/imagenes_rerda/8503600/2.jpg,https://img.rerda.com/imagenes_rerda/8503600/3.jpg,https://img.rerda.com/imagenes_rerda/8503600/4.jpg,https://img.rerda.com/imagenes_rerda/8503600/5.jpg</t>
  </si>
  <si>
    <t>https://img.rerda.com/imagenes_rerda/8520986/1.jpg,https://img.rerda.com/imagenes_rerda/8520986/2.jpg,https://img.rerda.com/imagenes_rerda/8520986/3.jpg,https://img.rerda.com/imagenes_rerda/8520986/4.jpg,https://img.rerda.com/imagenes_rerda/8520986/5.jpg,https://img.rerda.com/imagenes_rerda/8520986/6.jpg</t>
  </si>
  <si>
    <t>https://img.rerda.com/imagenes_rerda/8520165/1.jpg,https://img.rerda.com/imagenes_rerda/8520165/2.jpg,https://img.rerda.com/imagenes_rerda/8520165/3.jpg,https://img.rerda.com/imagenes_rerda/8520165/4.jpg</t>
  </si>
  <si>
    <t>https://img.rerda.com/imagenes_rerda/8520000/1.jpg,https://img.rerda.com/imagenes_rerda/8520000/2.jpg,https://img.rerda.com/imagenes_rerda/8520000/3.jpg,https://img.rerda.com/imagenes_rerda/8520000/4.jpg,https://img.rerda.com/imagenes_rerda/8520000/5.jpg,https://img.rerda.com/imagenes_rerda/8520000/6.jpg,https://img.rerda.com/imagenes_rerda/8520000/7.jpg,https://img.rerda.com/imagenes_rerda/8520000/8.jpg</t>
  </si>
  <si>
    <t>https://img.rerda.com/imagenes_rerda/8520726/1.jpg,https://img.rerda.com/imagenes_rerda/8520726/2.jpg,https://img.rerda.com/imagenes_rerda/8520726/3.jpg,https://img.rerda.com/imagenes_rerda/8520726/4.jpg,https://img.rerda.com/imagenes_rerda/8520726/5.jpg,https://img.rerda.com/imagenes_rerda/8520726/6.jpg</t>
  </si>
  <si>
    <t>https://img.rerda.com/imagenes_rerda/9003100/1.jpg,https://img.rerda.com/imagenes_rerda/9003100/2.jpg,https://img.rerda.com/imagenes_rerda/9003100/3.jpg</t>
  </si>
  <si>
    <t>https://img.rerda.com/imagenes_rerda/9003101/1.jpg,https://img.rerda.com/imagenes_rerda/9003101/2.jpg,https://img.rerda.com/imagenes_rerda/9003101/3.jpg</t>
  </si>
  <si>
    <t>https://img.rerda.com/imagenes_rerda/7707566/1.jpg,https://img.rerda.com/imagenes_rerda/7707566/2.jpg,https://img.rerda.com/imagenes_rerda/7707566/3.jpg,https://img.rerda.com/imagenes_rerda/7707566/4.jpg</t>
  </si>
  <si>
    <t>https://img.rerda.com/imagenes_rerda/7707260/1.jpg,https://img.rerda.com/imagenes_rerda/7707260/2.jpg,https://img.rerda.com/imagenes_rerda/7707260/3.jpg</t>
  </si>
  <si>
    <t>https://img.rerda.com/imagenes_rerda/7707562/1.jpg,https://img.rerda.com/imagenes_rerda/7707562/2.jpg,https://img.rerda.com/imagenes_rerda/7707562/3.jpg,https://img.rerda.com/imagenes_rerda/7707562/4.jpg</t>
  </si>
  <si>
    <t>https://img.rerda.com/imagenes_rerda/8708638/1.jpg,https://img.rerda.com/imagenes_rerda/8708638/2.jpg</t>
  </si>
  <si>
    <t>https://img.rerda.com/imagenes_rerda/8520283/1.jpg,https://img.rerda.com/imagenes_rerda/8520283/2.jpg,https://img.rerda.com/imagenes_rerda/8520283/3.jpg,https://img.rerda.com/imagenes_rerda/8520283/4.jpg,https://img.rerda.com/imagenes_rerda/8520283/5.jpg</t>
  </si>
  <si>
    <t>https://img.rerda.com/imagenes_rerda/8520802/1.jpg,https://img.rerda.com/imagenes_rerda/8520802/2.jpg,https://img.rerda.com/imagenes_rerda/8520802/3.jpg</t>
  </si>
  <si>
    <t>https://img.rerda.com/imagenes_rerda/8521307/1.jpg,https://img.rerda.com/imagenes_rerda/8521307/2.jpg,https://img.rerda.com/imagenes_rerda/8521307/3.jpg,https://img.rerda.com/imagenes_rerda/8521307/4.jpg</t>
  </si>
  <si>
    <t>https://img.rerda.com/imagenes_rerda/8520458/1.jpg,https://img.rerda.com/imagenes_rerda/8520458/2.jpg,https://img.rerda.com/imagenes_rerda/8520458/3.jpg,https://img.rerda.com/imagenes_rerda/8520458/4.jpg</t>
  </si>
  <si>
    <t>https://img.rerda.com/imagenes_rerda/8520710/1.jpg,https://img.rerda.com/imagenes_rerda/8520710/2.jpg,https://img.rerda.com/imagenes_rerda/8520710/3.jpg,https://img.rerda.com/imagenes_rerda/8520710/4.jpg,https://img.rerda.com/imagenes_rerda/8520710/5.jpg</t>
  </si>
  <si>
    <t>https://img.rerda.com/imagenes_rerda/8520101/1.jpg,https://img.rerda.com/imagenes_rerda/8520101/2.jpg,https://img.rerda.com/imagenes_rerda/8520101/3.jpg,https://img.rerda.com/imagenes_rerda/8520101/4.jpg,https://img.rerda.com/imagenes_rerda/8520101/5.jpg,https://img.rerda.com/imagenes_rerda/8520101/6.jpg</t>
  </si>
  <si>
    <t>https://img.rerda.com/imagenes_rerda/8520230/1.jpg,https://img.rerda.com/imagenes_rerda/8520230/2.jpg,https://img.rerda.com/imagenes_rerda/8520230/3.jpg</t>
  </si>
  <si>
    <t>https://img.rerda.com/imagenes_rerda/8520814/1.jpg,https://img.rerda.com/imagenes_rerda/8520814/2.jpg,https://img.rerda.com/imagenes_rerda/8520814/3.jpg,https://img.rerda.com/imagenes_rerda/8520814/4.jpg,https://img.rerda.com/imagenes_rerda/8520814/5.jpg</t>
  </si>
  <si>
    <t>https://img.rerda.com/imagenes_rerda/8505074/1.jpg</t>
  </si>
  <si>
    <t>https://img.rerda.com/imagenes_rerda/8400070/1.jpg,https://img.rerda.com/imagenes_rerda/8400070/2.jpg</t>
  </si>
  <si>
    <t>https://img.rerda.com/imagenes_rerda/8513303/1.jpg,https://img.rerda.com/imagenes_rerda/8513303/2.jpg</t>
  </si>
  <si>
    <t>https://img.rerda.com/imagenes_rerda/8505224/1.jpg</t>
  </si>
  <si>
    <t>https://img.rerda.com/imagenes_rerda/8505196/1.jpg</t>
  </si>
  <si>
    <t>https://img.rerda.com/imagenes_rerda/8505329/1.jpg</t>
  </si>
  <si>
    <t>https://img.rerda.com/imagenes_rerda/8505243/1.jpg</t>
  </si>
  <si>
    <t>https://img.rerda.com/imagenes_rerda/8505163/1.jpg</t>
  </si>
  <si>
    <t>https://img.rerda.com/imagenes_rerda/8505101/1.jpg</t>
  </si>
  <si>
    <t>https://img.rerda.com/imagenes_rerda/8505109/1.jpg</t>
  </si>
  <si>
    <t>https://img.rerda.com/imagenes_rerda/8505023/1.jpg</t>
  </si>
  <si>
    <t>https://img.rerda.com/imagenes_rerda/8505367/1.jpg</t>
  </si>
  <si>
    <t>https://img.rerda.com/imagenes_rerda/8505131/1.jpg</t>
  </si>
  <si>
    <t>https://img.rerda.com/imagenes_rerda/8505130/1.jpg</t>
  </si>
  <si>
    <t>https://img.rerda.com/imagenes_rerda/8505120/1.jpg</t>
  </si>
  <si>
    <t>https://img.rerda.com/imagenes_rerda/8505134/1.jpg</t>
  </si>
  <si>
    <t>https://img.rerda.com/imagenes_rerda/8505135/1.jpg</t>
  </si>
  <si>
    <t>https://img.rerda.com/imagenes_rerda/8505136/1.jpg</t>
  </si>
  <si>
    <t>https://img.rerda.com/imagenes_rerda/8505137/1.jpg</t>
  </si>
  <si>
    <t>https://img.rerda.com/imagenes_rerda/8505138/1.jpg</t>
  </si>
  <si>
    <t>https://img.rerda.com/imagenes_rerda/7709065/1.jpg</t>
  </si>
  <si>
    <t>https://img.rerda.com/imagenes_rerda/7709068/1.jpg</t>
  </si>
  <si>
    <t>https://img.rerda.com/imagenes_rerda/7709064/1.jpg</t>
  </si>
  <si>
    <t>https://img.rerda.com/imagenes_rerda/7709069/1.jpg</t>
  </si>
  <si>
    <t>https://img.rerda.com/imagenes_rerda/7709066/1.jpg</t>
  </si>
  <si>
    <t>https://img.rerda.com/imagenes_rerda/7709067/1.jpg</t>
  </si>
  <si>
    <t>https://img.rerda.com/imagenes_rerda/8505156/1.jpg</t>
  </si>
  <si>
    <t>https://img.rerda.com/imagenes_rerda/8505158/1.jpg</t>
  </si>
  <si>
    <t>https://img.rerda.com/imagenes_rerda/8505157/1.jpg</t>
  </si>
  <si>
    <t>https://img.rerda.com/imagenes_rerda/8505789/1.jpg</t>
  </si>
  <si>
    <t>https://img.rerda.com/imagenes_rerda/8505139/1.jpg</t>
  </si>
  <si>
    <t>https://img.rerda.com/imagenes_rerda/8505141/1.jpg</t>
  </si>
  <si>
    <t>https://img.rerda.com/imagenes_rerda/8505140/1.jpg</t>
  </si>
  <si>
    <t>https://img.rerda.com/imagenes_rerda/8505127/1.jpg</t>
  </si>
  <si>
    <t>https://img.rerda.com/imagenes_rerda/7707266/1.jpg</t>
  </si>
  <si>
    <t>https://img.rerda.com/imagenes_rerda/8521374/1.jpg,https://img.rerda.com/imagenes_rerda/8521374/2.jpg,https://img.rerda.com/imagenes_rerda/8521374/3.jpg,https://img.rerda.com/imagenes_rerda/8521374/4.jpg</t>
  </si>
  <si>
    <t>https://img.rerda.com/imagenes_rerda/8521499/1.jpg,https://img.rerda.com/imagenes_rerda/8521499/2.jpg,https://img.rerda.com/imagenes_rerda/8521499/3.jpg</t>
  </si>
  <si>
    <t>https://img.rerda.com/imagenes_rerda/8703036/1.jpg,https://img.rerda.com/imagenes_rerda/8703036/2.jpg,https://img.rerda.com/imagenes_rerda/8703036/3.jpg,https://img.rerda.com/imagenes_rerda/8703036/4.jpg,https://img.rerda.com/imagenes_rerda/8703036/5.jpg</t>
  </si>
  <si>
    <t>https://img.rerda.com/imagenes_rerda/8703570/1.jpg,https://img.rerda.com/imagenes_rerda/8703570/2.jpg,https://img.rerda.com/imagenes_rerda/8703570/3.jpg,https://img.rerda.com/imagenes_rerda/8703570/4.jpg,https://img.rerda.com/imagenes_rerda/8703570/5.jpg,https://img.rerda.com/imagenes_rerda/8703570/6.jpg,https://img.rerda.com/imagenes_rerda/8703570/7.jpg</t>
  </si>
  <si>
    <t>https://img.rerda.com/imagenes_rerda/8703038/1.jpg,https://img.rerda.com/imagenes_rerda/8703038/2.jpg,https://img.rerda.com/imagenes_rerda/8703038/3.jpg,https://img.rerda.com/imagenes_rerda/8703038/4.jpg,https://img.rerda.com/imagenes_rerda/8703038/5.jpg,https://img.rerda.com/imagenes_rerda/8703038/6.jpg</t>
  </si>
  <si>
    <t>https://img.rerda.com/imagenes_rerda/8707113/1.jpg,https://img.rerda.com/imagenes_rerda/8707113/2.jpg,https://img.rerda.com/imagenes_rerda/8707113/3.jpg</t>
  </si>
  <si>
    <t>https://img.rerda.com/imagenes_rerda/8703207/1.jpg,https://img.rerda.com/imagenes_rerda/8703207/2.jpg,https://img.rerda.com/imagenes_rerda/8703207/3.jpg,https://img.rerda.com/imagenes_rerda/8703207/4.jpg,https://img.rerda.com/imagenes_rerda/8703207/5.jpg,https://img.rerda.com/imagenes_rerda/8703207/6.jpg,https://img.rerda.com/imagenes_rerda/8703207/7.jpg,https://img.rerda.com/imagenes_rerda/8703207/8.jpg,https://img.rerda.com/imagenes_rerda/8703207/9.jpg,https://img.rerda.com/imagenes_rerda/8703207/10.jpg,https://img.rerda.com/imagenes_rerda/8703207/11.jpg,https://img.rerda.com/imagenes_rerda/8703207/12.jpg</t>
  </si>
  <si>
    <t>https://img.rerda.com/imagenes_rerda/8703950/1.jpg,https://img.rerda.com/imagenes_rerda/8703950/2.jpg,https://img.rerda.com/imagenes_rerda/8703950/3.jpg,https://img.rerda.com/imagenes_rerda/8703950/4.jpg,https://img.rerda.com/imagenes_rerda/8703950/5.jpg,https://img.rerda.com/imagenes_rerda/8703950/6.jpg,https://img.rerda.com/imagenes_rerda/8703950/7.jpg</t>
  </si>
  <si>
    <t>https://img.rerda.com/imagenes_rerda/8703245/1.jpg,https://img.rerda.com/imagenes_rerda/8703245/2.jpg,https://img.rerda.com/imagenes_rerda/8703245/3.jpg,https://img.rerda.com/imagenes_rerda/8703245/4.jpg</t>
  </si>
  <si>
    <t>https://img.rerda.com/imagenes_rerda/8703028/1.jpg,https://img.rerda.com/imagenes_rerda/8703028/2.jpg,https://img.rerda.com/imagenes_rerda/8703028/3.jpg,https://img.rerda.com/imagenes_rerda/8703028/4.jpg</t>
  </si>
  <si>
    <t>https://img.rerda.com/imagenes_rerda/8703926/1.jpg,https://img.rerda.com/imagenes_rerda/8703926/2.jpg,https://img.rerda.com/imagenes_rerda/8703926/3.jpg,https://img.rerda.com/imagenes_rerda/8703926/4.jpg,https://img.rerda.com/imagenes_rerda/8703926/5.jpg</t>
  </si>
  <si>
    <t>https://img.rerda.com/imagenes_rerda/8703925/1.jpg,https://img.rerda.com/imagenes_rerda/8703925/2.jpg,https://img.rerda.com/imagenes_rerda/8703925/3.jpg,https://img.rerda.com/imagenes_rerda/8703925/4.jpg,https://img.rerda.com/imagenes_rerda/8703925/5.jpg</t>
  </si>
  <si>
    <t>https://img.rerda.com/imagenes_rerda/8703504/1.jpg,https://img.rerda.com/imagenes_rerda/8703504/2.jpg,https://img.rerda.com/imagenes_rerda/8703504/3.jpg,https://img.rerda.com/imagenes_rerda/8703504/4.jpg</t>
  </si>
  <si>
    <t>https://img.rerda.com/imagenes_rerda/8708272/1.jpg,https://img.rerda.com/imagenes_rerda/8708272/2.jpg,https://img.rerda.com/imagenes_rerda/8708272/3.jpg,https://img.rerda.com/imagenes_rerda/8708272/4.jpg,https://img.rerda.com/imagenes_rerda/8708272/5.jpg</t>
  </si>
  <si>
    <t>https://img.rerda.com/imagenes_rerda/2220030/1.jpg,https://img.rerda.com/imagenes_rerda/2220030/2.jpg,https://img.rerda.com/imagenes_rerda/2220030/3.jpg</t>
  </si>
  <si>
    <t>https://img.rerda.com/imagenes_rerda/2220034/1.jpg,https://img.rerda.com/imagenes_rerda/2220034/2.jpg</t>
  </si>
  <si>
    <t>https://img.rerda.com/imagenes_rerda/2220032/1.jpg,https://img.rerda.com/imagenes_rerda/2220032/2.jpg,https://img.rerda.com/imagenes_rerda/2220032/3.jpg</t>
  </si>
  <si>
    <t>https://img.rerda.com/imagenes_rerda/2220037/1.jpg,https://img.rerda.com/imagenes_rerda/2220037/2.jpg,https://img.rerda.com/imagenes_rerda/2220037/3.jpg</t>
  </si>
  <si>
    <t>https://img.rerda.com/imagenes_rerda/1407094/1.jpg,https://img.rerda.com/imagenes_rerda/1407094/2.jpg,https://img.rerda.com/imagenes_rerda/1407094/3.jpg,https://img.rerda.com/imagenes_rerda/1407094/4.jpg,https://img.rerda.com/imagenes_rerda/1407094/5.jpg</t>
  </si>
  <si>
    <t>https://img.rerda.com/imagenes_rerda/1407093/1.jpg,https://img.rerda.com/imagenes_rerda/1407093/2.jpg,https://img.rerda.com/imagenes_rerda/1407093/3.jpg,https://img.rerda.com/imagenes_rerda/1407093/4.jpg,https://img.rerda.com/imagenes_rerda/1407093/5.jpg</t>
  </si>
  <si>
    <t>https://img.rerda.com/imagenes_rerda/8708299/1.jpg,https://img.rerda.com/imagenes_rerda/8708299/2.jpg,https://img.rerda.com/imagenes_rerda/8708299/3.jpg,https://img.rerda.com/imagenes_rerda/8708299/4.jpg</t>
  </si>
  <si>
    <t>https://img.rerda.com/imagenes_rerda/8705802/1.jpg,https://img.rerda.com/imagenes_rerda/8705802/2.jpg,https://img.rerda.com/imagenes_rerda/8705802/3.jpg,https://img.rerda.com/imagenes_rerda/8705802/4.jpg,https://img.rerda.com/imagenes_rerda/8705802/5.jpg,https://img.rerda.com/imagenes_rerda/8705802/6.jpg,https://img.rerda.com/imagenes_rerda/8705802/7.jpg,https://img.rerda.com/imagenes_rerda/8705802/8.jpg</t>
  </si>
  <si>
    <t>https://img.rerda.com/imagenes_rerda/8705552/1.jpg,https://img.rerda.com/imagenes_rerda/8705552/2.jpg,https://img.rerda.com/imagenes_rerda/8705552/3.jpg,https://img.rerda.com/imagenes_rerda/8705552/4.jpg,https://img.rerda.com/imagenes_rerda/8705552/5.jpg,https://img.rerda.com/imagenes_rerda/8705552/6.jpg,https://img.rerda.com/imagenes_rerda/8705552/7.jpg,https://img.rerda.com/imagenes_rerda/8705552/8.jpg</t>
  </si>
  <si>
    <t>https://img.rerda.com/imagenes_rerda/8705233/1.jpg,https://img.rerda.com/imagenes_rerda/8705233/2.jpg,https://img.rerda.com/imagenes_rerda/8705233/3.jpg,https://img.rerda.com/imagenes_rerda/8705233/4.jpg,https://img.rerda.com/imagenes_rerda/8705233/5.jpg,https://img.rerda.com/imagenes_rerda/8705233/6.jpg,https://img.rerda.com/imagenes_rerda/8705233/7.jpg</t>
  </si>
  <si>
    <t>https://img.rerda.com/imagenes_rerda/8501026/1.jpg,https://img.rerda.com/imagenes_rerda/8501026/2.jpg,https://img.rerda.com/imagenes_rerda/8501026/3.jpg</t>
  </si>
  <si>
    <t>https://img.rerda.com/imagenes_rerda/8707750/1.jpg,https://img.rerda.com/imagenes_rerda/8707750/2.jpg,https://img.rerda.com/imagenes_rerda/8707750/3.jpg</t>
  </si>
  <si>
    <t>https://img.rerda.com/imagenes_rerda/8707026/1.jpg,https://img.rerda.com/imagenes_rerda/8707026/2.jpg,https://img.rerda.com/imagenes_rerda/8707026/3.jpg,https://img.rerda.com/imagenes_rerda/8707026/4.jpg,https://img.rerda.com/imagenes_rerda/8707026/5.jpg,https://img.rerda.com/imagenes_rerda/8707026/6.jpg</t>
  </si>
  <si>
    <t>https://img.rerda.com/imagenes_rerda/8707964/1.jpg,https://img.rerda.com/imagenes_rerda/8707964/2.jpg,https://img.rerda.com/imagenes_rerda/8707964/3.jpg,https://img.rerda.com/imagenes_rerda/8707964/4.jpg,https://img.rerda.com/imagenes_rerda/8707964/5.jpg</t>
  </si>
  <si>
    <t>https://img.rerda.com/imagenes_rerda/8705013/1.jpg,https://img.rerda.com/imagenes_rerda/8705013/2.jpg</t>
  </si>
  <si>
    <t>https://img.rerda.com/imagenes_rerda/8705553/1.jpg,https://img.rerda.com/imagenes_rerda/8705553/2.jpg,https://img.rerda.com/imagenes_rerda/8705553/3.jpg</t>
  </si>
  <si>
    <t>https://img.rerda.com/imagenes_rerda/8500500/1.jpg,https://img.rerda.com/imagenes_rerda/8500500/2.jpg,https://img.rerda.com/imagenes_rerda/8500500/3.jpg</t>
  </si>
  <si>
    <t>https://img.rerda.com/imagenes_rerda/8520235/1.jpg,https://img.rerda.com/imagenes_rerda/8520235/2.jpg,https://img.rerda.com/imagenes_rerda/8520235/3.jpg,https://img.rerda.com/imagenes_rerda/8520235/4.jpg</t>
  </si>
  <si>
    <t>https://img.rerda.com/imagenes_rerda/8303299/1.jpg,https://img.rerda.com/imagenes_rerda/8303299/2.jpg,https://img.rerda.com/imagenes_rerda/8303299/3.jpg,https://img.rerda.com/imagenes_rerda/8303299/4.jpg,https://img.rerda.com/imagenes_rerda/8303299/5.jpg</t>
  </si>
  <si>
    <t>https://img.rerda.com/imagenes_rerda/2220292/1.jpg,https://img.rerda.com/imagenes_rerda/2220292/2.jpg,https://img.rerda.com/imagenes_rerda/2220292/3.jpg,https://img.rerda.com/imagenes_rerda/2220292/4.jpg</t>
  </si>
  <si>
    <t>https://img.rerda.com/imagenes_rerda/2220333/1.jpg</t>
  </si>
  <si>
    <t>https://img.rerda.com/imagenes_rerda/2220856/1.jpg</t>
  </si>
  <si>
    <t>https://img.rerda.com/imagenes_rerda/2220004/1.jpg</t>
  </si>
  <si>
    <t>https://img.rerda.com/imagenes_rerda/2103050/1.jpg,https://img.rerda.com/imagenes_rerda/2103050/2.jpg,https://img.rerda.com/imagenes_rerda/2103050/3.jpg,https://img.rerda.com/imagenes_rerda/2103050/4.jpg,https://img.rerda.com/imagenes_rerda/2103050/5.jpg,https://img.rerda.com/imagenes_rerda/2103050/6.jpg,https://img.rerda.com/imagenes_rerda/2103050/7.jpg,https://img.rerda.com/imagenes_rerda/2103050/8.jpg,https://img.rerda.com/imagenes_rerda/2103050/9.jpg</t>
  </si>
  <si>
    <t>https://img.rerda.com/imagenes_rerda/2103090/1.jpg,https://img.rerda.com/imagenes_rerda/2103090/2.jpg,https://img.rerda.com/imagenes_rerda/2103090/3.jpg,https://img.rerda.com/imagenes_rerda/2103090/4.jpg,https://img.rerda.com/imagenes_rerda/2103090/5.jpg,https://img.rerda.com/imagenes_rerda/2103090/6.jpg,https://img.rerda.com/imagenes_rerda/2103090/7.jpg,https://img.rerda.com/imagenes_rerda/2103090/8.jpg</t>
  </si>
  <si>
    <t>https://img.rerda.com/imagenes_rerda/2220601/1.jpg,https://img.rerda.com/imagenes_rerda/2220601/2.jpg,https://img.rerda.com/imagenes_rerda/2220601/3.jpg</t>
  </si>
  <si>
    <t>https://img.rerda.com/imagenes_rerda/2220456/1.jpg,https://img.rerda.com/imagenes_rerda/2220456/2.jpg,https://img.rerda.com/imagenes_rerda/2220456/3.jpg,https://img.rerda.com/imagenes_rerda/2220456/4.jpg</t>
  </si>
  <si>
    <t>https://img.rerda.com/imagenes_rerda/2220444/1.jpg</t>
  </si>
  <si>
    <t>https://img.rerda.com/imagenes_rerda/2230600/1.jpg</t>
  </si>
  <si>
    <t>https://img.rerda.com/imagenes_rerda/2220100/1.jpg,https://img.rerda.com/imagenes_rerda/2220100/2.jpg,https://img.rerda.com/imagenes_rerda/2220100/3.jpg,https://img.rerda.com/imagenes_rerda/2220100/4.jpg</t>
  </si>
  <si>
    <t>https://img.rerda.com/imagenes_rerda/2103495/1.jpg,https://img.rerda.com/imagenes_rerda/2103495/2.jpg,https://img.rerda.com/imagenes_rerda/2103495/3.jpg,https://img.rerda.com/imagenes_rerda/2103495/4.jpg,https://img.rerda.com/imagenes_rerda/2103495/5.jpg</t>
  </si>
  <si>
    <t>https://img.rerda.com/imagenes_rerda/2103217/1.jpg,https://img.rerda.com/imagenes_rerda/2103217/2.jpg,https://img.rerda.com/imagenes_rerda/2103217/3.jpg,https://img.rerda.com/imagenes_rerda/2103217/4.jpg,https://img.rerda.com/imagenes_rerda/2103217/5.jpg</t>
  </si>
  <si>
    <t>https://img.rerda.com/imagenes_rerda/2220591/1.jpg,https://img.rerda.com/imagenes_rerda/2220591/2.jpg</t>
  </si>
  <si>
    <t>https://img.rerda.com/imagenes_rerda/7711676/1.jpg</t>
  </si>
  <si>
    <t>https://img.rerda.com/imagenes_rerda/8401013/1.jpg</t>
  </si>
  <si>
    <t>https://img.rerda.com/imagenes_rerda/8401004/1.jpg</t>
  </si>
  <si>
    <t>https://img.rerda.com/imagenes_rerda/8401006/1.jpg</t>
  </si>
  <si>
    <t>https://img.rerda.com/imagenes_rerda/8401005/1.jpg</t>
  </si>
  <si>
    <t>https://img.rerda.com/imagenes_rerda/8401010/1.jpg</t>
  </si>
  <si>
    <t>https://img.rerda.com/imagenes_rerda/8401009/1.jpg</t>
  </si>
  <si>
    <t>https://img.rerda.com/imagenes_rerda/8401001/1.jpg</t>
  </si>
  <si>
    <t>https://img.rerda.com/imagenes_rerda/8401012/1.jpg</t>
  </si>
  <si>
    <t>https://img.rerda.com/imagenes_rerda/8401011/1.jpg</t>
  </si>
  <si>
    <t>https://img.rerda.com/imagenes_rerda/8401003/1.jpg</t>
  </si>
  <si>
    <t>https://img.rerda.com/imagenes_rerda/8507002/1.jpg,https://img.rerda.com/imagenes_rerda/8507002/2.jpg,https://img.rerda.com/imagenes_rerda/8507002/3.jpg,https://img.rerda.com/imagenes_rerda/8507002/4.jpg</t>
  </si>
  <si>
    <t>https://img.rerda.com/imagenes_rerda/2601004/1.jpg,https://img.rerda.com/imagenes_rerda/2601004/2.jpg,https://img.rerda.com/imagenes_rerda/2601004/3.jpg,https://img.rerda.com/imagenes_rerda/2601004/4.jpg,https://img.rerda.com/imagenes_rerda/2601004/5.jpg</t>
  </si>
  <si>
    <t>https://img.rerda.com/imagenes_rerda/2601750/1.jpg,https://img.rerda.com/imagenes_rerda/2601750/2.jpg,https://img.rerda.com/imagenes_rerda/2601750/3.jpg,https://img.rerda.com/imagenes_rerda/2601750/4.jpg,https://img.rerda.com/imagenes_rerda/2601750/5.jpg</t>
  </si>
  <si>
    <t>https://img.rerda.com/imagenes_rerda/2601003/1.jpg,https://img.rerda.com/imagenes_rerda/2601003/2.jpg,https://img.rerda.com/imagenes_rerda/2601003/3.jpg,https://img.rerda.com/imagenes_rerda/2601003/4.jpg,https://img.rerda.com/imagenes_rerda/2601003/5.jpg,https://img.rerda.com/imagenes_rerda/2601003/6.jpg,https://img.rerda.com/imagenes_rerda/2601003/7.jpg,https://img.rerda.com/imagenes_rerda/2601003/8.jpg,https://img.rerda.com/imagenes_rerda/2601003/9.jpg</t>
  </si>
  <si>
    <t>https://img.rerda.com/imagenes_rerda/2301888/1.jpg,https://img.rerda.com/imagenes_rerda/2301888/2.jpg,https://img.rerda.com/imagenes_rerda/2301888/3.jpg,https://img.rerda.com/imagenes_rerda/2301888/4.jpg,https://img.rerda.com/imagenes_rerda/2301888/5.jpg,https://img.rerda.com/imagenes_rerda/2301888/6.jpg,https://img.rerda.com/imagenes_rerda/2301888/7.jpg,https://img.rerda.com/imagenes_rerda/2301888/8.jpg,https://img.rerda.com/imagenes_rerda/2301888/9.jpg</t>
  </si>
  <si>
    <t>https://img.rerda.com/imagenes_rerda/2301158/1.jpg,https://img.rerda.com/imagenes_rerda/2301158/2.jpg,https://img.rerda.com/imagenes_rerda/2301158/3.jpg,https://img.rerda.com/imagenes_rerda/2301158/4.jpg,https://img.rerda.com/imagenes_rerda/2301158/5.jpg,https://img.rerda.com/imagenes_rerda/2301158/6.jpg,https://img.rerda.com/imagenes_rerda/2301158/7.jpg,https://img.rerda.com/imagenes_rerda/2301158/8.jpg</t>
  </si>
  <si>
    <t>https://img.rerda.com/imagenes_rerda/2301048/1.jpg,https://img.rerda.com/imagenes_rerda/2301048/2.jpg,https://img.rerda.com/imagenes_rerda/2301048/3.jpg,https://img.rerda.com/imagenes_rerda/2301048/4.jpg,https://img.rerda.com/imagenes_rerda/2301048/5.jpg,https://img.rerda.com/imagenes_rerda/2301048/6.jpg,https://img.rerda.com/imagenes_rerda/2301048/7.jpg,https://img.rerda.com/imagenes_rerda/2301048/8.jpg</t>
  </si>
  <si>
    <t>https://img.rerda.com/imagenes_rerda/2301300/1.jpg,https://img.rerda.com/imagenes_rerda/2301300/2.jpg,https://img.rerda.com/imagenes_rerda/2301300/3.jpg,https://img.rerda.com/imagenes_rerda/2301300/4.jpg,https://img.rerda.com/imagenes_rerda/2301300/5.jpg,https://img.rerda.com/imagenes_rerda/2301300/6.jpg,https://img.rerda.com/imagenes_rerda/2301300/7.jpg,https://img.rerda.com/imagenes_rerda/2301300/8.jpg</t>
  </si>
  <si>
    <t>https://img.rerda.com/imagenes_rerda/2301777/1.jpg,https://img.rerda.com/imagenes_rerda/2301777/2.jpg,https://img.rerda.com/imagenes_rerda/2301777/3.jpg,https://img.rerda.com/imagenes_rerda/2301777/4.jpg</t>
  </si>
  <si>
    <t>https://img.rerda.com/imagenes_rerda/2301900/1.jpg,https://img.rerda.com/imagenes_rerda/2301900/2.jpg,https://img.rerda.com/imagenes_rerda/2301900/3.jpg,https://img.rerda.com/imagenes_rerda/2301900/4.jpg</t>
  </si>
  <si>
    <t>https://img.rerda.com/imagenes_rerda/2301333/1.jpg,https://img.rerda.com/imagenes_rerda/2301333/2.jpg,https://img.rerda.com/imagenes_rerda/2301333/3.jpg,https://img.rerda.com/imagenes_rerda/2301333/4.jpg</t>
  </si>
  <si>
    <t>https://img.rerda.com/imagenes_rerda/2301666/1.jpg,https://img.rerda.com/imagenes_rerda/2301666/2.jpg,https://img.rerda.com/imagenes_rerda/2301666/3.jpg</t>
  </si>
  <si>
    <t>https://img.rerda.com/imagenes_rerda/2301046/1.jpg,https://img.rerda.com/imagenes_rerda/2301046/2.jpg,https://img.rerda.com/imagenes_rerda/2301046/3.jpg,https://img.rerda.com/imagenes_rerda/2301046/4.jpg,https://img.rerda.com/imagenes_rerda/2301046/5.jpg</t>
  </si>
  <si>
    <t>https://img.rerda.com/imagenes_rerda/8203265/1.jpg,https://img.rerda.com/imagenes_rerda/8203265/2.jpg,https://img.rerda.com/imagenes_rerda/8203265/3.jpg,https://img.rerda.com/imagenes_rerda/8203265/4.jpg,https://img.rerda.com/imagenes_rerda/8203265/5.jpg,https://img.rerda.com/imagenes_rerda/8203265/6.jpg,https://img.rerda.com/imagenes_rerda/8203265/7.jpg,https://img.rerda.com/imagenes_rerda/8203265/8.jpg</t>
  </si>
  <si>
    <t>https://img.rerda.com/imagenes_rerda/8203830/1.jpg,https://img.rerda.com/imagenes_rerda/8203830/2.jpg,https://img.rerda.com/imagenes_rerda/8203830/3.jpg</t>
  </si>
  <si>
    <t>https://img.rerda.com/imagenes_rerda/1120165/1.jpg,https://img.rerda.com/imagenes_rerda/1120165/2.jpg,https://img.rerda.com/imagenes_rerda/1120165/tabla.jpg</t>
  </si>
  <si>
    <t>https://img.rerda.com/imagenes_rerda/1120285/1.jpg,https://img.rerda.com/imagenes_rerda/1120285/2.jpg,https://img.rerda.com/imagenes_rerda/1120285/3.jpg,https://img.rerda.com/imagenes_rerda/1120285/4.jpg,https://img.rerda.com/imagenes_rerda/1120285/tabla.jpg</t>
  </si>
  <si>
    <t>https://img.rerda.com/imagenes_rerda/1120140/1.jpg,https://img.rerda.com/imagenes_rerda/1120140/2.jpg,https://img.rerda.com/imagenes_rerda/1120140/3.jpg,https://img.rerda.com/imagenes_rerda/1120140/4.jpg,https://img.rerda.com/imagenes_rerda/1120140/tabla.jpg</t>
  </si>
  <si>
    <t>https://img.rerda.com/imagenes_rerda/1120170/1.jpg,https://img.rerda.com/imagenes_rerda/1120170/2.jpg,https://img.rerda.com/imagenes_rerda/1120170/3.jpg,https://img.rerda.com/imagenes_rerda/1120170/4.jpg,https://img.rerda.com/imagenes_rerda/1120170/tabla.jpg</t>
  </si>
  <si>
    <t>https://img.rerda.com/imagenes_rerda/1120286/1.jpg,https://img.rerda.com/imagenes_rerda/1120286/2.jpg,https://img.rerda.com/imagenes_rerda/1120286/3.jpg,https://img.rerda.com/imagenes_rerda/1120286/4.jpg,https://img.rerda.com/imagenes_rerda/1120286/tabla.jpg</t>
  </si>
  <si>
    <t>https://img.rerda.com/imagenes_rerda/1120710/1.jpg,https://img.rerda.com/imagenes_rerda/1120710/2.jpg,https://img.rerda.com/imagenes_rerda/1120710/3.jpg,https://img.rerda.com/imagenes_rerda/1120710/tabla.jpg</t>
  </si>
  <si>
    <t>https://img.rerda.com/imagenes_rerda/1200001/1.jpg,https://img.rerda.com/imagenes_rerda/1200001/2.jpg,https://img.rerda.com/imagenes_rerda/1200001/tabla.jpg</t>
  </si>
  <si>
    <t>https://img.rerda.com/imagenes_rerda/1200900/1.jpg,https://img.rerda.com/imagenes_rerda/1200900/2.jpg,https://img.rerda.com/imagenes_rerda/1200900/tabla.jpg</t>
  </si>
  <si>
    <t>https://img.rerda.com/imagenes_rerda/1120323/1.jpg,https://img.rerda.com/imagenes_rerda/1120323/2.jpg,https://img.rerda.com/imagenes_rerda/1120323/3.jpg,https://img.rerda.com/imagenes_rerda/1120323/4.jpg,https://img.rerda.com/imagenes_rerda/1120323/tabla.jpg</t>
  </si>
  <si>
    <t>https://img.rerda.com/imagenes_rerda/1120910/1.jpg,https://img.rerda.com/imagenes_rerda/1120910/2.jpg,https://img.rerda.com/imagenes_rerda/1120910/3.jpg,https://img.rerda.com/imagenes_rerda/1120910/tabla.jpg</t>
  </si>
  <si>
    <t>https://img.rerda.com/imagenes_rerda/1120742/1.jpg,https://img.rerda.com/imagenes_rerda/1120742/2.jpg,https://img.rerda.com/imagenes_rerda/1120742/3.jpg,https://img.rerda.com/imagenes_rerda/1120742/4.jpg,https://img.rerda.com/imagenes_rerda/1120742/5.jpg,https://img.rerda.com/imagenes_rerda/1120742/6.jpg,https://img.rerda.com/imagenes_rerda/1120742/7.jpg,https://img.rerda.com/imagenes_rerda/1120742/tabla.jpg</t>
  </si>
  <si>
    <t>https://img.rerda.com/imagenes_rerda/1120173/1.jpg,https://img.rerda.com/imagenes_rerda/1120173/2.jpg,https://img.rerda.com/imagenes_rerda/1120173/3.jpg,https://img.rerda.com/imagenes_rerda/1120173/tabla.jpg</t>
  </si>
  <si>
    <t>https://img.rerda.com/imagenes_rerda/1120414/1.jpg,https://img.rerda.com/imagenes_rerda/1120414/2.jpg,https://img.rerda.com/imagenes_rerda/1120414/3.jpg,https://img.rerda.com/imagenes_rerda/1120414/4.jpg,https://img.rerda.com/imagenes_rerda/1120414/5.jpg,https://img.rerda.com/imagenes_rerda/1120414/6.jpg,https://img.rerda.com/imagenes_rerda/1120414/7.jpg,https://img.rerda.com/imagenes_rerda/1120414/8.jpg,https://img.rerda.com/imagenes_rerda/1120414/9.jpg,https://img.rerda.com/imagenes_rerda/1120414/tabla.jpg</t>
  </si>
  <si>
    <t>https://img.rerda.com/imagenes_rerda/8205080/1.jpg,https://img.rerda.com/imagenes_rerda/8205080/2.jpg,https://img.rerda.com/imagenes_rerda/8205080/3.jpg,https://img.rerda.com/imagenes_rerda/8205080/4.jpg,https://img.rerda.com/imagenes_rerda/8205080/5.jpg,https://img.rerda.com/imagenes_rerda/8205080/6.jpg,https://img.rerda.com/imagenes_rerda/8205080/7.jpg,https://img.rerda.com/imagenes_rerda/8205080/8.jpg,https://img.rerda.com/imagenes_rerda/8205080/tabla.jpg</t>
  </si>
  <si>
    <t>https://img.rerda.com/imagenes_rerda/8205881/1.jpg,https://img.rerda.com/imagenes_rerda/8205881/2.jpg,https://img.rerda.com/imagenes_rerda/8205881/3.jpg,https://img.rerda.com/imagenes_rerda/8205881/4.jpg,https://img.rerda.com/imagenes_rerda/8205881/5.jpg,https://img.rerda.com/imagenes_rerda/8205881/6.jpg,https://img.rerda.com/imagenes_rerda/8205881/tabla.jpg</t>
  </si>
  <si>
    <t>https://img.rerda.com/imagenes_rerda/8205118/1.jpg,https://img.rerda.com/imagenes_rerda/8205118/2.jpg,https://img.rerda.com/imagenes_rerda/8205118/3.jpg,https://img.rerda.com/imagenes_rerda/8205118/4.jpg,https://img.rerda.com/imagenes_rerda/8205118/5.jpg,https://img.rerda.com/imagenes_rerda/8205118/6.jpg,https://img.rerda.com/imagenes_rerda/8205118/7.jpg,https://img.rerda.com/imagenes_rerda/8205118/tabla.jpg</t>
  </si>
  <si>
    <t>https://img.rerda.com/imagenes_rerda/8205119/1.jpg,https://img.rerda.com/imagenes_rerda/8205119/2.jpg,https://img.rerda.com/imagenes_rerda/8205119/3.jpg,https://img.rerda.com/imagenes_rerda/8205119/4.jpg,https://img.rerda.com/imagenes_rerda/8205119/5.jpg,https://img.rerda.com/imagenes_rerda/8205119/6.jpg,https://img.rerda.com/imagenes_rerda/8205119/tabla.jpg</t>
  </si>
  <si>
    <t>https://img.rerda.com/imagenes_rerda/8205051/1.jpg,https://img.rerda.com/imagenes_rerda/8205051/2.jpg,https://img.rerda.com/imagenes_rerda/8205051/3.jpg,https://img.rerda.com/imagenes_rerda/8205051/4.jpg,https://img.rerda.com/imagenes_rerda/8205051/5.jpg,https://img.rerda.com/imagenes_rerda/8205051/6.jpg,https://img.rerda.com/imagenes_rerda/8205051/7.jpg,https://img.rerda.com/imagenes_rerda/8205051/8.jpg,https://img.rerda.com/imagenes_rerda/8205051/9.jpg,https://img.rerda.com/imagenes_rerda/8205051/10.jpg,https://img.rerda.com/imagenes_rerda/8205051/tabla.jpg</t>
  </si>
  <si>
    <t>https://img.rerda.com/imagenes_rerda/8205050/1.jpg,https://img.rerda.com/imagenes_rerda/8205050/2.jpg,https://img.rerda.com/imagenes_rerda/8205050/3.jpg,https://img.rerda.com/imagenes_rerda/8205050/4.jpg,https://img.rerda.com/imagenes_rerda/8205050/5.jpg,https://img.rerda.com/imagenes_rerda/8205050/6.jpg,https://img.rerda.com/imagenes_rerda/8205050/7.jpg,https://img.rerda.com/imagenes_rerda/8205050/8.jpg,https://img.rerda.com/imagenes_rerda/8205050/tabla.jpg</t>
  </si>
  <si>
    <t>https://img.rerda.com/imagenes_rerda/8205117/1.jpg,https://img.rerda.com/imagenes_rerda/8205117/2.jpg,https://img.rerda.com/imagenes_rerda/8205117/3.jpg,https://img.rerda.com/imagenes_rerda/8205117/4.jpg,https://img.rerda.com/imagenes_rerda/8205117/5.jpg,https://img.rerda.com/imagenes_rerda/8205117/6.jpg,https://img.rerda.com/imagenes_rerda/8205117/7.jpg,https://img.rerda.com/imagenes_rerda/8205117/8.jpg,https://img.rerda.com/imagenes_rerda/8205117/9.jpg,https://img.rerda.com/imagenes_rerda/8205117/tabla.jpg</t>
  </si>
  <si>
    <t>https://img.rerda.com/imagenes_rerda/8205078/1.jpg,https://img.rerda.com/imagenes_rerda/8205078/2.jpg,https://img.rerda.com/imagenes_rerda/8205078/3.jpg,https://img.rerda.com/imagenes_rerda/8205078/4.jpg,https://img.rerda.com/imagenes_rerda/8205078/5.jpg</t>
  </si>
  <si>
    <t>https://img.rerda.com/imagenes_rerda/8205115/1.jpg,https://img.rerda.com/imagenes_rerda/8205115/2.jpg,https://img.rerda.com/imagenes_rerda/8205115/3.jpg,https://img.rerda.com/imagenes_rerda/8205115/4.jpg,https://img.rerda.com/imagenes_rerda/8205115/5.jpg,https://img.rerda.com/imagenes_rerda/8205115/6.jpg,https://img.rerda.com/imagenes_rerda/8205115/7.jpg,https://img.rerda.com/imagenes_rerda/8205115/tabla.jpg</t>
  </si>
  <si>
    <t>https://img.rerda.com/imagenes_rerda/8205041/1.jpg,https://img.rerda.com/imagenes_rerda/8205041/2.jpg,https://img.rerda.com/imagenes_rerda/8205041/3.jpg,https://img.rerda.com/imagenes_rerda/8205041/4.jpg,https://img.rerda.com/imagenes_rerda/8205041/5.jpg,https://img.rerda.com/imagenes_rerda/8205041/6.jpg,https://img.rerda.com/imagenes_rerda/8205041/7.jpg,https://img.rerda.com/imagenes_rerda/8205041/tabla.jpg</t>
  </si>
  <si>
    <t>https://img.rerda.com/imagenes_rerda/8205120/1.jpg,https://img.rerda.com/imagenes_rerda/8205120/2.jpg,https://img.rerda.com/imagenes_rerda/8205120/tabla.jpg</t>
  </si>
  <si>
    <t>https://img.rerda.com/imagenes_rerda/8205018/1.jpg,https://img.rerda.com/imagenes_rerda/8205018/2.jpg,https://img.rerda.com/imagenes_rerda/8205018/3.jpg,https://img.rerda.com/imagenes_rerda/8205018/4.jpg,https://img.rerda.com/imagenes_rerda/8205018/5.jpg,https://img.rerda.com/imagenes_rerda/8205018/6.jpg,https://img.rerda.com/imagenes_rerda/8205018/7.jpg,https://img.rerda.com/imagenes_rerda/8205018/tabla.jpg</t>
  </si>
  <si>
    <t>https://img.rerda.com/imagenes_rerda/2601495/1.jpg,https://img.rerda.com/imagenes_rerda/2601495/2.jpg,https://img.rerda.com/imagenes_rerda/2601495/3.jpg,https://img.rerda.com/imagenes_rerda/2601495/4.jpg,https://img.rerda.com/imagenes_rerda/2601495/5.jpg,https://img.rerda.com/imagenes_rerda/2601495/6.jpg,https://img.rerda.com/imagenes_rerda/2601495/7.jpg,https://img.rerda.com/imagenes_rerda/2601495/8.jpg,https://img.rerda.com/imagenes_rerda/2601495/tabla.jpg</t>
  </si>
  <si>
    <t>https://img.rerda.com/imagenes_rerda/2601850/1.jpg,https://img.rerda.com/imagenes_rerda/2601850/2.jpg,https://img.rerda.com/imagenes_rerda/2601850/3.jpg,https://img.rerda.com/imagenes_rerda/2601850/4.jpg,https://img.rerda.com/imagenes_rerda/2601850/5.jpg,https://img.rerda.com/imagenes_rerda/2601850/tabla.jpg</t>
  </si>
  <si>
    <t>https://img.rerda.com/imagenes_rerda/2601900/1.jpg,https://img.rerda.com/imagenes_rerda/2601900/2.jpg,https://img.rerda.com/imagenes_rerda/2601900/3.jpg,https://img.rerda.com/imagenes_rerda/2601900/4.jpg,https://img.rerda.com/imagenes_rerda/2601900/5.jpg,https://img.rerda.com/imagenes_rerda/2601900/6.jpg,https://img.rerda.com/imagenes_rerda/2601900/tabla.jpg</t>
  </si>
  <si>
    <t>https://img.rerda.com/imagenes_rerda/4120854/1.jpg,https://img.rerda.com/imagenes_rerda/4120854/2.jpg,https://img.rerda.com/imagenes_rerda/4120854/3.jpg,https://img.rerda.com/imagenes_rerda/4120854/4.jpg,https://img.rerda.com/imagenes_rerda/4120854/5.jpg,https://img.rerda.com/imagenes_rerda/4120854/6.jpg,https://img.rerda.com/imagenes_rerda/4120854/7.jpg,https://img.rerda.com/imagenes_rerda/4120854/tabla.jpg</t>
  </si>
  <si>
    <t>https://img.rerda.com/imagenes_rerda/4130777/1.jpg,https://img.rerda.com/imagenes_rerda/4130777/2.jpg,https://img.rerda.com/imagenes_rerda/4130777/3.jpg,https://img.rerda.com/imagenes_rerda/4130777/4.jpg,https://img.rerda.com/imagenes_rerda/4130777/5.jpg,https://img.rerda.com/imagenes_rerda/4130777/6.jpg,https://img.rerda.com/imagenes_rerda/4130777/7.jpg,https://img.rerda.com/imagenes_rerda/4130777/tabla.jpg</t>
  </si>
  <si>
    <t>https://img.rerda.com/imagenes_rerda/4120110/1.jpg,https://img.rerda.com/imagenes_rerda/4120110/2.jpg,https://img.rerda.com/imagenes_rerda/4120110/3.jpg,https://img.rerda.com/imagenes_rerda/4120110/4.jpg,https://img.rerda.com/imagenes_rerda/4120110/5.jpg,https://img.rerda.com/imagenes_rerda/4120110/6.jpg,https://img.rerda.com/imagenes_rerda/4120110/7.jpg,https://img.rerda.com/imagenes_rerda/4120110/tabla.jpg</t>
  </si>
  <si>
    <t>https://img.rerda.com/imagenes_rerda/4120242/1.jpg,https://img.rerda.com/imagenes_rerda/4120242/2.jpg,https://img.rerda.com/imagenes_rerda/4120242/3.jpg,https://img.rerda.com/imagenes_rerda/4120242/4.jpg,https://img.rerda.com/imagenes_rerda/4120242/5.jpg,https://img.rerda.com/imagenes_rerda/4120242/6.jpg,https://img.rerda.com/imagenes_rerda/4120242/7.jpg,https://img.rerda.com/imagenes_rerda/4120242/tabla.jpg</t>
  </si>
  <si>
    <t>https://img.rerda.com/imagenes_rerda/4120800/1.jpg,https://img.rerda.com/imagenes_rerda/4120800/2.jpg,https://img.rerda.com/imagenes_rerda/4120800/3.jpg,https://img.rerda.com/imagenes_rerda/4120800/4.jpg,https://img.rerda.com/imagenes_rerda/4120800/5.jpg,https://img.rerda.com/imagenes_rerda/4120800/6.jpg,https://img.rerda.com/imagenes_rerda/4120800/7.jpg,https://img.rerda.com/imagenes_rerda/4120800/tabla.jpg</t>
  </si>
  <si>
    <t>https://img.rerda.com/imagenes_rerda/4120567/1.jpg,https://img.rerda.com/imagenes_rerda/4120567/2.jpg,https://img.rerda.com/imagenes_rerda/4120567/3.jpg,https://img.rerda.com/imagenes_rerda/4120567/4.jpg,https://img.rerda.com/imagenes_rerda/4120567/5.jpg,https://img.rerda.com/imagenes_rerda/4120567/6.jpg,https://img.rerda.com/imagenes_rerda/4120567/7.jpg,https://img.rerda.com/imagenes_rerda/4120567/tabla.jpg</t>
  </si>
  <si>
    <t>https://img.rerda.com/imagenes_rerda/4120042/1.jpg,https://img.rerda.com/imagenes_rerda/4120042/2.jpg,https://img.rerda.com/imagenes_rerda/4120042/3.jpg,https://img.rerda.com/imagenes_rerda/4120042/4.jpg,https://img.rerda.com/imagenes_rerda/4120042/5.jpg,https://img.rerda.com/imagenes_rerda/4120042/6.jpg,https://img.rerda.com/imagenes_rerda/4120042/7.jpg,https://img.rerda.com/imagenes_rerda/4120042/tabla.jpg</t>
  </si>
  <si>
    <t>https://img.rerda.com/imagenes_rerda/4120982/1.jpg,https://img.rerda.com/imagenes_rerda/4120982/2.jpg,https://img.rerda.com/imagenes_rerda/4120982/3.jpg,https://img.rerda.com/imagenes_rerda/4120982/4.jpg,https://img.rerda.com/imagenes_rerda/4120982/5.jpg,https://img.rerda.com/imagenes_rerda/4120982/6.jpg,https://img.rerda.com/imagenes_rerda/4120982/7.jpg,https://img.rerda.com/imagenes_rerda/4120982/tabla.jpg</t>
  </si>
  <si>
    <t>https://img.rerda.com/imagenes_rerda/4120236/1.jpg,https://img.rerda.com/imagenes_rerda/4120236/2.jpg,https://img.rerda.com/imagenes_rerda/4120236/3.jpg,https://img.rerda.com/imagenes_rerda/4120236/tabla.jpg</t>
  </si>
  <si>
    <t>https://img.rerda.com/imagenes_rerda/4120495/1.jpg,https://img.rerda.com/imagenes_rerda/4120495/2.jpg,https://img.rerda.com/imagenes_rerda/4120495/3.jpg,https://img.rerda.com/imagenes_rerda/4120495/tabla.jpg</t>
  </si>
  <si>
    <t>https://img.rerda.com/imagenes_rerda/5101210/1.jpg,https://img.rerda.com/imagenes_rerda/5101210/2.jpg,https://img.rerda.com/imagenes_rerda/5101210/3.jpg,https://img.rerda.com/imagenes_rerda/5101210/4.jpg,https://img.rerda.com/imagenes_rerda/5101210/5.jpg,https://img.rerda.com/imagenes_rerda/5101210/tabla.jpg</t>
  </si>
  <si>
    <t>https://img.rerda.com/imagenes_rerda/5101220/1.jpg,https://img.rerda.com/imagenes_rerda/5101220/2.jpg,https://img.rerda.com/imagenes_rerda/5101220/3.jpg,https://img.rerda.com/imagenes_rerda/5101220/4.jpg,https://img.rerda.com/imagenes_rerda/5101220/5.jpg,https://img.rerda.com/imagenes_rerda/5101220/tabla.jpg</t>
  </si>
  <si>
    <t>https://img.rerda.com/imagenes_rerda/5101310/1.jpg,https://img.rerda.com/imagenes_rerda/5101310/2.jpg,https://img.rerda.com/imagenes_rerda/5101310/3.jpg,https://img.rerda.com/imagenes_rerda/5101310/4.jpg,https://img.rerda.com/imagenes_rerda/5101310/5.jpg,https://img.rerda.com/imagenes_rerda/5101310/tabla.jpg</t>
  </si>
  <si>
    <t>https://img.rerda.com/imagenes_rerda/5101391/1.jpg,https://img.rerda.com/imagenes_rerda/5101391/2.jpg,https://img.rerda.com/imagenes_rerda/5101391/3.jpg,https://img.rerda.com/imagenes_rerda/5101391/4.jpg,https://img.rerda.com/imagenes_rerda/5101391/5.jpg,https://img.rerda.com/imagenes_rerda/5101391/tabla.jpg</t>
  </si>
  <si>
    <t>https://img.rerda.com/imagenes_rerda/5101340/1.jpg,https://img.rerda.com/imagenes_rerda/5101340/2.jpg,https://img.rerda.com/imagenes_rerda/5101340/3.jpg,https://img.rerda.com/imagenes_rerda/5101340/4.jpg,https://img.rerda.com/imagenes_rerda/5101340/5.jpg,https://img.rerda.com/imagenes_rerda/5101340/tabla.jpg</t>
  </si>
  <si>
    <t>https://img.rerda.com/imagenes_rerda/5101009/1.jpg,https://img.rerda.com/imagenes_rerda/5101009/2.jpg,https://img.rerda.com/imagenes_rerda/5101009/3.jpg,https://img.rerda.com/imagenes_rerda/5101009/4.jpg,https://img.rerda.com/imagenes_rerda/5101009/5.jpg,https://img.rerda.com/imagenes_rerda/5101009/6.jpg,https://img.rerda.com/imagenes_rerda/5101009/7.jpg,https://img.rerda.com/imagenes_rerda/5101009/8.jpg,https://img.rerda.com/imagenes_rerda/5101009/tabla.jpg</t>
  </si>
  <si>
    <t>https://img.rerda.com/imagenes_rerda/5101750/1.jpg,https://img.rerda.com/imagenes_rerda/5101750/2.jpg,https://img.rerda.com/imagenes_rerda/5101750/3.jpg,https://img.rerda.com/imagenes_rerda/5101750/4.jpg,https://img.rerda.com/imagenes_rerda/5101750/5.jpg,https://img.rerda.com/imagenes_rerda/5101750/6.jpg,https://img.rerda.com/imagenes_rerda/5101750/7.jpg,https://img.rerda.com/imagenes_rerda/5101750/8.jpg,https://img.rerda.com/imagenes_rerda/5101750/tabla.jpg</t>
  </si>
  <si>
    <t>https://img.rerda.com/imagenes_rerda/5101011/1.jpg,https://img.rerda.com/imagenes_rerda/5101011/2.jpg,https://img.rerda.com/imagenes_rerda/5101011/3.jpg,https://img.rerda.com/imagenes_rerda/5101011/4.jpg,https://img.rerda.com/imagenes_rerda/5101011/5.jpg,https://img.rerda.com/imagenes_rerda/5101011/6.jpg,https://img.rerda.com/imagenes_rerda/5101011/7.jpg,https://img.rerda.com/imagenes_rerda/5101011/8.jpg,https://img.rerda.com/imagenes_rerda/5101011/tabla.jpg</t>
  </si>
  <si>
    <t>https://img.rerda.com/imagenes_rerda/5101125/1.jpg,https://img.rerda.com/imagenes_rerda/5101125/2.jpg,https://img.rerda.com/imagenes_rerda/5101125/3.jpg,https://img.rerda.com/imagenes_rerda/5101125/4.jpg,https://img.rerda.com/imagenes_rerda/5101125/5.jpg</t>
  </si>
  <si>
    <t>https://img.rerda.com/imagenes_rerda/5101190/1.jpg,https://img.rerda.com/imagenes_rerda/5101190/2.jpg,https://img.rerda.com/imagenes_rerda/5101190/3.jpg,https://img.rerda.com/imagenes_rerda/5101190/4.jpg</t>
  </si>
  <si>
    <t>https://img.rerda.com/imagenes_rerda/5101195/1.jpg,https://img.rerda.com/imagenes_rerda/5101195/2.jpg,https://img.rerda.com/imagenes_rerda/5101195/3.jpg,https://img.rerda.com/imagenes_rerda/5101195/4.jpg</t>
  </si>
  <si>
    <t>https://img.rerda.com/imagenes_rerda/5101185/1.jpg,https://img.rerda.com/imagenes_rerda/5101185/2.jpg,https://img.rerda.com/imagenes_rerda/5101185/3.jpg,https://img.rerda.com/imagenes_rerda/5101185/4.jpg</t>
  </si>
  <si>
    <t>https://img.rerda.com/imagenes_rerda/5101902/1.jpg,https://img.rerda.com/imagenes_rerda/5101902/2.jpg,https://img.rerda.com/imagenes_rerda/5101902/3.jpg,https://img.rerda.com/imagenes_rerda/5101902/4.jpg,https://img.rerda.com/imagenes_rerda/5101902/5.jpg,https://img.rerda.com/imagenes_rerda/5101902/tabla.jpg</t>
  </si>
  <si>
    <t>https://img.rerda.com/imagenes_rerda/5101917/1.jpg,https://img.rerda.com/imagenes_rerda/5101917/2.jpg,https://img.rerda.com/imagenes_rerda/5101917/3.jpg,https://img.rerda.com/imagenes_rerda/5101917/4.jpg,https://img.rerda.com/imagenes_rerda/5101917/5.jpg,https://img.rerda.com/imagenes_rerda/5101917/tabla.jpg</t>
  </si>
  <si>
    <t>https://img.rerda.com/imagenes_rerda/5101924/1.jpg,https://img.rerda.com/imagenes_rerda/5101924/2.jpg,https://img.rerda.com/imagenes_rerda/5101924/3.jpg,https://img.rerda.com/imagenes_rerda/5101924/4.jpg,https://img.rerda.com/imagenes_rerda/5101924/tabla.jpg</t>
  </si>
  <si>
    <t>https://img.rerda.com/imagenes_rerda/5101925/1.jpg,https://img.rerda.com/imagenes_rerda/5101925/2.jpg,https://img.rerda.com/imagenes_rerda/5101925/3.jpg,https://img.rerda.com/imagenes_rerda/5101925/4.jpg,https://img.rerda.com/imagenes_rerda/5101925/5.jpg,https://img.rerda.com/imagenes_rerda/5101925/tabla.jpg</t>
  </si>
  <si>
    <t>https://img.rerda.com/imagenes_rerda/5101915/1.jpg,https://img.rerda.com/imagenes_rerda/5101915/2.jpg,https://img.rerda.com/imagenes_rerda/5101915/3.jpg,https://img.rerda.com/imagenes_rerda/5101915/4.jpg,https://img.rerda.com/imagenes_rerda/5101915/5.jpg,https://img.rerda.com/imagenes_rerda/5101915/tabla.jpg</t>
  </si>
  <si>
    <t>https://img.rerda.com/imagenes_rerda/5101170/1.jpg,https://img.rerda.com/imagenes_rerda/5101170/2.jpg,https://img.rerda.com/imagenes_rerda/5101170/3.jpg,https://img.rerda.com/imagenes_rerda/5101170/4.jpg,https://img.rerda.com/imagenes_rerda/5101170/5.jpg,https://img.rerda.com/imagenes_rerda/5101170/6.jpg,https://img.rerda.com/imagenes_rerda/5101170/7.jpg,https://img.rerda.com/imagenes_rerda/5101170/tabla.jpg</t>
  </si>
  <si>
    <t>https://img.rerda.com/imagenes_rerda/5101850/1.jpg,https://img.rerda.com/imagenes_rerda/5101850/2.jpg,https://img.rerda.com/imagenes_rerda/5101850/3.jpg,https://img.rerda.com/imagenes_rerda/5101850/4.jpg,https://img.rerda.com/imagenes_rerda/5101850/5.jpg,https://img.rerda.com/imagenes_rerda/5101850/6.jpg,https://img.rerda.com/imagenes_rerda/5101850/7.jpg,https://img.rerda.com/imagenes_rerda/5101850/tabla.jpg</t>
  </si>
  <si>
    <t>https://img.rerda.com/imagenes_rerda/5101171/1.jpg,https://img.rerda.com/imagenes_rerda/5101171/2.jpg,https://img.rerda.com/imagenes_rerda/5101171/3.jpg,https://img.rerda.com/imagenes_rerda/5101171/4.jpg,https://img.rerda.com/imagenes_rerda/5101171/5.jpg,https://img.rerda.com/imagenes_rerda/5101171/6.jpg,https://img.rerda.com/imagenes_rerda/5101171/7.jpg,https://img.rerda.com/imagenes_rerda/5101171/tabla.jpg</t>
  </si>
  <si>
    <t>https://img.rerda.com/imagenes_rerda/5101106/1.jpg,https://img.rerda.com/imagenes_rerda/5101106/2.jpg,https://img.rerda.com/imagenes_rerda/5101106/3.jpg,https://img.rerda.com/imagenes_rerda/5101106/4.jpg,https://img.rerda.com/imagenes_rerda/5101106/5.jpg,https://img.rerda.com/imagenes_rerda/5101106/6.jpg,https://img.rerda.com/imagenes_rerda/5101106/7.jpg,https://img.rerda.com/imagenes_rerda/5101106/8.jpg,https://img.rerda.com/imagenes_rerda/5101106/9.jpg</t>
  </si>
  <si>
    <t>https://img.rerda.com/imagenes_rerda/5101101/1.jpg,https://img.rerda.com/imagenes_rerda/5101101/2.jpg,https://img.rerda.com/imagenes_rerda/5101101/3.jpg,https://img.rerda.com/imagenes_rerda/5101101/4.jpg</t>
  </si>
  <si>
    <t>https://img.rerda.com/imagenes_rerda/5101090/1.jpg,https://img.rerda.com/imagenes_rerda/5101090/2.jpg,https://img.rerda.com/imagenes_rerda/5101090/3.jpg,https://img.rerda.com/imagenes_rerda/5101090/4.jpg,https://img.rerda.com/imagenes_rerda/5101090/5.jpg,https://img.rerda.com/imagenes_rerda/5101090/6.jpg,https://img.rerda.com/imagenes_rerda/5101090/7.jpg,https://img.rerda.com/imagenes_rerda/5101090/8.jpg</t>
  </si>
  <si>
    <t>https://img.rerda.com/imagenes_rerda/5101093/1.jpg,https://img.rerda.com/imagenes_rerda/5101093/2.jpg,https://img.rerda.com/imagenes_rerda/5101093/3.jpg,https://img.rerda.com/imagenes_rerda/5101093/4.jpg,https://img.rerda.com/imagenes_rerda/5101093/5.jpg,https://img.rerda.com/imagenes_rerda/5101093/6.jpg,https://img.rerda.com/imagenes_rerda/5101093/7.jpg,https://img.rerda.com/imagenes_rerda/5101093/8.jpg</t>
  </si>
  <si>
    <t>https://img.rerda.com/imagenes_rerda/5101138/1.jpg,https://img.rerda.com/imagenes_rerda/5101138/2.jpg,https://img.rerda.com/imagenes_rerda/5101138/3.jpg,https://img.rerda.com/imagenes_rerda/5101138/4.jpg</t>
  </si>
  <si>
    <t>https://img.rerda.com/imagenes_rerda/5101136/1.jpg,https://img.rerda.com/imagenes_rerda/5101136/2.jpg,https://img.rerda.com/imagenes_rerda/5101136/3.jpg,https://img.rerda.com/imagenes_rerda/5101136/4.jpg</t>
  </si>
  <si>
    <t>https://img.rerda.com/imagenes_rerda/5101192/1.jpg,https://img.rerda.com/imagenes_rerda/5101192/2.jpg,https://img.rerda.com/imagenes_rerda/5101192/3.jpg,https://img.rerda.com/imagenes_rerda/5101192/4.jpg,https://img.rerda.com/imagenes_rerda/5101192/5.jpg,https://img.rerda.com/imagenes_rerda/5101192/6.jpg,https://img.rerda.com/imagenes_rerda/5101192/7.jpg</t>
  </si>
  <si>
    <t>https://img.rerda.com/imagenes_rerda/5101187/1.jpg,https://img.rerda.com/imagenes_rerda/5101187/2.jpg,https://img.rerda.com/imagenes_rerda/5101187/3.jpg,https://img.rerda.com/imagenes_rerda/5101187/4.jpg,https://img.rerda.com/imagenes_rerda/5101187/5.jpg,https://img.rerda.com/imagenes_rerda/5101187/6.jpg,https://img.rerda.com/imagenes_rerda/5101187/7.jpg</t>
  </si>
  <si>
    <t>https://img.rerda.com/imagenes_rerda/5101555/1.jpg,https://img.rerda.com/imagenes_rerda/5101555/tabla.jpg</t>
  </si>
  <si>
    <t>https://img.rerda.com/imagenes_rerda/5101557/1.jpg,https://img.rerda.com/imagenes_rerda/5101557/2.jpg,https://img.rerda.com/imagenes_rerda/5101557/3.jpg,https://img.rerda.com/imagenes_rerda/5101557/4.jpg,https://img.rerda.com/imagenes_rerda/5101557/tabla.jpg</t>
  </si>
  <si>
    <t>https://img.rerda.com/imagenes_rerda/5101563/1.jpg,https://img.rerda.com/imagenes_rerda/5101563/2.jpg,https://img.rerda.com/imagenes_rerda/5101563/3.jpg,https://img.rerda.com/imagenes_rerda/5101563/tabla.jpg</t>
  </si>
  <si>
    <t>https://img.rerda.com/imagenes_rerda/5101565/1.jpg,https://img.rerda.com/imagenes_rerda/5101565/2.jpg,https://img.rerda.com/imagenes_rerda/5101565/3.jpg,https://img.rerda.com/imagenes_rerda/5101565/4.jpg,https://img.rerda.com/imagenes_rerda/5101565/tabla.jpg</t>
  </si>
  <si>
    <t>https://img.rerda.com/imagenes_rerda/5101556/1.jpg,https://img.rerda.com/imagenes_rerda/5101556/2.jpg,https://img.rerda.com/imagenes_rerda/5101556/3.jpg,https://img.rerda.com/imagenes_rerda/5101556/4.jpg,https://img.rerda.com/imagenes_rerda/5101556/5.jpg,https://img.rerda.com/imagenes_rerda/5101556/6.jpg,https://img.rerda.com/imagenes_rerda/5101556/7.jpg,https://img.rerda.com/imagenes_rerda/5101556/8.jpg,https://img.rerda.com/imagenes_rerda/5101556/9.jpg,https://img.rerda.com/imagenes_rerda/5101556/10.jpg,https://img.rerda.com/imagenes_rerda/5101556/11.jpg,https://img.rerda.com/imagenes_rerda/5101556/12.jpg,https://img.rerda.com/imagenes_rerda/5101556/13.jpg,https://img.rerda.com/imagenes_rerda/5101556/14.jpg,https://img.rerda.com/imagenes_rerda/5101556/15.jpg,https://img.rerda.com/imagenes_rerda/5101556/16.jpg,https://img.rerda.com/imagenes_rerda/5101556/tabla.jpg</t>
  </si>
  <si>
    <t>https://img.rerda.com/imagenes_rerda/5101569/1.jpg,https://img.rerda.com/imagenes_rerda/5101569/2.jpg,https://img.rerda.com/imagenes_rerda/5101569/3.jpg,https://img.rerda.com/imagenes_rerda/5101569/tabla.jpg</t>
  </si>
  <si>
    <t>https://img.rerda.com/imagenes_rerda/5101443/1.jpg,https://img.rerda.com/imagenes_rerda/5101443/2.jpg,https://img.rerda.com/imagenes_rerda/5101443/tabla.jpg</t>
  </si>
  <si>
    <t>https://img.rerda.com/imagenes_rerda/2401584/1.jpg,https://img.rerda.com/imagenes_rerda/2401584/2.jpg,https://img.rerda.com/imagenes_rerda/2401584/3.jpg,https://img.rerda.com/imagenes_rerda/2401584/tabla.jpg</t>
  </si>
  <si>
    <t>https://img.rerda.com/imagenes_rerda/8708113/1.jpg,https://img.rerda.com/imagenes_rerda/8708113/2.jpg,https://img.rerda.com/imagenes_rerda/8708113/3.jpg,https://img.rerda.com/imagenes_rerda/8708113/4.jpg,https://img.rerda.com/imagenes_rerda/8708113/tabla.jpg</t>
  </si>
  <si>
    <t>https://img.rerda.com/imagenes_rerda/2401298/1.jpg,https://img.rerda.com/imagenes_rerda/2401298/2.jpg,https://img.rerda.com/imagenes_rerda/2401298/3.jpg,https://img.rerda.com/imagenes_rerda/2401298/tabla.jpg</t>
  </si>
  <si>
    <t>https://img.rerda.com/imagenes_rerda/2101110/1.jpg,https://img.rerda.com/imagenes_rerda/2101110/2.jpg,https://img.rerda.com/imagenes_rerda/2101110/3.jpg,https://img.rerda.com/imagenes_rerda/2101110/tabla.jpg</t>
  </si>
  <si>
    <t>https://img.rerda.com/imagenes_rerda/2101496/1.jpg,https://img.rerda.com/imagenes_rerda/2101496/2.jpg,https://img.rerda.com/imagenes_rerda/2101496/3.jpg,https://img.rerda.com/imagenes_rerda/2101496/4.jpg,https://img.rerda.com/imagenes_rerda/2101496/5.jpg,https://img.rerda.com/imagenes_rerda/2101496/6.jpg,https://img.rerda.com/imagenes_rerda/2101496/7.jpg,https://img.rerda.com/imagenes_rerda/2101496/8.jpg,https://img.rerda.com/imagenes_rerda/2101496/9.jpg,https://img.rerda.com/imagenes_rerda/2101496/10.jpg,https://img.rerda.com/imagenes_rerda/2101496/tabla.jpg</t>
  </si>
  <si>
    <t>https://img.rerda.com/imagenes_rerda/2101751/1.jpg,https://img.rerda.com/imagenes_rerda/2101751/2.jpg,https://img.rerda.com/imagenes_rerda/2101751/3.jpg,https://img.rerda.com/imagenes_rerda/2101751/4.jpg,https://img.rerda.com/imagenes_rerda/2101751/5.jpg,https://img.rerda.com/imagenes_rerda/2101751/6.jpg,https://img.rerda.com/imagenes_rerda/2101751/7.jpg,https://img.rerda.com/imagenes_rerda/2101751/8.jpg,https://img.rerda.com/imagenes_rerda/2101751/9.jpg,https://img.rerda.com/imagenes_rerda/2101751/10.jpg,https://img.rerda.com/imagenes_rerda/2101751/tabla.jpg</t>
  </si>
  <si>
    <t>https://img.rerda.com/imagenes_rerda/2101901/1.jpg,https://img.rerda.com/imagenes_rerda/2101901/2.jpg,https://img.rerda.com/imagenes_rerda/2101901/3.jpg,https://img.rerda.com/imagenes_rerda/2101901/4.jpg,https://img.rerda.com/imagenes_rerda/2101901/5.jpg,https://img.rerda.com/imagenes_rerda/2101901/6.jpg,https://img.rerda.com/imagenes_rerda/2101901/7.jpg,https://img.rerda.com/imagenes_rerda/2101901/8.jpg,https://img.rerda.com/imagenes_rerda/2101901/9.jpg,https://img.rerda.com/imagenes_rerda/2101901/10.jpg,https://img.rerda.com/imagenes_rerda/2101901/tabla.jpg</t>
  </si>
  <si>
    <t>https://img.rerda.com/imagenes_rerda/3101489/1.jpg,https://img.rerda.com/imagenes_rerda/3101489/2.jpg,https://img.rerda.com/imagenes_rerda/3101489/3.jpg</t>
  </si>
  <si>
    <t>https://img.rerda.com/imagenes_rerda/5101204/1.jpg,https://img.rerda.com/imagenes_rerda/5101204/2.jpg,https://img.rerda.com/imagenes_rerda/5101204/3.jpg,https://img.rerda.com/imagenes_rerda/5101204/tabla.jpg</t>
  </si>
  <si>
    <t>https://img.rerda.com/imagenes_rerda/5101876/1.jpg,https://img.rerda.com/imagenes_rerda/5101876/2.jpg,https://img.rerda.com/imagenes_rerda/5101876/3.jpg,https://img.rerda.com/imagenes_rerda/5101876/4.jpg,https://img.rerda.com/imagenes_rerda/5101876/tabla.jpg</t>
  </si>
  <si>
    <t>https://img.rerda.com/imagenes_rerda/2101567/1.jpg,https://img.rerda.com/imagenes_rerda/2101567/2.jpg,https://img.rerda.com/imagenes_rerda/2101567/3.jpg,https://img.rerda.com/imagenes_rerda/2101567/4.jpg,https://img.rerda.com/imagenes_rerda/2101567/5.jpg</t>
  </si>
  <si>
    <t>https://img.rerda.com/imagenes_rerda/2101565/1.jpg,https://img.rerda.com/imagenes_rerda/2101565/2.jpg,https://img.rerda.com/imagenes_rerda/2101565/3.jpg,https://img.rerda.com/imagenes_rerda/2101565/4.jpg,https://img.rerda.com/imagenes_rerda/2101565/5.jpg</t>
  </si>
  <si>
    <t>https://img.rerda.com/imagenes_rerda/2220076/1.jpg,https://img.rerda.com/imagenes_rerda/2220076/2.jpg,https://img.rerda.com/imagenes_rerda/2220076/3.jpg</t>
  </si>
  <si>
    <t>https://img.rerda.com/imagenes_rerda/2601004/1.jpg,https://img.rerda.com/imagenes_rerda/2601004/2.jpg,https://img.rerda.com/imagenes_rerda/2601004/3.jpg,https://img.rerda.com/imagenes_rerda/2601004/4.jpg,https://img.rerda.com/imagenes_rerda/2601004/5.jpg,https://img.rerda.com/imagenes_rerda/2601004/tabla.jpg</t>
  </si>
  <si>
    <t>https://img.rerda.com/imagenes_rerda/2601750/1.jpg,https://img.rerda.com/imagenes_rerda/2601750/2.jpg,https://img.rerda.com/imagenes_rerda/2601750/3.jpg,https://img.rerda.com/imagenes_rerda/2601750/4.jpg,https://img.rerda.com/imagenes_rerda/2601750/5.jpg,https://img.rerda.com/imagenes_rerda/2601750/tabla.jpg</t>
  </si>
  <si>
    <t>https://img.rerda.com/imagenes_rerda/2601003/1.jpg,https://img.rerda.com/imagenes_rerda/2601003/2.jpg,https://img.rerda.com/imagenes_rerda/2601003/3.jpg,https://img.rerda.com/imagenes_rerda/2601003/4.jpg,https://img.rerda.com/imagenes_rerda/2601003/5.jpg,https://img.rerda.com/imagenes_rerda/2601003/6.jpg,https://img.rerda.com/imagenes_rerda/2601003/7.jpg,https://img.rerda.com/imagenes_rerda/2601003/8.jpg,https://img.rerda.com/imagenes_rerda/2601003/9.jpg,https://img.rerda.com/imagenes_rerda/2601003/tabla.jpg</t>
  </si>
  <si>
    <t>https://img.rerda.com/imagenes_rerda/2301888/1.jpg,https://img.rerda.com/imagenes_rerda/2301888/2.jpg,https://img.rerda.com/imagenes_rerda/2301888/3.jpg,https://img.rerda.com/imagenes_rerda/2301888/4.jpg,https://img.rerda.com/imagenes_rerda/2301888/5.jpg,https://img.rerda.com/imagenes_rerda/2301888/6.jpg,https://img.rerda.com/imagenes_rerda/2301888/7.jpg,https://img.rerda.com/imagenes_rerda/2301888/8.jpg,https://img.rerda.com/imagenes_rerda/2301888/9.jpg,https://img.rerda.com/imagenes_rerda/2301888/tabla.jpg</t>
  </si>
  <si>
    <t>https://img.rerda.com/imagenes_rerda/2301158/1.jpg,https://img.rerda.com/imagenes_rerda/2301158/2.jpg,https://img.rerda.com/imagenes_rerda/2301158/3.jpg,https://img.rerda.com/imagenes_rerda/2301158/4.jpg,https://img.rerda.com/imagenes_rerda/2301158/5.jpg,https://img.rerda.com/imagenes_rerda/2301158/6.jpg,https://img.rerda.com/imagenes_rerda/2301158/7.jpg,https://img.rerda.com/imagenes_rerda/2301158/8.jpg,https://img.rerda.com/imagenes_rerda/2301158/tabla.jpg</t>
  </si>
  <si>
    <t>https://img.rerda.com/imagenes_rerda/2301048/1.jpg,https://img.rerda.com/imagenes_rerda/2301048/2.jpg,https://img.rerda.com/imagenes_rerda/2301048/3.jpg,https://img.rerda.com/imagenes_rerda/2301048/4.jpg,https://img.rerda.com/imagenes_rerda/2301048/5.jpg,https://img.rerda.com/imagenes_rerda/2301048/6.jpg,https://img.rerda.com/imagenes_rerda/2301048/7.jpg,https://img.rerda.com/imagenes_rerda/2301048/8.jpg,https://img.rerda.com/imagenes_rerda/2301048/tabla.jpg</t>
  </si>
  <si>
    <t>https://img.rerda.com/imagenes_rerda/2301300/1.jpg,https://img.rerda.com/imagenes_rerda/2301300/2.jpg,https://img.rerda.com/imagenes_rerda/2301300/3.jpg,https://img.rerda.com/imagenes_rerda/2301300/4.jpg,https://img.rerda.com/imagenes_rerda/2301300/5.jpg,https://img.rerda.com/imagenes_rerda/2301300/6.jpg,https://img.rerda.com/imagenes_rerda/2301300/7.jpg,https://img.rerda.com/imagenes_rerda/2301300/8.jpg,https://img.rerda.com/imagenes_rerda/2301300/tabla.jpg</t>
  </si>
  <si>
    <t>https://img.rerda.com/imagenes_rerda/2301777/1.jpg,https://img.rerda.com/imagenes_rerda/2301777/2.jpg,https://img.rerda.com/imagenes_rerda/2301777/3.jpg,https://img.rerda.com/imagenes_rerda/2301777/4.jpg,https://img.rerda.com/imagenes_rerda/2301777/tabla.jpg</t>
  </si>
  <si>
    <t>https://img.rerda.com/imagenes_rerda/2301900/1.jpg,https://img.rerda.com/imagenes_rerda/2301900/2.jpg,https://img.rerda.com/imagenes_rerda/2301900/3.jpg,https://img.rerda.com/imagenes_rerda/2301900/4.jpg,https://img.rerda.com/imagenes_rerda/2301900/tabla.jpg</t>
  </si>
  <si>
    <t>https://img.rerda.com/imagenes_rerda/2301333/1.jpg,https://img.rerda.com/imagenes_rerda/2301333/2.jpg,https://img.rerda.com/imagenes_rerda/2301333/3.jpg,https://img.rerda.com/imagenes_rerda/2301333/4.jpg,https://img.rerda.com/imagenes_rerda/2301333/tabla.jpg</t>
  </si>
  <si>
    <t>https://img.rerda.com/imagenes_rerda/2301666/1.jpg,https://img.rerda.com/imagenes_rerda/2301666/2.jpg,https://img.rerda.com/imagenes_rerda/2301666/3.jpg,https://img.rerda.com/imagenes_rerda/2301666/tabla.jpg</t>
  </si>
  <si>
    <t>https://img.rerda.com/imagenes_rerda/2301046/1.jpg,https://img.rerda.com/imagenes_rerda/2301046/2.jpg,https://img.rerda.com/imagenes_rerda/2301046/3.jpg,https://img.rerda.com/imagenes_rerda/2301046/4.jpg,https://img.rerda.com/imagenes_rerda/2301046/5.jpg,https://img.rerda.com/imagenes_rerda/2301046/tabla.jpg</t>
  </si>
  <si>
    <t>https://img.rerda.com/imagenes_rerda/4120027/1.jpg,https://img.rerda.com/imagenes_rerda/4120027/2.jpg,https://img.rerda.com/imagenes_rerda/4120027/3.jpg,https://img.rerda.com/imagenes_rerda/4120027/tabla.jpg</t>
  </si>
  <si>
    <t>4120029##</t>
  </si>
  <si>
    <t>4120026##</t>
  </si>
  <si>
    <t>https://img.rerda.com/imagenes_rerda/4120024/1.jpg,https://img.rerda.com/imagenes_rerda/4120024/2.jpg,https://img.rerda.com/imagenes_rerda/4120024/3.jpg,https://img.rerda.com/imagenes_rerda/4120024/tabla.jpg</t>
  </si>
  <si>
    <t>1120200##</t>
  </si>
  <si>
    <t>https://img.rerda.com/imagenes_rerda/1120196/1.jpg,https://img.rerda.com/imagenes_rerda/1120196/2.jpg,https://img.rerda.com/imagenes_rerda/1120196/3.jpg,https://img.rerda.com/imagenes_rerda/1120196/4.jpg,https://img.rerda.com/imagenes_rerda/1120196/5.jpg,https://img.rerda.com/imagenes_rerda/1120196/tabla.jpg</t>
  </si>
  <si>
    <t>https://img.rerda.com/imagenes_rerda/8505142/1.jpg</t>
  </si>
  <si>
    <t>4130950##</t>
  </si>
  <si>
    <t>https://img.rerda.com/imagenes_rerda/4130771/1.jpg,https://img.rerda.com/imagenes_rerda/4130771/2.jpg,https://img.rerda.com/imagenes_rerda/4130771/tabla.jpg</t>
  </si>
  <si>
    <t>https://img.rerda.com/imagenes_rerda/3101102/1.jpg,https://img.rerda.com/imagenes_rerda/3101102/2.jpg,https://img.rerda.com/imagenes_rerda/3101102/3.jpg</t>
  </si>
  <si>
    <t>https://img.rerda.com/imagenes_rerda/3101370/1.jpg,https://img.rerda.com/imagenes_rerda/3101370/2.jpg,https://img.rerda.com/imagenes_rerda/3101370/3.jpg</t>
  </si>
  <si>
    <t>https://img.rerda.com/imagenes_rerda/8505021/1.jpg</t>
  </si>
  <si>
    <t>https://img.rerda.com/imagenes_rerda/8505022/1.jpg,https://img.rerda.com/imagenes_rerda/8505022/2.jpg</t>
  </si>
  <si>
    <t>https://img.rerda.com/imagenes_rerda/8505024/1.jpg</t>
  </si>
  <si>
    <t>https://img.rerda.com/imagenes_rerda/8505031/1.jpg</t>
  </si>
  <si>
    <t>https://img.rerda.com/imagenes_rerda/8505032/1.jpg</t>
  </si>
  <si>
    <t>3101103##</t>
  </si>
  <si>
    <t>3101024##</t>
  </si>
  <si>
    <t>https://img.rerda.com/imagenes_rerda/2401101/1.jpg,https://img.rerda.com/imagenes_rerda/2401101/2.jpg,https://img.rerda.com/imagenes_rerda/2401101/3.jpg,https://img.rerda.com/imagenes_rerda/2401101/4.jpg,https://img.rerda.com/imagenes_rerda/2401101/5.jpg</t>
  </si>
  <si>
    <t>4120016##</t>
  </si>
  <si>
    <t>4120018##</t>
  </si>
  <si>
    <t>https://img.rerda.com/imagenes_rerda/4120015/1.jpg,https://img.rerda.com/imagenes_rerda/4120015/2.jpg,https://img.rerda.com/imagenes_rerda/4120015/3.jpg,https://img.rerda.com/imagenes_rerda/4120015/4.jpg,https://img.rerda.com/imagenes_rerda/4120015/5.jpg,https://img.rerda.com/imagenes_rerda/4120015/6.jpg,https://img.rerda.com/imagenes_rerda/4120015/7.jpg,https://img.rerda.com/imagenes_rerda/4120015/tabla.jpg</t>
  </si>
  <si>
    <t>https://img.rerda.com/imagenes_rerda/8522101/1.jpg,https://img.rerda.com/imagenes_rerda/8522101/2.jpg,https://img.rerda.com/imagenes_rerda/8522101/3.jpg</t>
  </si>
  <si>
    <t>https://img.rerda.com/imagenes_rerda/8522999/1.jpg,https://img.rerda.com/imagenes_rerda/8522999/2.jpg,https://img.rerda.com/imagenes_rerda/8522999/3.jpg</t>
  </si>
  <si>
    <t>https://img.rerda.com/imagenes_rerda/8708099/1.jpg,https://img.rerda.com/imagenes_rerda/8708099/2.jpg,https://img.rerda.com/imagenes_rerda/8708099/3.jpg</t>
  </si>
  <si>
    <t>4130776##</t>
  </si>
  <si>
    <t>4130152##</t>
  </si>
  <si>
    <t>4120105##</t>
  </si>
  <si>
    <t>4120546##</t>
  </si>
  <si>
    <t>4120045##</t>
  </si>
  <si>
    <t>4120628##</t>
  </si>
  <si>
    <t>4120075##</t>
  </si>
  <si>
    <t>4120076##</t>
  </si>
  <si>
    <t>4120077##</t>
  </si>
  <si>
    <t>4120071##</t>
  </si>
  <si>
    <t>4120072##</t>
  </si>
  <si>
    <t>4120073##</t>
  </si>
  <si>
    <t>4120087##</t>
  </si>
  <si>
    <t>4120089##</t>
  </si>
  <si>
    <t>https://img.rerda.com/imagenes_rerda/4120074/1.jpg,https://img.rerda.com/imagenes_rerda/4120074/2.jpg,https://img.rerda.com/imagenes_rerda/4120074/3.jpg,https://img.rerda.com/imagenes_rerda/4120074/4.jpg,https://img.rerda.com/imagenes_rerda/4120074/5.jpg,https://img.rerda.com/imagenes_rerda/4120074/6.jpg,https://img.rerda.com/imagenes_rerda/4120074/7.jpg,https://img.rerda.com/imagenes_rerda/4120074/tabla.jpg</t>
  </si>
  <si>
    <t>https://img.rerda.com/imagenes_rerda/4120070/1.jpg,https://img.rerda.com/imagenes_rerda/4120070/2.jpg,https://img.rerda.com/imagenes_rerda/4120070/3.jpg,https://img.rerda.com/imagenes_rerda/4120070/4.jpg,https://img.rerda.com/imagenes_rerda/4120070/5.jpg,https://img.rerda.com/imagenes_rerda/4120070/6.jpg,https://img.rerda.com/imagenes_rerda/4120070/7.jpg,https://img.rerda.com/imagenes_rerda/4120070/tabla.jpg</t>
  </si>
  <si>
    <t>https://img.rerda.com/imagenes_rerda/4120086/1.jpg,https://img.rerda.com/imagenes_rerda/4120086/2.jpg,https://img.rerda.com/imagenes_rerda/4120086/3.jpg,https://img.rerda.com/imagenes_rerda/4120086/4.jpg,https://img.rerda.com/imagenes_rerda/4120086/5.jpg,https://img.rerda.com/imagenes_rerda/4120086/6.jpg,https://img.rerda.com/imagenes_rerda/4120086/7.jpg,https://img.rerda.com/imagenes_rerda/4120086/tabla.jpg</t>
  </si>
  <si>
    <t>4120079##</t>
  </si>
  <si>
    <t>4120080##</t>
  </si>
  <si>
    <t>4120081##</t>
  </si>
  <si>
    <t>https://img.rerda.com/imagenes_rerda/4120078/1.jpg,https://img.rerda.com/imagenes_rerda/4120078/2.jpg,https://img.rerda.com/imagenes_rerda/4120078/3.jpg,https://img.rerda.com/imagenes_rerda/4120078/4.jpg,https://img.rerda.com/imagenes_rerda/4120078/5.jpg,https://img.rerda.com/imagenes_rerda/4120078/6.jpg,https://img.rerda.com/imagenes_rerda/4120078/7.jpg,https://img.rerda.com/imagenes_rerda/4120078/tabla.jpg</t>
  </si>
  <si>
    <t>4120083##</t>
  </si>
  <si>
    <t>4120084##</t>
  </si>
  <si>
    <t>4120085##</t>
  </si>
  <si>
    <t>https://img.rerda.com/imagenes_rerda/4120082/1.jpg,https://img.rerda.com/imagenes_rerda/4120082/2.jpg,https://img.rerda.com/imagenes_rerda/4120082/3.jpg,https://img.rerda.com/imagenes_rerda/4120082/4.jpg,https://img.rerda.com/imagenes_rerda/4120082/5.jpg,https://img.rerda.com/imagenes_rerda/4120082/6.jpg,https://img.rerda.com/imagenes_rerda/4120082/7.jpg,https://img.rerda.com/imagenes_rerda/4120082/tabla.jpg</t>
  </si>
  <si>
    <t>4120602##</t>
  </si>
  <si>
    <t>4120880##</t>
  </si>
  <si>
    <t>4120890##</t>
  </si>
  <si>
    <t>4120039##</t>
  </si>
  <si>
    <t>4120040##</t>
  </si>
  <si>
    <t>4120041##</t>
  </si>
  <si>
    <t>4120674##</t>
  </si>
  <si>
    <t>4120676##</t>
  </si>
  <si>
    <t>4120702##</t>
  </si>
  <si>
    <t>4120303##</t>
  </si>
  <si>
    <t>4120304##</t>
  </si>
  <si>
    <t>4120240##</t>
  </si>
  <si>
    <t>4120241##</t>
  </si>
  <si>
    <t>https://img.rerda.com/imagenes_rerda/4120600/1.jpg,https://img.rerda.com/imagenes_rerda/4120600/tabla.jpg</t>
  </si>
  <si>
    <t>https://img.rerda.com/imagenes_rerda/4120860/1.jpg,https://img.rerda.com/imagenes_rerda/4120860/tabla.jpg</t>
  </si>
  <si>
    <t>https://img.rerda.com/imagenes_rerda/4120038/1.jpg,https://img.rerda.com/imagenes_rerda/4120038/tabla.jpg</t>
  </si>
  <si>
    <t>https://img.rerda.com/imagenes_rerda/4120670/1.jpg,https://img.rerda.com/imagenes_rerda/4120670/tabla.jpg</t>
  </si>
  <si>
    <t>https://img.rerda.com/imagenes_rerda/4120700/1.jpg,https://img.rerda.com/imagenes_rerda/4120700/tabla.jpg</t>
  </si>
  <si>
    <t>https://img.rerda.com/imagenes_rerda/4120300/1.jpg,https://img.rerda.com/imagenes_rerda/4120300/tabla.jpg</t>
  </si>
  <si>
    <t>https://img.rerda.com/imagenes_rerda/4120239/1.jpg,https://img.rerda.com/imagenes_rerda/4120239/tabla.jpg</t>
  </si>
  <si>
    <t>https://img.rerda.com/imagenes_rerda/4120007/1.jpg,https://img.rerda.com/imagenes_rerda/4120007/tabla.jpg</t>
  </si>
  <si>
    <t>4120088##</t>
  </si>
  <si>
    <t>4120232##</t>
  </si>
  <si>
    <t>4120103##</t>
  </si>
  <si>
    <t>4120104##</t>
  </si>
  <si>
    <t>4120755##</t>
  </si>
  <si>
    <t>4120011##</t>
  </si>
  <si>
    <t>4120012##</t>
  </si>
  <si>
    <t>4120013##</t>
  </si>
  <si>
    <t>4120059##</t>
  </si>
  <si>
    <t>4120060##</t>
  </si>
  <si>
    <t>4120061##</t>
  </si>
  <si>
    <t>4120903##</t>
  </si>
  <si>
    <t>4120111##</t>
  </si>
  <si>
    <t>https://img.rerda.com/imagenes_rerda/4120853/1.jpg,https://img.rerda.com/imagenes_rerda/4120853/2.jpg,https://img.rerda.com/imagenes_rerda/4120853/3.jpg,https://img.rerda.com/imagenes_rerda/4120853/tabla.jpg</t>
  </si>
  <si>
    <t>https://img.rerda.com/imagenes_rerda/4120100/1.jpg,https://img.rerda.com/imagenes_rerda/4120100/2.jpg,https://img.rerda.com/imagenes_rerda/4120100/3.jpg,https://img.rerda.com/imagenes_rerda/4120100/4.jpg,https://img.rerda.com/imagenes_rerda/4120100/tabla.jpg</t>
  </si>
  <si>
    <t>https://img.rerda.com/imagenes_rerda/4120850/1.jpg,https://img.rerda.com/imagenes_rerda/4120850/2.jpg,https://img.rerda.com/imagenes_rerda/4120850/3.jpg,https://img.rerda.com/imagenes_rerda/4120850/tabla.jpg</t>
  </si>
  <si>
    <t>https://img.rerda.com/imagenes_rerda/4120058/1.jpg,https://img.rerda.com/imagenes_rerda/4120058/2.jpg,https://img.rerda.com/imagenes_rerda/4120058/3.jpg,https://img.rerda.com/imagenes_rerda/4120058/tabla.jpg</t>
  </si>
  <si>
    <t>https://img.rerda.com/imagenes_rerda/4120011/1.jpg,https://img.rerda.com/imagenes_rerda/4120011/2.jpg,https://img.rerda.com/imagenes_rerda/4120011/3.jpg,https://img.rerda.com/imagenes_rerda/4120011/tabla.jpg</t>
  </si>
  <si>
    <t>https://img.rerda.com/imagenes_rerda/4120900/1.jpg,https://img.rerda.com/imagenes_rerda/4120900/2.jpg,https://img.rerda.com/imagenes_rerda/4120900/3.jpg,https://img.rerda.com/imagenes_rerda/4120900/tabla.jpg</t>
  </si>
  <si>
    <t>https://img.rerda.com/imagenes_rerda/4120003/1.jpg,https://img.rerda.com/imagenes_rerda/4120003/2.jpg,https://img.rerda.com/imagenes_rerda/4120003/tabla.jpg</t>
  </si>
  <si>
    <t>https://img.rerda.com/imagenes_rerda/4120009/1.jpg,https://img.rerda.com/imagenes_rerda/4120009/2.jpg,https://img.rerda.com/imagenes_rerda/4120009/3.jpg,https://img.rerda.com/imagenes_rerda/4120009/tabla.jpg</t>
  </si>
  <si>
    <t>https://img.rerda.com/imagenes_rerda/8521040/1.jpg,https://img.rerda.com/imagenes_rerda/8521040/2.jpg,https://img.rerda.com/imagenes_rerda/8521040/3.jpg,https://img.rerda.com/imagenes_rerda/8521040/4.jpg,https://img.rerda.com/imagenes_rerda/8521040/5.jpg,https://img.rerda.com/imagenes_rerda/8521040/6.jpg</t>
  </si>
  <si>
    <t>36</t>
  </si>
  <si>
    <t>37</t>
  </si>
  <si>
    <t>38</t>
  </si>
  <si>
    <t>39</t>
  </si>
  <si>
    <t>014.jpg</t>
  </si>
  <si>
    <t>361.jpg</t>
  </si>
  <si>
    <t>362.jpg</t>
  </si>
  <si>
    <t>363.jpg</t>
  </si>
  <si>
    <t>364.jpg</t>
  </si>
  <si>
    <t>371.jpg</t>
  </si>
  <si>
    <t>372.jpg</t>
  </si>
  <si>
    <t>373.jpg</t>
  </si>
  <si>
    <t>374.jpg</t>
  </si>
  <si>
    <t>381.jpg</t>
  </si>
  <si>
    <t>382.jpg</t>
  </si>
  <si>
    <t>383.jpg</t>
  </si>
  <si>
    <t>391.jpg</t>
  </si>
  <si>
    <t>392.jpg</t>
  </si>
  <si>
    <t>393.jpg</t>
  </si>
  <si>
    <t>394.jpg</t>
  </si>
  <si>
    <t>https://img.rerda.com/imagenes_rerda/8518014/091.jpg</t>
  </si>
  <si>
    <t>https://img.rerda.com/imagenes_rerda/8518014/061.jpg</t>
  </si>
  <si>
    <t>https://img.rerda.com/imagenes_rerda/8518014/031.jpg</t>
  </si>
  <si>
    <t>https://img.rerda.com/imagenes_rerda/8701576/091.jpg</t>
  </si>
  <si>
    <t>https://img.rerda.com/imagenes_rerda/8701576/061.jpg</t>
  </si>
  <si>
    <t>https://img.rerda.com/imagenes_rerda/8701576/031.jpg</t>
  </si>
  <si>
    <t>https://img.rerda.com/imagenes_rerda/3101948/031.jpg,https://img.rerda.com/imagenes_rerda/3101948/032.jpg</t>
  </si>
  <si>
    <t>https://img.rerda.com/imagenes_rerda/3101948/091.jpg,https://img.rerda.com/imagenes_rerda/3101948/092.jpg</t>
  </si>
  <si>
    <t>https://img.rerda.com/imagenes_rerda/5101390/091.jpg,https://img.rerda.com/imagenes_rerda/5101390/092.jpg,https://img.rerda.com/imagenes_rerda/5101390/093.jpg,https://img.rerda.com/imagenes_rerda/5101390/094.jpg,https://img.rerda.com/imagenes_rerda/5101390/095.jpg,https://img.rerda.com/imagenes_rerda/5101390/096.jpg</t>
  </si>
  <si>
    <t>https://img.rerda.com/imagenes_rerda/5101390/181.jpg,https://img.rerda.com/imagenes_rerda/5101390/182.jpg,https://img.rerda.com/imagenes_rerda/5101390/183.jpg,https://img.rerda.com/imagenes_rerda/5101390/184.jpg,https://img.rerda.com/imagenes_rerda/5101390/185.jpg,https://img.rerda.com/imagenes_rerda/5101390/186.jpg</t>
  </si>
  <si>
    <t>https://img.rerda.com/imagenes_rerda/5101445/091.jpg,https://img.rerda.com/imagenes_rerda/5101445/092.jpg,https://img.rerda.com/imagenes_rerda/5101445/093.jpg,https://img.rerda.com/imagenes_rerda/5101445/094.jpg,https://img.rerda.com/imagenes_rerda/5101445/095.jpg,https://img.rerda.com/imagenes_rerda/5101445/096.jpg,https://img.rerda.com/imagenes_rerda/5101445/097.jpg,https://img.rerda.com/imagenes_rerda/5101445/098.jpg</t>
  </si>
  <si>
    <t>https://img.rerda.com/imagenes_rerda/5101445/181.jpg,https://img.rerda.com/imagenes_rerda/5101445/182.jpg,https://img.rerda.com/imagenes_rerda/5101445/183.jpg,https://img.rerda.com/imagenes_rerda/5101445/184.jpg,https://img.rerda.com/imagenes_rerda/5101445/185.jpg,https://img.rerda.com/imagenes_rerda/5101445/186.jpg,https://img.rerda.com/imagenes_rerda/5101445/187.jpg,https://img.rerda.com/imagenes_rerda/5101445/188.jpg</t>
  </si>
  <si>
    <t>https://img.rerda.com/imagenes_rerda/8708907/031.jpg,https://img.rerda.com/imagenes_rerda/8708907/032.jpg</t>
  </si>
  <si>
    <t>https://img.rerda.com/imagenes_rerda/8708907/061.jpg,https://img.rerda.com/imagenes_rerda/8708907/062.jpg</t>
  </si>
  <si>
    <t>https://img.rerda.com/imagenes_rerda/8708907/091.jpg,https://img.rerda.com/imagenes_rerda/8708907/092.jpg</t>
  </si>
  <si>
    <t>https://img.rerda.com/imagenes_rerda/8708907/231.jpg,https://img.rerda.com/imagenes_rerda/8708907/232.jpg,https://img.rerda.com/imagenes_rerda/8708907/233.jpg,https://img.rerda.com/imagenes_rerda/8708907/234.jpg,https://img.rerda.com/imagenes_rerda/8708907/235.jpg,https://img.rerda.com/imagenes_rerda/8708907/236.jpg,https://img.rerda.com/imagenes_rerda/8708907/237.jpg,https://img.rerda.com/imagenes_rerda/8708907/238.jpg</t>
  </si>
  <si>
    <t>https://img.rerda.com/imagenes_rerda/8708637/031.jpg,https://img.rerda.com/imagenes_rerda/8708637/032.jpg,https://img.rerda.com/imagenes_rerda/8708637/033.jpg</t>
  </si>
  <si>
    <t>https://img.rerda.com/imagenes_rerda/8708637/091.jpg,https://img.rerda.com/imagenes_rerda/8708637/092.jpg,https://img.rerda.com/imagenes_rerda/8708637/093.jpg,https://img.rerda.com/imagenes_rerda/8708637/094.jpg,https://img.rerda.com/imagenes_rerda/8708637/095.jpg</t>
  </si>
  <si>
    <t>https://img.rerda.com/imagenes_rerda/8708536/061.jpg,https://img.rerda.com/imagenes_rerda/8708536/062.jpg,https://img.rerda.com/imagenes_rerda/8708536/063.jpg,https://img.rerda.com/imagenes_rerda/8708536/064.jpg</t>
  </si>
  <si>
    <t>https://img.rerda.com/imagenes_rerda/8708536/081.jpg,https://img.rerda.com/imagenes_rerda/8708536/082.jpg,https://img.rerda.com/imagenes_rerda/8708536/083.jpg,https://img.rerda.com/imagenes_rerda/8708536/084.jpg,https://img.rerda.com/imagenes_rerda/8708536/085.jpg</t>
  </si>
  <si>
    <t>https://img.rerda.com/imagenes_rerda/8708536/091.jpg,https://img.rerda.com/imagenes_rerda/8708536/092.jpg,https://img.rerda.com/imagenes_rerda/8708536/093.jpg,https://img.rerda.com/imagenes_rerda/8708536/094.jpg</t>
  </si>
  <si>
    <t>https://img.rerda.com/imagenes_rerda/8708536/221.jpg,https://img.rerda.com/imagenes_rerda/8708536/222.jpg,https://img.rerda.com/imagenes_rerda/8708536/223.jpg,https://img.rerda.com/imagenes_rerda/8708536/224.jpg,https://img.rerda.com/imagenes_rerda/8708536/225.jpg</t>
  </si>
  <si>
    <t>https://img.rerda.com/imagenes_rerda/8708012/071.jpg,https://img.rerda.com/imagenes_rerda/8708012/072.jpg,https://img.rerda.com/imagenes_rerda/8708012/073.jpg,https://img.rerda.com/imagenes_rerda/8708012/074.jpg</t>
  </si>
  <si>
    <t>https://img.rerda.com/imagenes_rerda/8708012/081.jpg,https://img.rerda.com/imagenes_rerda/8708012/082.jpg,https://img.rerda.com/imagenes_rerda/8708012/083.jpg,https://img.rerda.com/imagenes_rerda/8708012/084.jpg</t>
  </si>
  <si>
    <t>https://img.rerda.com/imagenes_rerda/8708012/091.jpg,https://img.rerda.com/imagenes_rerda/8708012/092.jpg,https://img.rerda.com/imagenes_rerda/8708012/093.jpg,https://img.rerda.com/imagenes_rerda/8708012/094.jpg</t>
  </si>
  <si>
    <t>https://img.rerda.com/imagenes_rerda/8708304/031.jpg,https://img.rerda.com/imagenes_rerda/8708304/032.jpg,https://img.rerda.com/imagenes_rerda/8708304/033.jpg,https://img.rerda.com/imagenes_rerda/8708304/034.jpg</t>
  </si>
  <si>
    <t>https://img.rerda.com/imagenes_rerda/8708304/061.jpg,https://img.rerda.com/imagenes_rerda/8708304/062.jpg,https://img.rerda.com/imagenes_rerda/8708304/063.jpg,https://img.rerda.com/imagenes_rerda/8708304/064.jpg</t>
  </si>
  <si>
    <t>https://img.rerda.com/imagenes_rerda/8708304/071.jpg,https://img.rerda.com/imagenes_rerda/8708304/072.jpg,https://img.rerda.com/imagenes_rerda/8708304/073.jpg,https://img.rerda.com/imagenes_rerda/8708304/074.jpg</t>
  </si>
  <si>
    <t>https://img.rerda.com/imagenes_rerda/8708304/081.jpg,https://img.rerda.com/imagenes_rerda/8708304/082.jpg,https://img.rerda.com/imagenes_rerda/8708304/083.jpg,https://img.rerda.com/imagenes_rerda/8708304/084.jpg</t>
  </si>
  <si>
    <t>https://img.rerda.com/imagenes_rerda/8708304/091.jpg,https://img.rerda.com/imagenes_rerda/8708304/092.jpg,https://img.rerda.com/imagenes_rerda/8708304/093.jpg,https://img.rerda.com/imagenes_rerda/8708304/094.jpg</t>
  </si>
  <si>
    <t>https://img.rerda.com/imagenes_rerda/8708310/031.jpg,https://img.rerda.com/imagenes_rerda/8708310/032.jpg,https://img.rerda.com/imagenes_rerda/8708310/033.jpg</t>
  </si>
  <si>
    <t>https://img.rerda.com/imagenes_rerda/8708310/071.jpg,https://img.rerda.com/imagenes_rerda/8708310/072.jpg,https://img.rerda.com/imagenes_rerda/8708310/073.jpg</t>
  </si>
  <si>
    <t>https://img.rerda.com/imagenes_rerda/8708310/081.jpg,https://img.rerda.com/imagenes_rerda/8708310/082.jpg,https://img.rerda.com/imagenes_rerda/8708310/083.jpg</t>
  </si>
  <si>
    <t>https://img.rerda.com/imagenes_rerda/8708310/091.jpg,https://img.rerda.com/imagenes_rerda/8708310/092.jpg,https://img.rerda.com/imagenes_rerda/8708310/093.jpg</t>
  </si>
  <si>
    <t>https://img.rerda.com/imagenes_rerda/8708323/071.jpg,https://img.rerda.com/imagenes_rerda/8708323/072.jpg,https://img.rerda.com/imagenes_rerda/8708323/073.jpg</t>
  </si>
  <si>
    <t>https://img.rerda.com/imagenes_rerda/8708323/081.jpg,https://img.rerda.com/imagenes_rerda/8708323/082.jpg,https://img.rerda.com/imagenes_rerda/8708323/083.jpg</t>
  </si>
  <si>
    <t>https://img.rerda.com/imagenes_rerda/8708323/091.jpg,https://img.rerda.com/imagenes_rerda/8708323/092.jpg,https://img.rerda.com/imagenes_rerda/8708323/093.jpg</t>
  </si>
  <si>
    <t>https://img.rerda.com/imagenes_rerda/8708774/061.jpg,https://img.rerda.com/imagenes_rerda/8708774/062.jpg,https://img.rerda.com/imagenes_rerda/8708774/063.jpg,https://img.rerda.com/imagenes_rerda/8708774/064.jpg</t>
  </si>
  <si>
    <t>https://img.rerda.com/imagenes_rerda/8708774/091.jpg,https://img.rerda.com/imagenes_rerda/8708774/092.jpg,https://img.rerda.com/imagenes_rerda/8708774/093.jpg,https://img.rerda.com/imagenes_rerda/8708774/094.jpg</t>
  </si>
  <si>
    <t>https://img.rerda.com/imagenes_rerda/8708774/111.jpg,https://img.rerda.com/imagenes_rerda/8708774/112.jpg,https://img.rerda.com/imagenes_rerda/8708774/113.jpg,https://img.rerda.com/imagenes_rerda/8708774/114.jpg</t>
  </si>
  <si>
    <t>https://img.rerda.com/imagenes_rerda/8612122/041.jpg,https://img.rerda.com/imagenes_rerda/8612122/042.jpg,https://img.rerda.com/imagenes_rerda/8612122/043.jpg,https://img.rerda.com/imagenes_rerda/8612122/044.jpg,https://img.rerda.com/imagenes_rerda/8612122/045.jpg,https://img.rerda.com/imagenes_rerda/8612122/046.jpg,https://img.rerda.com/imagenes_rerda/8612122/047.jpg,https://img.rerda.com/imagenes_rerda/8612122/048.jpg,https://img.rerda.com/imagenes_rerda/8612122/049.jpg</t>
  </si>
  <si>
    <t>https://img.rerda.com/imagenes_rerda/8612122/181.jpg,https://img.rerda.com/imagenes_rerda/8612122/182.jpg,https://img.rerda.com/imagenes_rerda/8612122/183.jpg,https://img.rerda.com/imagenes_rerda/8612122/184.jpg,https://img.rerda.com/imagenes_rerda/8612122/185.jpg,https://img.rerda.com/imagenes_rerda/8612122/186.jpg,https://img.rerda.com/imagenes_rerda/8612122/187.jpg,https://img.rerda.com/imagenes_rerda/8612122/188.jpg,https://img.rerda.com/imagenes_rerda/8612122/189.jpg</t>
  </si>
  <si>
    <t>https://img.rerda.com/imagenes_rerda/8612122/221.jpg,https://img.rerda.com/imagenes_rerda/8612122/222.jpg,https://img.rerda.com/imagenes_rerda/8612122/223.jpg,https://img.rerda.com/imagenes_rerda/8612122/224.jpg,https://img.rerda.com/imagenes_rerda/8612122/225.jpg,https://img.rerda.com/imagenes_rerda/8612122/226.jpg,https://img.rerda.com/imagenes_rerda/8612122/227.jpg,https://img.rerda.com/imagenes_rerda/8612122/228.jpg,https://img.rerda.com/imagenes_rerda/8612122/229.jpg</t>
  </si>
  <si>
    <t>https://img.rerda.com/imagenes_rerda/8303297/081.jpg,https://img.rerda.com/imagenes_rerda/8303297/082.jpg</t>
  </si>
  <si>
    <t>https://img.rerda.com/imagenes_rerda/8303297/091.jpg,https://img.rerda.com/imagenes_rerda/8303297/092.jpg</t>
  </si>
  <si>
    <t>https://img.rerda.com/imagenes_rerda/8303297/211.jpg,https://img.rerda.com/imagenes_rerda/8303297/212.jpg</t>
  </si>
  <si>
    <t>https://img.rerda.com/imagenes_rerda/8701255/031.jpg,https://img.rerda.com/imagenes_rerda/8701255/032.jpg</t>
  </si>
  <si>
    <t>https://img.rerda.com/imagenes_rerda/8701255/091.jpg</t>
  </si>
  <si>
    <t>https://img.rerda.com/imagenes_rerda/8708634/031.jpg,https://img.rerda.com/imagenes_rerda/8708634/032.jpg</t>
  </si>
  <si>
    <t>https://img.rerda.com/imagenes_rerda/8708634/051.jpg</t>
  </si>
  <si>
    <t>https://img.rerda.com/imagenes_rerda/8708634/071.jpg</t>
  </si>
  <si>
    <t>https://img.rerda.com/imagenes_rerda/8708634/091.jpg,https://img.rerda.com/imagenes_rerda/8708634/092.jpg,https://img.rerda.com/imagenes_rerda/8708634/093.jpg,https://img.rerda.com/imagenes_rerda/8708634/094.jpg</t>
  </si>
  <si>
    <t>https://img.rerda.com/imagenes_rerda/8708628/061.jpg</t>
  </si>
  <si>
    <t>https://img.rerda.com/imagenes_rerda/8708628/071.jpg,https://img.rerda.com/imagenes_rerda/8708628/072.jpg,https://img.rerda.com/imagenes_rerda/8708628/073.jpg,https://img.rerda.com/imagenes_rerda/8708628/074.jpg,https://img.rerda.com/imagenes_rerda/8708628/075.jpg</t>
  </si>
  <si>
    <t>https://img.rerda.com/imagenes_rerda/8520511/091.jpg,https://img.rerda.com/imagenes_rerda/8520511/092.jpg</t>
  </si>
  <si>
    <t>https://img.rerda.com/imagenes_rerda/8520511/061.jpg,https://img.rerda.com/imagenes_rerda/8520511/062.jpg</t>
  </si>
  <si>
    <t>https://img.rerda.com/imagenes_rerda/8520511/031.jpg,https://img.rerda.com/imagenes_rerda/8520511/032.jpg</t>
  </si>
  <si>
    <t>https://img.rerda.com/imagenes_rerda/8505824/091.jpg</t>
  </si>
  <si>
    <t>https://img.rerda.com/imagenes_rerda/8505824/181.jpg</t>
  </si>
  <si>
    <t>https://img.rerda.com/imagenes_rerda/8692230/111.jpg,https://img.rerda.com/imagenes_rerda/8692230/112.jpg,https://img.rerda.com/imagenes_rerda/8692230/113.jpg,https://img.rerda.com/imagenes_rerda/8692230/114.jpg</t>
  </si>
  <si>
    <t>https://img.rerda.com/imagenes_rerda/8692230/041.jpg,https://img.rerda.com/imagenes_rerda/8692230/042.jpg,https://img.rerda.com/imagenes_rerda/8692230/043.jpg,https://img.rerda.com/imagenes_rerda/8692230/044.jpg</t>
  </si>
  <si>
    <t>https://img.rerda.com/imagenes_rerda/8692230/181.jpg,https://img.rerda.com/imagenes_rerda/8692230/182.jpg,https://img.rerda.com/imagenes_rerda/8692230/183.jpg,https://img.rerda.com/imagenes_rerda/8692230/184.jpg</t>
  </si>
  <si>
    <t>https://img.rerda.com/imagenes_rerda/8692230/061.jpg,https://img.rerda.com/imagenes_rerda/8692230/062.jpg,https://img.rerda.com/imagenes_rerda/8692230/063.jpg,https://img.rerda.com/imagenes_rerda/8692230/064.jpg</t>
  </si>
  <si>
    <t>https://img.rerda.com/imagenes_rerda/8692230/291.jpg,https://img.rerda.com/imagenes_rerda/8692230/292.jpg,https://img.rerda.com/imagenes_rerda/8692230/293.jpg,https://img.rerda.com/imagenes_rerda/8692230/294.jpg,https://img.rerda.com/imagenes_rerda/8692230/295.jpg</t>
  </si>
  <si>
    <t>https://img.rerda.com/imagenes_rerda/8692230/131.jpg,https://img.rerda.com/imagenes_rerda/8692230/132.jpg</t>
  </si>
  <si>
    <t>https://img.rerda.com/imagenes_rerda/8400008/011.jpg,https://img.rerda.com/imagenes_rerda/8400008/012.jpg,https://img.rerda.com/imagenes_rerda/8400008/013.jpg</t>
  </si>
  <si>
    <t>https://img.rerda.com/imagenes_rerda/8400008/031.jpg</t>
  </si>
  <si>
    <t>https://img.rerda.com/imagenes_rerda/8400008/061.jpg</t>
  </si>
  <si>
    <t>https://img.rerda.com/imagenes_rerda/8400008/071.jpg</t>
  </si>
  <si>
    <t>https://img.rerda.com/imagenes_rerda/8400008/081.jpg</t>
  </si>
  <si>
    <t>https://img.rerda.com/imagenes_rerda/8400008/111.jpg</t>
  </si>
  <si>
    <t>https://img.rerda.com/imagenes_rerda/8400008/211.jpg</t>
  </si>
  <si>
    <t>https://img.rerda.com/imagenes_rerda/8708998/041.jpg,https://img.rerda.com/imagenes_rerda/8708998/042.jpg,https://img.rerda.com/imagenes_rerda/8708998/043.jpg,https://img.rerda.com/imagenes_rerda/8708998/044.jpg,https://img.rerda.com/imagenes_rerda/8708998/045.jpg,https://img.rerda.com/imagenes_rerda/8708998/046.jpg,https://img.rerda.com/imagenes_rerda/8708998/047.jpg</t>
  </si>
  <si>
    <t>https://img.rerda.com/imagenes_rerda/8708998/051.jpg,https://img.rerda.com/imagenes_rerda/8708998/052.jpg,https://img.rerda.com/imagenes_rerda/8708998/053.jpg,https://img.rerda.com/imagenes_rerda/8708998/054.jpg</t>
  </si>
  <si>
    <t>https://img.rerda.com/imagenes_rerda/8708998/071.jpg,https://img.rerda.com/imagenes_rerda/8708998/072.jpg,https://img.rerda.com/imagenes_rerda/8708998/073.jpg,https://img.rerda.com/imagenes_rerda/8708998/074.jpg</t>
  </si>
  <si>
    <t>https://img.rerda.com/imagenes_rerda/8708998/081.jpg,https://img.rerda.com/imagenes_rerda/8708998/082.jpg,https://img.rerda.com/imagenes_rerda/8708998/083.jpg,https://img.rerda.com/imagenes_rerda/8708998/084.jpg,https://img.rerda.com/imagenes_rerda/8708998/085.jpg</t>
  </si>
  <si>
    <t>https://img.rerda.com/imagenes_rerda/8708998/111.jpg,https://img.rerda.com/imagenes_rerda/8708998/112.jpg,https://img.rerda.com/imagenes_rerda/8708998/113.jpg,https://img.rerda.com/imagenes_rerda/8708998/114.jpg</t>
  </si>
  <si>
    <t>https://img.rerda.com/imagenes_rerda/8708333/031.jpg,https://img.rerda.com/imagenes_rerda/8708333/032.jpg,https://img.rerda.com/imagenes_rerda/8708333/033.jpg</t>
  </si>
  <si>
    <t>https://img.rerda.com/imagenes_rerda/8708333/091.jpg,https://img.rerda.com/imagenes_rerda/8708333/092.jpg,https://img.rerda.com/imagenes_rerda/8708333/093.jpg</t>
  </si>
  <si>
    <t>https://img.rerda.com/imagenes_rerda/8708426/031.jpg,https://img.rerda.com/imagenes_rerda/8708426/032.jpg,https://img.rerda.com/imagenes_rerda/8708426/033.jpg</t>
  </si>
  <si>
    <t>https://img.rerda.com/imagenes_rerda/8708426/061.jpg,https://img.rerda.com/imagenes_rerda/8708426/062.jpg,https://img.rerda.com/imagenes_rerda/8708426/063.jpg</t>
  </si>
  <si>
    <t>https://img.rerda.com/imagenes_rerda/8708426/091.jpg,https://img.rerda.com/imagenes_rerda/8708426/092.jpg,https://img.rerda.com/imagenes_rerda/8708426/093.jpg</t>
  </si>
  <si>
    <t>https://img.rerda.com/imagenes_rerda/8708611/011.jpg,https://img.rerda.com/imagenes_rerda/8708611/012.jpg,https://img.rerda.com/imagenes_rerda/8708611/013.jpg,https://img.rerda.com/imagenes_rerda/8708611/014.jpg</t>
  </si>
  <si>
    <t>https://img.rerda.com/imagenes_rerda/8708611/041.jpg,https://img.rerda.com/imagenes_rerda/8708611/042.jpg,https://img.rerda.com/imagenes_rerda/8708611/043.jpg,https://img.rerda.com/imagenes_rerda/8708611/044.jpg,https://img.rerda.com/imagenes_rerda/8708611/045.jpg</t>
  </si>
  <si>
    <t>https://img.rerda.com/imagenes_rerda/8708611/071.jpg,https://img.rerda.com/imagenes_rerda/8708611/072.jpg,https://img.rerda.com/imagenes_rerda/8708611/073.jpg,https://img.rerda.com/imagenes_rerda/8708611/074.jpg,https://img.rerda.com/imagenes_rerda/8708611/075.jpg</t>
  </si>
  <si>
    <t>https://img.rerda.com/imagenes_rerda/8708611/091.jpg,https://img.rerda.com/imagenes_rerda/8708611/092.jpg,https://img.rerda.com/imagenes_rerda/8708611/093.jpg,https://img.rerda.com/imagenes_rerda/8708611/094.jpg</t>
  </si>
  <si>
    <t>https://img.rerda.com/imagenes_rerda/8708611/111.jpg,https://img.rerda.com/imagenes_rerda/8708611/112.jpg,https://img.rerda.com/imagenes_rerda/8708611/113.jpg,https://img.rerda.com/imagenes_rerda/8708611/114.jpg</t>
  </si>
  <si>
    <t>https://img.rerda.com/imagenes_rerda/8708611/361.jpg,https://img.rerda.com/imagenes_rerda/8708611/362.jpg,https://img.rerda.com/imagenes_rerda/8708611/363.jpg,https://img.rerda.com/imagenes_rerda/8708611/364.jpg</t>
  </si>
  <si>
    <t>https://img.rerda.com/imagenes_rerda/8708611/371.jpg,https://img.rerda.com/imagenes_rerda/8708611/372.jpg,https://img.rerda.com/imagenes_rerda/8708611/373.jpg,https://img.rerda.com/imagenes_rerda/8708611/374.jpg</t>
  </si>
  <si>
    <t>https://img.rerda.com/imagenes_rerda/8708611/381.jpg,https://img.rerda.com/imagenes_rerda/8708611/382.jpg,https://img.rerda.com/imagenes_rerda/8708611/383.jpg</t>
  </si>
  <si>
    <t>https://img.rerda.com/imagenes_rerda/8708611/391.jpg,https://img.rerda.com/imagenes_rerda/8708611/392.jpg,https://img.rerda.com/imagenes_rerda/8708611/393.jpg,https://img.rerda.com/imagenes_rerda/8708611/394.jpg</t>
  </si>
  <si>
    <t>https://img.rerda.com/imagenes_rerda/8505590/1.jpg</t>
  </si>
  <si>
    <t>https://img.rerda.com/imagenes_rerda/8505175/1.jpg</t>
  </si>
  <si>
    <t>https://img.rerda.com/imagenes_rerda/7703164/1.jpg,https://img.rerda.com/imagenes_rerda/7703164/2.jpg</t>
  </si>
  <si>
    <t>https://img.rerda.com/imagenes_rerda/8505801/1.jpg</t>
  </si>
  <si>
    <t>https://img.rerda.com/imagenes_rerda/7709853/1.jpg</t>
  </si>
  <si>
    <t>https://img.rerda.com/imagenes_rerda/7703881/1.jpg,https://img.rerda.com/imagenes_rerda/7703881/2.jpg</t>
  </si>
  <si>
    <t>https://img.rerda.com/imagenes_rerda/7703815/1.jpg,https://img.rerda.com/imagenes_rerda/7703815/2.jpg</t>
  </si>
  <si>
    <t>https://img.rerda.com/imagenes_rerda/7700502/1.jpg</t>
  </si>
  <si>
    <t>https://img.rerda.com/imagenes_rerda/7700505/1.jpg</t>
  </si>
  <si>
    <t>https://img.rerda.com/imagenes_rerda/7700506/1.jpg</t>
  </si>
  <si>
    <t>https://img.rerda.com/imagenes_rerda/7700507/1.jpg</t>
  </si>
  <si>
    <t>https://img.rerda.com/imagenes_rerda/7700700/1.jpg</t>
  </si>
  <si>
    <t>https://img.rerda.com/imagenes_rerda/7700702/1.jpg</t>
  </si>
  <si>
    <t>https://img.rerda.com/imagenes_rerda/8515740/1.jpg</t>
  </si>
  <si>
    <t>https://img.rerda.com/imagenes_rerda/8515749/1.jpg</t>
  </si>
  <si>
    <t>https://img.rerda.com/imagenes_rerda/8515760/1.jpg</t>
  </si>
  <si>
    <t>https://img.rerda.com/imagenes_rerda/7709246/1.jpg</t>
  </si>
  <si>
    <t>https://img.rerda.com/imagenes_rerda/7709043/1.jpg</t>
  </si>
  <si>
    <t>https://img.rerda.com/imagenes_rerda/7709062/1.jpg</t>
  </si>
  <si>
    <t>https://img.rerda.com/imagenes_rerda/7709137/1.jpg</t>
  </si>
  <si>
    <t>https://img.rerda.com/imagenes_rerda/8505003/1.jpg,https://img.rerda.com/imagenes_rerda/8505003/2.jpg</t>
  </si>
  <si>
    <t>https://img.rerda.com/imagenes_rerda/7700508/1.jpg</t>
  </si>
  <si>
    <t>https://img.rerda.com/imagenes_rerda/8505709/1.jpg</t>
  </si>
  <si>
    <t>https://img.rerda.com/imagenes_rerda/7700200/1.jpg</t>
  </si>
  <si>
    <t>https://img.rerda.com/imagenes_rerda/7700100/1.jpg</t>
  </si>
  <si>
    <t>https://img.rerda.com/imagenes_rerda/7700101/1.jpg</t>
  </si>
  <si>
    <t>https://img.rerda.com/imagenes_rerda/7700103/1.jpg</t>
  </si>
  <si>
    <t>https://img.rerda.com/imagenes_rerda/7700104/1.jpg</t>
  </si>
  <si>
    <t>https://img.rerda.com/imagenes_rerda/7700105/1.jpg</t>
  </si>
  <si>
    <t>https://img.rerda.com/imagenes_rerda/7700106/1.jpg</t>
  </si>
  <si>
    <t>https://img.rerda.com/imagenes_rerda/8505705/1.jpg</t>
  </si>
  <si>
    <t>https://img.rerda.com/imagenes_rerda/8505706/1.jpg</t>
  </si>
  <si>
    <t>https://img.rerda.com/imagenes_rerda/8505707/1.jpg</t>
  </si>
  <si>
    <t>https://img.rerda.com/imagenes_rerda/7700206/1.jpg</t>
  </si>
  <si>
    <t>https://img.rerda.com/imagenes_rerda/7700204/1.jpg</t>
  </si>
  <si>
    <t>https://img.rerda.com/imagenes_rerda/7700205/1.jpg</t>
  </si>
  <si>
    <t>https://img.rerda.com/imagenes_rerda/7700203/1.jpg</t>
  </si>
  <si>
    <t>https://img.rerda.com/imagenes_rerda/7700501/1.jpg</t>
  </si>
  <si>
    <t>https://img.rerda.com/imagenes_rerda/7709032/1.jpg</t>
  </si>
  <si>
    <t>https://img.rerda.com/imagenes_rerda/7709042/1.jpg</t>
  </si>
  <si>
    <t>https://img.rerda.com/imagenes_rerda/7700202/1.jpg</t>
  </si>
  <si>
    <t>https://img.rerda.com/imagenes_rerda/8505708/1.jpg</t>
  </si>
  <si>
    <t>https://img.rerda.com/imagenes_rerda/7700207/1.jpg</t>
  </si>
  <si>
    <t>https://img.rerda.com/imagenes_rerda/7709902/1.jpg</t>
  </si>
  <si>
    <t>https://img.rerda.com/imagenes_rerda/7710007/1.jpg</t>
  </si>
  <si>
    <t>https://img.rerda.com/imagenes_rerda/7711213/1.jpg</t>
  </si>
  <si>
    <t>https://img.rerda.com/imagenes_rerda/8505159/1.jpg</t>
  </si>
  <si>
    <t>https://img.rerda.com/imagenes_rerda/8505160/1.jpg</t>
  </si>
  <si>
    <t>https://img.rerda.com/imagenes_rerda/8505233/1.jpg</t>
  </si>
  <si>
    <t>https://img.rerda.com/imagenes_rerda/8505262/1.jpg</t>
  </si>
  <si>
    <t>https://img.rerda.com/imagenes_rerda/7709439/1.jpg</t>
  </si>
  <si>
    <t>https://img.rerda.com/imagenes_rerda/7709801/1.jpg</t>
  </si>
  <si>
    <t>https://img.rerda.com/imagenes_rerda/7709800/1.jpg</t>
  </si>
  <si>
    <t>https://img.rerda.com/imagenes_rerda/7710004/1.jpg</t>
  </si>
  <si>
    <t>https://img.rerda.com/imagenes_rerda/7709415/1.jpg</t>
  </si>
  <si>
    <t>https://img.rerda.com/imagenes_rerda/7709416/1.jpg</t>
  </si>
  <si>
    <t>https://img.rerda.com/imagenes_rerda/7710020/1.jpg</t>
  </si>
  <si>
    <t>https://img.rerda.com/imagenes_rerda/7709606/1.jpg</t>
  </si>
  <si>
    <t>https://img.rerda.com/imagenes_rerda/7709442/1.jpg</t>
  </si>
  <si>
    <t>https://img.rerda.com/imagenes_rerda/7709440/1.jpg</t>
  </si>
  <si>
    <t>https://img.rerda.com/imagenes_rerda/8703505/1.jpg,https://img.rerda.com/imagenes_rerda/8703505/2.jpg,https://img.rerda.com/imagenes_rerda/8703505/3.jpg,https://img.rerda.com/imagenes_rerda/8703505/4.jpg</t>
  </si>
  <si>
    <t>https://img.rerda.com/imagenes_rerda/8703750/1.jpg,https://img.rerda.com/imagenes_rerda/8703750/2.jpg,https://img.rerda.com/imagenes_rerda/8703750/3.jpg</t>
  </si>
  <si>
    <t>https://img.rerda.com/imagenes_rerda/8705116/1.jpg,https://img.rerda.com/imagenes_rerda/8705116/2.jpg,https://img.rerda.com/imagenes_rerda/8705116/3.jpg,https://img.rerda.com/imagenes_rerda/8705116/4.jpg,https://img.rerda.com/imagenes_rerda/8705116/5.jpg,https://img.rerda.com/imagenes_rerda/8705116/6.jpg</t>
  </si>
  <si>
    <t>https://img.rerda.com/imagenes_rerda/8703600/1.jpg,https://img.rerda.com/imagenes_rerda/8703600/2.jpg,https://img.rerda.com/imagenes_rerda/8703600/3.jpg,https://img.rerda.com/imagenes_rerda/8703600/4.jpg,https://img.rerda.com/imagenes_rerda/8703600/5.jpg</t>
  </si>
  <si>
    <t>https://img.rerda.com/imagenes_rerda/8703351/1.jpg,https://img.rerda.com/imagenes_rerda/8703351/2.jpg,https://img.rerda.com/imagenes_rerda/8703351/3.jpg,https://img.rerda.com/imagenes_rerda/8703351/4.jpg,https://img.rerda.com/imagenes_rerda/8703351/5.jpg,https://img.rerda.com/imagenes_rerda/8703351/6.jpg,https://img.rerda.com/imagenes_rerda/8703351/7.jpg</t>
  </si>
  <si>
    <t>https://img.rerda.com/imagenes_rerda/8703621/1.jpg,https://img.rerda.com/imagenes_rerda/8703621/2.jpg</t>
  </si>
  <si>
    <t>https://img.rerda.com/imagenes_rerda/8703616/1.jpg,https://img.rerda.com/imagenes_rerda/8703616/2.jpg</t>
  </si>
  <si>
    <t>https://img.rerda.com/imagenes_rerda/8703620/1.jpg,https://img.rerda.com/imagenes_rerda/8703620/2.jpg,https://img.rerda.com/imagenes_rerda/8703620/3.jpg</t>
  </si>
  <si>
    <t>https://img.rerda.com/imagenes_rerda/8703531/1.jpg,https://img.rerda.com/imagenes_rerda/8703531/2.jpg,https://img.rerda.com/imagenes_rerda/8703531/3.jpg,https://img.rerda.com/imagenes_rerda/8703531/4.jpg,https://img.rerda.com/imagenes_rerda/8703531/5.jpg</t>
  </si>
  <si>
    <t>4120916##</t>
  </si>
  <si>
    <t>https://img.rerda.com/imagenes_rerda/4120913/1.jpg,https://img.rerda.com/imagenes_rerda/4120913/2.jpg,https://img.rerda.com/imagenes_rerda/4120913/3.jpg,https://img.rerda.com/imagenes_rerda/4120913/4.jpg</t>
  </si>
  <si>
    <t>https://img.rerda.com/imagenes_rerda/4120495/1.jpg,https://img.rerda.com/imagenes_rerda/4120495/2.jpg,https://img.rerda.com/imagenes_rerda/4120495/3.jpg</t>
  </si>
  <si>
    <t>https://img.rerda.com/imagenes_rerda/8703046/1.jpg,https://img.rerda.com/imagenes_rerda/8703046/2.jpg,https://img.rerda.com/imagenes_rerda/8703046/3.jpg</t>
  </si>
  <si>
    <t>https://img.rerda.com/imagenes_rerda/8705119/1.jpg,https://img.rerda.com/imagenes_rerda/8705119/2.jpg,https://img.rerda.com/imagenes_rerda/8705119/3.jpg,https://img.rerda.com/imagenes_rerda/8705119/4.jpg,https://img.rerda.com/imagenes_rerda/8705119/5.jpg,https://img.rerda.com/imagenes_rerda/8705119/6.jpg</t>
  </si>
  <si>
    <t>2101521##</t>
  </si>
  <si>
    <t>https://img.rerda.com/imagenes_rerda/8705115/1.jpg,https://img.rerda.com/imagenes_rerda/8705115/2.jpg,https://img.rerda.com/imagenes_rerda/8705115/3.jpg,https://img.rerda.com/imagenes_rerda/8705115/4.jpg,https://img.rerda.com/imagenes_rerda/8705115/5.jpg,https://img.rerda.com/imagenes_rerda/8705115/6.jpg,https://img.rerda.com/imagenes_rerda/8705115/7.jpg</t>
  </si>
  <si>
    <t>https://img.rerda.com/imagenes_rerda/8705117/1.jpg,https://img.rerda.com/imagenes_rerda/8705117/2.jpg,https://img.rerda.com/imagenes_rerda/8705117/3.jpg,https://img.rerda.com/imagenes_rerda/8705117/4.jpg,https://img.rerda.com/imagenes_rerda/8705117/5.jpg,https://img.rerda.com/imagenes_rerda/8705117/6.jpg</t>
  </si>
  <si>
    <t>https://img.rerda.com/imagenes_rerda/8715803/1.jpg,https://img.rerda.com/imagenes_rerda/8715803/2.jpg</t>
  </si>
  <si>
    <t>https://img.rerda.com/imagenes_rerda/8505129/1.jpg</t>
  </si>
  <si>
    <t>https://img.rerda.com/imagenes_rerda/7711214/1.jpg</t>
  </si>
  <si>
    <t>https://img.rerda.com/imagenes_rerda/7709410/1.jpg</t>
  </si>
  <si>
    <t>https://img.rerda.com/imagenes_rerda/7709411/1.jpg</t>
  </si>
  <si>
    <t>https://img.rerda.com/imagenes_rerda/7709457/1.jpg</t>
  </si>
  <si>
    <t>https://img.rerda.com/imagenes_rerda/7709455/1.jpg</t>
  </si>
  <si>
    <t>https://img.rerda.com/imagenes_rerda/7709228/1.jpg</t>
  </si>
  <si>
    <t>https://img.rerda.com/imagenes_rerda/7709229/1.jpg</t>
  </si>
  <si>
    <t>https://img.rerda.com/imagenes_rerda/7709833/1.jpg</t>
  </si>
  <si>
    <t>https://img.rerda.com/imagenes_rerda/7709700/1.jpg</t>
  </si>
  <si>
    <t>1130285##</t>
  </si>
  <si>
    <t>https://img.rerda.com/imagenes_rerda/3101949/1.jpg,https://img.rerda.com/imagenes_rerda/3101949/2.jpg</t>
  </si>
  <si>
    <t>https://img.rerda.com/imagenes_rerda/7709017/1.jpg</t>
  </si>
  <si>
    <t>https://img.rerda.com/imagenes_rerda/1130284/1.jpg</t>
  </si>
  <si>
    <t>https://img.rerda.com/imagenes_rerda/1130750/1.jpg,https://img.rerda.com/imagenes_rerda/1130750/2.jpg,https://img.rerda.com/imagenes_rerda/1130750/3.jpg</t>
  </si>
  <si>
    <t>https://img.rerda.com/imagenes_rerda/1130254/1.jpg,https://img.rerda.com/imagenes_rerda/1130254/2.jpg,https://img.rerda.com/imagenes_rerda/1130254/3.jpg,https://img.rerda.com/imagenes_rerda/1130254/4.jpg,https://img.rerda.com/imagenes_rerda/1130254/5.jpg,https://img.rerda.com/imagenes_rerda/1130254/6.jpg,https://img.rerda.com/imagenes_rerda/1130254/7.jpg</t>
  </si>
  <si>
    <t>https://img.rerda.com/imagenes_rerda/1130008/1.jpg,https://img.rerda.com/imagenes_rerda/1130008/2.jpg</t>
  </si>
  <si>
    <t>https://img.rerda.com/imagenes_rerda/1130713/1.jpg,https://img.rerda.com/imagenes_rerda/1130713/2.jpg,https://img.rerda.com/imagenes_rerda/1130713/3.jpg</t>
  </si>
  <si>
    <t>https://img.rerda.com/imagenes_rerda/1130009/1.jpg,https://img.rerda.com/imagenes_rerda/1130009/2.jpg</t>
  </si>
  <si>
    <t>https://img.rerda.com/imagenes_rerda/1130495/1.jpg,https://img.rerda.com/imagenes_rerda/1130495/2.jpg,https://img.rerda.com/imagenes_rerda/1130495/3.jpg</t>
  </si>
  <si>
    <t>https://img.rerda.com/imagenes_rerda/1130900/1.jpg,https://img.rerda.com/imagenes_rerda/1130900/2.jpg,https://img.rerda.com/imagenes_rerda/1130900/3.jpg,https://img.rerda.com/imagenes_rerda/1130900/4.jpg,https://img.rerda.com/imagenes_rerda/1130900/5.jpg,https://img.rerda.com/imagenes_rerda/1130900/6.jpg,https://img.rerda.com/imagenes_rerda/1130900/7.jpg,https://img.rerda.com/imagenes_rerda/1130900/8.jpg,https://img.rerda.com/imagenes_rerda/1130900/9.jpg,https://img.rerda.com/imagenes_rerda/1130900/10.jpg,https://img.rerda.com/imagenes_rerda/1130900/11.jpg,https://img.rerda.com/imagenes_rerda/1130900/12.jpg,https://img.rerda.com/imagenes_rerda/1130900/13.jpg,https://img.rerda.com/imagenes_rerda/1130900/14.jpg,https://img.rerda.com/imagenes_rerda/1130900/15.jpg</t>
  </si>
  <si>
    <t>https://img.rerda.com/imagenes_rerda/8400650/1.jpg,https://img.rerda.com/imagenes_rerda/8400650/2.jpg,https://img.rerda.com/imagenes_rerda/8400650/3.jpg,https://img.rerda.com/imagenes_rerda/8400650/4.jpg</t>
  </si>
  <si>
    <t>https://img.rerda.com/imagenes_rerda/8303800/1.jpg,https://img.rerda.com/imagenes_rerda/8303800/2.jpg,https://img.rerda.com/imagenes_rerda/8303800/3.jpg,https://img.rerda.com/imagenes_rerda/8303800/4.jpg,https://img.rerda.com/imagenes_rerda/8303800/5.jpg</t>
  </si>
  <si>
    <t>https://img.rerda.com/imagenes_rerda/8303701/1.jpg,https://img.rerda.com/imagenes_rerda/8303701/2.jpg,https://img.rerda.com/imagenes_rerda/8303701/3.jpg,https://img.rerda.com/imagenes_rerda/8303701/4.jpg,https://img.rerda.com/imagenes_rerda/8303701/5.jpg</t>
  </si>
  <si>
    <t>https://img.rerda.com/imagenes_rerda/8303111/1.jpg,https://img.rerda.com/imagenes_rerda/8303111/2.jpg,https://img.rerda.com/imagenes_rerda/8303111/3.jpg,https://img.rerda.com/imagenes_rerda/8303111/4.jpg,https://img.rerda.com/imagenes_rerda/8303111/5.jpg,https://img.rerda.com/imagenes_rerda/8303111/6.jpg</t>
  </si>
  <si>
    <t>https://img.rerda.com/imagenes_rerda/8303902/1.jpg,https://img.rerda.com/imagenes_rerda/8303902/2.jpg,https://img.rerda.com/imagenes_rerda/8303902/3.jpg</t>
  </si>
  <si>
    <t>https://img.rerda.com/imagenes_rerda/8303133/1.jpg,https://img.rerda.com/imagenes_rerda/8303133/2.jpg,https://img.rerda.com/imagenes_rerda/8303133/3.jpg,https://img.rerda.com/imagenes_rerda/8303133/4.jpg,https://img.rerda.com/imagenes_rerda/8303133/5.jpg</t>
  </si>
  <si>
    <t>https://img.rerda.com/imagenes_rerda/8303014/1.jpg,https://img.rerda.com/imagenes_rerda/8303014/2.jpg,https://img.rerda.com/imagenes_rerda/8303014/3.jpg,https://img.rerda.com/imagenes_rerda/8303014/4.jpg,https://img.rerda.com/imagenes_rerda/8303014/5.jpg</t>
  </si>
  <si>
    <t>https://img.rerda.com/imagenes_rerda/8303005/1.jpg,https://img.rerda.com/imagenes_rerda/8303005/2.jpg,https://img.rerda.com/imagenes_rerda/8303005/3.jpg,https://img.rerda.com/imagenes_rerda/8303005/4.jpg</t>
  </si>
  <si>
    <t>https://img.rerda.com/imagenes_rerda/8303010/1.jpg,https://img.rerda.com/imagenes_rerda/8303010/2.jpg,https://img.rerda.com/imagenes_rerda/8303010/3.jpg,https://img.rerda.com/imagenes_rerda/8303010/4.jpg</t>
  </si>
  <si>
    <t>https://img.rerda.com/imagenes_rerda/8303544/1.jpg,https://img.rerda.com/imagenes_rerda/8303544/2.jpg,https://img.rerda.com/imagenes_rerda/8303544/3.jpg</t>
  </si>
  <si>
    <t>https://img.rerda.com/imagenes_rerda/8303129/1.jpg,https://img.rerda.com/imagenes_rerda/8303129/2.jpg,https://img.rerda.com/imagenes_rerda/8303129/3.jpg,https://img.rerda.com/imagenes_rerda/8303129/4.jpg,https://img.rerda.com/imagenes_rerda/8303129/5.jpg</t>
  </si>
  <si>
    <t>https://img.rerda.com/imagenes_rerda/8303007/1.jpg,https://img.rerda.com/imagenes_rerda/8303007/2.jpg,https://img.rerda.com/imagenes_rerda/8303007/3.jpg,https://img.rerda.com/imagenes_rerda/8303007/4.jpg,https://img.rerda.com/imagenes_rerda/8303007/5.jpg</t>
  </si>
  <si>
    <t>https://img.rerda.com/imagenes_rerda/8203124/1.jpg,https://img.rerda.com/imagenes_rerda/8203124/2.jpg,https://img.rerda.com/imagenes_rerda/8203124/3.jpg,https://img.rerda.com/imagenes_rerda/8203124/4.jpg,https://img.rerda.com/imagenes_rerda/8203124/5.jpg,https://img.rerda.com/imagenes_rerda/8203124/6.jpg</t>
  </si>
  <si>
    <t>https://img.rerda.com/imagenes_rerda/8303112/1.jpg,https://img.rerda.com/imagenes_rerda/8303112/2.jpg,https://img.rerda.com/imagenes_rerda/8303112/3.jpg,https://img.rerda.com/imagenes_rerda/8303112/4.jpg,https://img.rerda.com/imagenes_rerda/8303112/5.jpg,https://img.rerda.com/imagenes_rerda/8303112/6.jpg</t>
  </si>
  <si>
    <t>https://img.rerda.com/imagenes_rerda/8205006/1.jpg,https://img.rerda.com/imagenes_rerda/8205006/2.jpg,https://img.rerda.com/imagenes_rerda/8205006/3.jpg,https://img.rerda.com/imagenes_rerda/8205006/4.jpg,https://img.rerda.com/imagenes_rerda/8205006/5.jpg,https://img.rerda.com/imagenes_rerda/8205006/6.jpg</t>
  </si>
  <si>
    <t>https://img.rerda.com/imagenes_rerda/8303114/1.jpg,https://img.rerda.com/imagenes_rerda/8303114/2.jpg,https://img.rerda.com/imagenes_rerda/8303114/3.jpg,https://img.rerda.com/imagenes_rerda/8303114/4.jpg,https://img.rerda.com/imagenes_rerda/8303114/5.jpg</t>
  </si>
  <si>
    <t>https://img.rerda.com/imagenes_rerda/2101555/1.jpg,https://img.rerda.com/imagenes_rerda/2101555/2.jpg,https://img.rerda.com/imagenes_rerda/2101555/3.jpg,https://img.rerda.com/imagenes_rerda/2101555/4.jpg,https://img.rerda.com/imagenes_rerda/2101555/5.jpg,https://img.rerda.com/imagenes_rerda/2101555/6.jpg,https://img.rerda.com/imagenes_rerda/2101555/7.jpg,https://img.rerda.com/imagenes_rerda/2101555/8.jpg,https://img.rerda.com/imagenes_rerda/2101555/9.jpg</t>
  </si>
  <si>
    <t>https://img.rerda.com/imagenes_rerda/2101550/1.jpg,https://img.rerda.com/imagenes_rerda/2101550/2.jpg,https://img.rerda.com/imagenes_rerda/2101550/3.jpg,https://img.rerda.com/imagenes_rerda/2101550/4.jpg,https://img.rerda.com/imagenes_rerda/2101550/5.jpg,https://img.rerda.com/imagenes_rerda/2101550/6.jpg,https://img.rerda.com/imagenes_rerda/2101550/7.jpg,https://img.rerda.com/imagenes_rerda/2101550/8.jpg,https://img.rerda.com/imagenes_rerda/2101550/9.jpg</t>
  </si>
  <si>
    <t>https://img.rerda.com/imagenes_rerda/2101350/1.jpg,https://img.rerda.com/imagenes_rerda/2101350/2.jpg,https://img.rerda.com/imagenes_rerda/2101350/3.jpg,https://img.rerda.com/imagenes_rerda/2101350/4.jpg,https://img.rerda.com/imagenes_rerda/2101350/5.jpg,https://img.rerda.com/imagenes_rerda/2101350/6.jpg,https://img.rerda.com/imagenes_rerda/2101350/7.jpg,https://img.rerda.com/imagenes_rerda/2101350/8.jpg,https://img.rerda.com/imagenes_rerda/2101350/9.jpg</t>
  </si>
  <si>
    <t>https://img.rerda.com/imagenes_rerda/2101300/1.jpg,https://img.rerda.com/imagenes_rerda/2101300/2.jpg,https://img.rerda.com/imagenes_rerda/2101300/3.jpg</t>
  </si>
  <si>
    <t>https://img.rerda.com/imagenes_rerda/8520124/1.jpg,https://img.rerda.com/imagenes_rerda/8520124/2.jpg,https://img.rerda.com/imagenes_rerda/8520124/3.jpg,https://img.rerda.com/imagenes_rerda/8520124/4.jpg,https://img.rerda.com/imagenes_rerda/8520124/5.jpg</t>
  </si>
  <si>
    <t>https://img.rerda.com/imagenes_rerda/8303495/1.jpg,https://img.rerda.com/imagenes_rerda/8303495/2.jpg,https://img.rerda.com/imagenes_rerda/8303495/3.jpg,https://img.rerda.com/imagenes_rerda/8303495/4.jpg,https://img.rerda.com/imagenes_rerda/8303495/5.jpg</t>
  </si>
  <si>
    <t>https://img.rerda.com/imagenes_rerda/8303900/1.jpg,https://img.rerda.com/imagenes_rerda/8303900/2.jpg,https://img.rerda.com/imagenes_rerda/8303900/3.jpg,https://img.rerda.com/imagenes_rerda/8303900/4.jpg,https://img.rerda.com/imagenes_rerda/8303900/5.jpg</t>
  </si>
  <si>
    <t>https://img.rerda.com/imagenes_rerda/8303006/1.jpg,https://img.rerda.com/imagenes_rerda/8303006/2.jpg,https://img.rerda.com/imagenes_rerda/8303006/3.jpg,https://img.rerda.com/imagenes_rerda/8303006/4.jpg</t>
  </si>
  <si>
    <t>https://img.rerda.com/imagenes_rerda/8303123/1.jpg,https://img.rerda.com/imagenes_rerda/8303123/2.jpg,https://img.rerda.com/imagenes_rerda/8303123/3.jpg,https://img.rerda.com/imagenes_rerda/8303123/4.jpg,https://img.rerda.com/imagenes_rerda/8303123/5.jpg,https://img.rerda.com/imagenes_rerda/8303123/6.jpg,https://img.rerda.com/imagenes_rerda/8303123/7.jpg</t>
  </si>
  <si>
    <t>https://img.rerda.com/imagenes_rerda/8303674/1.jpg,https://img.rerda.com/imagenes_rerda/8303674/2.jpg,https://img.rerda.com/imagenes_rerda/8303674/3.jpg,https://img.rerda.com/imagenes_rerda/8303674/4.jpg,https://img.rerda.com/imagenes_rerda/8303674/5.jpg,https://img.rerda.com/imagenes_rerda/8303674/6.jpg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</si>
  <si>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</si>
  <si>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</si>
  <si>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</si>
  <si>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</si>
  <si>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</si>
  <si>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</si>
  <si>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</si>
  <si>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</si>
  <si>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</si>
  <si>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</si>
  <si>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</si>
  <si>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</si>
  <si>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</si>
  <si>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</si>
  <si>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</si>
  <si>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</si>
  <si>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</si>
  <si>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</si>
  <si>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</si>
  <si>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</si>
  <si>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</si>
  <si>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</si>
  <si>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</si>
  <si>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VTC BORCEGUI</t>
  </si>
  <si>
    <t>CASQ VTC</t>
  </si>
  <si>
    <t>VTC CHOMBA BICOLOR</t>
  </si>
  <si>
    <t>VTC CINTURON AMERICANO</t>
  </si>
  <si>
    <t>VTC BOMB AMERICANA NEGRA</t>
  </si>
  <si>
    <t>VTC CAMPERA PALMAJ</t>
  </si>
  <si>
    <t>VTC BORCEGUI OFERTA 39/44</t>
  </si>
  <si>
    <t>01 CENTAVO</t>
  </si>
  <si>
    <t>PARA ANULAR FCS</t>
  </si>
  <si>
    <t>RECARGO POR PAGO TARJETA DE CREDITO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</si>
  <si>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</si>
  <si>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</si>
  <si>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</si>
  <si>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</si>
  <si>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</si>
  <si>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</si>
  <si>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</si>
  <si>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</si>
  <si>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</si>
  <si>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</si>
  <si>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</si>
  <si>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</si>
  <si>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</si>
  <si>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</si>
  <si>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</si>
  <si>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1120112BOMB</t>
  </si>
  <si>
    <t>1120130BOMB</t>
  </si>
  <si>
    <t>1120182BOMB</t>
  </si>
  <si>
    <t>1120183BOMB</t>
  </si>
  <si>
    <t>1120184BOMB</t>
  </si>
  <si>
    <t>1120185BOMB</t>
  </si>
  <si>
    <t>1120204BOMB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</si>
  <si>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</si>
  <si>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</si>
  <si>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</si>
  <si>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</si>
  <si>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</si>
  <si>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</si>
  <si>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</si>
  <si>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</si>
  <si>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</si>
  <si>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</si>
  <si>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</si>
  <si>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</si>
  <si>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</si>
  <si>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</si>
  <si>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</si>
  <si>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</si>
  <si>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</si>
  <si>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</si>
  <si>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</si>
  <si>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</si>
  <si>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</si>
  <si>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</si>
  <si>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</si>
  <si>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</si>
  <si>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</si>
  <si>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</si>
  <si>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</si>
  <si>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</si>
  <si>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</si>
  <si>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</si>
  <si>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</si>
  <si>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</si>
  <si>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</si>
  <si>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</si>
  <si>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</si>
  <si>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</si>
  <si>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</si>
  <si>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</si>
  <si>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BOMB CLAS RIP MIMET 2 COL GRIS 56/60 RER</t>
  </si>
  <si>
    <t>1120901BOMB</t>
  </si>
  <si>
    <t>1120902BOMB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</si>
  <si>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</si>
  <si>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</si>
  <si>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</si>
  <si>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</si>
  <si>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</si>
  <si>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</si>
  <si>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</si>
  <si>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</si>
  <si>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</si>
  <si>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</si>
  <si>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</si>
  <si>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</si>
  <si>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</si>
  <si>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</si>
  <si>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</si>
  <si>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</si>
  <si>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</si>
  <si>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</si>
  <si>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</si>
  <si>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</si>
  <si>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</si>
  <si>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</si>
  <si>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</si>
  <si>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</si>
  <si>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</si>
  <si>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</si>
  <si>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</si>
  <si>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</si>
  <si>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</si>
  <si>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</si>
  <si>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</si>
  <si>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</si>
  <si>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</si>
  <si>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</si>
  <si>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</si>
  <si>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</si>
  <si>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</si>
  <si>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</si>
  <si>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</si>
  <si>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</si>
  <si>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</si>
  <si>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</si>
  <si>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</si>
  <si>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</si>
  <si>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</si>
  <si>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</si>
  <si>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</si>
  <si>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</si>
  <si>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</si>
  <si>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</si>
  <si>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</si>
  <si>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</si>
  <si>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</si>
  <si>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</si>
  <si>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</si>
  <si>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</si>
  <si>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</si>
  <si>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</si>
  <si>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</si>
  <si>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</si>
  <si>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</si>
  <si>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</si>
  <si>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</si>
  <si>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</si>
  <si>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</si>
  <si>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</si>
  <si>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</si>
  <si>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</si>
  <si>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</si>
  <si>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</si>
  <si>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</si>
  <si>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</si>
  <si>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</si>
  <si>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</si>
  <si>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</si>
  <si>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</si>
  <si>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</si>
  <si>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</si>
  <si>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</si>
  <si>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</si>
  <si>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</si>
  <si>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</si>
  <si>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</si>
  <si>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</si>
  <si>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</si>
  <si>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</si>
  <si>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</si>
  <si>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</si>
  <si>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</si>
  <si>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</si>
  <si>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</si>
  <si>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</si>
  <si>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</si>
  <si>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</si>
  <si>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</si>
  <si>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</si>
  <si>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</si>
  <si>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</si>
  <si>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</si>
  <si>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</si>
  <si>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</si>
  <si>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</si>
  <si>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</si>
  <si>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</si>
  <si>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</si>
  <si>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</si>
  <si>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</si>
  <si>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</si>
  <si>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</si>
  <si>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</si>
  <si>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</si>
  <si>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</si>
  <si>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</si>
  <si>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</si>
  <si>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</si>
  <si>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</si>
  <si>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</si>
  <si>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</si>
  <si>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</si>
  <si>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</si>
  <si>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</si>
  <si>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</si>
  <si>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</si>
  <si>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</si>
  <si>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</si>
  <si>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</si>
  <si>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</si>
  <si>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</si>
  <si>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</si>
  <si>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</si>
  <si>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</si>
  <si>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</si>
  <si>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</si>
  <si>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</si>
  <si>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</si>
  <si>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</si>
  <si>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</si>
  <si>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</si>
  <si>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</si>
  <si>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</si>
  <si>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</si>
  <si>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</si>
  <si>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</si>
  <si>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</si>
  <si>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</si>
  <si>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</si>
  <si>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</si>
  <si>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</si>
  <si>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</si>
  <si>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</si>
  <si>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</si>
  <si>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</si>
  <si>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</si>
  <si>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1130284MAMEL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</si>
  <si>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</si>
  <si>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</si>
  <si>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</si>
  <si>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</si>
  <si>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</si>
  <si>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</si>
  <si>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</si>
  <si>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</si>
  <si>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</si>
  <si>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</si>
  <si>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</si>
  <si>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</si>
  <si>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</si>
  <si>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</si>
  <si>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</si>
  <si>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</si>
  <si>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</si>
  <si>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</t>
  </si>
  <si>
    <t>CHOMBA CON CIERRE</t>
  </si>
  <si>
    <t>1CHOMBACHOMB</t>
  </si>
  <si>
    <t>GASTO ADMINISTRATIVO 2 CUOTAS</t>
  </si>
  <si>
    <t>2101000CHOMB</t>
  </si>
  <si>
    <t>CHOMBA ML CIERRE ROJA  2XS/2XLRER</t>
  </si>
  <si>
    <t>CHALECO POLICIA STA CRUZ VERDE FLUOR C/REFLEC</t>
  </si>
  <si>
    <t>CHOMBA MC POLO COMB MUN ALVEAR RER</t>
  </si>
  <si>
    <t>CHOMBA ML POLO COMB MUN ALVEAR RER</t>
  </si>
  <si>
    <t>REMERA MC SIN CIERRE BEIGE 2XS/2XL</t>
  </si>
  <si>
    <t>REMERA MC SIN CIERRE BEIGE 3XL/6XL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</si>
  <si>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</si>
  <si>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</si>
  <si>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</si>
  <si>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</si>
  <si>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2101889CHOMB</t>
  </si>
  <si>
    <t>CHOMBA MC CIERRE ROJA 2XS/2XL RER</t>
  </si>
  <si>
    <t>REMERA MC COMBAT AZUL 3XS/2XL</t>
  </si>
  <si>
    <t>REMERA MC COMBAT AZUL 3XL/6XL</t>
  </si>
  <si>
    <t>REMERA MC COMBAT NEGRA 3XS/2XL</t>
  </si>
  <si>
    <t>REMERA MC COMBAT NEGRA 3XL/6XL</t>
  </si>
  <si>
    <t>CHALECO VERDE FLUOR SEG</t>
  </si>
  <si>
    <t>2401803CHALE</t>
  </si>
  <si>
    <t>2GASTO ADMIN</t>
  </si>
  <si>
    <t>GASTO ADMINISTRATIVO 3 CUOTAS</t>
  </si>
  <si>
    <t>30 DCTO LINTE</t>
  </si>
  <si>
    <t>PROMO 30% DCTO  EN LA 2° UNIDAD LLEVANDO</t>
  </si>
  <si>
    <t>GASTOS ADMINISTRATIVO 4 CUOTAS</t>
  </si>
  <si>
    <t>4027105BOLSA</t>
  </si>
  <si>
    <t>4027142BOLSA</t>
  </si>
  <si>
    <t>4027710BOLSA</t>
  </si>
  <si>
    <t>4027813BOLSA</t>
  </si>
  <si>
    <t>4120047CAMIS</t>
  </si>
  <si>
    <t>4120161B</t>
  </si>
  <si>
    <t>CAMISA ML GAB BOMBEROS CUTAL CO 46/50</t>
  </si>
  <si>
    <t>4120464CAMIS</t>
  </si>
  <si>
    <t>4GASTOS ADMI</t>
  </si>
  <si>
    <t>GASTOS ADMINISTRATIVO 5 CUOTAS</t>
  </si>
  <si>
    <t>5101017CAMPE</t>
  </si>
  <si>
    <t>5919026LINTE</t>
  </si>
  <si>
    <t>6402000PAÑUE</t>
  </si>
  <si>
    <t>7700302INSIG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</si>
  <si>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</si>
  <si>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</si>
  <si>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</si>
  <si>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</si>
  <si>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</si>
  <si>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</si>
  <si>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BI POL MZA AUX. TERCERO</t>
  </si>
  <si>
    <t>7707-536</t>
  </si>
  <si>
    <t>METAL ESC. TARET PCIA. SANTA CRUZ C/PIN DOR FEM</t>
  </si>
  <si>
    <t>METAL ESTRELLA SERV. PENIT. OFIC 18MM C/PATA PLATEADO</t>
  </si>
  <si>
    <t>METAL TORREON PENIT. CON LAUREL DORADO RER</t>
  </si>
  <si>
    <t>METAL TORREON PENIT.SIN LAUREL PLATEADO RER</t>
  </si>
  <si>
    <t>METAL TORREON SIN LAUREL DORADO RER</t>
  </si>
  <si>
    <t>METAL TORREON SIN LAUREL PLATEADO RER</t>
  </si>
  <si>
    <t>7707716METAL</t>
  </si>
  <si>
    <t>7709005ESC B</t>
  </si>
  <si>
    <t>7709006ESC B</t>
  </si>
  <si>
    <t>7709038ESC B</t>
  </si>
  <si>
    <t>ESC BORD KUSTOS</t>
  </si>
  <si>
    <t>7709115ESC G</t>
  </si>
  <si>
    <t>7709122ESC G</t>
  </si>
  <si>
    <t>7709135PECT.</t>
  </si>
  <si>
    <t>7709159ESC B</t>
  </si>
  <si>
    <t>7709169ESC N</t>
  </si>
  <si>
    <t>7709272ESC B</t>
  </si>
  <si>
    <t>7709339ESC B</t>
  </si>
  <si>
    <t>7709351ESC B</t>
  </si>
  <si>
    <t>7709499ESC T</t>
  </si>
  <si>
    <t>7709810ESC B</t>
  </si>
  <si>
    <t>PECT SEVIS SEG. PRIVADA</t>
  </si>
  <si>
    <t>77098818ESC</t>
  </si>
  <si>
    <t>7709998ESC E</t>
  </si>
  <si>
    <t>APLIQUE FINOR</t>
  </si>
  <si>
    <t>ESC GOMA CHICO GENERICO</t>
  </si>
  <si>
    <t>ESC GOMA GRANDE GENERICO</t>
  </si>
  <si>
    <t>PARCHE GOMA GRANDE GENERICO</t>
  </si>
  <si>
    <t>ESC GOMA CUERPO DE INFANTERIA BV</t>
  </si>
  <si>
    <t>ESCUDO FINOR</t>
  </si>
  <si>
    <t>8205042BORCE</t>
  </si>
  <si>
    <t>BORCEGUI TACTICO TREKKING ART65;66;67 CIERRE CAR</t>
  </si>
  <si>
    <t>BORCEGUI TACTICO TREKKING ART25;26;27 CAR</t>
  </si>
  <si>
    <t>CASQ ARMADO GAB AZUL</t>
  </si>
  <si>
    <t>CASQ ARMADO RIP AZUL</t>
  </si>
  <si>
    <t>CASQ RIP AZUL NOCHE 442 C/ABR</t>
  </si>
  <si>
    <t>8307001BONNY</t>
  </si>
  <si>
    <t>8503091ESCUD</t>
  </si>
  <si>
    <t>ESC. SEVIS SEGURIDAD PRIVADA</t>
  </si>
  <si>
    <t>8505264PECT</t>
  </si>
  <si>
    <t>PECT BORD AUXILIAR TERCERO</t>
  </si>
  <si>
    <t>PECT BORD AUXILIAR TERCERO BV</t>
  </si>
  <si>
    <t>PASA TRAPO P/ BAQUETA</t>
  </si>
  <si>
    <t>AEROSOL GAS SABRE 150497 - 14 GRS AB</t>
  </si>
  <si>
    <t>8520042BINOC</t>
  </si>
  <si>
    <t>8521593CUCHI</t>
  </si>
  <si>
    <t>8703349REPLI</t>
  </si>
  <si>
    <t>PORTA CARGADOR SIMPLE UNIV POLIMERO BO4S-MOLLE</t>
  </si>
  <si>
    <t>PORTA CARGADOR SIMPLE UNIV POLIMERO BO4S-PALETA</t>
  </si>
  <si>
    <t>BOLSO MOCHILA GRANDE</t>
  </si>
  <si>
    <t>PORTA BOTELLA C/ABROJO IMP</t>
  </si>
  <si>
    <t>8800001CAMUF</t>
  </si>
  <si>
    <t>ESC BORD ENTREVIDES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</si>
  <si>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</si>
  <si>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</si>
  <si>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</si>
  <si>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</si>
  <si>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</si>
  <si>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</si>
  <si>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</si>
  <si>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</si>
  <si>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</si>
  <si>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</si>
  <si>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</si>
  <si>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</si>
  <si>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</si>
  <si>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</si>
  <si>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</si>
  <si>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</si>
  <si>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</si>
  <si>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</si>
  <si>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</si>
  <si>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</si>
  <si>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</si>
  <si>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MAS COMPUTACION</t>
  </si>
  <si>
    <t>9999022PERCH</t>
  </si>
  <si>
    <t>9999026FUNDA</t>
  </si>
  <si>
    <t>9999050ABROJ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</si>
  <si>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</si>
  <si>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</si>
  <si>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</si>
  <si>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</si>
  <si>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</si>
  <si>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</si>
  <si>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</si>
  <si>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</si>
  <si>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</si>
  <si>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</si>
  <si>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</si>
  <si>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</si>
  <si>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</si>
  <si>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</si>
  <si>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</si>
  <si>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</si>
  <si>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</si>
  <si>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</si>
  <si>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</si>
  <si>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</si>
  <si>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</si>
  <si>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</si>
  <si>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</si>
  <si>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</si>
  <si>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</si>
  <si>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</si>
  <si>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</si>
  <si>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</si>
  <si>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</si>
  <si>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</si>
  <si>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</si>
  <si>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</si>
  <si>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</si>
  <si>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</si>
  <si>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</si>
  <si>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</si>
  <si>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</si>
  <si>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</si>
  <si>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</si>
  <si>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</si>
  <si>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</si>
  <si>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</si>
  <si>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</si>
  <si>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</si>
  <si>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</si>
  <si>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</si>
  <si>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</si>
  <si>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</si>
  <si>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</si>
  <si>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</si>
  <si>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</si>
  <si>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</si>
  <si>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</si>
  <si>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</si>
  <si>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</si>
  <si>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</si>
  <si>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</si>
  <si>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</si>
  <si>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</si>
  <si>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</si>
  <si>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</si>
  <si>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</si>
  <si>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</si>
  <si>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</si>
  <si>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</si>
  <si>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</si>
  <si>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</si>
  <si>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</si>
  <si>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</si>
  <si>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</si>
  <si>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</si>
  <si>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</si>
  <si>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</si>
  <si>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</si>
  <si>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</si>
  <si>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</si>
  <si>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</si>
  <si>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</si>
  <si>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</si>
  <si>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</si>
  <si>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</si>
  <si>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</si>
  <si>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</si>
  <si>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</si>
  <si>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</si>
  <si>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</si>
  <si>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</si>
  <si>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</si>
  <si>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</si>
  <si>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</si>
  <si>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</si>
  <si>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</si>
  <si>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</si>
  <si>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</si>
  <si>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</si>
  <si>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</si>
  <si>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</si>
  <si>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</si>
  <si>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</si>
  <si>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</si>
  <si>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</si>
  <si>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</si>
  <si>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</si>
  <si>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</si>
  <si>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</si>
  <si>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</si>
  <si>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</si>
  <si>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</si>
  <si>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</si>
  <si>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</si>
  <si>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</si>
  <si>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</si>
  <si>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</si>
  <si>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</si>
  <si>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</si>
  <si>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</si>
  <si>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</si>
  <si>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</si>
  <si>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</si>
  <si>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</si>
  <si>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</si>
  <si>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</si>
  <si>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</si>
  <si>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</si>
  <si>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</si>
  <si>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</si>
  <si>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</si>
  <si>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</si>
  <si>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</si>
  <si>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</si>
  <si>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</si>
  <si>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</si>
  <si>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</si>
  <si>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</si>
  <si>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</si>
  <si>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</si>
  <si>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</si>
  <si>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</si>
  <si>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</si>
  <si>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</si>
  <si>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</si>
  <si>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</si>
  <si>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</si>
  <si>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</si>
  <si>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</si>
  <si>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</si>
  <si>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</si>
  <si>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</si>
  <si>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</si>
  <si>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</si>
  <si>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</si>
  <si>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</si>
  <si>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</si>
  <si>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</si>
  <si>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</si>
  <si>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</si>
  <si>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</si>
  <si>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</si>
  <si>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</si>
  <si>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</si>
  <si>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</si>
  <si>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</si>
  <si>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</si>
  <si>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</si>
  <si>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</si>
  <si>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</si>
  <si>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</si>
  <si>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</si>
  <si>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</si>
  <si>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</si>
  <si>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</si>
  <si>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</si>
  <si>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</si>
  <si>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</si>
  <si>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</si>
  <si>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</si>
  <si>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</si>
  <si>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</si>
  <si>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</si>
  <si>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</si>
  <si>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</si>
  <si>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</si>
  <si>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</si>
  <si>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</si>
  <si>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</si>
  <si>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</si>
  <si>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</si>
  <si>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</si>
  <si>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</si>
  <si>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</si>
  <si>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</si>
  <si>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</si>
  <si>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</si>
  <si>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</si>
  <si>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</si>
  <si>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</si>
  <si>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</si>
  <si>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</si>
  <si>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</si>
  <si>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</si>
  <si>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</si>
  <si>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</si>
  <si>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</si>
  <si>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</si>
  <si>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</si>
  <si>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</si>
  <si>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</si>
  <si>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</si>
  <si>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</si>
  <si>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</si>
  <si>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</si>
  <si>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</si>
  <si>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</si>
  <si>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</si>
  <si>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</si>
  <si>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</si>
  <si>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</si>
  <si>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</si>
  <si>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</si>
  <si>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</si>
  <si>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</si>
  <si>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</si>
  <si>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</si>
  <si>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</si>
  <si>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</si>
  <si>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</si>
  <si>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</si>
  <si>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</si>
  <si>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</si>
  <si>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</si>
  <si>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</si>
  <si>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</si>
  <si>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</si>
  <si>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</si>
  <si>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</si>
  <si>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</si>
  <si>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</si>
  <si>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</si>
  <si>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</si>
  <si>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</si>
  <si>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</si>
  <si>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</si>
  <si>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</si>
  <si>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</si>
  <si>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</si>
  <si>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</si>
  <si>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</si>
  <si>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</si>
  <si>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</si>
  <si>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</si>
  <si>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</si>
  <si>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</si>
  <si>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</si>
  <si>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</si>
  <si>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</si>
  <si>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</si>
  <si>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</si>
  <si>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</si>
  <si>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</si>
  <si>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</si>
  <si>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</si>
  <si>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</si>
  <si>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</si>
  <si>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</si>
  <si>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</si>
  <si>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</si>
  <si>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</si>
  <si>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</si>
  <si>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</si>
  <si>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</si>
  <si>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</si>
  <si>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</si>
  <si>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</si>
  <si>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</si>
  <si>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</si>
  <si>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</si>
  <si>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</si>
  <si>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</si>
  <si>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</si>
  <si>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</si>
  <si>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</si>
  <si>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</si>
  <si>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</si>
  <si>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</si>
  <si>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</si>
  <si>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</si>
  <si>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</si>
  <si>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</si>
  <si>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</si>
  <si>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</si>
  <si>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</si>
  <si>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</si>
  <si>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</si>
  <si>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</si>
  <si>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</si>
  <si>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</si>
  <si>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</si>
  <si>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</si>
  <si>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</si>
  <si>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</si>
  <si>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</si>
  <si>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</si>
  <si>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</si>
  <si>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</si>
  <si>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</si>
  <si>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</si>
  <si>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</si>
  <si>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</si>
  <si>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</si>
  <si>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</si>
  <si>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</si>
  <si>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</si>
  <si>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</si>
  <si>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</si>
  <si>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</si>
  <si>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</si>
  <si>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</si>
  <si>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</si>
  <si>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</si>
  <si>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</si>
  <si>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</si>
  <si>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</si>
  <si>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</si>
  <si>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https://img.rerda.com/imagenes_rerda/8303677/1.jpg,https://img.rerda.com/imagenes_rerda/8303677/2.jpg,https://img.rerda.com/imagenes_rerda/8303677/3.jpg,https://img.rerda.com/imagenes_rerda/8303677/4.jpg,https://img.rerda.com/imagenes_rerda/8303677/5.jpg,https://img.rerda.com/imagenes_rerda/8303677/6.jpg</t>
  </si>
  <si>
    <t>https://img.rerda.com/imagenes_rerda/8303442/1.jpg,https://img.rerda.com/imagenes_rerda/8303442/2.jpg,https://img.rerda.com/imagenes_rerda/8303442/3.jpg,https://img.rerda.com/imagenes_rerda/8303442/4.jpg,https://img.rerda.com/imagenes_rerda/8303442/5.jpg</t>
  </si>
  <si>
    <t>https://img.rerda.com/imagenes_rerda/8303128/1.jpg,https://img.rerda.com/imagenes_rerda/8303128/2.jpg,https://img.rerda.com/imagenes_rerda/8303128/3.jpg,https://img.rerda.com/imagenes_rerda/8303128/4.jpg,https://img.rerda.com/imagenes_rerda/8303128/5.jpg</t>
  </si>
  <si>
    <t>https://img.rerda.com/imagenes_rerda/8303113/1.jpg,https://img.rerda.com/imagenes_rerda/8303113/2.jpg,https://img.rerda.com/imagenes_rerda/8303113/3.jpg,https://img.rerda.com/imagenes_rerda/8303113/4.jpg,https://img.rerda.com/imagenes_rerda/8303113/5.jpg</t>
  </si>
  <si>
    <t>https://img.rerda.com/imagenes_rerda/7701102/1.jpg</t>
  </si>
  <si>
    <t>1120317##</t>
  </si>
  <si>
    <t>1120318##</t>
  </si>
  <si>
    <t>https://img.rerda.com/imagenes_rerda/1120315/1.jpg,https://img.rerda.com/imagenes_rerda/1120315/2.jpg</t>
  </si>
  <si>
    <t>https://img.rerda.com/imagenes_rerda/1120666/1.jpg,https://img.rerda.com/imagenes_rerda/1120666/2.jpg</t>
  </si>
  <si>
    <t>1120887##</t>
  </si>
  <si>
    <t>https://img.rerda.com/imagenes_rerda/1120876/1.jpg,https://img.rerda.com/imagenes_rerda/1120876/2.jpg,https://img.rerda.com/imagenes_rerda/1120876/3.jpg,https://img.rerda.com/imagenes_rerda/1120876/4.jpg</t>
  </si>
  <si>
    <t>https://img.rerda.com/imagenes_rerda/1120877/1.jpg,https://img.rerda.com/imagenes_rerda/1120877/2.jpg,https://img.rerda.com/imagenes_rerda/1120877/3.jpg,https://img.rerda.com/imagenes_rerda/1120877/4.jpg</t>
  </si>
  <si>
    <t>https://img.rerda.com/imagenes_rerda/1120165/1.jpg,https://img.rerda.com/imagenes_rerda/1120165/2.jpg</t>
  </si>
  <si>
    <t>1120225##</t>
  </si>
  <si>
    <t>https://img.rerda.com/imagenes_rerda/1120224/1.jpg,https://img.rerda.com/imagenes_rerda/1120224/2.jpg,https://img.rerda.com/imagenes_rerda/1120224/3.jpg,https://img.rerda.com/imagenes_rerda/1120224/4.jpg,https://img.rerda.com/imagenes_rerda/1120224/5.jpg,https://img.rerda.com/imagenes_rerda/1120224/6.jpg</t>
  </si>
  <si>
    <t>https://img.rerda.com/imagenes_rerda/1120323/1.jpg,https://img.rerda.com/imagenes_rerda/1120323/2.jpg,https://img.rerda.com/imagenes_rerda/1120323/3.jpg,https://img.rerda.com/imagenes_rerda/1120323/4.jpg</t>
  </si>
  <si>
    <t>1120870##</t>
  </si>
  <si>
    <t>https://img.rerda.com/imagenes_rerda/1120878/1.jpg,https://img.rerda.com/imagenes_rerda/1120878/2.jpg,https://img.rerda.com/imagenes_rerda/1120878/3.jpg,https://img.rerda.com/imagenes_rerda/1120878/4.jpg</t>
  </si>
  <si>
    <t>https://img.rerda.com/imagenes_rerda/1120858/1.jpg,https://img.rerda.com/imagenes_rerda/1120858/2.jpg,https://img.rerda.com/imagenes_rerda/1120858/3.jpg,https://img.rerda.com/imagenes_rerda/1120858/4.jpg,https://img.rerda.com/imagenes_rerda/1120858/5.jpg,https://img.rerda.com/imagenes_rerda/1120858/6.jpg,https://img.rerda.com/imagenes_rerda/1120858/7.jpg,https://img.rerda.com/imagenes_rerda/1120858/8.jpg</t>
  </si>
  <si>
    <t>1120625##</t>
  </si>
  <si>
    <t>1120626##</t>
  </si>
  <si>
    <t>https://img.rerda.com/imagenes_rerda/1120623/1.jpg,https://img.rerda.com/imagenes_rerda/1120623/2.jpg,https://img.rerda.com/imagenes_rerda/1120623/3.jpg,https://img.rerda.com/imagenes_rerda/1120623/4.jpg,https://img.rerda.com/imagenes_rerda/1120623/5.jpg,https://img.rerda.com/imagenes_rerda/1120623/6.jpg,https://img.rerda.com/imagenes_rerda/1120623/7.jpg,https://img.rerda.com/imagenes_rerda/1120623/8.jpg</t>
  </si>
  <si>
    <t>https://img.rerda.com/imagenes_rerda/1120856/1.jpg,https://img.rerda.com/imagenes_rerda/1120856/2.jpg,https://img.rerda.com/imagenes_rerda/1120856/3.jpg,https://img.rerda.com/imagenes_rerda/1120856/4.jpg,https://img.rerda.com/imagenes_rerda/1120856/5.jpg,https://img.rerda.com/imagenes_rerda/1120856/6.jpg,https://img.rerda.com/imagenes_rerda/1120856/7.jpg,https://img.rerda.com/imagenes_rerda/1120856/8.jpg</t>
  </si>
  <si>
    <t>https://img.rerda.com/imagenes_rerda/1120445/1.jpg,https://img.rerda.com/imagenes_rerda/1120445/2.jpg,https://img.rerda.com/imagenes_rerda/1120445/3.jpg,https://img.rerda.com/imagenes_rerda/1120445/4.jpg,https://img.rerda.com/imagenes_rerda/1120445/5.jpg,https://img.rerda.com/imagenes_rerda/1120445/6.jpg,https://img.rerda.com/imagenes_rerda/1120445/7.jpg,https://img.rerda.com/imagenes_rerda/1120445/8.jpg</t>
  </si>
  <si>
    <t>https://img.rerda.com/imagenes_rerda/2101202/1.jpg,https://img.rerda.com/imagenes_rerda/2101202/2.jpg,https://img.rerda.com/imagenes_rerda/2101202/3.jpg</t>
  </si>
  <si>
    <t>2101501##</t>
  </si>
  <si>
    <t>https://img.rerda.com/imagenes_rerda/2101500/1.jpg,https://img.rerda.com/imagenes_rerda/2101500/2.jpg,https://img.rerda.com/imagenes_rerda/2101500/3.jpg</t>
  </si>
  <si>
    <t>2101533##</t>
  </si>
  <si>
    <t>https://img.rerda.com/imagenes_rerda/8518753/1.jpg,https://img.rerda.com/imagenes_rerda/8518753/2.jpg,https://img.rerda.com/imagenes_rerda/8518753/3.jpg</t>
  </si>
  <si>
    <t>https://img.rerda.com/imagenes_rerda/8306100/1.jpg,https://img.rerda.com/imagenes_rerda/8306100/2.jpg,https://img.rerda.com/imagenes_rerda/8306100/3.jpg,https://img.rerda.com/imagenes_rerda/8306100/4.jpg,https://img.rerda.com/imagenes_rerda/8306100/5.jpg,https://img.rerda.com/imagenes_rerda/8306100/6.jpg,https://img.rerda.com/imagenes_rerda/8306100/7.jpg</t>
  </si>
  <si>
    <t>https://img.rerda.com/imagenes_rerda/8400240/1.jpg</t>
  </si>
  <si>
    <t>https://img.rerda.com/imagenes_rerda/8306101/1.jpg,https://img.rerda.com/imagenes_rerda/8306101/2.jpg,https://img.rerda.com/imagenes_rerda/8306101/3.jpg</t>
  </si>
  <si>
    <t>https://img.rerda.com/imagenes_rerda/8306200/1.jpg,https://img.rerda.com/imagenes_rerda/8306200/2.jpg</t>
  </si>
  <si>
    <t>https://img.rerda.com/imagenes_rerda/8400661/1.jpg</t>
  </si>
  <si>
    <t>https://img.rerda.com/imagenes_rerda/8518011/1.jpg,https://img.rerda.com/imagenes_rerda/8518011/2.jpg,https://img.rerda.com/imagenes_rerda/8518011/3.jpg</t>
  </si>
  <si>
    <t>El código 2101532 no tiene imágenes.</t>
  </si>
  <si>
    <t>1120443##</t>
  </si>
  <si>
    <t>1120444##</t>
  </si>
  <si>
    <t>1120441##</t>
  </si>
  <si>
    <t>https://img.rerda.com/imagenes_rerda/1120499/1.jpg,https://img.rerda.com/imagenes_rerda/1120499/2.jpg,https://img.rerda.com/imagenes_rerda/1120499/3.jpg,https://img.rerda.com/imagenes_rerda/1120499/4.jpg,https://img.rerda.com/imagenes_rerda/1120499/5.jpg</t>
  </si>
  <si>
    <t>https://img.rerda.com/imagenes_rerda/1120442/1.jpg,https://img.rerda.com/imagenes_rerda/1120442/2.jpg,https://img.rerda.com/imagenes_rerda/1120442/3.jpg,https://img.rerda.com/imagenes_rerda/1120442/4.jpg,https://img.rerda.com/imagenes_rerda/1120442/5.jpg</t>
  </si>
  <si>
    <t>1120495##</t>
  </si>
  <si>
    <t>1120464##</t>
  </si>
  <si>
    <t>https://img.rerda.com/imagenes_rerda/1120875/1.jpg,https://img.rerda.com/imagenes_rerda/1120875/2.jpg,https://img.rerda.com/imagenes_rerda/1120875/3.jpg,https://img.rerda.com/imagenes_rerda/1120875/4.jpg</t>
  </si>
  <si>
    <t>1120802##</t>
  </si>
  <si>
    <t>1120803##</t>
  </si>
  <si>
    <t>https://img.rerda.com/imagenes_rerda/1120800/1.jpg,https://img.rerda.com/imagenes_rerda/1120800/2.jpg,https://img.rerda.com/imagenes_rerda/1120800/3.jpg,https://img.rerda.com/imagenes_rerda/1120800/4.jpg</t>
  </si>
  <si>
    <t>https://img.rerda.com/imagenes_rerda/1120182/1.jpg,https://img.rerda.com/imagenes_rerda/1120182/2.jpg,https://img.rerda.com/imagenes_rerda/1120182/3.jpg,https://img.rerda.com/imagenes_rerda/1120182/4.jpg,https://img.rerda.com/imagenes_rerda/1120182/5.jpg</t>
  </si>
  <si>
    <t>https://img.rerda.com/imagenes_rerda/1120750/1.jpg,https://img.rerda.com/imagenes_rerda/1120750/2.jpg,https://img.rerda.com/imagenes_rerda/1120750/3.jpg,https://img.rerda.com/imagenes_rerda/1120750/4.jpg,https://img.rerda.com/imagenes_rerda/1120750/5.jpg</t>
  </si>
  <si>
    <t>https://img.rerda.com/imagenes_rerda/1120900/1.jpg,https://img.rerda.com/imagenes_rerda/1120900/2.jpg,https://img.rerda.com/imagenes_rerda/1120900/3.jpg,https://img.rerda.com/imagenes_rerda/1120900/4.jpg,https://img.rerda.com/imagenes_rerda/1120900/5.jpg</t>
  </si>
  <si>
    <t>https://img.rerda.com/imagenes_rerda/8505826/1.jpg,https://img.rerda.com/imagenes_rerda/8505826/2.jpg,https://img.rerda.com/imagenes_rerda/8505826/3.jpg,https://img.rerda.com/imagenes_rerda/8505826/4.jpg,https://img.rerda.com/imagenes_rerda/8505826/5.jpg</t>
  </si>
  <si>
    <t>https://img.rerda.com/imagenes_rerda/8505650/1.jpg,https://img.rerda.com/imagenes_rerda/8505650/2.jpg</t>
  </si>
  <si>
    <t>2101531##</t>
  </si>
  <si>
    <t>https://img.rerda.com/imagenes_rerda/2101520/1.jpg,https://img.rerda.com/imagenes_rerda/2101520/2.jpg,https://img.rerda.com/imagenes_rerda/2101520/3.jpg</t>
  </si>
  <si>
    <t>https://img.rerda.com/imagenes_rerda/2101530/1.jpg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</si>
</sst>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rgb="FF1155CC"/>
      <name val="Calibri"/>
      <family val="2"/>
      <scheme val="minor"/>
    </font>
    <font>
      <sz val="10"/>
      <color theme="1"/>
      <name val="Arial"/>
      <family val="2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9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0" fillId="0" borderId="0" xfId="0" applyFill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9" fillId="0" borderId="0" xfId="42" applyNumberFormat="1"/>
    <xf numFmtId="0" fontId="19" fillId="0" borderId="0" xfId="42" applyFont="1" applyFill="1" applyBorder="1" applyAlignment="1"/>
    <xf numFmtId="0" fontId="16" fillId="0" borderId="0" xfId="0" applyFont="1" applyFill="1" applyBorder="1" applyAlignment="1"/>
    <xf numFmtId="0" fontId="0" fillId="0" borderId="0" xfId="0" applyFont="1" applyFill="1" applyBorder="1" applyAlignment="1">
      <alignment horizontal="right"/>
    </xf>
    <xf numFmtId="0" fontId="0" fillId="0" borderId="0" xfId="0" applyFont="1" applyFill="1" applyBorder="1" applyAlignment="1"/>
    <xf numFmtId="0" fontId="20" fillId="0" borderId="0" xfId="0" applyFont="1" applyFill="1" applyBorder="1" applyAlignment="1"/>
    <xf numFmtId="0" fontId="0" fillId="0" borderId="0" xfId="0" applyFont="1" applyFill="1" applyBorder="1" applyAlignment="1">
      <alignment vertical="center"/>
    </xf>
    <xf numFmtId="0" fontId="16" fillId="0" borderId="0" xfId="0" applyFont="1" applyFill="1" applyBorder="1" applyAlignment="1">
      <alignment horizontal="left"/>
    </xf>
    <xf numFmtId="0" fontId="0" fillId="0" borderId="0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quotePrefix="1" applyFont="1"/>
    <xf numFmtId="0" fontId="21" fillId="0" borderId="0" xfId="0" applyFont="1"/>
    <xf numFmtId="0" fontId="0" fillId="0" borderId="0" xfId="0" quotePrefix="1" applyNumberFormat="1"/>
    <xf numFmtId="0" fontId="0" fillId="0" borderId="0" xfId="0" applyFont="1" applyAlignment="1">
      <alignment vertical="top"/>
    </xf>
    <xf numFmtId="0" fontId="22" fillId="0" borderId="0" xfId="0" applyFont="1" applyAlignment="1">
      <alignment horizontal="left" vertical="top"/>
    </xf>
    <xf numFmtId="0" fontId="23" fillId="0" borderId="0" xfId="0" applyNumberFormat="1" applyFont="1" applyAlignment="1">
      <alignment horizontal="left" vertical="top"/>
    </xf>
    <xf numFmtId="0" fontId="23" fillId="0" borderId="0" xfId="0" applyFont="1" applyAlignment="1">
      <alignment horizontal="left" vertical="top"/>
    </xf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img.rerda.com/imagenes_rerda/" TargetMode="External"/><Relationship Id="rId2" Type="http://schemas.openxmlformats.org/officeDocument/2006/relationships/hyperlink" Target="https://edgardoraul.github.io/imagenes_rerda/" TargetMode="External"/><Relationship Id="rId1" Type="http://schemas.openxmlformats.org/officeDocument/2006/relationships/hyperlink" Target="https://raw.githubusercontent.com/edgardoraul/imagenes_rerda/main/" TargetMode="External"/><Relationship Id="rId4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/>
  <dimension ref="A1:J3443"/>
  <sheetViews>
    <sheetView zoomScaleNormal="100" workbookViewId="0">
      <pane ySplit="1" topLeftCell="A106" activePane="bottomLeft" state="frozen"/>
      <selection pane="bottomLeft" activeCell="E165" sqref="E165"/>
    </sheetView>
  </sheetViews>
  <sheetFormatPr baseColWidth="10" defaultRowHeight="15" x14ac:dyDescent="0.25"/>
  <cols>
    <col min="1" max="1" width="7.140625" customWidth="1"/>
    <col min="2" max="2" width="9.42578125" customWidth="1"/>
    <col min="3" max="3" width="13" customWidth="1"/>
    <col min="4" max="4" width="8" customWidth="1"/>
    <col min="5" max="5" width="48.42578125" customWidth="1"/>
    <col min="6" max="6" width="8.85546875" customWidth="1"/>
    <col min="7" max="7" width="6" customWidth="1"/>
    <col min="8" max="8" width="8.28515625" customWidth="1"/>
    <col min="9" max="9" width="6.42578125" customWidth="1"/>
    <col min="10" max="10" width="13.85546875" customWidth="1"/>
    <col min="11" max="11" width="13.710937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hidden="1" x14ac:dyDescent="0.25">
      <c r="A2">
        <v>18802</v>
      </c>
      <c r="B2" t="s">
        <v>4</v>
      </c>
      <c r="C2" t="s">
        <v>3978</v>
      </c>
      <c r="D2" t="str">
        <f>IF(RIGHT(LEFT(C2,9),2)="##","",RIGHT(LEFT(C2,10),2))</f>
        <v/>
      </c>
      <c r="E2" t="s">
        <v>3979</v>
      </c>
      <c r="F2" t="str">
        <f t="shared" ref="F2:F33" si="0">LEFT(C2,7)</f>
        <v>8505206</v>
      </c>
      <c r="H2">
        <v>1</v>
      </c>
    </row>
    <row r="3" spans="1:10" hidden="1" x14ac:dyDescent="0.25">
      <c r="A3">
        <v>18805</v>
      </c>
      <c r="B3" t="s">
        <v>4</v>
      </c>
      <c r="C3" t="s">
        <v>3980</v>
      </c>
      <c r="D3" t="str">
        <f>IF(RIGHT(LEFT(C3,9),2)="##","",RIGHT(LEFT(C3,10),2))</f>
        <v/>
      </c>
      <c r="E3" t="s">
        <v>3981</v>
      </c>
      <c r="F3" t="str">
        <f t="shared" si="0"/>
        <v>8505207</v>
      </c>
      <c r="H3">
        <v>1</v>
      </c>
    </row>
    <row r="4" spans="1:10" hidden="1" x14ac:dyDescent="0.25">
      <c r="A4">
        <v>18924</v>
      </c>
      <c r="B4" t="s">
        <v>4</v>
      </c>
      <c r="C4" t="s">
        <v>4077</v>
      </c>
      <c r="D4" t="str">
        <f>IF(RIGHT(LEFT(C4,9),2)="##","",RIGHT(LEFT(C4,10),2))</f>
        <v/>
      </c>
      <c r="E4" t="s">
        <v>4078</v>
      </c>
      <c r="F4" t="str">
        <f t="shared" si="0"/>
        <v>7709540</v>
      </c>
      <c r="H4">
        <v>1</v>
      </c>
    </row>
    <row r="5" spans="1:10" ht="15" hidden="1" customHeight="1" x14ac:dyDescent="0.25">
      <c r="A5">
        <v>20508</v>
      </c>
      <c r="B5" t="s">
        <v>7</v>
      </c>
      <c r="C5" t="s">
        <v>5929</v>
      </c>
      <c r="D5" t="s">
        <v>6840</v>
      </c>
      <c r="E5" t="s">
        <v>5930</v>
      </c>
      <c r="F5" t="str">
        <f t="shared" si="0"/>
        <v>8518014</v>
      </c>
      <c r="H5">
        <v>4</v>
      </c>
    </row>
    <row r="6" spans="1:10" ht="15" hidden="1" customHeight="1" x14ac:dyDescent="0.25">
      <c r="A6">
        <v>20509</v>
      </c>
      <c r="B6" t="s">
        <v>10</v>
      </c>
      <c r="C6" t="s">
        <v>5931</v>
      </c>
      <c r="D6" t="str">
        <f t="shared" ref="D6:D69" si="1">IF(RIGHT(LEFT(C6,9),2)="##","",RIGHT(LEFT(C6,10),2))</f>
        <v>03</v>
      </c>
      <c r="E6" t="s">
        <v>5932</v>
      </c>
      <c r="F6" t="str">
        <f t="shared" si="0"/>
        <v>8518014</v>
      </c>
      <c r="H6">
        <v>1</v>
      </c>
    </row>
    <row r="7" spans="1:10" ht="15" hidden="1" customHeight="1" x14ac:dyDescent="0.25">
      <c r="A7">
        <v>20512</v>
      </c>
      <c r="B7" t="s">
        <v>10</v>
      </c>
      <c r="C7" t="s">
        <v>5935</v>
      </c>
      <c r="D7" t="str">
        <f t="shared" si="1"/>
        <v>06</v>
      </c>
      <c r="E7" t="s">
        <v>5936</v>
      </c>
      <c r="F7" t="str">
        <f t="shared" si="0"/>
        <v>8518014</v>
      </c>
      <c r="H7">
        <v>1</v>
      </c>
    </row>
    <row r="8" spans="1:10" ht="15" hidden="1" customHeight="1" x14ac:dyDescent="0.25">
      <c r="A8">
        <v>20510</v>
      </c>
      <c r="B8" t="s">
        <v>10</v>
      </c>
      <c r="C8" t="s">
        <v>5933</v>
      </c>
      <c r="D8" t="str">
        <f t="shared" si="1"/>
        <v>09</v>
      </c>
      <c r="E8" t="s">
        <v>5934</v>
      </c>
      <c r="F8" t="str">
        <f t="shared" si="0"/>
        <v>8518014</v>
      </c>
      <c r="H8">
        <v>1</v>
      </c>
    </row>
    <row r="9" spans="1:10" hidden="1" x14ac:dyDescent="0.25">
      <c r="A9">
        <v>20210</v>
      </c>
      <c r="B9" t="s">
        <v>4</v>
      </c>
      <c r="C9" t="s">
        <v>5641</v>
      </c>
      <c r="D9" t="str">
        <f t="shared" si="1"/>
        <v/>
      </c>
      <c r="E9" t="s">
        <v>5642</v>
      </c>
      <c r="F9" t="str">
        <f t="shared" si="0"/>
        <v>8857005</v>
      </c>
      <c r="H9">
        <v>5</v>
      </c>
    </row>
    <row r="10" spans="1:10" hidden="1" x14ac:dyDescent="0.25">
      <c r="A10">
        <v>15809</v>
      </c>
      <c r="B10" t="s">
        <v>4</v>
      </c>
      <c r="C10" t="s">
        <v>1148</v>
      </c>
      <c r="D10" t="str">
        <f t="shared" si="1"/>
        <v/>
      </c>
      <c r="E10" t="s">
        <v>1149</v>
      </c>
      <c r="F10" t="str">
        <f t="shared" si="0"/>
        <v>7707159</v>
      </c>
      <c r="H10">
        <v>2</v>
      </c>
    </row>
    <row r="11" spans="1:10" hidden="1" x14ac:dyDescent="0.25">
      <c r="A11">
        <v>15813</v>
      </c>
      <c r="B11" t="s">
        <v>4</v>
      </c>
      <c r="C11" t="s">
        <v>1150</v>
      </c>
      <c r="D11" t="str">
        <f t="shared" si="1"/>
        <v/>
      </c>
      <c r="E11" t="s">
        <v>1151</v>
      </c>
      <c r="F11" t="str">
        <f t="shared" si="0"/>
        <v>7707136</v>
      </c>
      <c r="H11">
        <v>1</v>
      </c>
    </row>
    <row r="12" spans="1:10" hidden="1" x14ac:dyDescent="0.25">
      <c r="A12">
        <v>16937</v>
      </c>
      <c r="B12" t="s">
        <v>4</v>
      </c>
      <c r="C12" t="s">
        <v>1842</v>
      </c>
      <c r="D12" t="str">
        <f t="shared" si="1"/>
        <v/>
      </c>
      <c r="E12" t="s">
        <v>1843</v>
      </c>
      <c r="F12" t="str">
        <f t="shared" si="0"/>
        <v>7710030</v>
      </c>
      <c r="H12">
        <v>1</v>
      </c>
    </row>
    <row r="13" spans="1:10" hidden="1" x14ac:dyDescent="0.25">
      <c r="A13">
        <v>16943</v>
      </c>
      <c r="B13" t="s">
        <v>4</v>
      </c>
      <c r="C13" t="s">
        <v>1846</v>
      </c>
      <c r="D13" t="str">
        <f t="shared" si="1"/>
        <v/>
      </c>
      <c r="E13" t="s">
        <v>1847</v>
      </c>
      <c r="F13" t="str">
        <f t="shared" si="0"/>
        <v>7710032</v>
      </c>
      <c r="H13">
        <v>1</v>
      </c>
    </row>
    <row r="14" spans="1:10" hidden="1" x14ac:dyDescent="0.25">
      <c r="A14">
        <v>16940</v>
      </c>
      <c r="B14" t="s">
        <v>4</v>
      </c>
      <c r="C14" t="s">
        <v>1844</v>
      </c>
      <c r="D14" t="str">
        <f t="shared" si="1"/>
        <v/>
      </c>
      <c r="E14" t="s">
        <v>1845</v>
      </c>
      <c r="F14" t="str">
        <f t="shared" si="0"/>
        <v>7710031</v>
      </c>
      <c r="H14">
        <v>1</v>
      </c>
    </row>
    <row r="15" spans="1:10" hidden="1" x14ac:dyDescent="0.25">
      <c r="A15">
        <v>15816</v>
      </c>
      <c r="B15" t="s">
        <v>4</v>
      </c>
      <c r="C15" t="s">
        <v>1152</v>
      </c>
      <c r="D15" t="str">
        <f t="shared" si="1"/>
        <v/>
      </c>
      <c r="E15" t="s">
        <v>1153</v>
      </c>
      <c r="F15" t="str">
        <f t="shared" si="0"/>
        <v>7701136</v>
      </c>
      <c r="H15">
        <v>1</v>
      </c>
    </row>
    <row r="16" spans="1:10" hidden="1" x14ac:dyDescent="0.25">
      <c r="A16">
        <v>15819</v>
      </c>
      <c r="B16" t="s">
        <v>4</v>
      </c>
      <c r="C16" t="s">
        <v>1154</v>
      </c>
      <c r="D16" t="str">
        <f t="shared" si="1"/>
        <v/>
      </c>
      <c r="E16" t="s">
        <v>1155</v>
      </c>
      <c r="F16" t="str">
        <f t="shared" si="0"/>
        <v>7701137</v>
      </c>
      <c r="H16">
        <v>1</v>
      </c>
    </row>
    <row r="17" spans="1:8" hidden="1" x14ac:dyDescent="0.25">
      <c r="A17">
        <v>16158</v>
      </c>
      <c r="B17" t="s">
        <v>4</v>
      </c>
      <c r="C17" t="s">
        <v>1328</v>
      </c>
      <c r="D17" t="str">
        <f t="shared" si="1"/>
        <v/>
      </c>
      <c r="E17" t="s">
        <v>1329</v>
      </c>
      <c r="F17" t="str">
        <f t="shared" si="0"/>
        <v>8513175</v>
      </c>
      <c r="H17">
        <v>1</v>
      </c>
    </row>
    <row r="18" spans="1:8" hidden="1" x14ac:dyDescent="0.25">
      <c r="A18">
        <v>15266</v>
      </c>
      <c r="B18" t="s">
        <v>4</v>
      </c>
      <c r="C18" t="s">
        <v>723</v>
      </c>
      <c r="D18" t="str">
        <f t="shared" si="1"/>
        <v/>
      </c>
      <c r="E18" t="s">
        <v>724</v>
      </c>
      <c r="F18" t="str">
        <f t="shared" si="0"/>
        <v>8505822</v>
      </c>
      <c r="H18">
        <v>1</v>
      </c>
    </row>
    <row r="19" spans="1:8" hidden="1" x14ac:dyDescent="0.25">
      <c r="A19">
        <v>15272</v>
      </c>
      <c r="B19" t="s">
        <v>4</v>
      </c>
      <c r="C19" t="s">
        <v>727</v>
      </c>
      <c r="D19" t="str">
        <f t="shared" si="1"/>
        <v/>
      </c>
      <c r="E19" t="s">
        <v>728</v>
      </c>
      <c r="F19" t="str">
        <f t="shared" si="0"/>
        <v>8505823</v>
      </c>
      <c r="H19">
        <v>1</v>
      </c>
    </row>
    <row r="20" spans="1:8" hidden="1" x14ac:dyDescent="0.25">
      <c r="A20">
        <v>18487</v>
      </c>
      <c r="B20" t="s">
        <v>4</v>
      </c>
      <c r="C20" t="s">
        <v>3679</v>
      </c>
      <c r="D20" t="str">
        <f t="shared" si="1"/>
        <v/>
      </c>
      <c r="E20" t="s">
        <v>3680</v>
      </c>
      <c r="F20" t="str">
        <f t="shared" si="0"/>
        <v>8505820</v>
      </c>
      <c r="H20">
        <v>1</v>
      </c>
    </row>
    <row r="21" spans="1:8" hidden="1" x14ac:dyDescent="0.25">
      <c r="A21">
        <v>16407</v>
      </c>
      <c r="B21" t="s">
        <v>4</v>
      </c>
      <c r="C21" t="s">
        <v>1460</v>
      </c>
      <c r="D21" t="str">
        <f t="shared" si="1"/>
        <v/>
      </c>
      <c r="E21" t="s">
        <v>1461</v>
      </c>
      <c r="F21" t="str">
        <f t="shared" si="0"/>
        <v>7707502</v>
      </c>
      <c r="H21">
        <v>1</v>
      </c>
    </row>
    <row r="22" spans="1:8" hidden="1" x14ac:dyDescent="0.25">
      <c r="A22">
        <v>17332</v>
      </c>
      <c r="B22" t="s">
        <v>4</v>
      </c>
      <c r="C22" t="s">
        <v>2091</v>
      </c>
      <c r="D22" t="str">
        <f t="shared" si="1"/>
        <v/>
      </c>
      <c r="E22" t="s">
        <v>2092</v>
      </c>
      <c r="F22" t="str">
        <f t="shared" si="0"/>
        <v>7707784</v>
      </c>
      <c r="H22">
        <v>4</v>
      </c>
    </row>
    <row r="23" spans="1:8" hidden="1" x14ac:dyDescent="0.25">
      <c r="A23">
        <v>20811</v>
      </c>
      <c r="B23" t="s">
        <v>4</v>
      </c>
      <c r="C23" t="s">
        <v>6147</v>
      </c>
      <c r="D23" t="str">
        <f t="shared" si="1"/>
        <v/>
      </c>
      <c r="E23" t="s">
        <v>6148</v>
      </c>
      <c r="F23" t="str">
        <f t="shared" si="0"/>
        <v>8505151</v>
      </c>
      <c r="H23">
        <v>2</v>
      </c>
    </row>
    <row r="24" spans="1:8" hidden="1" x14ac:dyDescent="0.25">
      <c r="A24">
        <v>20815</v>
      </c>
      <c r="B24" t="s">
        <v>4</v>
      </c>
      <c r="C24" t="s">
        <v>6149</v>
      </c>
      <c r="D24" t="str">
        <f t="shared" si="1"/>
        <v/>
      </c>
      <c r="E24" t="s">
        <v>6150</v>
      </c>
      <c r="F24" t="str">
        <f t="shared" si="0"/>
        <v>8505133</v>
      </c>
      <c r="H24">
        <v>1</v>
      </c>
    </row>
    <row r="25" spans="1:8" hidden="1" x14ac:dyDescent="0.25">
      <c r="A25">
        <v>20963</v>
      </c>
      <c r="B25" t="s">
        <v>4</v>
      </c>
      <c r="C25" t="s">
        <v>6349</v>
      </c>
      <c r="D25" t="str">
        <f t="shared" si="1"/>
        <v/>
      </c>
      <c r="E25" t="s">
        <v>6350</v>
      </c>
      <c r="F25" t="str">
        <f t="shared" si="0"/>
        <v>8505162</v>
      </c>
      <c r="H25">
        <v>2</v>
      </c>
    </row>
    <row r="26" spans="1:8" hidden="1" x14ac:dyDescent="0.25">
      <c r="A26">
        <v>20986</v>
      </c>
      <c r="B26" t="s">
        <v>4</v>
      </c>
      <c r="C26" t="s">
        <v>6385</v>
      </c>
      <c r="D26" t="str">
        <f t="shared" si="1"/>
        <v/>
      </c>
      <c r="E26" t="s">
        <v>6386</v>
      </c>
      <c r="F26" t="str">
        <f t="shared" si="0"/>
        <v>8505172</v>
      </c>
      <c r="H26">
        <v>2</v>
      </c>
    </row>
    <row r="27" spans="1:8" hidden="1" x14ac:dyDescent="0.25">
      <c r="A27">
        <v>20818</v>
      </c>
      <c r="B27" t="s">
        <v>4</v>
      </c>
      <c r="C27" t="s">
        <v>6151</v>
      </c>
      <c r="D27" t="str">
        <f t="shared" si="1"/>
        <v/>
      </c>
      <c r="E27" t="s">
        <v>6152</v>
      </c>
      <c r="F27" t="str">
        <f t="shared" si="0"/>
        <v>8505153</v>
      </c>
      <c r="H27">
        <v>1</v>
      </c>
    </row>
    <row r="28" spans="1:8" hidden="1" x14ac:dyDescent="0.25">
      <c r="A28">
        <v>20782</v>
      </c>
      <c r="B28" t="s">
        <v>4</v>
      </c>
      <c r="C28" t="s">
        <v>6111</v>
      </c>
      <c r="D28" t="str">
        <f t="shared" si="1"/>
        <v/>
      </c>
      <c r="E28" t="s">
        <v>6112</v>
      </c>
      <c r="F28" t="str">
        <f t="shared" si="0"/>
        <v>8505121</v>
      </c>
      <c r="H28">
        <v>1</v>
      </c>
    </row>
    <row r="29" spans="1:8" hidden="1" x14ac:dyDescent="0.25">
      <c r="A29">
        <v>20785</v>
      </c>
      <c r="B29" t="s">
        <v>4</v>
      </c>
      <c r="C29" t="s">
        <v>6113</v>
      </c>
      <c r="D29" t="str">
        <f t="shared" si="1"/>
        <v/>
      </c>
      <c r="E29" t="s">
        <v>6114</v>
      </c>
      <c r="F29" t="str">
        <f t="shared" si="0"/>
        <v>8505122</v>
      </c>
      <c r="H29">
        <v>2</v>
      </c>
    </row>
    <row r="30" spans="1:8" hidden="1" x14ac:dyDescent="0.25">
      <c r="A30">
        <v>20789</v>
      </c>
      <c r="B30" t="s">
        <v>4</v>
      </c>
      <c r="C30" t="s">
        <v>6115</v>
      </c>
      <c r="D30" t="str">
        <f t="shared" si="1"/>
        <v/>
      </c>
      <c r="E30" t="s">
        <v>6116</v>
      </c>
      <c r="F30" t="str">
        <f t="shared" si="0"/>
        <v>8505123</v>
      </c>
      <c r="H30">
        <v>1</v>
      </c>
    </row>
    <row r="31" spans="1:8" hidden="1" x14ac:dyDescent="0.25">
      <c r="A31">
        <v>20792</v>
      </c>
      <c r="B31" t="s">
        <v>4</v>
      </c>
      <c r="C31" t="s">
        <v>6117</v>
      </c>
      <c r="D31" t="str">
        <f t="shared" si="1"/>
        <v/>
      </c>
      <c r="E31" t="s">
        <v>6118</v>
      </c>
      <c r="F31" t="str">
        <f t="shared" si="0"/>
        <v>8505124</v>
      </c>
      <c r="H31">
        <v>1</v>
      </c>
    </row>
    <row r="32" spans="1:8" hidden="1" x14ac:dyDescent="0.25">
      <c r="A32">
        <v>20795</v>
      </c>
      <c r="B32" t="s">
        <v>4</v>
      </c>
      <c r="C32" t="s">
        <v>6119</v>
      </c>
      <c r="D32" t="str">
        <f t="shared" si="1"/>
        <v/>
      </c>
      <c r="E32" t="s">
        <v>6120</v>
      </c>
      <c r="F32" t="str">
        <f t="shared" si="0"/>
        <v>8505125</v>
      </c>
      <c r="H32">
        <v>1</v>
      </c>
    </row>
    <row r="33" spans="1:8" hidden="1" x14ac:dyDescent="0.25">
      <c r="A33">
        <v>15298</v>
      </c>
      <c r="B33" t="s">
        <v>4</v>
      </c>
      <c r="C33" t="s">
        <v>741</v>
      </c>
      <c r="D33" t="str">
        <f t="shared" si="1"/>
        <v/>
      </c>
      <c r="E33" t="s">
        <v>742</v>
      </c>
      <c r="F33" t="str">
        <f t="shared" si="0"/>
        <v>8503402</v>
      </c>
      <c r="H33">
        <v>6</v>
      </c>
    </row>
    <row r="34" spans="1:8" hidden="1" x14ac:dyDescent="0.25">
      <c r="A34">
        <v>20495</v>
      </c>
      <c r="B34" t="s">
        <v>4</v>
      </c>
      <c r="C34" t="s">
        <v>5923</v>
      </c>
      <c r="D34" t="str">
        <f t="shared" si="1"/>
        <v/>
      </c>
      <c r="E34" t="s">
        <v>5924</v>
      </c>
      <c r="F34" t="str">
        <f t="shared" ref="F34:F65" si="2">LEFT(C34,7)</f>
        <v>8503125</v>
      </c>
      <c r="H34">
        <v>2</v>
      </c>
    </row>
    <row r="35" spans="1:8" hidden="1" x14ac:dyDescent="0.25">
      <c r="A35">
        <v>16216</v>
      </c>
      <c r="B35" t="s">
        <v>4</v>
      </c>
      <c r="C35" t="s">
        <v>1364</v>
      </c>
      <c r="D35" t="str">
        <f t="shared" si="1"/>
        <v/>
      </c>
      <c r="E35" t="s">
        <v>1365</v>
      </c>
      <c r="F35" t="str">
        <f t="shared" si="2"/>
        <v>8503168</v>
      </c>
      <c r="H35">
        <v>1</v>
      </c>
    </row>
    <row r="36" spans="1:8" hidden="1" x14ac:dyDescent="0.25">
      <c r="A36">
        <v>15362</v>
      </c>
      <c r="B36" t="s">
        <v>4</v>
      </c>
      <c r="C36" t="s">
        <v>769</v>
      </c>
      <c r="D36" t="str">
        <f t="shared" si="1"/>
        <v/>
      </c>
      <c r="E36" t="s">
        <v>770</v>
      </c>
      <c r="F36" t="str">
        <f t="shared" si="2"/>
        <v>8501025</v>
      </c>
      <c r="H36">
        <v>3</v>
      </c>
    </row>
    <row r="37" spans="1:8" hidden="1" x14ac:dyDescent="0.25">
      <c r="A37">
        <v>18849</v>
      </c>
      <c r="B37" t="s">
        <v>4</v>
      </c>
      <c r="C37" t="s">
        <v>4003</v>
      </c>
      <c r="D37" t="str">
        <f t="shared" si="1"/>
        <v/>
      </c>
      <c r="E37" t="s">
        <v>4004</v>
      </c>
      <c r="F37" t="str">
        <f t="shared" si="2"/>
        <v>8520691</v>
      </c>
      <c r="H37">
        <v>8</v>
      </c>
    </row>
    <row r="38" spans="1:8" ht="15" customHeight="1" x14ac:dyDescent="0.25">
      <c r="A38">
        <v>19891</v>
      </c>
      <c r="B38" t="s">
        <v>7</v>
      </c>
      <c r="C38" t="s">
        <v>5309</v>
      </c>
      <c r="D38" t="str">
        <f t="shared" si="1"/>
        <v/>
      </c>
      <c r="E38" t="s">
        <v>5310</v>
      </c>
      <c r="F38" t="str">
        <f t="shared" si="2"/>
        <v>8301558</v>
      </c>
      <c r="H38">
        <v>3</v>
      </c>
    </row>
    <row r="39" spans="1:8" ht="15" hidden="1" customHeight="1" x14ac:dyDescent="0.25">
      <c r="A39">
        <v>19892</v>
      </c>
      <c r="B39" t="s">
        <v>10</v>
      </c>
      <c r="C39" t="s">
        <v>5311</v>
      </c>
      <c r="D39" t="str">
        <f t="shared" si="1"/>
        <v/>
      </c>
      <c r="E39" t="s">
        <v>5312</v>
      </c>
      <c r="F39" t="str">
        <f t="shared" si="2"/>
        <v>8301558</v>
      </c>
    </row>
    <row r="40" spans="1:8" ht="15" hidden="1" customHeight="1" x14ac:dyDescent="0.25">
      <c r="A40">
        <v>19893</v>
      </c>
      <c r="B40" t="s">
        <v>10</v>
      </c>
      <c r="C40" t="s">
        <v>5313</v>
      </c>
      <c r="D40" t="str">
        <f t="shared" si="1"/>
        <v/>
      </c>
      <c r="E40" t="s">
        <v>5314</v>
      </c>
      <c r="F40" t="str">
        <f t="shared" si="2"/>
        <v>8301558</v>
      </c>
    </row>
    <row r="41" spans="1:8" ht="15" hidden="1" customHeight="1" x14ac:dyDescent="0.25">
      <c r="A41">
        <v>19894</v>
      </c>
      <c r="B41" t="s">
        <v>10</v>
      </c>
      <c r="C41" t="s">
        <v>5315</v>
      </c>
      <c r="D41" t="str">
        <f t="shared" si="1"/>
        <v/>
      </c>
      <c r="E41" t="s">
        <v>5316</v>
      </c>
      <c r="F41" t="str">
        <f t="shared" si="2"/>
        <v>8301558</v>
      </c>
    </row>
    <row r="42" spans="1:8" ht="15" customHeight="1" x14ac:dyDescent="0.25">
      <c r="A42">
        <v>18202</v>
      </c>
      <c r="B42" t="s">
        <v>7</v>
      </c>
      <c r="C42" t="s">
        <v>3254</v>
      </c>
      <c r="D42" t="str">
        <f t="shared" si="1"/>
        <v/>
      </c>
      <c r="E42" t="s">
        <v>3255</v>
      </c>
      <c r="F42" t="str">
        <f t="shared" si="2"/>
        <v>8301000</v>
      </c>
      <c r="H42">
        <v>2</v>
      </c>
    </row>
    <row r="43" spans="1:8" ht="15" hidden="1" customHeight="1" x14ac:dyDescent="0.25">
      <c r="A43">
        <v>18203</v>
      </c>
      <c r="B43" t="s">
        <v>10</v>
      </c>
      <c r="C43" t="s">
        <v>3256</v>
      </c>
      <c r="D43" t="str">
        <f t="shared" si="1"/>
        <v/>
      </c>
      <c r="E43" t="s">
        <v>3257</v>
      </c>
      <c r="F43" t="str">
        <f t="shared" si="2"/>
        <v>8301000</v>
      </c>
    </row>
    <row r="44" spans="1:8" ht="15" hidden="1" customHeight="1" x14ac:dyDescent="0.25">
      <c r="A44">
        <v>18207</v>
      </c>
      <c r="B44" t="s">
        <v>10</v>
      </c>
      <c r="C44" t="s">
        <v>3258</v>
      </c>
      <c r="D44" t="str">
        <f t="shared" si="1"/>
        <v/>
      </c>
      <c r="E44" t="s">
        <v>3259</v>
      </c>
      <c r="F44" t="str">
        <f t="shared" si="2"/>
        <v>8301000</v>
      </c>
    </row>
    <row r="45" spans="1:8" ht="15" hidden="1" customHeight="1" x14ac:dyDescent="0.25">
      <c r="A45">
        <v>18208</v>
      </c>
      <c r="B45" t="s">
        <v>10</v>
      </c>
      <c r="C45" t="s">
        <v>3260</v>
      </c>
      <c r="D45" t="str">
        <f t="shared" si="1"/>
        <v/>
      </c>
      <c r="E45" t="s">
        <v>3261</v>
      </c>
      <c r="F45" t="str">
        <f t="shared" si="2"/>
        <v>8301000</v>
      </c>
    </row>
    <row r="46" spans="1:8" ht="15" hidden="1" customHeight="1" x14ac:dyDescent="0.25">
      <c r="A46">
        <v>18209</v>
      </c>
      <c r="B46" t="s">
        <v>10</v>
      </c>
      <c r="C46" t="s">
        <v>3262</v>
      </c>
      <c r="D46" t="str">
        <f t="shared" si="1"/>
        <v/>
      </c>
      <c r="E46" t="s">
        <v>3263</v>
      </c>
      <c r="F46" t="str">
        <f t="shared" si="2"/>
        <v>8301000</v>
      </c>
    </row>
    <row r="47" spans="1:8" ht="15" hidden="1" customHeight="1" x14ac:dyDescent="0.25">
      <c r="A47">
        <v>18210</v>
      </c>
      <c r="B47" t="s">
        <v>10</v>
      </c>
      <c r="C47" t="s">
        <v>3264</v>
      </c>
      <c r="D47" t="str">
        <f t="shared" si="1"/>
        <v/>
      </c>
      <c r="E47" t="s">
        <v>3265</v>
      </c>
      <c r="F47" t="str">
        <f t="shared" si="2"/>
        <v>8301000</v>
      </c>
    </row>
    <row r="48" spans="1:8" ht="15" hidden="1" customHeight="1" x14ac:dyDescent="0.25">
      <c r="A48">
        <v>18211</v>
      </c>
      <c r="B48" t="s">
        <v>10</v>
      </c>
      <c r="C48" t="s">
        <v>3266</v>
      </c>
      <c r="D48" t="str">
        <f t="shared" si="1"/>
        <v/>
      </c>
      <c r="E48" t="s">
        <v>3267</v>
      </c>
      <c r="F48" t="str">
        <f t="shared" si="2"/>
        <v>8301000</v>
      </c>
    </row>
    <row r="49" spans="1:9" ht="15" hidden="1" customHeight="1" x14ac:dyDescent="0.25">
      <c r="A49">
        <v>18212</v>
      </c>
      <c r="B49" t="s">
        <v>10</v>
      </c>
      <c r="C49" t="s">
        <v>3268</v>
      </c>
      <c r="D49" t="str">
        <f t="shared" si="1"/>
        <v/>
      </c>
      <c r="E49" t="s">
        <v>3269</v>
      </c>
      <c r="F49" t="str">
        <f t="shared" si="2"/>
        <v>8301000</v>
      </c>
    </row>
    <row r="50" spans="1:9" ht="15" hidden="1" customHeight="1" x14ac:dyDescent="0.25">
      <c r="A50">
        <v>18213</v>
      </c>
      <c r="B50" t="s">
        <v>10</v>
      </c>
      <c r="C50" t="s">
        <v>3270</v>
      </c>
      <c r="D50" t="str">
        <f t="shared" si="1"/>
        <v/>
      </c>
      <c r="E50" t="s">
        <v>3271</v>
      </c>
      <c r="F50" t="str">
        <f t="shared" si="2"/>
        <v>8301000</v>
      </c>
    </row>
    <row r="51" spans="1:9" ht="15" customHeight="1" x14ac:dyDescent="0.25">
      <c r="A51">
        <v>16053</v>
      </c>
      <c r="B51" t="s">
        <v>7</v>
      </c>
      <c r="C51" t="s">
        <v>1274</v>
      </c>
      <c r="D51" t="str">
        <f t="shared" si="1"/>
        <v/>
      </c>
      <c r="E51" t="s">
        <v>1275</v>
      </c>
      <c r="F51" t="str">
        <f t="shared" si="2"/>
        <v>8301008</v>
      </c>
      <c r="H51">
        <v>2</v>
      </c>
    </row>
    <row r="52" spans="1:9" ht="15" hidden="1" customHeight="1" x14ac:dyDescent="0.25">
      <c r="A52">
        <v>16054</v>
      </c>
      <c r="B52" t="s">
        <v>10</v>
      </c>
      <c r="C52" t="s">
        <v>1276</v>
      </c>
      <c r="D52" t="str">
        <f t="shared" si="1"/>
        <v/>
      </c>
      <c r="E52" t="s">
        <v>1277</v>
      </c>
      <c r="F52" t="str">
        <f t="shared" si="2"/>
        <v>8301008</v>
      </c>
    </row>
    <row r="53" spans="1:9" ht="15" hidden="1" customHeight="1" x14ac:dyDescent="0.25">
      <c r="A53">
        <v>16058</v>
      </c>
      <c r="B53" t="s">
        <v>10</v>
      </c>
      <c r="C53" t="s">
        <v>1278</v>
      </c>
      <c r="D53" t="str">
        <f t="shared" si="1"/>
        <v/>
      </c>
      <c r="E53" t="s">
        <v>1279</v>
      </c>
      <c r="F53" t="str">
        <f t="shared" si="2"/>
        <v>8301008</v>
      </c>
    </row>
    <row r="54" spans="1:9" ht="15" hidden="1" customHeight="1" x14ac:dyDescent="0.25">
      <c r="A54">
        <v>16059</v>
      </c>
      <c r="B54" t="s">
        <v>10</v>
      </c>
      <c r="C54" t="s">
        <v>1280</v>
      </c>
      <c r="D54" t="str">
        <f t="shared" si="1"/>
        <v/>
      </c>
      <c r="E54" t="s">
        <v>1281</v>
      </c>
      <c r="F54" t="str">
        <f t="shared" si="2"/>
        <v>8301008</v>
      </c>
    </row>
    <row r="55" spans="1:9" ht="15" hidden="1" customHeight="1" x14ac:dyDescent="0.25">
      <c r="A55">
        <v>16060</v>
      </c>
      <c r="B55" t="s">
        <v>10</v>
      </c>
      <c r="C55" t="s">
        <v>1282</v>
      </c>
      <c r="D55" t="str">
        <f t="shared" si="1"/>
        <v/>
      </c>
      <c r="E55" t="s">
        <v>1283</v>
      </c>
      <c r="F55" t="str">
        <f t="shared" si="2"/>
        <v>8301008</v>
      </c>
    </row>
    <row r="56" spans="1:9" ht="15" hidden="1" customHeight="1" x14ac:dyDescent="0.25">
      <c r="A56">
        <v>16061</v>
      </c>
      <c r="B56" t="s">
        <v>10</v>
      </c>
      <c r="C56" t="s">
        <v>1284</v>
      </c>
      <c r="D56" t="str">
        <f t="shared" si="1"/>
        <v/>
      </c>
      <c r="E56" t="s">
        <v>1285</v>
      </c>
      <c r="F56" t="str">
        <f t="shared" si="2"/>
        <v>8301008</v>
      </c>
    </row>
    <row r="57" spans="1:9" ht="15" hidden="1" customHeight="1" x14ac:dyDescent="0.25">
      <c r="A57">
        <v>16062</v>
      </c>
      <c r="B57" t="s">
        <v>10</v>
      </c>
      <c r="C57" t="s">
        <v>1286</v>
      </c>
      <c r="D57" t="str">
        <f t="shared" si="1"/>
        <v/>
      </c>
      <c r="E57" t="s">
        <v>1287</v>
      </c>
      <c r="F57" t="str">
        <f t="shared" si="2"/>
        <v>8301008</v>
      </c>
    </row>
    <row r="58" spans="1:9" ht="15" customHeight="1" x14ac:dyDescent="0.25">
      <c r="A58">
        <v>20956</v>
      </c>
      <c r="B58" t="s">
        <v>7</v>
      </c>
      <c r="C58" t="s">
        <v>6341</v>
      </c>
      <c r="D58" t="str">
        <f t="shared" si="1"/>
        <v/>
      </c>
      <c r="E58" t="s">
        <v>6342</v>
      </c>
      <c r="F58" t="str">
        <f t="shared" si="2"/>
        <v>8301805</v>
      </c>
      <c r="H58">
        <v>2</v>
      </c>
    </row>
    <row r="59" spans="1:9" ht="15" hidden="1" customHeight="1" x14ac:dyDescent="0.25">
      <c r="A59">
        <v>20957</v>
      </c>
      <c r="B59" t="s">
        <v>10</v>
      </c>
      <c r="C59" t="s">
        <v>6343</v>
      </c>
      <c r="D59" t="str">
        <f t="shared" si="1"/>
        <v/>
      </c>
      <c r="E59" t="s">
        <v>6344</v>
      </c>
      <c r="F59" t="str">
        <f t="shared" si="2"/>
        <v>8301805</v>
      </c>
    </row>
    <row r="60" spans="1:9" ht="15" hidden="1" customHeight="1" x14ac:dyDescent="0.25">
      <c r="A60">
        <v>20961</v>
      </c>
      <c r="B60" t="s">
        <v>10</v>
      </c>
      <c r="C60" t="s">
        <v>6345</v>
      </c>
      <c r="D60" t="str">
        <f t="shared" si="1"/>
        <v/>
      </c>
      <c r="E60" t="s">
        <v>6346</v>
      </c>
      <c r="F60" t="str">
        <f t="shared" si="2"/>
        <v>8301805</v>
      </c>
    </row>
    <row r="61" spans="1:9" ht="15" hidden="1" customHeight="1" x14ac:dyDescent="0.25">
      <c r="A61">
        <v>20962</v>
      </c>
      <c r="B61" t="s">
        <v>10</v>
      </c>
      <c r="C61" t="s">
        <v>6347</v>
      </c>
      <c r="D61" t="str">
        <f t="shared" si="1"/>
        <v/>
      </c>
      <c r="E61" t="s">
        <v>6348</v>
      </c>
      <c r="F61" t="str">
        <f t="shared" si="2"/>
        <v>8301805</v>
      </c>
    </row>
    <row r="62" spans="1:9" hidden="1" x14ac:dyDescent="0.25">
      <c r="A62">
        <v>16575</v>
      </c>
      <c r="B62" t="s">
        <v>4</v>
      </c>
      <c r="C62" t="s">
        <v>1560</v>
      </c>
      <c r="D62" t="str">
        <f t="shared" si="1"/>
        <v/>
      </c>
      <c r="E62" t="s">
        <v>1561</v>
      </c>
      <c r="F62" t="str">
        <f t="shared" si="2"/>
        <v>8708110</v>
      </c>
      <c r="H62">
        <v>5</v>
      </c>
    </row>
    <row r="63" spans="1:9" hidden="1" x14ac:dyDescent="0.25">
      <c r="A63">
        <v>16539</v>
      </c>
      <c r="B63" t="s">
        <v>4</v>
      </c>
      <c r="C63" t="s">
        <v>1550</v>
      </c>
      <c r="D63" t="str">
        <f t="shared" si="1"/>
        <v/>
      </c>
      <c r="E63" t="s">
        <v>1551</v>
      </c>
      <c r="F63" t="str">
        <f t="shared" si="2"/>
        <v>8708099</v>
      </c>
      <c r="H63">
        <v>9</v>
      </c>
    </row>
    <row r="64" spans="1:9" ht="15" customHeight="1" x14ac:dyDescent="0.25">
      <c r="A64">
        <v>17900</v>
      </c>
      <c r="B64" t="s">
        <v>7</v>
      </c>
      <c r="C64" t="s">
        <v>2771</v>
      </c>
      <c r="D64" t="str">
        <f t="shared" si="1"/>
        <v/>
      </c>
      <c r="E64" t="s">
        <v>2772</v>
      </c>
      <c r="F64" t="str">
        <f t="shared" si="2"/>
        <v>1120003</v>
      </c>
      <c r="H64">
        <v>10</v>
      </c>
      <c r="I64">
        <v>1</v>
      </c>
    </row>
    <row r="65" spans="1:9" ht="15" hidden="1" customHeight="1" x14ac:dyDescent="0.25">
      <c r="A65">
        <v>17901</v>
      </c>
      <c r="B65" t="s">
        <v>10</v>
      </c>
      <c r="C65" t="s">
        <v>2773</v>
      </c>
      <c r="D65" t="str">
        <f t="shared" si="1"/>
        <v/>
      </c>
      <c r="E65" t="s">
        <v>2774</v>
      </c>
      <c r="F65" t="str">
        <f t="shared" si="2"/>
        <v>1120003</v>
      </c>
    </row>
    <row r="66" spans="1:9" ht="15" hidden="1" customHeight="1" x14ac:dyDescent="0.25">
      <c r="A66">
        <v>17906</v>
      </c>
      <c r="B66" t="s">
        <v>10</v>
      </c>
      <c r="C66" t="s">
        <v>2775</v>
      </c>
      <c r="D66" t="str">
        <f t="shared" si="1"/>
        <v/>
      </c>
      <c r="E66" t="s">
        <v>2776</v>
      </c>
      <c r="F66" t="str">
        <f t="shared" ref="F66:F72" si="3">LEFT(C66,7)</f>
        <v>1120003</v>
      </c>
    </row>
    <row r="67" spans="1:9" ht="15" hidden="1" customHeight="1" x14ac:dyDescent="0.25">
      <c r="A67">
        <v>17907</v>
      </c>
      <c r="B67" t="s">
        <v>10</v>
      </c>
      <c r="C67" t="s">
        <v>2777</v>
      </c>
      <c r="D67" t="str">
        <f t="shared" si="1"/>
        <v/>
      </c>
      <c r="E67" t="s">
        <v>2778</v>
      </c>
      <c r="F67" t="str">
        <f t="shared" si="3"/>
        <v>1120003</v>
      </c>
    </row>
    <row r="68" spans="1:9" ht="15" hidden="1" customHeight="1" x14ac:dyDescent="0.25">
      <c r="A68">
        <v>17908</v>
      </c>
      <c r="B68" t="s">
        <v>10</v>
      </c>
      <c r="C68" t="s">
        <v>2779</v>
      </c>
      <c r="D68" t="str">
        <f t="shared" si="1"/>
        <v/>
      </c>
      <c r="E68" t="s">
        <v>2780</v>
      </c>
      <c r="F68" t="str">
        <f t="shared" si="3"/>
        <v>1120003</v>
      </c>
    </row>
    <row r="69" spans="1:9" ht="15" hidden="1" customHeight="1" x14ac:dyDescent="0.25">
      <c r="A69">
        <v>17909</v>
      </c>
      <c r="B69" t="s">
        <v>10</v>
      </c>
      <c r="C69" t="s">
        <v>2781</v>
      </c>
      <c r="D69" t="str">
        <f t="shared" si="1"/>
        <v/>
      </c>
      <c r="E69" t="s">
        <v>2782</v>
      </c>
      <c r="F69" t="str">
        <f t="shared" si="3"/>
        <v>1120003</v>
      </c>
    </row>
    <row r="70" spans="1:9" ht="15" hidden="1" customHeight="1" x14ac:dyDescent="0.25">
      <c r="A70">
        <v>17910</v>
      </c>
      <c r="B70" t="s">
        <v>10</v>
      </c>
      <c r="C70" t="s">
        <v>2783</v>
      </c>
      <c r="D70" t="str">
        <f t="shared" ref="D70:D133" si="4">IF(RIGHT(LEFT(C70,9),2)="##","",RIGHT(LEFT(C70,10),2))</f>
        <v/>
      </c>
      <c r="E70" t="s">
        <v>2784</v>
      </c>
      <c r="F70" t="str">
        <f t="shared" si="3"/>
        <v>1120003</v>
      </c>
    </row>
    <row r="71" spans="1:9" ht="15" hidden="1" customHeight="1" x14ac:dyDescent="0.25">
      <c r="A71">
        <v>17911</v>
      </c>
      <c r="B71" t="s">
        <v>10</v>
      </c>
      <c r="C71" t="s">
        <v>2785</v>
      </c>
      <c r="D71" t="str">
        <f t="shared" si="4"/>
        <v/>
      </c>
      <c r="E71" t="s">
        <v>2786</v>
      </c>
      <c r="F71" t="str">
        <f t="shared" si="3"/>
        <v>1120003</v>
      </c>
    </row>
    <row r="72" spans="1:9" ht="15" hidden="1" customHeight="1" x14ac:dyDescent="0.25">
      <c r="A72">
        <v>17912</v>
      </c>
      <c r="B72" t="s">
        <v>10</v>
      </c>
      <c r="C72" t="s">
        <v>2787</v>
      </c>
      <c r="D72" t="str">
        <f t="shared" si="4"/>
        <v/>
      </c>
      <c r="E72" t="s">
        <v>2788</v>
      </c>
      <c r="F72" t="str">
        <f t="shared" si="3"/>
        <v>1120003</v>
      </c>
    </row>
    <row r="73" spans="1:9" ht="15" customHeight="1" x14ac:dyDescent="0.25">
      <c r="A73">
        <v>17942</v>
      </c>
      <c r="B73" t="s">
        <v>7</v>
      </c>
      <c r="C73" t="s">
        <v>2839</v>
      </c>
      <c r="D73" t="str">
        <f t="shared" si="4"/>
        <v/>
      </c>
      <c r="E73" t="s">
        <v>2840</v>
      </c>
      <c r="F73" t="s">
        <v>6841</v>
      </c>
      <c r="H73">
        <v>10</v>
      </c>
      <c r="I73">
        <v>1</v>
      </c>
    </row>
    <row r="74" spans="1:9" ht="15" hidden="1" customHeight="1" x14ac:dyDescent="0.25">
      <c r="A74">
        <v>17943</v>
      </c>
      <c r="B74" t="s">
        <v>10</v>
      </c>
      <c r="C74" t="s">
        <v>2841</v>
      </c>
      <c r="D74" t="str">
        <f t="shared" si="4"/>
        <v/>
      </c>
      <c r="E74" t="s">
        <v>2842</v>
      </c>
      <c r="F74" t="str">
        <f>LEFT(C74,7)</f>
        <v>1120004</v>
      </c>
    </row>
    <row r="75" spans="1:9" ht="15" hidden="1" customHeight="1" x14ac:dyDescent="0.25">
      <c r="A75">
        <v>17944</v>
      </c>
      <c r="B75" t="s">
        <v>10</v>
      </c>
      <c r="C75" t="s">
        <v>2843</v>
      </c>
      <c r="D75" t="str">
        <f t="shared" si="4"/>
        <v/>
      </c>
      <c r="E75" t="s">
        <v>2844</v>
      </c>
      <c r="F75" t="str">
        <f>LEFT(C75,7)</f>
        <v>1120004</v>
      </c>
    </row>
    <row r="76" spans="1:9" ht="15" hidden="1" customHeight="1" x14ac:dyDescent="0.25">
      <c r="A76">
        <v>17945</v>
      </c>
      <c r="B76" t="s">
        <v>10</v>
      </c>
      <c r="C76" t="s">
        <v>2845</v>
      </c>
      <c r="D76" t="str">
        <f t="shared" si="4"/>
        <v/>
      </c>
      <c r="E76" t="s">
        <v>2846</v>
      </c>
      <c r="F76" t="str">
        <f>LEFT(C76,7)</f>
        <v>1120004</v>
      </c>
    </row>
    <row r="77" spans="1:9" ht="15" customHeight="1" x14ac:dyDescent="0.25">
      <c r="A77">
        <v>17946</v>
      </c>
      <c r="B77" t="s">
        <v>7</v>
      </c>
      <c r="C77" t="s">
        <v>2847</v>
      </c>
      <c r="D77" t="str">
        <f t="shared" si="4"/>
        <v/>
      </c>
      <c r="E77" t="s">
        <v>2848</v>
      </c>
      <c r="F77" t="s">
        <v>6841</v>
      </c>
      <c r="H77">
        <v>10</v>
      </c>
      <c r="I77">
        <v>1</v>
      </c>
    </row>
    <row r="78" spans="1:9" ht="15" hidden="1" customHeight="1" x14ac:dyDescent="0.25">
      <c r="A78">
        <v>17947</v>
      </c>
      <c r="B78" t="s">
        <v>10</v>
      </c>
      <c r="C78" t="s">
        <v>2849</v>
      </c>
      <c r="D78" t="str">
        <f t="shared" si="4"/>
        <v/>
      </c>
      <c r="E78" t="s">
        <v>2850</v>
      </c>
      <c r="F78" t="str">
        <f>LEFT(C78,7)</f>
        <v>1120005</v>
      </c>
    </row>
    <row r="79" spans="1:9" ht="15" hidden="1" customHeight="1" x14ac:dyDescent="0.25">
      <c r="A79">
        <v>17948</v>
      </c>
      <c r="B79" t="s">
        <v>10</v>
      </c>
      <c r="C79" t="s">
        <v>2851</v>
      </c>
      <c r="D79" t="str">
        <f t="shared" si="4"/>
        <v/>
      </c>
      <c r="E79" t="s">
        <v>2852</v>
      </c>
      <c r="F79" t="str">
        <f>LEFT(C79,7)</f>
        <v>1120005</v>
      </c>
    </row>
    <row r="80" spans="1:9" ht="15" hidden="1" customHeight="1" x14ac:dyDescent="0.25">
      <c r="A80">
        <v>17949</v>
      </c>
      <c r="B80" t="s">
        <v>10</v>
      </c>
      <c r="C80" t="s">
        <v>2853</v>
      </c>
      <c r="D80" t="str">
        <f t="shared" si="4"/>
        <v/>
      </c>
      <c r="E80" t="s">
        <v>2854</v>
      </c>
      <c r="F80" t="str">
        <f>LEFT(C80,7)</f>
        <v>1120005</v>
      </c>
    </row>
    <row r="81" spans="1:9" ht="15" customHeight="1" x14ac:dyDescent="0.25">
      <c r="A81">
        <v>17950</v>
      </c>
      <c r="B81" t="s">
        <v>7</v>
      </c>
      <c r="C81" t="s">
        <v>2855</v>
      </c>
      <c r="D81" t="str">
        <f t="shared" si="4"/>
        <v/>
      </c>
      <c r="E81" t="s">
        <v>2856</v>
      </c>
      <c r="F81" t="s">
        <v>6841</v>
      </c>
      <c r="H81">
        <v>10</v>
      </c>
      <c r="I81">
        <v>1</v>
      </c>
    </row>
    <row r="82" spans="1:9" ht="15" hidden="1" customHeight="1" x14ac:dyDescent="0.25">
      <c r="A82">
        <v>17951</v>
      </c>
      <c r="B82" t="s">
        <v>10</v>
      </c>
      <c r="C82" t="s">
        <v>2857</v>
      </c>
      <c r="D82" t="str">
        <f t="shared" si="4"/>
        <v/>
      </c>
      <c r="E82" t="s">
        <v>2858</v>
      </c>
      <c r="F82" t="str">
        <f t="shared" ref="F82:F93" si="5">LEFT(C82,7)</f>
        <v>1120006</v>
      </c>
    </row>
    <row r="83" spans="1:9" ht="15" hidden="1" customHeight="1" x14ac:dyDescent="0.25">
      <c r="A83">
        <v>17952</v>
      </c>
      <c r="B83" t="s">
        <v>10</v>
      </c>
      <c r="C83" t="s">
        <v>2859</v>
      </c>
      <c r="D83" t="str">
        <f t="shared" si="4"/>
        <v/>
      </c>
      <c r="E83" t="s">
        <v>2860</v>
      </c>
      <c r="F83" t="str">
        <f t="shared" si="5"/>
        <v>1120006</v>
      </c>
    </row>
    <row r="84" spans="1:9" ht="15" hidden="1" customHeight="1" x14ac:dyDescent="0.25">
      <c r="A84">
        <v>17953</v>
      </c>
      <c r="B84" t="s">
        <v>10</v>
      </c>
      <c r="C84" t="s">
        <v>2861</v>
      </c>
      <c r="D84" t="str">
        <f t="shared" si="4"/>
        <v/>
      </c>
      <c r="E84" t="s">
        <v>2862</v>
      </c>
      <c r="F84" t="str">
        <f t="shared" si="5"/>
        <v>1120006</v>
      </c>
    </row>
    <row r="85" spans="1:9" ht="15" customHeight="1" x14ac:dyDescent="0.25">
      <c r="A85">
        <v>15682</v>
      </c>
      <c r="B85" t="s">
        <v>7</v>
      </c>
      <c r="C85" t="s">
        <v>1044</v>
      </c>
      <c r="D85" t="str">
        <f t="shared" si="4"/>
        <v/>
      </c>
      <c r="E85" t="s">
        <v>1045</v>
      </c>
      <c r="F85" t="str">
        <f t="shared" si="5"/>
        <v>1120106</v>
      </c>
      <c r="H85">
        <v>10</v>
      </c>
      <c r="I85">
        <v>1</v>
      </c>
    </row>
    <row r="86" spans="1:9" ht="15" hidden="1" customHeight="1" x14ac:dyDescent="0.25">
      <c r="A86">
        <v>15683</v>
      </c>
      <c r="B86" t="s">
        <v>10</v>
      </c>
      <c r="C86" t="s">
        <v>1046</v>
      </c>
      <c r="D86" t="str">
        <f t="shared" si="4"/>
        <v/>
      </c>
      <c r="E86" t="s">
        <v>1047</v>
      </c>
      <c r="F86" t="str">
        <f t="shared" si="5"/>
        <v>1120106</v>
      </c>
    </row>
    <row r="87" spans="1:9" ht="15" hidden="1" customHeight="1" x14ac:dyDescent="0.25">
      <c r="A87">
        <v>15688</v>
      </c>
      <c r="B87" t="s">
        <v>10</v>
      </c>
      <c r="C87" t="s">
        <v>1048</v>
      </c>
      <c r="D87" t="str">
        <f t="shared" si="4"/>
        <v/>
      </c>
      <c r="E87" t="s">
        <v>1049</v>
      </c>
      <c r="F87" t="str">
        <f t="shared" si="5"/>
        <v>1120106</v>
      </c>
    </row>
    <row r="88" spans="1:9" ht="15" hidden="1" customHeight="1" x14ac:dyDescent="0.25">
      <c r="A88">
        <v>15689</v>
      </c>
      <c r="B88" t="s">
        <v>10</v>
      </c>
      <c r="C88" t="s">
        <v>1050</v>
      </c>
      <c r="D88" t="str">
        <f t="shared" si="4"/>
        <v/>
      </c>
      <c r="E88" t="s">
        <v>1051</v>
      </c>
      <c r="F88" t="str">
        <f t="shared" si="5"/>
        <v>1120106</v>
      </c>
    </row>
    <row r="89" spans="1:9" ht="15" hidden="1" customHeight="1" x14ac:dyDescent="0.25">
      <c r="A89">
        <v>15690</v>
      </c>
      <c r="B89" t="s">
        <v>10</v>
      </c>
      <c r="C89" t="s">
        <v>1052</v>
      </c>
      <c r="D89" t="str">
        <f t="shared" si="4"/>
        <v/>
      </c>
      <c r="E89" t="s">
        <v>1053</v>
      </c>
      <c r="F89" t="str">
        <f t="shared" si="5"/>
        <v>1120106</v>
      </c>
    </row>
    <row r="90" spans="1:9" ht="15" hidden="1" customHeight="1" x14ac:dyDescent="0.25">
      <c r="A90">
        <v>15691</v>
      </c>
      <c r="B90" t="s">
        <v>10</v>
      </c>
      <c r="C90" t="s">
        <v>1054</v>
      </c>
      <c r="D90" t="str">
        <f t="shared" si="4"/>
        <v/>
      </c>
      <c r="E90" t="s">
        <v>1055</v>
      </c>
      <c r="F90" t="str">
        <f t="shared" si="5"/>
        <v>1120106</v>
      </c>
    </row>
    <row r="91" spans="1:9" ht="15" hidden="1" customHeight="1" x14ac:dyDescent="0.25">
      <c r="A91">
        <v>15692</v>
      </c>
      <c r="B91" t="s">
        <v>10</v>
      </c>
      <c r="C91" t="s">
        <v>1056</v>
      </c>
      <c r="D91" t="str">
        <f t="shared" si="4"/>
        <v/>
      </c>
      <c r="E91" t="s">
        <v>1057</v>
      </c>
      <c r="F91" t="str">
        <f t="shared" si="5"/>
        <v>1120106</v>
      </c>
    </row>
    <row r="92" spans="1:9" ht="15" hidden="1" customHeight="1" x14ac:dyDescent="0.25">
      <c r="A92">
        <v>15693</v>
      </c>
      <c r="B92" t="s">
        <v>10</v>
      </c>
      <c r="C92" t="s">
        <v>1058</v>
      </c>
      <c r="D92" t="str">
        <f t="shared" si="4"/>
        <v/>
      </c>
      <c r="E92" t="s">
        <v>1059</v>
      </c>
      <c r="F92" t="str">
        <f t="shared" si="5"/>
        <v>1120106</v>
      </c>
    </row>
    <row r="93" spans="1:9" ht="15" hidden="1" customHeight="1" x14ac:dyDescent="0.25">
      <c r="A93">
        <v>15694</v>
      </c>
      <c r="B93" t="s">
        <v>10</v>
      </c>
      <c r="C93" t="s">
        <v>1060</v>
      </c>
      <c r="D93" t="str">
        <f t="shared" si="4"/>
        <v/>
      </c>
      <c r="E93" t="s">
        <v>1061</v>
      </c>
      <c r="F93" t="str">
        <f t="shared" si="5"/>
        <v>1120106</v>
      </c>
    </row>
    <row r="94" spans="1:9" ht="15" customHeight="1" x14ac:dyDescent="0.25">
      <c r="A94">
        <v>17926</v>
      </c>
      <c r="B94" t="s">
        <v>7</v>
      </c>
      <c r="C94" t="s">
        <v>2807</v>
      </c>
      <c r="D94" t="str">
        <f t="shared" si="4"/>
        <v/>
      </c>
      <c r="E94" t="s">
        <v>2808</v>
      </c>
      <c r="F94" t="s">
        <v>6842</v>
      </c>
      <c r="H94">
        <v>10</v>
      </c>
      <c r="I94">
        <v>1</v>
      </c>
    </row>
    <row r="95" spans="1:9" ht="15" hidden="1" customHeight="1" x14ac:dyDescent="0.25">
      <c r="A95">
        <v>17927</v>
      </c>
      <c r="B95" t="s">
        <v>10</v>
      </c>
      <c r="C95" t="s">
        <v>2809</v>
      </c>
      <c r="D95" t="str">
        <f t="shared" si="4"/>
        <v/>
      </c>
      <c r="E95" t="s">
        <v>2810</v>
      </c>
      <c r="F95" t="str">
        <f>LEFT(C95,7)</f>
        <v>1120107</v>
      </c>
    </row>
    <row r="96" spans="1:9" ht="15" hidden="1" customHeight="1" x14ac:dyDescent="0.25">
      <c r="A96">
        <v>17928</v>
      </c>
      <c r="B96" t="s">
        <v>10</v>
      </c>
      <c r="C96" t="s">
        <v>2811</v>
      </c>
      <c r="D96" t="str">
        <f t="shared" si="4"/>
        <v/>
      </c>
      <c r="E96" t="s">
        <v>2812</v>
      </c>
      <c r="F96" t="str">
        <f>LEFT(C96,7)</f>
        <v>1120107</v>
      </c>
    </row>
    <row r="97" spans="1:9" ht="15" hidden="1" customHeight="1" x14ac:dyDescent="0.25">
      <c r="A97">
        <v>17929</v>
      </c>
      <c r="B97" t="s">
        <v>10</v>
      </c>
      <c r="C97" t="s">
        <v>2813</v>
      </c>
      <c r="D97" t="str">
        <f t="shared" si="4"/>
        <v/>
      </c>
      <c r="E97" t="s">
        <v>2814</v>
      </c>
      <c r="F97" t="str">
        <f>LEFT(C97,7)</f>
        <v>1120107</v>
      </c>
    </row>
    <row r="98" spans="1:9" ht="15" customHeight="1" x14ac:dyDescent="0.25">
      <c r="A98">
        <v>17930</v>
      </c>
      <c r="B98" t="s">
        <v>7</v>
      </c>
      <c r="C98" t="s">
        <v>2815</v>
      </c>
      <c r="D98" t="str">
        <f t="shared" si="4"/>
        <v/>
      </c>
      <c r="E98" t="s">
        <v>2816</v>
      </c>
      <c r="F98" t="s">
        <v>6842</v>
      </c>
      <c r="H98">
        <v>10</v>
      </c>
      <c r="I98">
        <v>1</v>
      </c>
    </row>
    <row r="99" spans="1:9" ht="15" hidden="1" customHeight="1" x14ac:dyDescent="0.25">
      <c r="A99">
        <v>17931</v>
      </c>
      <c r="B99" t="s">
        <v>10</v>
      </c>
      <c r="C99" t="s">
        <v>2817</v>
      </c>
      <c r="D99" t="str">
        <f t="shared" si="4"/>
        <v/>
      </c>
      <c r="E99" t="s">
        <v>2818</v>
      </c>
      <c r="F99" t="str">
        <f>LEFT(C99,7)</f>
        <v>1120110</v>
      </c>
    </row>
    <row r="100" spans="1:9" ht="15" hidden="1" customHeight="1" x14ac:dyDescent="0.25">
      <c r="A100">
        <v>17932</v>
      </c>
      <c r="B100" t="s">
        <v>10</v>
      </c>
      <c r="C100" t="s">
        <v>2819</v>
      </c>
      <c r="D100" t="str">
        <f t="shared" si="4"/>
        <v/>
      </c>
      <c r="E100" t="s">
        <v>2820</v>
      </c>
      <c r="F100" t="str">
        <f>LEFT(C100,7)</f>
        <v>1120110</v>
      </c>
    </row>
    <row r="101" spans="1:9" ht="15" hidden="1" customHeight="1" x14ac:dyDescent="0.25">
      <c r="A101">
        <v>17933</v>
      </c>
      <c r="B101" t="s">
        <v>10</v>
      </c>
      <c r="C101" t="s">
        <v>2821</v>
      </c>
      <c r="D101" t="str">
        <f t="shared" si="4"/>
        <v/>
      </c>
      <c r="E101" t="s">
        <v>2822</v>
      </c>
      <c r="F101" t="str">
        <f>LEFT(C101,7)</f>
        <v>1120110</v>
      </c>
    </row>
    <row r="102" spans="1:9" ht="15" customHeight="1" x14ac:dyDescent="0.25">
      <c r="A102">
        <v>20474</v>
      </c>
      <c r="B102" t="s">
        <v>7</v>
      </c>
      <c r="C102" t="s">
        <v>5889</v>
      </c>
      <c r="D102" t="str">
        <f t="shared" si="4"/>
        <v/>
      </c>
      <c r="E102" t="s">
        <v>5890</v>
      </c>
      <c r="F102" t="s">
        <v>6842</v>
      </c>
      <c r="H102">
        <v>10</v>
      </c>
      <c r="I102">
        <v>1</v>
      </c>
    </row>
    <row r="103" spans="1:9" ht="15" hidden="1" customHeight="1" x14ac:dyDescent="0.25">
      <c r="A103">
        <v>20475</v>
      </c>
      <c r="B103" t="s">
        <v>10</v>
      </c>
      <c r="C103" t="s">
        <v>5891</v>
      </c>
      <c r="D103" t="str">
        <f t="shared" si="4"/>
        <v/>
      </c>
      <c r="E103" t="s">
        <v>5892</v>
      </c>
      <c r="F103" t="str">
        <f t="shared" ref="F103:F114" si="6">LEFT(C103,7)</f>
        <v>1120111</v>
      </c>
    </row>
    <row r="104" spans="1:9" ht="15" hidden="1" customHeight="1" x14ac:dyDescent="0.25">
      <c r="A104">
        <v>20476</v>
      </c>
      <c r="B104" t="s">
        <v>10</v>
      </c>
      <c r="C104" t="s">
        <v>5893</v>
      </c>
      <c r="D104" t="str">
        <f t="shared" si="4"/>
        <v/>
      </c>
      <c r="E104" t="s">
        <v>5894</v>
      </c>
      <c r="F104" t="str">
        <f t="shared" si="6"/>
        <v>1120111</v>
      </c>
    </row>
    <row r="105" spans="1:9" ht="15" hidden="1" customHeight="1" x14ac:dyDescent="0.25">
      <c r="A105">
        <v>20477</v>
      </c>
      <c r="B105" t="s">
        <v>10</v>
      </c>
      <c r="C105" t="s">
        <v>5895</v>
      </c>
      <c r="D105" t="str">
        <f t="shared" si="4"/>
        <v/>
      </c>
      <c r="E105" t="s">
        <v>5896</v>
      </c>
      <c r="F105" t="str">
        <f t="shared" si="6"/>
        <v>1120111</v>
      </c>
    </row>
    <row r="106" spans="1:9" ht="15" customHeight="1" x14ac:dyDescent="0.25">
      <c r="A106">
        <v>17913</v>
      </c>
      <c r="B106" t="s">
        <v>7</v>
      </c>
      <c r="C106" t="s">
        <v>2789</v>
      </c>
      <c r="D106" t="str">
        <f t="shared" si="4"/>
        <v/>
      </c>
      <c r="E106" t="s">
        <v>2790</v>
      </c>
      <c r="F106" t="str">
        <f t="shared" si="6"/>
        <v>1120206</v>
      </c>
      <c r="H106">
        <v>10</v>
      </c>
      <c r="I106">
        <v>1</v>
      </c>
    </row>
    <row r="107" spans="1:9" ht="15" hidden="1" customHeight="1" x14ac:dyDescent="0.25">
      <c r="A107">
        <v>17914</v>
      </c>
      <c r="B107" t="s">
        <v>10</v>
      </c>
      <c r="C107" t="s">
        <v>2791</v>
      </c>
      <c r="D107" t="str">
        <f t="shared" si="4"/>
        <v/>
      </c>
      <c r="E107" t="s">
        <v>2792</v>
      </c>
      <c r="F107" t="str">
        <f t="shared" si="6"/>
        <v>1120206</v>
      </c>
    </row>
    <row r="108" spans="1:9" ht="15" hidden="1" customHeight="1" x14ac:dyDescent="0.25">
      <c r="A108">
        <v>17919</v>
      </c>
      <c r="B108" t="s">
        <v>10</v>
      </c>
      <c r="C108" t="s">
        <v>2793</v>
      </c>
      <c r="D108" t="str">
        <f t="shared" si="4"/>
        <v/>
      </c>
      <c r="E108" t="s">
        <v>2794</v>
      </c>
      <c r="F108" t="str">
        <f t="shared" si="6"/>
        <v>1120206</v>
      </c>
    </row>
    <row r="109" spans="1:9" ht="15" hidden="1" customHeight="1" x14ac:dyDescent="0.25">
      <c r="A109">
        <v>17920</v>
      </c>
      <c r="B109" t="s">
        <v>10</v>
      </c>
      <c r="C109" t="s">
        <v>2795</v>
      </c>
      <c r="D109" t="str">
        <f t="shared" si="4"/>
        <v/>
      </c>
      <c r="E109" t="s">
        <v>2796</v>
      </c>
      <c r="F109" t="str">
        <f t="shared" si="6"/>
        <v>1120206</v>
      </c>
    </row>
    <row r="110" spans="1:9" ht="15" hidden="1" customHeight="1" x14ac:dyDescent="0.25">
      <c r="A110">
        <v>17921</v>
      </c>
      <c r="B110" t="s">
        <v>10</v>
      </c>
      <c r="C110" t="s">
        <v>2797</v>
      </c>
      <c r="D110" t="str">
        <f t="shared" si="4"/>
        <v/>
      </c>
      <c r="E110" t="s">
        <v>2798</v>
      </c>
      <c r="F110" t="str">
        <f t="shared" si="6"/>
        <v>1120206</v>
      </c>
    </row>
    <row r="111" spans="1:9" ht="15" hidden="1" customHeight="1" x14ac:dyDescent="0.25">
      <c r="A111">
        <v>17922</v>
      </c>
      <c r="B111" t="s">
        <v>10</v>
      </c>
      <c r="C111" t="s">
        <v>2799</v>
      </c>
      <c r="D111" t="str">
        <f t="shared" si="4"/>
        <v/>
      </c>
      <c r="E111" t="s">
        <v>2800</v>
      </c>
      <c r="F111" t="str">
        <f t="shared" si="6"/>
        <v>1120206</v>
      </c>
    </row>
    <row r="112" spans="1:9" ht="15" hidden="1" customHeight="1" x14ac:dyDescent="0.25">
      <c r="A112">
        <v>17923</v>
      </c>
      <c r="B112" t="s">
        <v>10</v>
      </c>
      <c r="C112" t="s">
        <v>2801</v>
      </c>
      <c r="D112" t="str">
        <f t="shared" si="4"/>
        <v/>
      </c>
      <c r="E112" t="s">
        <v>2802</v>
      </c>
      <c r="F112" t="str">
        <f t="shared" si="6"/>
        <v>1120206</v>
      </c>
    </row>
    <row r="113" spans="1:9" ht="15" hidden="1" customHeight="1" x14ac:dyDescent="0.25">
      <c r="A113">
        <v>17924</v>
      </c>
      <c r="B113" t="s">
        <v>10</v>
      </c>
      <c r="C113" t="s">
        <v>2803</v>
      </c>
      <c r="D113" t="str">
        <f t="shared" si="4"/>
        <v/>
      </c>
      <c r="E113" t="s">
        <v>2804</v>
      </c>
      <c r="F113" t="str">
        <f t="shared" si="6"/>
        <v>1120206</v>
      </c>
    </row>
    <row r="114" spans="1:9" ht="15" hidden="1" customHeight="1" x14ac:dyDescent="0.25">
      <c r="A114">
        <v>17925</v>
      </c>
      <c r="B114" t="s">
        <v>10</v>
      </c>
      <c r="C114" t="s">
        <v>2805</v>
      </c>
      <c r="D114" t="str">
        <f t="shared" si="4"/>
        <v/>
      </c>
      <c r="E114" t="s">
        <v>2806</v>
      </c>
      <c r="F114" t="str">
        <f t="shared" si="6"/>
        <v>1120206</v>
      </c>
    </row>
    <row r="115" spans="1:9" ht="15" customHeight="1" x14ac:dyDescent="0.25">
      <c r="A115">
        <v>17934</v>
      </c>
      <c r="B115" t="s">
        <v>7</v>
      </c>
      <c r="C115" t="s">
        <v>2823</v>
      </c>
      <c r="D115" t="str">
        <f t="shared" si="4"/>
        <v/>
      </c>
      <c r="E115" t="s">
        <v>2824</v>
      </c>
      <c r="F115" t="s">
        <v>6843</v>
      </c>
      <c r="H115">
        <v>10</v>
      </c>
      <c r="I115">
        <v>1</v>
      </c>
    </row>
    <row r="116" spans="1:9" ht="15" hidden="1" customHeight="1" x14ac:dyDescent="0.25">
      <c r="A116">
        <v>17935</v>
      </c>
      <c r="B116" t="s">
        <v>10</v>
      </c>
      <c r="C116" t="s">
        <v>2825</v>
      </c>
      <c r="D116" t="str">
        <f t="shared" si="4"/>
        <v/>
      </c>
      <c r="E116" t="s">
        <v>2826</v>
      </c>
      <c r="F116" t="str">
        <f>LEFT(C116,7)</f>
        <v>1120207</v>
      </c>
    </row>
    <row r="117" spans="1:9" ht="15" hidden="1" customHeight="1" x14ac:dyDescent="0.25">
      <c r="A117">
        <v>17936</v>
      </c>
      <c r="B117" t="s">
        <v>10</v>
      </c>
      <c r="C117" t="s">
        <v>2827</v>
      </c>
      <c r="D117" t="str">
        <f t="shared" si="4"/>
        <v/>
      </c>
      <c r="E117" t="s">
        <v>2828</v>
      </c>
      <c r="F117" t="str">
        <f>LEFT(C117,7)</f>
        <v>1120207</v>
      </c>
    </row>
    <row r="118" spans="1:9" ht="15" hidden="1" customHeight="1" x14ac:dyDescent="0.25">
      <c r="A118">
        <v>17937</v>
      </c>
      <c r="B118" t="s">
        <v>10</v>
      </c>
      <c r="C118" t="s">
        <v>2829</v>
      </c>
      <c r="D118" t="str">
        <f t="shared" si="4"/>
        <v/>
      </c>
      <c r="E118" t="s">
        <v>2830</v>
      </c>
      <c r="F118" t="str">
        <f>LEFT(C118,7)</f>
        <v>1120207</v>
      </c>
    </row>
    <row r="119" spans="1:9" ht="15" customHeight="1" x14ac:dyDescent="0.25">
      <c r="A119">
        <v>17938</v>
      </c>
      <c r="B119" t="s">
        <v>7</v>
      </c>
      <c r="C119" t="s">
        <v>2831</v>
      </c>
      <c r="D119" t="str">
        <f t="shared" si="4"/>
        <v/>
      </c>
      <c r="E119" t="s">
        <v>2832</v>
      </c>
      <c r="F119" t="s">
        <v>6843</v>
      </c>
      <c r="H119">
        <v>10</v>
      </c>
      <c r="I119">
        <v>1</v>
      </c>
    </row>
    <row r="120" spans="1:9" ht="15" hidden="1" customHeight="1" x14ac:dyDescent="0.25">
      <c r="A120">
        <v>17939</v>
      </c>
      <c r="B120" t="s">
        <v>10</v>
      </c>
      <c r="C120" t="s">
        <v>2833</v>
      </c>
      <c r="D120" t="str">
        <f t="shared" si="4"/>
        <v/>
      </c>
      <c r="E120" t="s">
        <v>2834</v>
      </c>
      <c r="F120" t="str">
        <f>LEFT(C120,7)</f>
        <v>1120208</v>
      </c>
    </row>
    <row r="121" spans="1:9" ht="15" hidden="1" customHeight="1" x14ac:dyDescent="0.25">
      <c r="A121">
        <v>17940</v>
      </c>
      <c r="B121" t="s">
        <v>10</v>
      </c>
      <c r="C121" t="s">
        <v>2835</v>
      </c>
      <c r="D121" t="str">
        <f t="shared" si="4"/>
        <v/>
      </c>
      <c r="E121" t="s">
        <v>2836</v>
      </c>
      <c r="F121" t="str">
        <f>LEFT(C121,7)</f>
        <v>1120208</v>
      </c>
    </row>
    <row r="122" spans="1:9" ht="15" hidden="1" customHeight="1" x14ac:dyDescent="0.25">
      <c r="A122">
        <v>17941</v>
      </c>
      <c r="B122" t="s">
        <v>10</v>
      </c>
      <c r="C122" t="s">
        <v>2837</v>
      </c>
      <c r="D122" t="str">
        <f t="shared" si="4"/>
        <v/>
      </c>
      <c r="E122" t="s">
        <v>2838</v>
      </c>
      <c r="F122" t="str">
        <f>LEFT(C122,7)</f>
        <v>1120208</v>
      </c>
    </row>
    <row r="123" spans="1:9" ht="15" customHeight="1" x14ac:dyDescent="0.25">
      <c r="A123">
        <v>18337</v>
      </c>
      <c r="B123" t="s">
        <v>7</v>
      </c>
      <c r="C123" t="s">
        <v>3438</v>
      </c>
      <c r="D123" t="str">
        <f t="shared" si="4"/>
        <v/>
      </c>
      <c r="E123" t="s">
        <v>3439</v>
      </c>
      <c r="F123" t="s">
        <v>6843</v>
      </c>
      <c r="H123">
        <v>10</v>
      </c>
      <c r="I123">
        <v>1</v>
      </c>
    </row>
    <row r="124" spans="1:9" ht="15" hidden="1" customHeight="1" x14ac:dyDescent="0.25">
      <c r="A124">
        <v>18338</v>
      </c>
      <c r="B124" t="s">
        <v>10</v>
      </c>
      <c r="C124" t="s">
        <v>3440</v>
      </c>
      <c r="D124" t="str">
        <f t="shared" si="4"/>
        <v/>
      </c>
      <c r="E124" t="s">
        <v>3441</v>
      </c>
      <c r="F124" t="str">
        <f t="shared" ref="F124:F135" si="7">LEFT(C124,7)</f>
        <v>1120209</v>
      </c>
    </row>
    <row r="125" spans="1:9" ht="15" hidden="1" customHeight="1" x14ac:dyDescent="0.25">
      <c r="A125">
        <v>18339</v>
      </c>
      <c r="B125" t="s">
        <v>10</v>
      </c>
      <c r="C125" t="s">
        <v>3442</v>
      </c>
      <c r="D125" t="str">
        <f t="shared" si="4"/>
        <v/>
      </c>
      <c r="E125" t="s">
        <v>3443</v>
      </c>
      <c r="F125" t="str">
        <f t="shared" si="7"/>
        <v>1120209</v>
      </c>
    </row>
    <row r="126" spans="1:9" ht="15" hidden="1" customHeight="1" x14ac:dyDescent="0.25">
      <c r="A126">
        <v>18340</v>
      </c>
      <c r="B126" t="s">
        <v>10</v>
      </c>
      <c r="C126" t="s">
        <v>3444</v>
      </c>
      <c r="D126" t="str">
        <f t="shared" si="4"/>
        <v/>
      </c>
      <c r="E126" t="s">
        <v>3445</v>
      </c>
      <c r="F126" t="str">
        <f t="shared" si="7"/>
        <v>1120209</v>
      </c>
    </row>
    <row r="127" spans="1:9" ht="15" customHeight="1" x14ac:dyDescent="0.25">
      <c r="A127" s="2">
        <v>20088</v>
      </c>
      <c r="B127" s="2" t="s">
        <v>7</v>
      </c>
      <c r="C127" s="2" t="s">
        <v>5501</v>
      </c>
      <c r="D127" s="2" t="str">
        <f t="shared" si="4"/>
        <v/>
      </c>
      <c r="E127" s="2" t="s">
        <v>5502</v>
      </c>
      <c r="F127" s="2" t="str">
        <f t="shared" si="7"/>
        <v>1120445</v>
      </c>
      <c r="G127" s="2"/>
      <c r="H127" s="2">
        <v>4</v>
      </c>
      <c r="I127">
        <v>1</v>
      </c>
    </row>
    <row r="128" spans="1:9" ht="15" hidden="1" customHeight="1" x14ac:dyDescent="0.25">
      <c r="A128">
        <v>20089</v>
      </c>
      <c r="B128" t="s">
        <v>10</v>
      </c>
      <c r="C128" t="s">
        <v>5503</v>
      </c>
      <c r="D128" t="str">
        <f t="shared" si="4"/>
        <v/>
      </c>
      <c r="E128" t="s">
        <v>5504</v>
      </c>
      <c r="F128" t="str">
        <f t="shared" si="7"/>
        <v>1120445</v>
      </c>
    </row>
    <row r="129" spans="1:9" ht="15" hidden="1" customHeight="1" x14ac:dyDescent="0.25">
      <c r="A129">
        <v>20094</v>
      </c>
      <c r="B129" t="s">
        <v>10</v>
      </c>
      <c r="C129" t="s">
        <v>5505</v>
      </c>
      <c r="D129" t="str">
        <f t="shared" si="4"/>
        <v/>
      </c>
      <c r="E129" t="s">
        <v>5506</v>
      </c>
      <c r="F129" t="str">
        <f t="shared" si="7"/>
        <v>1120445</v>
      </c>
    </row>
    <row r="130" spans="1:9" ht="15" hidden="1" customHeight="1" x14ac:dyDescent="0.25">
      <c r="A130">
        <v>20095</v>
      </c>
      <c r="B130" t="s">
        <v>10</v>
      </c>
      <c r="C130" t="s">
        <v>5507</v>
      </c>
      <c r="D130" t="str">
        <f t="shared" si="4"/>
        <v/>
      </c>
      <c r="E130" t="s">
        <v>5508</v>
      </c>
      <c r="F130" t="str">
        <f t="shared" si="7"/>
        <v>1120445</v>
      </c>
    </row>
    <row r="131" spans="1:9" ht="15" hidden="1" customHeight="1" x14ac:dyDescent="0.25">
      <c r="A131">
        <v>20096</v>
      </c>
      <c r="B131" t="s">
        <v>10</v>
      </c>
      <c r="C131" t="s">
        <v>5509</v>
      </c>
      <c r="D131" t="str">
        <f t="shared" si="4"/>
        <v/>
      </c>
      <c r="E131" t="s">
        <v>5510</v>
      </c>
      <c r="F131" t="str">
        <f t="shared" si="7"/>
        <v>1120445</v>
      </c>
    </row>
    <row r="132" spans="1:9" ht="15" hidden="1" customHeight="1" x14ac:dyDescent="0.25">
      <c r="A132">
        <v>20097</v>
      </c>
      <c r="B132" t="s">
        <v>10</v>
      </c>
      <c r="C132" t="s">
        <v>5511</v>
      </c>
      <c r="D132" t="str">
        <f t="shared" si="4"/>
        <v/>
      </c>
      <c r="E132" t="s">
        <v>5512</v>
      </c>
      <c r="F132" t="str">
        <f t="shared" si="7"/>
        <v>1120445</v>
      </c>
    </row>
    <row r="133" spans="1:9" ht="15" hidden="1" customHeight="1" x14ac:dyDescent="0.25">
      <c r="A133">
        <v>20098</v>
      </c>
      <c r="B133" t="s">
        <v>10</v>
      </c>
      <c r="C133" t="s">
        <v>5513</v>
      </c>
      <c r="D133" t="str">
        <f t="shared" si="4"/>
        <v/>
      </c>
      <c r="E133" t="s">
        <v>5514</v>
      </c>
      <c r="F133" t="str">
        <f t="shared" si="7"/>
        <v>1120445</v>
      </c>
    </row>
    <row r="134" spans="1:9" ht="15" hidden="1" customHeight="1" x14ac:dyDescent="0.25">
      <c r="A134">
        <v>20099</v>
      </c>
      <c r="B134" t="s">
        <v>10</v>
      </c>
      <c r="C134" t="s">
        <v>5515</v>
      </c>
      <c r="D134" t="str">
        <f t="shared" ref="D134:D197" si="8">IF(RIGHT(LEFT(C134,9),2)="##","",RIGHT(LEFT(C134,10),2))</f>
        <v/>
      </c>
      <c r="E134" t="s">
        <v>5516</v>
      </c>
      <c r="F134" t="str">
        <f t="shared" si="7"/>
        <v>1120445</v>
      </c>
    </row>
    <row r="135" spans="1:9" ht="15" hidden="1" customHeight="1" x14ac:dyDescent="0.25">
      <c r="A135">
        <v>20100</v>
      </c>
      <c r="B135" t="s">
        <v>10</v>
      </c>
      <c r="C135" t="s">
        <v>5517</v>
      </c>
      <c r="D135" t="str">
        <f t="shared" si="8"/>
        <v/>
      </c>
      <c r="E135" t="s">
        <v>5518</v>
      </c>
      <c r="F135" t="str">
        <f t="shared" si="7"/>
        <v>1120445</v>
      </c>
    </row>
    <row r="136" spans="1:9" ht="15" customHeight="1" x14ac:dyDescent="0.25">
      <c r="A136" s="2">
        <v>20101</v>
      </c>
      <c r="B136" s="2" t="s">
        <v>7</v>
      </c>
      <c r="C136" s="2" t="s">
        <v>5519</v>
      </c>
      <c r="D136" s="2" t="str">
        <f t="shared" si="8"/>
        <v/>
      </c>
      <c r="E136" s="2" t="s">
        <v>5520</v>
      </c>
      <c r="F136" s="2" t="s">
        <v>6844</v>
      </c>
      <c r="G136" s="2"/>
      <c r="H136" s="2">
        <v>4</v>
      </c>
      <c r="I136">
        <v>1</v>
      </c>
    </row>
    <row r="137" spans="1:9" ht="15" hidden="1" customHeight="1" x14ac:dyDescent="0.25">
      <c r="A137">
        <v>20102</v>
      </c>
      <c r="B137" t="s">
        <v>10</v>
      </c>
      <c r="C137" t="s">
        <v>5521</v>
      </c>
      <c r="D137" t="str">
        <f t="shared" si="8"/>
        <v/>
      </c>
      <c r="E137" t="s">
        <v>5522</v>
      </c>
      <c r="F137" t="str">
        <f>LEFT(C137,7)</f>
        <v>1120446</v>
      </c>
    </row>
    <row r="138" spans="1:9" ht="15" hidden="1" customHeight="1" x14ac:dyDescent="0.25">
      <c r="A138">
        <v>20103</v>
      </c>
      <c r="B138" t="s">
        <v>10</v>
      </c>
      <c r="C138" t="s">
        <v>5523</v>
      </c>
      <c r="D138" t="str">
        <f t="shared" si="8"/>
        <v/>
      </c>
      <c r="E138" t="s">
        <v>5524</v>
      </c>
      <c r="F138" t="str">
        <f>LEFT(C138,7)</f>
        <v>1120446</v>
      </c>
    </row>
    <row r="139" spans="1:9" ht="15" hidden="1" customHeight="1" x14ac:dyDescent="0.25">
      <c r="A139">
        <v>20104</v>
      </c>
      <c r="B139" t="s">
        <v>10</v>
      </c>
      <c r="C139" t="s">
        <v>5525</v>
      </c>
      <c r="D139" t="str">
        <f t="shared" si="8"/>
        <v/>
      </c>
      <c r="E139" t="s">
        <v>5526</v>
      </c>
      <c r="F139" t="str">
        <f>LEFT(C139,7)</f>
        <v>1120446</v>
      </c>
    </row>
    <row r="140" spans="1:9" ht="15" customHeight="1" x14ac:dyDescent="0.25">
      <c r="A140" s="2">
        <v>20105</v>
      </c>
      <c r="B140" s="2" t="s">
        <v>7</v>
      </c>
      <c r="C140" s="2" t="s">
        <v>5527</v>
      </c>
      <c r="D140" s="2" t="str">
        <f t="shared" si="8"/>
        <v/>
      </c>
      <c r="E140" s="2" t="s">
        <v>5528</v>
      </c>
      <c r="F140" s="2" t="s">
        <v>6844</v>
      </c>
      <c r="G140" s="2"/>
      <c r="H140" s="2">
        <v>4</v>
      </c>
      <c r="I140">
        <v>1</v>
      </c>
    </row>
    <row r="141" spans="1:9" ht="15" hidden="1" customHeight="1" x14ac:dyDescent="0.25">
      <c r="A141">
        <v>20106</v>
      </c>
      <c r="B141" t="s">
        <v>10</v>
      </c>
      <c r="C141" t="s">
        <v>5529</v>
      </c>
      <c r="D141" t="str">
        <f t="shared" si="8"/>
        <v/>
      </c>
      <c r="E141" t="s">
        <v>5530</v>
      </c>
      <c r="F141" t="str">
        <f>LEFT(C141,7)</f>
        <v>1120433</v>
      </c>
    </row>
    <row r="142" spans="1:9" ht="15" hidden="1" customHeight="1" x14ac:dyDescent="0.25">
      <c r="A142">
        <v>20107</v>
      </c>
      <c r="B142" t="s">
        <v>10</v>
      </c>
      <c r="C142" t="s">
        <v>5531</v>
      </c>
      <c r="D142" t="str">
        <f t="shared" si="8"/>
        <v/>
      </c>
      <c r="E142" t="s">
        <v>5532</v>
      </c>
      <c r="F142" t="str">
        <f>LEFT(C142,7)</f>
        <v>1120433</v>
      </c>
    </row>
    <row r="143" spans="1:9" ht="15" hidden="1" customHeight="1" x14ac:dyDescent="0.25">
      <c r="A143">
        <v>20108</v>
      </c>
      <c r="B143" t="s">
        <v>10</v>
      </c>
      <c r="C143" t="s">
        <v>5533</v>
      </c>
      <c r="D143" t="str">
        <f t="shared" si="8"/>
        <v/>
      </c>
      <c r="E143" t="s">
        <v>5534</v>
      </c>
      <c r="F143" t="str">
        <f>LEFT(C143,7)</f>
        <v>1120433</v>
      </c>
    </row>
    <row r="144" spans="1:9" ht="15" customHeight="1" x14ac:dyDescent="0.25">
      <c r="A144" s="2">
        <v>20109</v>
      </c>
      <c r="B144" s="2" t="s">
        <v>7</v>
      </c>
      <c r="C144" s="2" t="s">
        <v>5535</v>
      </c>
      <c r="D144" s="2" t="str">
        <f t="shared" si="8"/>
        <v/>
      </c>
      <c r="E144" s="2" t="s">
        <v>5536</v>
      </c>
      <c r="F144" s="2" t="s">
        <v>6844</v>
      </c>
      <c r="G144" s="2"/>
      <c r="H144" s="2">
        <v>4</v>
      </c>
      <c r="I144">
        <v>1</v>
      </c>
    </row>
    <row r="145" spans="1:9" ht="15" hidden="1" customHeight="1" x14ac:dyDescent="0.25">
      <c r="A145">
        <v>20110</v>
      </c>
      <c r="B145" t="s">
        <v>10</v>
      </c>
      <c r="C145" t="s">
        <v>5537</v>
      </c>
      <c r="D145" t="str">
        <f t="shared" si="8"/>
        <v/>
      </c>
      <c r="E145" t="s">
        <v>5538</v>
      </c>
      <c r="F145" t="str">
        <f t="shared" ref="F145:F156" si="9">LEFT(C145,7)</f>
        <v>1120434</v>
      </c>
    </row>
    <row r="146" spans="1:9" ht="15" hidden="1" customHeight="1" x14ac:dyDescent="0.25">
      <c r="A146">
        <v>20111</v>
      </c>
      <c r="B146" t="s">
        <v>10</v>
      </c>
      <c r="C146" t="s">
        <v>5539</v>
      </c>
      <c r="D146" t="str">
        <f t="shared" si="8"/>
        <v/>
      </c>
      <c r="E146" t="s">
        <v>5540</v>
      </c>
      <c r="F146" t="str">
        <f t="shared" si="9"/>
        <v>1120434</v>
      </c>
    </row>
    <row r="147" spans="1:9" ht="15" hidden="1" customHeight="1" x14ac:dyDescent="0.25">
      <c r="A147">
        <v>20112</v>
      </c>
      <c r="B147" t="s">
        <v>10</v>
      </c>
      <c r="C147" t="s">
        <v>5541</v>
      </c>
      <c r="D147" t="str">
        <f t="shared" si="8"/>
        <v/>
      </c>
      <c r="E147" t="s">
        <v>5542</v>
      </c>
      <c r="F147" t="str">
        <f t="shared" si="9"/>
        <v>1120434</v>
      </c>
    </row>
    <row r="148" spans="1:9" ht="15" customHeight="1" x14ac:dyDescent="0.25">
      <c r="A148" s="2">
        <v>17853</v>
      </c>
      <c r="B148" s="2" t="s">
        <v>7</v>
      </c>
      <c r="C148" s="2" t="s">
        <v>2693</v>
      </c>
      <c r="D148" s="2" t="str">
        <f t="shared" si="8"/>
        <v/>
      </c>
      <c r="E148" s="2" t="s">
        <v>2694</v>
      </c>
      <c r="F148" s="2" t="str">
        <f t="shared" si="9"/>
        <v>1120856</v>
      </c>
      <c r="G148" s="2"/>
      <c r="H148" s="2">
        <v>9</v>
      </c>
      <c r="I148">
        <v>1</v>
      </c>
    </row>
    <row r="149" spans="1:9" ht="15" hidden="1" customHeight="1" x14ac:dyDescent="0.25">
      <c r="A149">
        <v>17854</v>
      </c>
      <c r="B149" t="s">
        <v>10</v>
      </c>
      <c r="C149" t="s">
        <v>2695</v>
      </c>
      <c r="D149" t="str">
        <f t="shared" si="8"/>
        <v/>
      </c>
      <c r="E149" t="s">
        <v>2696</v>
      </c>
      <c r="F149" t="str">
        <f t="shared" si="9"/>
        <v>1120856</v>
      </c>
    </row>
    <row r="150" spans="1:9" ht="15" hidden="1" customHeight="1" x14ac:dyDescent="0.25">
      <c r="A150">
        <v>17859</v>
      </c>
      <c r="B150" t="s">
        <v>10</v>
      </c>
      <c r="C150" t="s">
        <v>2697</v>
      </c>
      <c r="D150" t="str">
        <f t="shared" si="8"/>
        <v/>
      </c>
      <c r="E150" t="s">
        <v>2698</v>
      </c>
      <c r="F150" t="str">
        <f t="shared" si="9"/>
        <v>1120856</v>
      </c>
    </row>
    <row r="151" spans="1:9" ht="15" hidden="1" customHeight="1" x14ac:dyDescent="0.25">
      <c r="A151">
        <v>17860</v>
      </c>
      <c r="B151" t="s">
        <v>10</v>
      </c>
      <c r="C151" t="s">
        <v>2699</v>
      </c>
      <c r="D151" t="str">
        <f t="shared" si="8"/>
        <v/>
      </c>
      <c r="E151" t="s">
        <v>2700</v>
      </c>
      <c r="F151" t="str">
        <f t="shared" si="9"/>
        <v>1120856</v>
      </c>
    </row>
    <row r="152" spans="1:9" ht="15" hidden="1" customHeight="1" x14ac:dyDescent="0.25">
      <c r="A152">
        <v>17861</v>
      </c>
      <c r="B152" t="s">
        <v>10</v>
      </c>
      <c r="C152" t="s">
        <v>2701</v>
      </c>
      <c r="D152" t="str">
        <f t="shared" si="8"/>
        <v/>
      </c>
      <c r="E152" t="s">
        <v>2702</v>
      </c>
      <c r="F152" t="str">
        <f t="shared" si="9"/>
        <v>1120856</v>
      </c>
    </row>
    <row r="153" spans="1:9" ht="15" hidden="1" customHeight="1" x14ac:dyDescent="0.25">
      <c r="A153">
        <v>17862</v>
      </c>
      <c r="B153" t="s">
        <v>10</v>
      </c>
      <c r="C153" t="s">
        <v>2703</v>
      </c>
      <c r="D153" t="str">
        <f t="shared" si="8"/>
        <v/>
      </c>
      <c r="E153" t="s">
        <v>2704</v>
      </c>
      <c r="F153" t="str">
        <f t="shared" si="9"/>
        <v>1120856</v>
      </c>
    </row>
    <row r="154" spans="1:9" ht="15" hidden="1" customHeight="1" x14ac:dyDescent="0.25">
      <c r="A154">
        <v>17863</v>
      </c>
      <c r="B154" t="s">
        <v>10</v>
      </c>
      <c r="C154" t="s">
        <v>2705</v>
      </c>
      <c r="D154" t="str">
        <f t="shared" si="8"/>
        <v/>
      </c>
      <c r="E154" t="s">
        <v>2706</v>
      </c>
      <c r="F154" t="str">
        <f t="shared" si="9"/>
        <v>1120856</v>
      </c>
    </row>
    <row r="155" spans="1:9" ht="15" hidden="1" customHeight="1" x14ac:dyDescent="0.25">
      <c r="A155">
        <v>17864</v>
      </c>
      <c r="B155" t="s">
        <v>10</v>
      </c>
      <c r="C155" t="s">
        <v>2707</v>
      </c>
      <c r="D155" t="str">
        <f t="shared" si="8"/>
        <v/>
      </c>
      <c r="E155" t="s">
        <v>2708</v>
      </c>
      <c r="F155" t="str">
        <f t="shared" si="9"/>
        <v>1120856</v>
      </c>
    </row>
    <row r="156" spans="1:9" ht="15" hidden="1" customHeight="1" x14ac:dyDescent="0.25">
      <c r="A156">
        <v>17865</v>
      </c>
      <c r="B156" t="s">
        <v>10</v>
      </c>
      <c r="C156" t="s">
        <v>2709</v>
      </c>
      <c r="D156" t="str">
        <f t="shared" si="8"/>
        <v/>
      </c>
      <c r="E156" t="s">
        <v>2710</v>
      </c>
      <c r="F156" t="str">
        <f t="shared" si="9"/>
        <v>1120856</v>
      </c>
    </row>
    <row r="157" spans="1:9" ht="15" customHeight="1" x14ac:dyDescent="0.25">
      <c r="A157">
        <v>17866</v>
      </c>
      <c r="B157" t="s">
        <v>7</v>
      </c>
      <c r="C157" t="s">
        <v>2711</v>
      </c>
      <c r="D157" t="str">
        <f t="shared" si="8"/>
        <v/>
      </c>
      <c r="E157" t="s">
        <v>2712</v>
      </c>
      <c r="F157" t="s">
        <v>6845</v>
      </c>
      <c r="H157" s="2">
        <v>9</v>
      </c>
      <c r="I157">
        <v>1</v>
      </c>
    </row>
    <row r="158" spans="1:9" ht="15" hidden="1" customHeight="1" x14ac:dyDescent="0.25">
      <c r="A158">
        <v>17867</v>
      </c>
      <c r="B158" t="s">
        <v>10</v>
      </c>
      <c r="C158" t="s">
        <v>2713</v>
      </c>
      <c r="D158" t="str">
        <f t="shared" si="8"/>
        <v/>
      </c>
      <c r="E158" t="s">
        <v>2714</v>
      </c>
      <c r="F158" t="str">
        <f>LEFT(C158,7)</f>
        <v>1120857</v>
      </c>
    </row>
    <row r="159" spans="1:9" ht="15" hidden="1" customHeight="1" x14ac:dyDescent="0.25">
      <c r="A159">
        <v>17868</v>
      </c>
      <c r="B159" t="s">
        <v>10</v>
      </c>
      <c r="C159" t="s">
        <v>2715</v>
      </c>
      <c r="D159" t="str">
        <f t="shared" si="8"/>
        <v/>
      </c>
      <c r="E159" t="s">
        <v>2716</v>
      </c>
      <c r="F159" t="str">
        <f>LEFT(C159,7)</f>
        <v>1120857</v>
      </c>
    </row>
    <row r="160" spans="1:9" ht="15" hidden="1" customHeight="1" x14ac:dyDescent="0.25">
      <c r="A160">
        <v>17869</v>
      </c>
      <c r="B160" t="s">
        <v>10</v>
      </c>
      <c r="C160" t="s">
        <v>2717</v>
      </c>
      <c r="D160" t="str">
        <f t="shared" si="8"/>
        <v/>
      </c>
      <c r="E160" t="s">
        <v>2718</v>
      </c>
      <c r="F160" t="str">
        <f>LEFT(C160,7)</f>
        <v>1120857</v>
      </c>
    </row>
    <row r="161" spans="1:9" ht="15" customHeight="1" x14ac:dyDescent="0.25">
      <c r="A161">
        <v>17870</v>
      </c>
      <c r="B161" t="s">
        <v>7</v>
      </c>
      <c r="C161" t="s">
        <v>2719</v>
      </c>
      <c r="D161" t="str">
        <f t="shared" si="8"/>
        <v/>
      </c>
      <c r="E161" t="s">
        <v>2720</v>
      </c>
      <c r="F161" t="s">
        <v>6845</v>
      </c>
      <c r="H161" s="2">
        <v>9</v>
      </c>
      <c r="I161">
        <v>1</v>
      </c>
    </row>
    <row r="162" spans="1:9" ht="15" hidden="1" customHeight="1" x14ac:dyDescent="0.25">
      <c r="A162">
        <v>17871</v>
      </c>
      <c r="B162" t="s">
        <v>10</v>
      </c>
      <c r="C162" t="s">
        <v>2721</v>
      </c>
      <c r="D162" t="str">
        <f t="shared" si="8"/>
        <v/>
      </c>
      <c r="E162" t="s">
        <v>2722</v>
      </c>
      <c r="F162" t="str">
        <f>LEFT(C162,7)</f>
        <v>1120860</v>
      </c>
    </row>
    <row r="163" spans="1:9" ht="15" hidden="1" customHeight="1" x14ac:dyDescent="0.25">
      <c r="A163">
        <v>17872</v>
      </c>
      <c r="B163" t="s">
        <v>10</v>
      </c>
      <c r="C163" t="s">
        <v>2723</v>
      </c>
      <c r="D163" t="str">
        <f t="shared" si="8"/>
        <v/>
      </c>
      <c r="E163" t="s">
        <v>2724</v>
      </c>
      <c r="F163" t="str">
        <f>LEFT(C163,7)</f>
        <v>1120860</v>
      </c>
    </row>
    <row r="164" spans="1:9" ht="15" hidden="1" customHeight="1" x14ac:dyDescent="0.25">
      <c r="A164">
        <v>17873</v>
      </c>
      <c r="B164" t="s">
        <v>10</v>
      </c>
      <c r="C164" t="s">
        <v>2725</v>
      </c>
      <c r="D164" t="str">
        <f t="shared" si="8"/>
        <v/>
      </c>
      <c r="E164" t="s">
        <v>2726</v>
      </c>
      <c r="F164" t="str">
        <f>LEFT(C164,7)</f>
        <v>1120860</v>
      </c>
    </row>
    <row r="165" spans="1:9" ht="15" customHeight="1" x14ac:dyDescent="0.25">
      <c r="A165">
        <v>20486</v>
      </c>
      <c r="B165" t="s">
        <v>7</v>
      </c>
      <c r="C165" t="s">
        <v>5913</v>
      </c>
      <c r="D165" t="str">
        <f t="shared" si="8"/>
        <v/>
      </c>
      <c r="E165" t="s">
        <v>5914</v>
      </c>
      <c r="F165" t="s">
        <v>6845</v>
      </c>
      <c r="H165" s="2">
        <v>9</v>
      </c>
      <c r="I165">
        <v>1</v>
      </c>
    </row>
    <row r="166" spans="1:9" ht="15" hidden="1" customHeight="1" x14ac:dyDescent="0.25">
      <c r="A166">
        <v>20487</v>
      </c>
      <c r="B166" t="s">
        <v>10</v>
      </c>
      <c r="C166" t="s">
        <v>5915</v>
      </c>
      <c r="D166" t="str">
        <f t="shared" si="8"/>
        <v/>
      </c>
      <c r="E166" t="s">
        <v>5916</v>
      </c>
      <c r="F166" t="str">
        <f t="shared" ref="F166:F177" si="10">LEFT(C166,7)</f>
        <v>1120861</v>
      </c>
    </row>
    <row r="167" spans="1:9" ht="15" hidden="1" customHeight="1" x14ac:dyDescent="0.25">
      <c r="A167">
        <v>20488</v>
      </c>
      <c r="B167" t="s">
        <v>10</v>
      </c>
      <c r="C167" t="s">
        <v>5917</v>
      </c>
      <c r="D167" t="str">
        <f t="shared" si="8"/>
        <v/>
      </c>
      <c r="E167" t="s">
        <v>5918</v>
      </c>
      <c r="F167" t="str">
        <f t="shared" si="10"/>
        <v>1120861</v>
      </c>
    </row>
    <row r="168" spans="1:9" ht="15" hidden="1" customHeight="1" x14ac:dyDescent="0.25">
      <c r="A168">
        <v>20489</v>
      </c>
      <c r="B168" t="s">
        <v>10</v>
      </c>
      <c r="C168" t="s">
        <v>5919</v>
      </c>
      <c r="D168" t="str">
        <f t="shared" si="8"/>
        <v/>
      </c>
      <c r="E168" t="s">
        <v>5920</v>
      </c>
      <c r="F168" t="str">
        <f t="shared" si="10"/>
        <v>1120861</v>
      </c>
    </row>
    <row r="169" spans="1:9" ht="15" customHeight="1" x14ac:dyDescent="0.25">
      <c r="A169">
        <v>15017</v>
      </c>
      <c r="B169" t="s">
        <v>7</v>
      </c>
      <c r="C169" t="s">
        <v>411</v>
      </c>
      <c r="D169" t="str">
        <f t="shared" si="8"/>
        <v/>
      </c>
      <c r="E169" t="s">
        <v>412</v>
      </c>
      <c r="F169" t="str">
        <f t="shared" si="10"/>
        <v>1120640</v>
      </c>
      <c r="H169">
        <v>4</v>
      </c>
      <c r="I169">
        <v>1</v>
      </c>
    </row>
    <row r="170" spans="1:9" ht="15" hidden="1" customHeight="1" x14ac:dyDescent="0.25">
      <c r="A170">
        <v>15018</v>
      </c>
      <c r="B170" t="s">
        <v>10</v>
      </c>
      <c r="C170" t="s">
        <v>413</v>
      </c>
      <c r="D170" t="str">
        <f t="shared" si="8"/>
        <v/>
      </c>
      <c r="E170" t="s">
        <v>414</v>
      </c>
      <c r="F170" t="str">
        <f t="shared" si="10"/>
        <v>1120640</v>
      </c>
    </row>
    <row r="171" spans="1:9" ht="15" hidden="1" customHeight="1" x14ac:dyDescent="0.25">
      <c r="A171">
        <v>15023</v>
      </c>
      <c r="B171" t="s">
        <v>10</v>
      </c>
      <c r="C171" t="s">
        <v>415</v>
      </c>
      <c r="D171" t="str">
        <f t="shared" si="8"/>
        <v/>
      </c>
      <c r="E171" t="s">
        <v>416</v>
      </c>
      <c r="F171" t="str">
        <f t="shared" si="10"/>
        <v>1120640</v>
      </c>
    </row>
    <row r="172" spans="1:9" ht="15" hidden="1" customHeight="1" x14ac:dyDescent="0.25">
      <c r="A172">
        <v>15024</v>
      </c>
      <c r="B172" t="s">
        <v>10</v>
      </c>
      <c r="C172" t="s">
        <v>417</v>
      </c>
      <c r="D172" t="str">
        <f t="shared" si="8"/>
        <v/>
      </c>
      <c r="E172" t="s">
        <v>418</v>
      </c>
      <c r="F172" t="str">
        <f t="shared" si="10"/>
        <v>1120640</v>
      </c>
    </row>
    <row r="173" spans="1:9" ht="15" hidden="1" customHeight="1" x14ac:dyDescent="0.25">
      <c r="A173">
        <v>15025</v>
      </c>
      <c r="B173" t="s">
        <v>10</v>
      </c>
      <c r="C173" t="s">
        <v>419</v>
      </c>
      <c r="D173" t="str">
        <f t="shared" si="8"/>
        <v/>
      </c>
      <c r="E173" t="s">
        <v>420</v>
      </c>
      <c r="F173" t="str">
        <f t="shared" si="10"/>
        <v>1120640</v>
      </c>
    </row>
    <row r="174" spans="1:9" ht="15" hidden="1" customHeight="1" x14ac:dyDescent="0.25">
      <c r="A174">
        <v>15026</v>
      </c>
      <c r="B174" t="s">
        <v>10</v>
      </c>
      <c r="C174" t="s">
        <v>421</v>
      </c>
      <c r="D174" t="str">
        <f t="shared" si="8"/>
        <v/>
      </c>
      <c r="E174" t="s">
        <v>422</v>
      </c>
      <c r="F174" t="str">
        <f t="shared" si="10"/>
        <v>1120640</v>
      </c>
    </row>
    <row r="175" spans="1:9" ht="15" hidden="1" customHeight="1" x14ac:dyDescent="0.25">
      <c r="A175">
        <v>15027</v>
      </c>
      <c r="B175" t="s">
        <v>10</v>
      </c>
      <c r="C175" t="s">
        <v>423</v>
      </c>
      <c r="D175" t="str">
        <f t="shared" si="8"/>
        <v/>
      </c>
      <c r="E175" t="s">
        <v>424</v>
      </c>
      <c r="F175" t="str">
        <f t="shared" si="10"/>
        <v>1120640</v>
      </c>
    </row>
    <row r="176" spans="1:9" ht="15" hidden="1" customHeight="1" x14ac:dyDescent="0.25">
      <c r="A176">
        <v>15028</v>
      </c>
      <c r="B176" t="s">
        <v>10</v>
      </c>
      <c r="C176" t="s">
        <v>425</v>
      </c>
      <c r="D176" t="str">
        <f t="shared" si="8"/>
        <v/>
      </c>
      <c r="E176" t="s">
        <v>426</v>
      </c>
      <c r="F176" t="str">
        <f t="shared" si="10"/>
        <v>1120640</v>
      </c>
    </row>
    <row r="177" spans="1:9" ht="15" hidden="1" customHeight="1" x14ac:dyDescent="0.25">
      <c r="A177">
        <v>15029</v>
      </c>
      <c r="B177" t="s">
        <v>10</v>
      </c>
      <c r="C177" t="s">
        <v>427</v>
      </c>
      <c r="D177" t="str">
        <f t="shared" si="8"/>
        <v/>
      </c>
      <c r="E177" t="s">
        <v>428</v>
      </c>
      <c r="F177" t="str">
        <f t="shared" si="10"/>
        <v>1120640</v>
      </c>
    </row>
    <row r="178" spans="1:9" ht="15" customHeight="1" x14ac:dyDescent="0.25">
      <c r="A178">
        <v>20113</v>
      </c>
      <c r="B178" t="s">
        <v>7</v>
      </c>
      <c r="C178" t="s">
        <v>5543</v>
      </c>
      <c r="D178" t="str">
        <f t="shared" si="8"/>
        <v/>
      </c>
      <c r="E178" t="s">
        <v>5544</v>
      </c>
      <c r="F178" t="s">
        <v>6846</v>
      </c>
      <c r="H178">
        <v>4</v>
      </c>
      <c r="I178">
        <v>1</v>
      </c>
    </row>
    <row r="179" spans="1:9" ht="15" hidden="1" customHeight="1" x14ac:dyDescent="0.25">
      <c r="A179">
        <v>20114</v>
      </c>
      <c r="B179" t="s">
        <v>10</v>
      </c>
      <c r="C179" t="s">
        <v>5545</v>
      </c>
      <c r="D179" t="str">
        <f t="shared" si="8"/>
        <v/>
      </c>
      <c r="E179" t="s">
        <v>5546</v>
      </c>
      <c r="F179" t="str">
        <f>LEFT(C179,7)</f>
        <v>1120641</v>
      </c>
    </row>
    <row r="180" spans="1:9" ht="15" hidden="1" customHeight="1" x14ac:dyDescent="0.25">
      <c r="A180">
        <v>20115</v>
      </c>
      <c r="B180" t="s">
        <v>10</v>
      </c>
      <c r="C180" t="s">
        <v>5547</v>
      </c>
      <c r="D180" t="str">
        <f t="shared" si="8"/>
        <v/>
      </c>
      <c r="E180" t="s">
        <v>5548</v>
      </c>
      <c r="F180" t="str">
        <f>LEFT(C180,7)</f>
        <v>1120641</v>
      </c>
    </row>
    <row r="181" spans="1:9" ht="15" hidden="1" customHeight="1" x14ac:dyDescent="0.25">
      <c r="A181">
        <v>20116</v>
      </c>
      <c r="B181" t="s">
        <v>10</v>
      </c>
      <c r="C181" t="s">
        <v>5549</v>
      </c>
      <c r="D181" t="str">
        <f t="shared" si="8"/>
        <v/>
      </c>
      <c r="E181" t="s">
        <v>5550</v>
      </c>
      <c r="F181" t="str">
        <f>LEFT(C181,7)</f>
        <v>1120641</v>
      </c>
    </row>
    <row r="182" spans="1:9" ht="15" customHeight="1" x14ac:dyDescent="0.25">
      <c r="A182">
        <v>20117</v>
      </c>
      <c r="B182" t="s">
        <v>7</v>
      </c>
      <c r="C182" t="s">
        <v>5551</v>
      </c>
      <c r="D182" t="str">
        <f t="shared" si="8"/>
        <v/>
      </c>
      <c r="E182" t="s">
        <v>5552</v>
      </c>
      <c r="F182" t="s">
        <v>6846</v>
      </c>
      <c r="H182">
        <v>4</v>
      </c>
      <c r="I182">
        <v>1</v>
      </c>
    </row>
    <row r="183" spans="1:9" ht="15" hidden="1" customHeight="1" x14ac:dyDescent="0.25">
      <c r="A183">
        <v>20118</v>
      </c>
      <c r="B183" t="s">
        <v>10</v>
      </c>
      <c r="C183" t="s">
        <v>5553</v>
      </c>
      <c r="D183" t="str">
        <f t="shared" si="8"/>
        <v/>
      </c>
      <c r="E183" t="s">
        <v>5554</v>
      </c>
      <c r="F183" t="str">
        <f t="shared" ref="F183:F194" si="11">LEFT(C183,7)</f>
        <v>1120642</v>
      </c>
    </row>
    <row r="184" spans="1:9" ht="15" hidden="1" customHeight="1" x14ac:dyDescent="0.25">
      <c r="A184">
        <v>20119</v>
      </c>
      <c r="B184" t="s">
        <v>10</v>
      </c>
      <c r="C184" t="s">
        <v>5555</v>
      </c>
      <c r="D184" t="str">
        <f t="shared" si="8"/>
        <v/>
      </c>
      <c r="E184" t="s">
        <v>5556</v>
      </c>
      <c r="F184" t="str">
        <f t="shared" si="11"/>
        <v>1120642</v>
      </c>
    </row>
    <row r="185" spans="1:9" ht="15" hidden="1" customHeight="1" x14ac:dyDescent="0.25">
      <c r="A185">
        <v>20120</v>
      </c>
      <c r="B185" t="s">
        <v>10</v>
      </c>
      <c r="C185" t="s">
        <v>5557</v>
      </c>
      <c r="D185" t="str">
        <f t="shared" si="8"/>
        <v/>
      </c>
      <c r="E185" t="s">
        <v>5558</v>
      </c>
      <c r="F185" t="str">
        <f t="shared" si="11"/>
        <v>1120642</v>
      </c>
    </row>
    <row r="186" spans="1:9" ht="15" customHeight="1" x14ac:dyDescent="0.25">
      <c r="A186">
        <v>21175</v>
      </c>
      <c r="B186" t="s">
        <v>7</v>
      </c>
      <c r="C186" t="s">
        <v>6615</v>
      </c>
      <c r="D186" t="str">
        <f t="shared" si="8"/>
        <v/>
      </c>
      <c r="E186" t="s">
        <v>6616</v>
      </c>
      <c r="F186" t="str">
        <f t="shared" si="11"/>
        <v>1120623</v>
      </c>
      <c r="H186">
        <v>4</v>
      </c>
      <c r="I186">
        <v>1</v>
      </c>
    </row>
    <row r="187" spans="1:9" ht="15" hidden="1" customHeight="1" x14ac:dyDescent="0.25">
      <c r="A187">
        <v>21176</v>
      </c>
      <c r="B187" t="s">
        <v>10</v>
      </c>
      <c r="C187" t="s">
        <v>6617</v>
      </c>
      <c r="D187" t="str">
        <f t="shared" si="8"/>
        <v/>
      </c>
      <c r="E187" t="s">
        <v>6618</v>
      </c>
      <c r="F187" t="str">
        <f t="shared" si="11"/>
        <v>1120623</v>
      </c>
    </row>
    <row r="188" spans="1:9" ht="15" hidden="1" customHeight="1" x14ac:dyDescent="0.25">
      <c r="A188">
        <v>21181</v>
      </c>
      <c r="B188" t="s">
        <v>10</v>
      </c>
      <c r="C188" t="s">
        <v>6619</v>
      </c>
      <c r="D188" t="str">
        <f t="shared" si="8"/>
        <v/>
      </c>
      <c r="E188" t="s">
        <v>6620</v>
      </c>
      <c r="F188" t="str">
        <f t="shared" si="11"/>
        <v>1120623</v>
      </c>
    </row>
    <row r="189" spans="1:9" ht="15" hidden="1" customHeight="1" x14ac:dyDescent="0.25">
      <c r="A189">
        <v>21182</v>
      </c>
      <c r="B189" t="s">
        <v>10</v>
      </c>
      <c r="C189" t="s">
        <v>6621</v>
      </c>
      <c r="D189" t="str">
        <f t="shared" si="8"/>
        <v/>
      </c>
      <c r="E189" t="s">
        <v>6622</v>
      </c>
      <c r="F189" t="str">
        <f t="shared" si="11"/>
        <v>1120623</v>
      </c>
    </row>
    <row r="190" spans="1:9" ht="15" hidden="1" customHeight="1" x14ac:dyDescent="0.25">
      <c r="A190">
        <v>21183</v>
      </c>
      <c r="B190" t="s">
        <v>10</v>
      </c>
      <c r="C190" t="s">
        <v>6623</v>
      </c>
      <c r="D190" t="str">
        <f t="shared" si="8"/>
        <v/>
      </c>
      <c r="E190" t="s">
        <v>6624</v>
      </c>
      <c r="F190" t="str">
        <f t="shared" si="11"/>
        <v>1120623</v>
      </c>
    </row>
    <row r="191" spans="1:9" ht="15" hidden="1" customHeight="1" x14ac:dyDescent="0.25">
      <c r="A191">
        <v>21184</v>
      </c>
      <c r="B191" t="s">
        <v>10</v>
      </c>
      <c r="C191" t="s">
        <v>6625</v>
      </c>
      <c r="D191" t="str">
        <f t="shared" si="8"/>
        <v/>
      </c>
      <c r="E191" t="s">
        <v>6626</v>
      </c>
      <c r="F191" t="str">
        <f t="shared" si="11"/>
        <v>1120623</v>
      </c>
    </row>
    <row r="192" spans="1:9" ht="15" hidden="1" customHeight="1" x14ac:dyDescent="0.25">
      <c r="A192">
        <v>21185</v>
      </c>
      <c r="B192" t="s">
        <v>10</v>
      </c>
      <c r="C192" t="s">
        <v>6627</v>
      </c>
      <c r="D192" t="str">
        <f t="shared" si="8"/>
        <v/>
      </c>
      <c r="E192" t="s">
        <v>6628</v>
      </c>
      <c r="F192" t="str">
        <f t="shared" si="11"/>
        <v>1120623</v>
      </c>
    </row>
    <row r="193" spans="1:9" ht="15" hidden="1" customHeight="1" x14ac:dyDescent="0.25">
      <c r="A193">
        <v>21186</v>
      </c>
      <c r="B193" t="s">
        <v>10</v>
      </c>
      <c r="C193" t="s">
        <v>6629</v>
      </c>
      <c r="D193" t="str">
        <f t="shared" si="8"/>
        <v/>
      </c>
      <c r="E193" t="s">
        <v>6630</v>
      </c>
      <c r="F193" t="str">
        <f t="shared" si="11"/>
        <v>1120623</v>
      </c>
    </row>
    <row r="194" spans="1:9" ht="15" hidden="1" customHeight="1" x14ac:dyDescent="0.25">
      <c r="A194">
        <v>21187</v>
      </c>
      <c r="B194" t="s">
        <v>10</v>
      </c>
      <c r="C194" t="s">
        <v>6631</v>
      </c>
      <c r="D194" t="str">
        <f t="shared" si="8"/>
        <v/>
      </c>
      <c r="E194" t="s">
        <v>6632</v>
      </c>
      <c r="F194" t="str">
        <f t="shared" si="11"/>
        <v>1120623</v>
      </c>
    </row>
    <row r="195" spans="1:9" ht="15" customHeight="1" x14ac:dyDescent="0.25">
      <c r="A195">
        <v>21188</v>
      </c>
      <c r="B195" t="s">
        <v>7</v>
      </c>
      <c r="C195" t="s">
        <v>6633</v>
      </c>
      <c r="D195" t="str">
        <f t="shared" si="8"/>
        <v/>
      </c>
      <c r="E195" t="s">
        <v>6634</v>
      </c>
      <c r="F195" t="s">
        <v>6847</v>
      </c>
      <c r="H195">
        <v>4</v>
      </c>
      <c r="I195">
        <v>1</v>
      </c>
    </row>
    <row r="196" spans="1:9" ht="15" hidden="1" customHeight="1" x14ac:dyDescent="0.25">
      <c r="A196">
        <v>21189</v>
      </c>
      <c r="B196" t="s">
        <v>10</v>
      </c>
      <c r="C196" t="s">
        <v>6635</v>
      </c>
      <c r="D196" t="str">
        <f t="shared" si="8"/>
        <v/>
      </c>
      <c r="E196" t="s">
        <v>6636</v>
      </c>
      <c r="F196" t="str">
        <f t="shared" ref="F196:F207" si="12">LEFT(C196,7)</f>
        <v>1120624</v>
      </c>
    </row>
    <row r="197" spans="1:9" ht="15" hidden="1" customHeight="1" x14ac:dyDescent="0.25">
      <c r="A197">
        <v>21190</v>
      </c>
      <c r="B197" t="s">
        <v>10</v>
      </c>
      <c r="C197" t="s">
        <v>6637</v>
      </c>
      <c r="D197" t="str">
        <f t="shared" si="8"/>
        <v/>
      </c>
      <c r="E197" t="s">
        <v>6638</v>
      </c>
      <c r="F197" t="str">
        <f t="shared" si="12"/>
        <v>1120624</v>
      </c>
    </row>
    <row r="198" spans="1:9" ht="15" hidden="1" customHeight="1" x14ac:dyDescent="0.25">
      <c r="A198">
        <v>21191</v>
      </c>
      <c r="B198" t="s">
        <v>10</v>
      </c>
      <c r="C198" t="s">
        <v>6639</v>
      </c>
      <c r="D198" t="str">
        <f t="shared" ref="D198:D261" si="13">IF(RIGHT(LEFT(C198,9),2)="##","",RIGHT(LEFT(C198,10),2))</f>
        <v/>
      </c>
      <c r="E198" t="s">
        <v>6640</v>
      </c>
      <c r="F198" t="str">
        <f t="shared" si="12"/>
        <v>1120624</v>
      </c>
    </row>
    <row r="199" spans="1:9" ht="15" customHeight="1" x14ac:dyDescent="0.25">
      <c r="A199">
        <v>21162</v>
      </c>
      <c r="B199" t="s">
        <v>7</v>
      </c>
      <c r="C199" t="s">
        <v>6597</v>
      </c>
      <c r="D199" t="str">
        <f t="shared" si="13"/>
        <v/>
      </c>
      <c r="E199" t="s">
        <v>6598</v>
      </c>
      <c r="F199" t="str">
        <f t="shared" si="12"/>
        <v>1120850</v>
      </c>
      <c r="H199">
        <v>4</v>
      </c>
      <c r="I199">
        <v>1</v>
      </c>
    </row>
    <row r="200" spans="1:9" ht="15" hidden="1" customHeight="1" x14ac:dyDescent="0.25">
      <c r="A200">
        <v>21163</v>
      </c>
      <c r="B200" t="s">
        <v>10</v>
      </c>
      <c r="C200" t="s">
        <v>6599</v>
      </c>
      <c r="D200" t="str">
        <f t="shared" si="13"/>
        <v/>
      </c>
      <c r="E200" t="s">
        <v>6600</v>
      </c>
      <c r="F200" t="str">
        <f t="shared" si="12"/>
        <v>1120850</v>
      </c>
    </row>
    <row r="201" spans="1:9" ht="15" hidden="1" customHeight="1" x14ac:dyDescent="0.25">
      <c r="A201">
        <v>21168</v>
      </c>
      <c r="B201" t="s">
        <v>10</v>
      </c>
      <c r="C201" t="s">
        <v>6601</v>
      </c>
      <c r="D201" t="str">
        <f t="shared" si="13"/>
        <v/>
      </c>
      <c r="E201" t="s">
        <v>6602</v>
      </c>
      <c r="F201" t="str">
        <f t="shared" si="12"/>
        <v>1120850</v>
      </c>
    </row>
    <row r="202" spans="1:9" ht="15" hidden="1" customHeight="1" x14ac:dyDescent="0.25">
      <c r="A202">
        <v>21169</v>
      </c>
      <c r="B202" t="s">
        <v>10</v>
      </c>
      <c r="C202" t="s">
        <v>6603</v>
      </c>
      <c r="D202" t="str">
        <f t="shared" si="13"/>
        <v/>
      </c>
      <c r="E202" t="s">
        <v>6604</v>
      </c>
      <c r="F202" t="str">
        <f t="shared" si="12"/>
        <v>1120850</v>
      </c>
    </row>
    <row r="203" spans="1:9" ht="15" hidden="1" customHeight="1" x14ac:dyDescent="0.25">
      <c r="A203">
        <v>21170</v>
      </c>
      <c r="B203" t="s">
        <v>10</v>
      </c>
      <c r="C203" t="s">
        <v>6605</v>
      </c>
      <c r="D203" t="str">
        <f t="shared" si="13"/>
        <v/>
      </c>
      <c r="E203" t="s">
        <v>6606</v>
      </c>
      <c r="F203" t="str">
        <f t="shared" si="12"/>
        <v>1120850</v>
      </c>
    </row>
    <row r="204" spans="1:9" ht="15" hidden="1" customHeight="1" x14ac:dyDescent="0.25">
      <c r="A204">
        <v>21171</v>
      </c>
      <c r="B204" t="s">
        <v>10</v>
      </c>
      <c r="C204" t="s">
        <v>6607</v>
      </c>
      <c r="D204" t="str">
        <f t="shared" si="13"/>
        <v/>
      </c>
      <c r="E204" t="s">
        <v>6608</v>
      </c>
      <c r="F204" t="str">
        <f t="shared" si="12"/>
        <v>1120850</v>
      </c>
    </row>
    <row r="205" spans="1:9" ht="15" hidden="1" customHeight="1" x14ac:dyDescent="0.25">
      <c r="A205">
        <v>21172</v>
      </c>
      <c r="B205" t="s">
        <v>10</v>
      </c>
      <c r="C205" t="s">
        <v>6609</v>
      </c>
      <c r="D205" t="str">
        <f t="shared" si="13"/>
        <v/>
      </c>
      <c r="E205" t="s">
        <v>6610</v>
      </c>
      <c r="F205" t="str">
        <f t="shared" si="12"/>
        <v>1120850</v>
      </c>
    </row>
    <row r="206" spans="1:9" ht="15" hidden="1" customHeight="1" x14ac:dyDescent="0.25">
      <c r="A206">
        <v>21173</v>
      </c>
      <c r="B206" t="s">
        <v>10</v>
      </c>
      <c r="C206" t="s">
        <v>6611</v>
      </c>
      <c r="D206" t="str">
        <f t="shared" si="13"/>
        <v/>
      </c>
      <c r="E206" t="s">
        <v>6612</v>
      </c>
      <c r="F206" t="str">
        <f t="shared" si="12"/>
        <v>1120850</v>
      </c>
    </row>
    <row r="207" spans="1:9" ht="15" hidden="1" customHeight="1" x14ac:dyDescent="0.25">
      <c r="A207">
        <v>21174</v>
      </c>
      <c r="B207" t="s">
        <v>10</v>
      </c>
      <c r="C207" t="s">
        <v>6613</v>
      </c>
      <c r="D207" t="str">
        <f t="shared" si="13"/>
        <v/>
      </c>
      <c r="E207" t="s">
        <v>6614</v>
      </c>
      <c r="F207" t="str">
        <f t="shared" si="12"/>
        <v>1120850</v>
      </c>
    </row>
    <row r="208" spans="1:9" ht="15" customHeight="1" x14ac:dyDescent="0.25">
      <c r="A208">
        <v>21192</v>
      </c>
      <c r="B208" t="s">
        <v>7</v>
      </c>
      <c r="C208" t="s">
        <v>6641</v>
      </c>
      <c r="D208" t="str">
        <f t="shared" si="13"/>
        <v/>
      </c>
      <c r="E208" t="s">
        <v>6642</v>
      </c>
      <c r="F208" t="s">
        <v>6848</v>
      </c>
      <c r="H208">
        <v>4</v>
      </c>
      <c r="I208">
        <v>1</v>
      </c>
    </row>
    <row r="209" spans="1:9" ht="15" hidden="1" customHeight="1" x14ac:dyDescent="0.25">
      <c r="A209">
        <v>21193</v>
      </c>
      <c r="B209" t="s">
        <v>10</v>
      </c>
      <c r="C209" t="s">
        <v>6643</v>
      </c>
      <c r="D209" t="str">
        <f t="shared" si="13"/>
        <v/>
      </c>
      <c r="E209" t="s">
        <v>6644</v>
      </c>
      <c r="F209" t="str">
        <f>LEFT(C209,7)</f>
        <v>1120851</v>
      </c>
    </row>
    <row r="210" spans="1:9" ht="15" hidden="1" customHeight="1" x14ac:dyDescent="0.25">
      <c r="A210">
        <v>21194</v>
      </c>
      <c r="B210" t="s">
        <v>10</v>
      </c>
      <c r="C210" t="s">
        <v>6645</v>
      </c>
      <c r="D210" t="str">
        <f t="shared" si="13"/>
        <v/>
      </c>
      <c r="E210" t="s">
        <v>6646</v>
      </c>
      <c r="F210" t="str">
        <f>LEFT(C210,7)</f>
        <v>1120851</v>
      </c>
    </row>
    <row r="211" spans="1:9" ht="15" hidden="1" customHeight="1" x14ac:dyDescent="0.25">
      <c r="A211">
        <v>21195</v>
      </c>
      <c r="B211" t="s">
        <v>10</v>
      </c>
      <c r="C211" t="s">
        <v>6647</v>
      </c>
      <c r="D211" t="str">
        <f t="shared" si="13"/>
        <v/>
      </c>
      <c r="E211" t="s">
        <v>6648</v>
      </c>
      <c r="F211" t="str">
        <f>LEFT(C211,7)</f>
        <v>1120851</v>
      </c>
    </row>
    <row r="212" spans="1:9" ht="15" customHeight="1" x14ac:dyDescent="0.25">
      <c r="A212">
        <v>21196</v>
      </c>
      <c r="B212" t="s">
        <v>7</v>
      </c>
      <c r="C212" t="s">
        <v>6649</v>
      </c>
      <c r="D212" t="str">
        <f t="shared" si="13"/>
        <v/>
      </c>
      <c r="E212" t="s">
        <v>6650</v>
      </c>
      <c r="F212" t="s">
        <v>6848</v>
      </c>
      <c r="H212">
        <v>4</v>
      </c>
      <c r="I212">
        <v>1</v>
      </c>
    </row>
    <row r="213" spans="1:9" ht="15" hidden="1" customHeight="1" x14ac:dyDescent="0.25">
      <c r="A213">
        <v>21197</v>
      </c>
      <c r="B213" t="s">
        <v>10</v>
      </c>
      <c r="C213" t="s">
        <v>6651</v>
      </c>
      <c r="D213" t="str">
        <f t="shared" si="13"/>
        <v/>
      </c>
      <c r="E213" t="s">
        <v>6652</v>
      </c>
      <c r="F213" t="str">
        <f t="shared" ref="F213:F224" si="14">LEFT(C213,7)</f>
        <v>1120852</v>
      </c>
    </row>
    <row r="214" spans="1:9" ht="15" hidden="1" customHeight="1" x14ac:dyDescent="0.25">
      <c r="A214">
        <v>21198</v>
      </c>
      <c r="B214" t="s">
        <v>10</v>
      </c>
      <c r="C214" t="s">
        <v>6653</v>
      </c>
      <c r="D214" t="str">
        <f t="shared" si="13"/>
        <v/>
      </c>
      <c r="E214" t="s">
        <v>6654</v>
      </c>
      <c r="F214" t="str">
        <f t="shared" si="14"/>
        <v>1120852</v>
      </c>
    </row>
    <row r="215" spans="1:9" ht="15" hidden="1" customHeight="1" x14ac:dyDescent="0.25">
      <c r="A215">
        <v>21199</v>
      </c>
      <c r="B215" t="s">
        <v>10</v>
      </c>
      <c r="C215" t="s">
        <v>6655</v>
      </c>
      <c r="D215" t="str">
        <f t="shared" si="13"/>
        <v/>
      </c>
      <c r="E215" t="s">
        <v>6656</v>
      </c>
      <c r="F215" t="str">
        <f t="shared" si="14"/>
        <v>1120852</v>
      </c>
    </row>
    <row r="216" spans="1:9" ht="15" customHeight="1" x14ac:dyDescent="0.25">
      <c r="A216">
        <v>15003</v>
      </c>
      <c r="B216" t="s">
        <v>7</v>
      </c>
      <c r="C216" t="s">
        <v>393</v>
      </c>
      <c r="D216" t="str">
        <f t="shared" si="13"/>
        <v/>
      </c>
      <c r="E216" t="s">
        <v>394</v>
      </c>
      <c r="F216" t="str">
        <f t="shared" si="14"/>
        <v>1120858</v>
      </c>
      <c r="H216" s="2">
        <v>9</v>
      </c>
      <c r="I216">
        <v>1</v>
      </c>
    </row>
    <row r="217" spans="1:9" ht="15" hidden="1" customHeight="1" x14ac:dyDescent="0.25">
      <c r="A217">
        <v>15004</v>
      </c>
      <c r="B217" t="s">
        <v>10</v>
      </c>
      <c r="C217" t="s">
        <v>395</v>
      </c>
      <c r="D217" t="str">
        <f t="shared" si="13"/>
        <v/>
      </c>
      <c r="E217" t="s">
        <v>396</v>
      </c>
      <c r="F217" t="str">
        <f t="shared" si="14"/>
        <v>1120858</v>
      </c>
    </row>
    <row r="218" spans="1:9" ht="15" hidden="1" customHeight="1" x14ac:dyDescent="0.25">
      <c r="A218">
        <v>15010</v>
      </c>
      <c r="B218" t="s">
        <v>10</v>
      </c>
      <c r="C218" t="s">
        <v>397</v>
      </c>
      <c r="D218" t="str">
        <f t="shared" si="13"/>
        <v/>
      </c>
      <c r="E218" t="s">
        <v>398</v>
      </c>
      <c r="F218" t="str">
        <f t="shared" si="14"/>
        <v>1120858</v>
      </c>
    </row>
    <row r="219" spans="1:9" ht="15" hidden="1" customHeight="1" x14ac:dyDescent="0.25">
      <c r="A219">
        <v>15011</v>
      </c>
      <c r="B219" t="s">
        <v>10</v>
      </c>
      <c r="C219" t="s">
        <v>399</v>
      </c>
      <c r="D219" t="str">
        <f t="shared" si="13"/>
        <v/>
      </c>
      <c r="E219" t="s">
        <v>400</v>
      </c>
      <c r="F219" t="str">
        <f t="shared" si="14"/>
        <v>1120858</v>
      </c>
    </row>
    <row r="220" spans="1:9" ht="15" hidden="1" customHeight="1" x14ac:dyDescent="0.25">
      <c r="A220">
        <v>15012</v>
      </c>
      <c r="B220" t="s">
        <v>10</v>
      </c>
      <c r="C220" t="s">
        <v>401</v>
      </c>
      <c r="D220" t="str">
        <f t="shared" si="13"/>
        <v/>
      </c>
      <c r="E220" t="s">
        <v>402</v>
      </c>
      <c r="F220" t="str">
        <f t="shared" si="14"/>
        <v>1120858</v>
      </c>
    </row>
    <row r="221" spans="1:9" ht="15" hidden="1" customHeight="1" x14ac:dyDescent="0.25">
      <c r="A221">
        <v>15013</v>
      </c>
      <c r="B221" t="s">
        <v>10</v>
      </c>
      <c r="C221" t="s">
        <v>403</v>
      </c>
      <c r="D221" t="str">
        <f t="shared" si="13"/>
        <v/>
      </c>
      <c r="E221" t="s">
        <v>404</v>
      </c>
      <c r="F221" t="str">
        <f t="shared" si="14"/>
        <v>1120858</v>
      </c>
    </row>
    <row r="222" spans="1:9" ht="15" hidden="1" customHeight="1" x14ac:dyDescent="0.25">
      <c r="A222">
        <v>15014</v>
      </c>
      <c r="B222" t="s">
        <v>10</v>
      </c>
      <c r="C222" t="s">
        <v>405</v>
      </c>
      <c r="D222" t="str">
        <f t="shared" si="13"/>
        <v/>
      </c>
      <c r="E222" t="s">
        <v>406</v>
      </c>
      <c r="F222" t="str">
        <f t="shared" si="14"/>
        <v>1120858</v>
      </c>
    </row>
    <row r="223" spans="1:9" ht="15" hidden="1" customHeight="1" x14ac:dyDescent="0.25">
      <c r="A223">
        <v>15015</v>
      </c>
      <c r="B223" t="s">
        <v>10</v>
      </c>
      <c r="C223" t="s">
        <v>407</v>
      </c>
      <c r="D223" t="str">
        <f t="shared" si="13"/>
        <v/>
      </c>
      <c r="E223" t="s">
        <v>408</v>
      </c>
      <c r="F223" t="str">
        <f t="shared" si="14"/>
        <v>1120858</v>
      </c>
    </row>
    <row r="224" spans="1:9" ht="15" hidden="1" customHeight="1" x14ac:dyDescent="0.25">
      <c r="A224">
        <v>15016</v>
      </c>
      <c r="B224" t="s">
        <v>10</v>
      </c>
      <c r="C224" t="s">
        <v>409</v>
      </c>
      <c r="D224" t="str">
        <f t="shared" si="13"/>
        <v/>
      </c>
      <c r="E224" t="s">
        <v>410</v>
      </c>
      <c r="F224" t="str">
        <f t="shared" si="14"/>
        <v>1120858</v>
      </c>
    </row>
    <row r="225" spans="1:9" ht="15" customHeight="1" x14ac:dyDescent="0.25">
      <c r="A225">
        <v>17047</v>
      </c>
      <c r="B225" t="s">
        <v>7</v>
      </c>
      <c r="C225" t="s">
        <v>1914</v>
      </c>
      <c r="D225" t="str">
        <f t="shared" si="13"/>
        <v/>
      </c>
      <c r="E225" t="s">
        <v>1915</v>
      </c>
      <c r="F225" t="s">
        <v>6849</v>
      </c>
      <c r="H225" s="2">
        <v>9</v>
      </c>
      <c r="I225">
        <v>1</v>
      </c>
    </row>
    <row r="226" spans="1:9" ht="15" hidden="1" customHeight="1" x14ac:dyDescent="0.25">
      <c r="A226">
        <v>17048</v>
      </c>
      <c r="B226" t="s">
        <v>10</v>
      </c>
      <c r="C226" t="s">
        <v>1916</v>
      </c>
      <c r="D226" t="str">
        <f t="shared" si="13"/>
        <v/>
      </c>
      <c r="E226" t="s">
        <v>1917</v>
      </c>
      <c r="F226" t="str">
        <f>LEFT(C226,7)</f>
        <v>1120859</v>
      </c>
    </row>
    <row r="227" spans="1:9" ht="15" hidden="1" customHeight="1" x14ac:dyDescent="0.25">
      <c r="A227">
        <v>17049</v>
      </c>
      <c r="B227" t="s">
        <v>10</v>
      </c>
      <c r="C227" t="s">
        <v>1918</v>
      </c>
      <c r="D227" t="str">
        <f t="shared" si="13"/>
        <v/>
      </c>
      <c r="E227" t="s">
        <v>1919</v>
      </c>
      <c r="F227" t="str">
        <f>LEFT(C227,7)</f>
        <v>1120859</v>
      </c>
    </row>
    <row r="228" spans="1:9" ht="15" hidden="1" customHeight="1" x14ac:dyDescent="0.25">
      <c r="A228">
        <v>17050</v>
      </c>
      <c r="B228" t="s">
        <v>10</v>
      </c>
      <c r="C228" t="s">
        <v>1920</v>
      </c>
      <c r="D228" t="str">
        <f t="shared" si="13"/>
        <v/>
      </c>
      <c r="E228" t="s">
        <v>1921</v>
      </c>
      <c r="F228" t="str">
        <f>LEFT(C228,7)</f>
        <v>1120859</v>
      </c>
    </row>
    <row r="229" spans="1:9" ht="15" customHeight="1" x14ac:dyDescent="0.25">
      <c r="A229">
        <v>17526</v>
      </c>
      <c r="B229" t="s">
        <v>7</v>
      </c>
      <c r="C229" t="s">
        <v>2229</v>
      </c>
      <c r="D229" t="str">
        <f t="shared" si="13"/>
        <v/>
      </c>
      <c r="E229" t="s">
        <v>2230</v>
      </c>
      <c r="F229" t="s">
        <v>6849</v>
      </c>
      <c r="H229" s="2">
        <v>9</v>
      </c>
      <c r="I229">
        <v>1</v>
      </c>
    </row>
    <row r="230" spans="1:9" ht="15" hidden="1" customHeight="1" x14ac:dyDescent="0.25">
      <c r="A230">
        <v>17527</v>
      </c>
      <c r="B230" t="s">
        <v>10</v>
      </c>
      <c r="C230" t="s">
        <v>2231</v>
      </c>
      <c r="D230" t="str">
        <f t="shared" si="13"/>
        <v/>
      </c>
      <c r="E230" t="s">
        <v>2232</v>
      </c>
      <c r="F230" t="str">
        <f>LEFT(C230,7)</f>
        <v>1120862</v>
      </c>
    </row>
    <row r="231" spans="1:9" ht="15" hidden="1" customHeight="1" x14ac:dyDescent="0.25">
      <c r="A231">
        <v>17528</v>
      </c>
      <c r="B231" t="s">
        <v>10</v>
      </c>
      <c r="C231" t="s">
        <v>2233</v>
      </c>
      <c r="D231" t="str">
        <f t="shared" si="13"/>
        <v/>
      </c>
      <c r="E231" t="s">
        <v>2234</v>
      </c>
      <c r="F231" t="str">
        <f>LEFT(C231,7)</f>
        <v>1120862</v>
      </c>
    </row>
    <row r="232" spans="1:9" ht="15" hidden="1" customHeight="1" x14ac:dyDescent="0.25">
      <c r="A232">
        <v>17529</v>
      </c>
      <c r="B232" t="s">
        <v>10</v>
      </c>
      <c r="C232" t="s">
        <v>2235</v>
      </c>
      <c r="D232" t="str">
        <f t="shared" si="13"/>
        <v/>
      </c>
      <c r="E232" t="s">
        <v>2236</v>
      </c>
      <c r="F232" t="str">
        <f>LEFT(C232,7)</f>
        <v>1120862</v>
      </c>
    </row>
    <row r="233" spans="1:9" ht="15" customHeight="1" x14ac:dyDescent="0.25">
      <c r="A233">
        <v>20482</v>
      </c>
      <c r="B233" t="s">
        <v>7</v>
      </c>
      <c r="C233" t="s">
        <v>5905</v>
      </c>
      <c r="D233" t="str">
        <f t="shared" si="13"/>
        <v/>
      </c>
      <c r="E233" t="s">
        <v>5906</v>
      </c>
      <c r="F233" t="s">
        <v>6849</v>
      </c>
      <c r="H233" s="2">
        <v>9</v>
      </c>
      <c r="I233">
        <v>1</v>
      </c>
    </row>
    <row r="234" spans="1:9" ht="15" hidden="1" customHeight="1" x14ac:dyDescent="0.25">
      <c r="A234">
        <v>20483</v>
      </c>
      <c r="B234" t="s">
        <v>10</v>
      </c>
      <c r="C234" t="s">
        <v>5907</v>
      </c>
      <c r="D234" t="str">
        <f t="shared" si="13"/>
        <v/>
      </c>
      <c r="E234" t="s">
        <v>5908</v>
      </c>
      <c r="F234" t="str">
        <f t="shared" ref="F234:F243" si="15">LEFT(C234,7)</f>
        <v>1120863</v>
      </c>
    </row>
    <row r="235" spans="1:9" ht="15" hidden="1" customHeight="1" x14ac:dyDescent="0.25">
      <c r="A235">
        <v>20484</v>
      </c>
      <c r="B235" t="s">
        <v>10</v>
      </c>
      <c r="C235" t="s">
        <v>5909</v>
      </c>
      <c r="D235" t="str">
        <f t="shared" si="13"/>
        <v/>
      </c>
      <c r="E235" t="s">
        <v>5910</v>
      </c>
      <c r="F235" t="str">
        <f t="shared" si="15"/>
        <v>1120863</v>
      </c>
    </row>
    <row r="236" spans="1:9" ht="15" hidden="1" customHeight="1" x14ac:dyDescent="0.25">
      <c r="A236">
        <v>20485</v>
      </c>
      <c r="B236" t="s">
        <v>10</v>
      </c>
      <c r="C236" t="s">
        <v>5911</v>
      </c>
      <c r="D236" t="str">
        <f t="shared" si="13"/>
        <v/>
      </c>
      <c r="E236" t="s">
        <v>5912</v>
      </c>
      <c r="F236" t="str">
        <f t="shared" si="15"/>
        <v>1120863</v>
      </c>
    </row>
    <row r="237" spans="1:9" ht="15" customHeight="1" x14ac:dyDescent="0.25">
      <c r="A237">
        <v>18945</v>
      </c>
      <c r="B237" t="s">
        <v>7</v>
      </c>
      <c r="C237" t="s">
        <v>4091</v>
      </c>
      <c r="D237" t="str">
        <f t="shared" si="13"/>
        <v/>
      </c>
      <c r="E237" t="s">
        <v>4092</v>
      </c>
      <c r="F237" t="str">
        <f t="shared" si="15"/>
        <v>1120950</v>
      </c>
      <c r="H237">
        <v>4</v>
      </c>
      <c r="I237">
        <v>1</v>
      </c>
    </row>
    <row r="238" spans="1:9" ht="15" hidden="1" customHeight="1" x14ac:dyDescent="0.25">
      <c r="A238">
        <v>18946</v>
      </c>
      <c r="B238" t="s">
        <v>10</v>
      </c>
      <c r="C238" t="s">
        <v>4093</v>
      </c>
      <c r="D238" t="str">
        <f t="shared" si="13"/>
        <v/>
      </c>
      <c r="E238" t="s">
        <v>4094</v>
      </c>
      <c r="F238" t="str">
        <f t="shared" si="15"/>
        <v>1120950</v>
      </c>
    </row>
    <row r="239" spans="1:9" ht="15" hidden="1" customHeight="1" x14ac:dyDescent="0.25">
      <c r="A239">
        <v>18951</v>
      </c>
      <c r="B239" t="s">
        <v>10</v>
      </c>
      <c r="C239" t="s">
        <v>4095</v>
      </c>
      <c r="D239" t="str">
        <f t="shared" si="13"/>
        <v/>
      </c>
      <c r="E239" t="s">
        <v>4096</v>
      </c>
      <c r="F239" t="str">
        <f t="shared" si="15"/>
        <v>1120950</v>
      </c>
    </row>
    <row r="240" spans="1:9" ht="15" hidden="1" customHeight="1" x14ac:dyDescent="0.25">
      <c r="A240">
        <v>18952</v>
      </c>
      <c r="B240" t="s">
        <v>10</v>
      </c>
      <c r="C240" t="s">
        <v>4097</v>
      </c>
      <c r="D240" t="str">
        <f t="shared" si="13"/>
        <v/>
      </c>
      <c r="E240" t="s">
        <v>4098</v>
      </c>
      <c r="F240" t="str">
        <f t="shared" si="15"/>
        <v>1120950</v>
      </c>
    </row>
    <row r="241" spans="1:9" ht="15" hidden="1" customHeight="1" x14ac:dyDescent="0.25">
      <c r="A241">
        <v>18953</v>
      </c>
      <c r="B241" t="s">
        <v>10</v>
      </c>
      <c r="C241" t="s">
        <v>4099</v>
      </c>
      <c r="D241" t="str">
        <f t="shared" si="13"/>
        <v/>
      </c>
      <c r="E241" t="s">
        <v>4100</v>
      </c>
      <c r="F241" t="str">
        <f t="shared" si="15"/>
        <v>1120950</v>
      </c>
    </row>
    <row r="242" spans="1:9" ht="15" hidden="1" customHeight="1" x14ac:dyDescent="0.25">
      <c r="A242">
        <v>18954</v>
      </c>
      <c r="B242" t="s">
        <v>10</v>
      </c>
      <c r="C242" t="s">
        <v>4101</v>
      </c>
      <c r="D242" t="str">
        <f t="shared" si="13"/>
        <v/>
      </c>
      <c r="E242" t="s">
        <v>4102</v>
      </c>
      <c r="F242" t="str">
        <f t="shared" si="15"/>
        <v>1120950</v>
      </c>
    </row>
    <row r="243" spans="1:9" ht="15" hidden="1" customHeight="1" x14ac:dyDescent="0.25">
      <c r="A243">
        <v>18955</v>
      </c>
      <c r="B243" t="s">
        <v>10</v>
      </c>
      <c r="C243" t="s">
        <v>4103</v>
      </c>
      <c r="D243" t="str">
        <f t="shared" si="13"/>
        <v/>
      </c>
      <c r="E243" t="s">
        <v>4104</v>
      </c>
      <c r="F243" t="str">
        <f t="shared" si="15"/>
        <v>1120950</v>
      </c>
    </row>
    <row r="244" spans="1:9" ht="15" customHeight="1" x14ac:dyDescent="0.25">
      <c r="A244">
        <v>18956</v>
      </c>
      <c r="B244" t="s">
        <v>7</v>
      </c>
      <c r="C244" t="s">
        <v>4105</v>
      </c>
      <c r="D244" t="str">
        <f t="shared" si="13"/>
        <v/>
      </c>
      <c r="E244" t="s">
        <v>4106</v>
      </c>
      <c r="F244" t="s">
        <v>6850</v>
      </c>
      <c r="H244">
        <v>4</v>
      </c>
      <c r="I244">
        <v>1</v>
      </c>
    </row>
    <row r="245" spans="1:9" ht="15" hidden="1" customHeight="1" x14ac:dyDescent="0.25">
      <c r="A245">
        <v>18957</v>
      </c>
      <c r="B245" t="s">
        <v>10</v>
      </c>
      <c r="C245" t="s">
        <v>4107</v>
      </c>
      <c r="D245" t="str">
        <f t="shared" si="13"/>
        <v/>
      </c>
      <c r="E245" t="s">
        <v>4108</v>
      </c>
      <c r="F245" t="str">
        <f t="shared" ref="F245:F256" si="16">LEFT(C245,7)</f>
        <v>1120952</v>
      </c>
    </row>
    <row r="246" spans="1:9" ht="15" hidden="1" customHeight="1" x14ac:dyDescent="0.25">
      <c r="A246">
        <v>18958</v>
      </c>
      <c r="B246" t="s">
        <v>10</v>
      </c>
      <c r="C246" t="s">
        <v>4109</v>
      </c>
      <c r="D246" t="str">
        <f t="shared" si="13"/>
        <v/>
      </c>
      <c r="E246" t="s">
        <v>4110</v>
      </c>
      <c r="F246" t="str">
        <f t="shared" si="16"/>
        <v>1120952</v>
      </c>
    </row>
    <row r="247" spans="1:9" ht="15" hidden="1" customHeight="1" x14ac:dyDescent="0.25">
      <c r="A247">
        <v>18959</v>
      </c>
      <c r="B247" t="s">
        <v>10</v>
      </c>
      <c r="C247" t="s">
        <v>4111</v>
      </c>
      <c r="D247" t="str">
        <f t="shared" si="13"/>
        <v/>
      </c>
      <c r="E247" t="s">
        <v>4112</v>
      </c>
      <c r="F247" t="str">
        <f t="shared" si="16"/>
        <v>1120952</v>
      </c>
    </row>
    <row r="248" spans="1:9" ht="15" customHeight="1" x14ac:dyDescent="0.25">
      <c r="A248">
        <v>18214</v>
      </c>
      <c r="B248" t="s">
        <v>7</v>
      </c>
      <c r="C248" t="s">
        <v>3272</v>
      </c>
      <c r="D248" t="str">
        <f t="shared" si="13"/>
        <v/>
      </c>
      <c r="E248" t="s">
        <v>3273</v>
      </c>
      <c r="F248" t="str">
        <f t="shared" si="16"/>
        <v>1120285</v>
      </c>
      <c r="H248">
        <v>2</v>
      </c>
      <c r="I248">
        <v>1</v>
      </c>
    </row>
    <row r="249" spans="1:9" ht="15" hidden="1" customHeight="1" x14ac:dyDescent="0.25">
      <c r="A249">
        <v>18215</v>
      </c>
      <c r="B249" t="s">
        <v>10</v>
      </c>
      <c r="C249" t="s">
        <v>3274</v>
      </c>
      <c r="D249" t="str">
        <f t="shared" si="13"/>
        <v/>
      </c>
      <c r="E249" t="s">
        <v>3275</v>
      </c>
      <c r="F249" t="str">
        <f t="shared" si="16"/>
        <v>1120285</v>
      </c>
    </row>
    <row r="250" spans="1:9" ht="15" hidden="1" customHeight="1" x14ac:dyDescent="0.25">
      <c r="A250">
        <v>18220</v>
      </c>
      <c r="B250" t="s">
        <v>10</v>
      </c>
      <c r="C250" t="s">
        <v>3276</v>
      </c>
      <c r="D250" t="str">
        <f t="shared" si="13"/>
        <v/>
      </c>
      <c r="E250" t="s">
        <v>3277</v>
      </c>
      <c r="F250" t="str">
        <f t="shared" si="16"/>
        <v>1120285</v>
      </c>
    </row>
    <row r="251" spans="1:9" ht="15" hidden="1" customHeight="1" x14ac:dyDescent="0.25">
      <c r="A251">
        <v>18221</v>
      </c>
      <c r="B251" t="s">
        <v>10</v>
      </c>
      <c r="C251" t="s">
        <v>3278</v>
      </c>
      <c r="D251" t="str">
        <f t="shared" si="13"/>
        <v/>
      </c>
      <c r="E251" t="s">
        <v>3279</v>
      </c>
      <c r="F251" t="str">
        <f t="shared" si="16"/>
        <v>1120285</v>
      </c>
    </row>
    <row r="252" spans="1:9" ht="15" hidden="1" customHeight="1" x14ac:dyDescent="0.25">
      <c r="A252">
        <v>18222</v>
      </c>
      <c r="B252" t="s">
        <v>10</v>
      </c>
      <c r="C252" t="s">
        <v>3280</v>
      </c>
      <c r="D252" t="str">
        <f t="shared" si="13"/>
        <v/>
      </c>
      <c r="E252" t="s">
        <v>3281</v>
      </c>
      <c r="F252" t="str">
        <f t="shared" si="16"/>
        <v>1120285</v>
      </c>
    </row>
    <row r="253" spans="1:9" ht="15" hidden="1" customHeight="1" x14ac:dyDescent="0.25">
      <c r="A253">
        <v>18223</v>
      </c>
      <c r="B253" t="s">
        <v>10</v>
      </c>
      <c r="C253" t="s">
        <v>3282</v>
      </c>
      <c r="D253" t="str">
        <f t="shared" si="13"/>
        <v/>
      </c>
      <c r="E253" t="s">
        <v>3283</v>
      </c>
      <c r="F253" t="str">
        <f t="shared" si="16"/>
        <v>1120285</v>
      </c>
    </row>
    <row r="254" spans="1:9" ht="15" hidden="1" customHeight="1" x14ac:dyDescent="0.25">
      <c r="A254">
        <v>18224</v>
      </c>
      <c r="B254" t="s">
        <v>10</v>
      </c>
      <c r="C254" t="s">
        <v>3284</v>
      </c>
      <c r="D254" t="str">
        <f t="shared" si="13"/>
        <v/>
      </c>
      <c r="E254" t="s">
        <v>3285</v>
      </c>
      <c r="F254" t="str">
        <f t="shared" si="16"/>
        <v>1120285</v>
      </c>
    </row>
    <row r="255" spans="1:9" ht="15" hidden="1" customHeight="1" x14ac:dyDescent="0.25">
      <c r="A255">
        <v>18225</v>
      </c>
      <c r="B255" t="s">
        <v>10</v>
      </c>
      <c r="C255" t="s">
        <v>3286</v>
      </c>
      <c r="D255" t="str">
        <f t="shared" si="13"/>
        <v/>
      </c>
      <c r="E255" t="s">
        <v>3287</v>
      </c>
      <c r="F255" t="str">
        <f t="shared" si="16"/>
        <v>1120285</v>
      </c>
    </row>
    <row r="256" spans="1:9" ht="15" hidden="1" customHeight="1" x14ac:dyDescent="0.25">
      <c r="A256">
        <v>18226</v>
      </c>
      <c r="B256" t="s">
        <v>10</v>
      </c>
      <c r="C256" t="s">
        <v>3288</v>
      </c>
      <c r="D256" t="str">
        <f t="shared" si="13"/>
        <v/>
      </c>
      <c r="E256" t="s">
        <v>3289</v>
      </c>
      <c r="F256" t="str">
        <f t="shared" si="16"/>
        <v>1120285</v>
      </c>
    </row>
    <row r="257" spans="1:9" ht="15" customHeight="1" x14ac:dyDescent="0.25">
      <c r="A257">
        <v>18227</v>
      </c>
      <c r="B257" t="s">
        <v>7</v>
      </c>
      <c r="C257" t="s">
        <v>3290</v>
      </c>
      <c r="D257" t="str">
        <f t="shared" si="13"/>
        <v/>
      </c>
      <c r="E257" t="s">
        <v>3291</v>
      </c>
      <c r="F257" t="s">
        <v>6851</v>
      </c>
      <c r="H257">
        <v>2</v>
      </c>
      <c r="I257">
        <v>1</v>
      </c>
    </row>
    <row r="258" spans="1:9" ht="15" hidden="1" customHeight="1" x14ac:dyDescent="0.25">
      <c r="A258">
        <v>18228</v>
      </c>
      <c r="B258" t="s">
        <v>10</v>
      </c>
      <c r="C258" t="s">
        <v>3292</v>
      </c>
      <c r="D258" t="str">
        <f t="shared" si="13"/>
        <v/>
      </c>
      <c r="E258" t="s">
        <v>3293</v>
      </c>
      <c r="F258" t="str">
        <f>LEFT(C258,7)</f>
        <v>1120246</v>
      </c>
    </row>
    <row r="259" spans="1:9" ht="15" hidden="1" customHeight="1" x14ac:dyDescent="0.25">
      <c r="A259">
        <v>18229</v>
      </c>
      <c r="B259" t="s">
        <v>10</v>
      </c>
      <c r="C259" t="s">
        <v>3294</v>
      </c>
      <c r="D259" t="str">
        <f t="shared" si="13"/>
        <v/>
      </c>
      <c r="E259" t="s">
        <v>3295</v>
      </c>
      <c r="F259" t="str">
        <f>LEFT(C259,7)</f>
        <v>1120246</v>
      </c>
    </row>
    <row r="260" spans="1:9" ht="15" hidden="1" customHeight="1" x14ac:dyDescent="0.25">
      <c r="A260">
        <v>18230</v>
      </c>
      <c r="B260" t="s">
        <v>10</v>
      </c>
      <c r="C260" t="s">
        <v>3296</v>
      </c>
      <c r="D260" t="str">
        <f t="shared" si="13"/>
        <v/>
      </c>
      <c r="E260" t="s">
        <v>3297</v>
      </c>
      <c r="F260" t="str">
        <f>LEFT(C260,7)</f>
        <v>1120246</v>
      </c>
    </row>
    <row r="261" spans="1:9" ht="15" customHeight="1" x14ac:dyDescent="0.25">
      <c r="A261">
        <v>18231</v>
      </c>
      <c r="B261" t="s">
        <v>7</v>
      </c>
      <c r="C261" t="s">
        <v>3298</v>
      </c>
      <c r="D261" t="str">
        <f t="shared" si="13"/>
        <v/>
      </c>
      <c r="E261" t="s">
        <v>3299</v>
      </c>
      <c r="F261" t="s">
        <v>6851</v>
      </c>
      <c r="H261">
        <v>2</v>
      </c>
      <c r="I261">
        <v>1</v>
      </c>
    </row>
    <row r="262" spans="1:9" ht="15" hidden="1" customHeight="1" x14ac:dyDescent="0.25">
      <c r="A262">
        <v>18232</v>
      </c>
      <c r="B262" t="s">
        <v>10</v>
      </c>
      <c r="C262" t="s">
        <v>3300</v>
      </c>
      <c r="D262" t="str">
        <f t="shared" ref="D262:D325" si="17">IF(RIGHT(LEFT(C262,9),2)="##","",RIGHT(LEFT(C262,10),2))</f>
        <v/>
      </c>
      <c r="E262" t="s">
        <v>3301</v>
      </c>
      <c r="F262" t="str">
        <f>LEFT(C262,7)</f>
        <v>1120247</v>
      </c>
    </row>
    <row r="263" spans="1:9" ht="15" hidden="1" customHeight="1" x14ac:dyDescent="0.25">
      <c r="A263">
        <v>18233</v>
      </c>
      <c r="B263" t="s">
        <v>10</v>
      </c>
      <c r="C263" t="s">
        <v>3302</v>
      </c>
      <c r="D263" t="str">
        <f t="shared" si="17"/>
        <v/>
      </c>
      <c r="E263" t="s">
        <v>3303</v>
      </c>
      <c r="F263" t="str">
        <f>LEFT(C263,7)</f>
        <v>1120247</v>
      </c>
    </row>
    <row r="264" spans="1:9" ht="15" hidden="1" customHeight="1" x14ac:dyDescent="0.25">
      <c r="A264">
        <v>18234</v>
      </c>
      <c r="B264" t="s">
        <v>10</v>
      </c>
      <c r="C264" t="s">
        <v>3304</v>
      </c>
      <c r="D264" t="str">
        <f t="shared" si="17"/>
        <v/>
      </c>
      <c r="E264" t="s">
        <v>3305</v>
      </c>
      <c r="F264" t="str">
        <f>LEFT(C264,7)</f>
        <v>1120247</v>
      </c>
    </row>
    <row r="265" spans="1:9" ht="15" customHeight="1" x14ac:dyDescent="0.25">
      <c r="A265">
        <v>18235</v>
      </c>
      <c r="B265" t="s">
        <v>7</v>
      </c>
      <c r="C265" t="s">
        <v>3306</v>
      </c>
      <c r="D265" t="str">
        <f t="shared" si="17"/>
        <v/>
      </c>
      <c r="E265" t="s">
        <v>3307</v>
      </c>
      <c r="F265" t="s">
        <v>6851</v>
      </c>
      <c r="H265">
        <v>2</v>
      </c>
      <c r="I265">
        <v>1</v>
      </c>
    </row>
    <row r="266" spans="1:9" ht="15" hidden="1" customHeight="1" x14ac:dyDescent="0.25">
      <c r="A266">
        <v>18236</v>
      </c>
      <c r="B266" t="s">
        <v>10</v>
      </c>
      <c r="C266" t="s">
        <v>3308</v>
      </c>
      <c r="D266" t="str">
        <f t="shared" si="17"/>
        <v/>
      </c>
      <c r="E266" t="s">
        <v>3309</v>
      </c>
      <c r="F266" t="str">
        <f t="shared" ref="F266:F277" si="18">LEFT(C266,7)</f>
        <v>1120248</v>
      </c>
    </row>
    <row r="267" spans="1:9" ht="15" hidden="1" customHeight="1" x14ac:dyDescent="0.25">
      <c r="A267">
        <v>18237</v>
      </c>
      <c r="B267" t="s">
        <v>10</v>
      </c>
      <c r="C267" t="s">
        <v>3310</v>
      </c>
      <c r="D267" t="str">
        <f t="shared" si="17"/>
        <v/>
      </c>
      <c r="E267" t="s">
        <v>3311</v>
      </c>
      <c r="F267" t="str">
        <f t="shared" si="18"/>
        <v>1120248</v>
      </c>
    </row>
    <row r="268" spans="1:9" ht="15" hidden="1" customHeight="1" x14ac:dyDescent="0.25">
      <c r="A268">
        <v>18238</v>
      </c>
      <c r="B268" t="s">
        <v>10</v>
      </c>
      <c r="C268" t="s">
        <v>3312</v>
      </c>
      <c r="D268" t="str">
        <f t="shared" si="17"/>
        <v/>
      </c>
      <c r="E268" t="s">
        <v>3313</v>
      </c>
      <c r="F268" t="str">
        <f t="shared" si="18"/>
        <v>1120248</v>
      </c>
    </row>
    <row r="269" spans="1:9" ht="15" customHeight="1" x14ac:dyDescent="0.25">
      <c r="A269">
        <v>18312</v>
      </c>
      <c r="B269" t="s">
        <v>7</v>
      </c>
      <c r="C269" t="s">
        <v>3396</v>
      </c>
      <c r="D269" t="str">
        <f t="shared" si="17"/>
        <v/>
      </c>
      <c r="E269" t="s">
        <v>3397</v>
      </c>
      <c r="F269" t="str">
        <f t="shared" si="18"/>
        <v>1120140</v>
      </c>
      <c r="H269">
        <v>2</v>
      </c>
      <c r="I269">
        <v>1</v>
      </c>
    </row>
    <row r="270" spans="1:9" ht="15" hidden="1" customHeight="1" x14ac:dyDescent="0.25">
      <c r="A270">
        <v>18313</v>
      </c>
      <c r="B270" t="s">
        <v>10</v>
      </c>
      <c r="C270" t="s">
        <v>3398</v>
      </c>
      <c r="D270" t="str">
        <f t="shared" si="17"/>
        <v/>
      </c>
      <c r="E270" t="s">
        <v>3399</v>
      </c>
      <c r="F270" t="str">
        <f t="shared" si="18"/>
        <v>1120140</v>
      </c>
    </row>
    <row r="271" spans="1:9" ht="15" hidden="1" customHeight="1" x14ac:dyDescent="0.25">
      <c r="A271">
        <v>18318</v>
      </c>
      <c r="B271" t="s">
        <v>10</v>
      </c>
      <c r="C271" t="s">
        <v>3400</v>
      </c>
      <c r="D271" t="str">
        <f t="shared" si="17"/>
        <v/>
      </c>
      <c r="E271" t="s">
        <v>3401</v>
      </c>
      <c r="F271" t="str">
        <f t="shared" si="18"/>
        <v>1120140</v>
      </c>
    </row>
    <row r="272" spans="1:9" ht="15" hidden="1" customHeight="1" x14ac:dyDescent="0.25">
      <c r="A272">
        <v>18319</v>
      </c>
      <c r="B272" t="s">
        <v>10</v>
      </c>
      <c r="C272" t="s">
        <v>3402</v>
      </c>
      <c r="D272" t="str">
        <f t="shared" si="17"/>
        <v/>
      </c>
      <c r="E272" t="s">
        <v>3403</v>
      </c>
      <c r="F272" t="str">
        <f t="shared" si="18"/>
        <v>1120140</v>
      </c>
    </row>
    <row r="273" spans="1:9" ht="15" hidden="1" customHeight="1" x14ac:dyDescent="0.25">
      <c r="A273">
        <v>18320</v>
      </c>
      <c r="B273" t="s">
        <v>10</v>
      </c>
      <c r="C273" t="s">
        <v>3404</v>
      </c>
      <c r="D273" t="str">
        <f t="shared" si="17"/>
        <v/>
      </c>
      <c r="E273" t="s">
        <v>3405</v>
      </c>
      <c r="F273" t="str">
        <f t="shared" si="18"/>
        <v>1120140</v>
      </c>
    </row>
    <row r="274" spans="1:9" ht="15" hidden="1" customHeight="1" x14ac:dyDescent="0.25">
      <c r="A274">
        <v>18321</v>
      </c>
      <c r="B274" t="s">
        <v>10</v>
      </c>
      <c r="C274" t="s">
        <v>3406</v>
      </c>
      <c r="D274" t="str">
        <f t="shared" si="17"/>
        <v/>
      </c>
      <c r="E274" t="s">
        <v>3407</v>
      </c>
      <c r="F274" t="str">
        <f t="shared" si="18"/>
        <v>1120140</v>
      </c>
    </row>
    <row r="275" spans="1:9" ht="15" hidden="1" customHeight="1" x14ac:dyDescent="0.25">
      <c r="A275">
        <v>18322</v>
      </c>
      <c r="B275" t="s">
        <v>10</v>
      </c>
      <c r="C275" t="s">
        <v>3408</v>
      </c>
      <c r="D275" t="str">
        <f t="shared" si="17"/>
        <v/>
      </c>
      <c r="E275" t="s">
        <v>3409</v>
      </c>
      <c r="F275" t="str">
        <f t="shared" si="18"/>
        <v>1120140</v>
      </c>
    </row>
    <row r="276" spans="1:9" ht="15" hidden="1" customHeight="1" x14ac:dyDescent="0.25">
      <c r="A276">
        <v>18323</v>
      </c>
      <c r="B276" t="s">
        <v>10</v>
      </c>
      <c r="C276" t="s">
        <v>3410</v>
      </c>
      <c r="D276" t="str">
        <f t="shared" si="17"/>
        <v/>
      </c>
      <c r="E276" t="s">
        <v>3411</v>
      </c>
      <c r="F276" t="str">
        <f t="shared" si="18"/>
        <v>1120140</v>
      </c>
    </row>
    <row r="277" spans="1:9" ht="15" hidden="1" customHeight="1" x14ac:dyDescent="0.25">
      <c r="A277">
        <v>18324</v>
      </c>
      <c r="B277" t="s">
        <v>10</v>
      </c>
      <c r="C277" t="s">
        <v>3412</v>
      </c>
      <c r="D277" t="str">
        <f t="shared" si="17"/>
        <v/>
      </c>
      <c r="E277" t="s">
        <v>3413</v>
      </c>
      <c r="F277" t="str">
        <f t="shared" si="18"/>
        <v>1120140</v>
      </c>
    </row>
    <row r="278" spans="1:9" ht="15" customHeight="1" x14ac:dyDescent="0.25">
      <c r="A278">
        <v>18325</v>
      </c>
      <c r="B278" t="s">
        <v>7</v>
      </c>
      <c r="C278" t="s">
        <v>3414</v>
      </c>
      <c r="D278" t="str">
        <f t="shared" si="17"/>
        <v/>
      </c>
      <c r="E278" t="s">
        <v>3415</v>
      </c>
      <c r="F278" t="s">
        <v>6852</v>
      </c>
      <c r="H278">
        <v>2</v>
      </c>
      <c r="I278">
        <v>1</v>
      </c>
    </row>
    <row r="279" spans="1:9" ht="15" hidden="1" customHeight="1" x14ac:dyDescent="0.25">
      <c r="A279">
        <v>18326</v>
      </c>
      <c r="B279" t="s">
        <v>10</v>
      </c>
      <c r="C279" t="s">
        <v>3416</v>
      </c>
      <c r="D279" t="str">
        <f t="shared" si="17"/>
        <v/>
      </c>
      <c r="E279" t="s">
        <v>3417</v>
      </c>
      <c r="F279" t="str">
        <f>LEFT(C279,7)</f>
        <v>1120150</v>
      </c>
    </row>
    <row r="280" spans="1:9" ht="15" hidden="1" customHeight="1" x14ac:dyDescent="0.25">
      <c r="A280">
        <v>18327</v>
      </c>
      <c r="B280" t="s">
        <v>10</v>
      </c>
      <c r="C280" t="s">
        <v>3418</v>
      </c>
      <c r="D280" t="str">
        <f t="shared" si="17"/>
        <v/>
      </c>
      <c r="E280" t="s">
        <v>3419</v>
      </c>
      <c r="F280" t="str">
        <f>LEFT(C280,7)</f>
        <v>1120150</v>
      </c>
    </row>
    <row r="281" spans="1:9" ht="15" hidden="1" customHeight="1" x14ac:dyDescent="0.25">
      <c r="A281">
        <v>18328</v>
      </c>
      <c r="B281" t="s">
        <v>10</v>
      </c>
      <c r="C281" t="s">
        <v>3420</v>
      </c>
      <c r="D281" t="str">
        <f t="shared" si="17"/>
        <v/>
      </c>
      <c r="E281" t="s">
        <v>3421</v>
      </c>
      <c r="F281" t="str">
        <f>LEFT(C281,7)</f>
        <v>1120150</v>
      </c>
    </row>
    <row r="282" spans="1:9" ht="15" customHeight="1" x14ac:dyDescent="0.25">
      <c r="A282">
        <v>18329</v>
      </c>
      <c r="B282" t="s">
        <v>7</v>
      </c>
      <c r="C282" t="s">
        <v>3422</v>
      </c>
      <c r="D282" t="str">
        <f t="shared" si="17"/>
        <v/>
      </c>
      <c r="E282" t="s">
        <v>3423</v>
      </c>
      <c r="F282" t="s">
        <v>6852</v>
      </c>
      <c r="H282">
        <v>2</v>
      </c>
      <c r="I282">
        <v>1</v>
      </c>
    </row>
    <row r="283" spans="1:9" ht="15" hidden="1" customHeight="1" x14ac:dyDescent="0.25">
      <c r="A283">
        <v>18330</v>
      </c>
      <c r="B283" t="s">
        <v>10</v>
      </c>
      <c r="C283" t="s">
        <v>3424</v>
      </c>
      <c r="D283" t="str">
        <f t="shared" si="17"/>
        <v/>
      </c>
      <c r="E283" t="s">
        <v>3425</v>
      </c>
      <c r="F283" t="str">
        <f>LEFT(C283,7)</f>
        <v>1120160</v>
      </c>
    </row>
    <row r="284" spans="1:9" ht="15" hidden="1" customHeight="1" x14ac:dyDescent="0.25">
      <c r="A284">
        <v>18331</v>
      </c>
      <c r="B284" t="s">
        <v>10</v>
      </c>
      <c r="C284" t="s">
        <v>3426</v>
      </c>
      <c r="D284" t="str">
        <f t="shared" si="17"/>
        <v/>
      </c>
      <c r="E284" t="s">
        <v>3427</v>
      </c>
      <c r="F284" t="str">
        <f>LEFT(C284,7)</f>
        <v>1120160</v>
      </c>
    </row>
    <row r="285" spans="1:9" ht="15" hidden="1" customHeight="1" x14ac:dyDescent="0.25">
      <c r="A285">
        <v>18332</v>
      </c>
      <c r="B285" t="s">
        <v>10</v>
      </c>
      <c r="C285" t="s">
        <v>3428</v>
      </c>
      <c r="D285" t="str">
        <f t="shared" si="17"/>
        <v/>
      </c>
      <c r="E285" t="s">
        <v>3429</v>
      </c>
      <c r="F285" t="str">
        <f>LEFT(C285,7)</f>
        <v>1120160</v>
      </c>
    </row>
    <row r="286" spans="1:9" ht="15" customHeight="1" x14ac:dyDescent="0.25">
      <c r="A286">
        <v>18333</v>
      </c>
      <c r="B286" t="s">
        <v>7</v>
      </c>
      <c r="C286" t="s">
        <v>3430</v>
      </c>
      <c r="D286" t="str">
        <f t="shared" si="17"/>
        <v/>
      </c>
      <c r="E286" t="s">
        <v>3431</v>
      </c>
      <c r="F286" t="s">
        <v>6852</v>
      </c>
      <c r="H286">
        <v>2</v>
      </c>
      <c r="I286">
        <v>1</v>
      </c>
    </row>
    <row r="287" spans="1:9" ht="15" hidden="1" customHeight="1" x14ac:dyDescent="0.25">
      <c r="A287">
        <v>18334</v>
      </c>
      <c r="B287" t="s">
        <v>10</v>
      </c>
      <c r="C287" t="s">
        <v>3432</v>
      </c>
      <c r="D287" t="str">
        <f t="shared" si="17"/>
        <v/>
      </c>
      <c r="E287" t="s">
        <v>3433</v>
      </c>
      <c r="F287" t="str">
        <f t="shared" ref="F287:F298" si="19">LEFT(C287,7)</f>
        <v>1120175</v>
      </c>
    </row>
    <row r="288" spans="1:9" ht="15" hidden="1" customHeight="1" x14ac:dyDescent="0.25">
      <c r="A288">
        <v>18335</v>
      </c>
      <c r="B288" t="s">
        <v>10</v>
      </c>
      <c r="C288" t="s">
        <v>3434</v>
      </c>
      <c r="D288" t="str">
        <f t="shared" si="17"/>
        <v/>
      </c>
      <c r="E288" t="s">
        <v>3435</v>
      </c>
      <c r="F288" t="str">
        <f t="shared" si="19"/>
        <v>1120175</v>
      </c>
    </row>
    <row r="289" spans="1:9" ht="15" hidden="1" customHeight="1" x14ac:dyDescent="0.25">
      <c r="A289">
        <v>18336</v>
      </c>
      <c r="B289" t="s">
        <v>10</v>
      </c>
      <c r="C289" t="s">
        <v>3436</v>
      </c>
      <c r="D289" t="str">
        <f t="shared" si="17"/>
        <v/>
      </c>
      <c r="E289" t="s">
        <v>3437</v>
      </c>
      <c r="F289" t="str">
        <f t="shared" si="19"/>
        <v>1120175</v>
      </c>
    </row>
    <row r="290" spans="1:9" ht="15" customHeight="1" x14ac:dyDescent="0.25">
      <c r="A290">
        <v>15030</v>
      </c>
      <c r="B290" t="s">
        <v>7</v>
      </c>
      <c r="C290" t="s">
        <v>429</v>
      </c>
      <c r="D290" t="str">
        <f t="shared" si="17"/>
        <v/>
      </c>
      <c r="E290" t="s">
        <v>430</v>
      </c>
      <c r="F290" t="str">
        <f t="shared" si="19"/>
        <v>1120170</v>
      </c>
      <c r="H290">
        <v>2</v>
      </c>
      <c r="I290">
        <v>1</v>
      </c>
    </row>
    <row r="291" spans="1:9" ht="15" hidden="1" customHeight="1" x14ac:dyDescent="0.25">
      <c r="A291">
        <v>15031</v>
      </c>
      <c r="B291" t="s">
        <v>10</v>
      </c>
      <c r="C291" t="s">
        <v>431</v>
      </c>
      <c r="D291" t="str">
        <f t="shared" si="17"/>
        <v/>
      </c>
      <c r="E291" t="s">
        <v>432</v>
      </c>
      <c r="F291" t="str">
        <f t="shared" si="19"/>
        <v>1120170</v>
      </c>
    </row>
    <row r="292" spans="1:9" ht="15" hidden="1" customHeight="1" x14ac:dyDescent="0.25">
      <c r="A292">
        <v>15037</v>
      </c>
      <c r="B292" t="s">
        <v>10</v>
      </c>
      <c r="C292" t="s">
        <v>433</v>
      </c>
      <c r="D292" t="str">
        <f t="shared" si="17"/>
        <v/>
      </c>
      <c r="E292" t="s">
        <v>434</v>
      </c>
      <c r="F292" t="str">
        <f t="shared" si="19"/>
        <v>1120170</v>
      </c>
    </row>
    <row r="293" spans="1:9" ht="15" hidden="1" customHeight="1" x14ac:dyDescent="0.25">
      <c r="A293">
        <v>15038</v>
      </c>
      <c r="B293" t="s">
        <v>10</v>
      </c>
      <c r="C293" t="s">
        <v>435</v>
      </c>
      <c r="D293" t="str">
        <f t="shared" si="17"/>
        <v/>
      </c>
      <c r="E293" t="s">
        <v>436</v>
      </c>
      <c r="F293" t="str">
        <f t="shared" si="19"/>
        <v>1120170</v>
      </c>
    </row>
    <row r="294" spans="1:9" ht="15" hidden="1" customHeight="1" x14ac:dyDescent="0.25">
      <c r="A294">
        <v>15039</v>
      </c>
      <c r="B294" t="s">
        <v>10</v>
      </c>
      <c r="C294" t="s">
        <v>437</v>
      </c>
      <c r="D294" t="str">
        <f t="shared" si="17"/>
        <v/>
      </c>
      <c r="E294" t="s">
        <v>438</v>
      </c>
      <c r="F294" t="str">
        <f t="shared" si="19"/>
        <v>1120170</v>
      </c>
    </row>
    <row r="295" spans="1:9" ht="15" hidden="1" customHeight="1" x14ac:dyDescent="0.25">
      <c r="A295">
        <v>15040</v>
      </c>
      <c r="B295" t="s">
        <v>10</v>
      </c>
      <c r="C295" t="s">
        <v>439</v>
      </c>
      <c r="D295" t="str">
        <f t="shared" si="17"/>
        <v/>
      </c>
      <c r="E295" t="s">
        <v>440</v>
      </c>
      <c r="F295" t="str">
        <f t="shared" si="19"/>
        <v>1120170</v>
      </c>
    </row>
    <row r="296" spans="1:9" ht="15" hidden="1" customHeight="1" x14ac:dyDescent="0.25">
      <c r="A296">
        <v>15041</v>
      </c>
      <c r="B296" t="s">
        <v>10</v>
      </c>
      <c r="C296" t="s">
        <v>441</v>
      </c>
      <c r="D296" t="str">
        <f t="shared" si="17"/>
        <v/>
      </c>
      <c r="E296" t="s">
        <v>442</v>
      </c>
      <c r="F296" t="str">
        <f t="shared" si="19"/>
        <v>1120170</v>
      </c>
    </row>
    <row r="297" spans="1:9" ht="15" hidden="1" customHeight="1" x14ac:dyDescent="0.25">
      <c r="A297">
        <v>15042</v>
      </c>
      <c r="B297" t="s">
        <v>10</v>
      </c>
      <c r="C297" t="s">
        <v>443</v>
      </c>
      <c r="D297" t="str">
        <f t="shared" si="17"/>
        <v/>
      </c>
      <c r="E297" t="s">
        <v>444</v>
      </c>
      <c r="F297" t="str">
        <f t="shared" si="19"/>
        <v>1120170</v>
      </c>
    </row>
    <row r="298" spans="1:9" ht="15" hidden="1" customHeight="1" x14ac:dyDescent="0.25">
      <c r="A298">
        <v>15043</v>
      </c>
      <c r="B298" t="s">
        <v>10</v>
      </c>
      <c r="C298" t="s">
        <v>445</v>
      </c>
      <c r="D298" t="str">
        <f t="shared" si="17"/>
        <v/>
      </c>
      <c r="E298" t="s">
        <v>446</v>
      </c>
      <c r="F298" t="str">
        <f t="shared" si="19"/>
        <v>1120170</v>
      </c>
    </row>
    <row r="299" spans="1:9" ht="15" customHeight="1" x14ac:dyDescent="0.25">
      <c r="A299">
        <v>18239</v>
      </c>
      <c r="B299" t="s">
        <v>7</v>
      </c>
      <c r="C299" t="s">
        <v>3314</v>
      </c>
      <c r="D299" t="str">
        <f t="shared" si="17"/>
        <v/>
      </c>
      <c r="E299" t="s">
        <v>3315</v>
      </c>
      <c r="F299" t="s">
        <v>6853</v>
      </c>
      <c r="H299">
        <v>2</v>
      </c>
      <c r="I299">
        <v>1</v>
      </c>
    </row>
    <row r="300" spans="1:9" ht="15" hidden="1" customHeight="1" x14ac:dyDescent="0.25">
      <c r="A300">
        <v>18240</v>
      </c>
      <c r="B300" t="s">
        <v>10</v>
      </c>
      <c r="C300" t="s">
        <v>3316</v>
      </c>
      <c r="D300" t="str">
        <f t="shared" si="17"/>
        <v/>
      </c>
      <c r="E300" t="s">
        <v>3317</v>
      </c>
      <c r="F300" t="str">
        <f>LEFT(C300,7)</f>
        <v>1120180</v>
      </c>
    </row>
    <row r="301" spans="1:9" ht="15" hidden="1" customHeight="1" x14ac:dyDescent="0.25">
      <c r="A301">
        <v>18241</v>
      </c>
      <c r="B301" t="s">
        <v>10</v>
      </c>
      <c r="C301" t="s">
        <v>3318</v>
      </c>
      <c r="D301" t="str">
        <f t="shared" si="17"/>
        <v/>
      </c>
      <c r="E301" t="s">
        <v>3319</v>
      </c>
      <c r="F301" t="str">
        <f>LEFT(C301,7)</f>
        <v>1120180</v>
      </c>
    </row>
    <row r="302" spans="1:9" ht="15" hidden="1" customHeight="1" x14ac:dyDescent="0.25">
      <c r="A302">
        <v>18242</v>
      </c>
      <c r="B302" t="s">
        <v>10</v>
      </c>
      <c r="C302" t="s">
        <v>3320</v>
      </c>
      <c r="D302" t="str">
        <f t="shared" si="17"/>
        <v/>
      </c>
      <c r="E302" t="s">
        <v>3321</v>
      </c>
      <c r="F302" t="str">
        <f>LEFT(C302,7)</f>
        <v>1120180</v>
      </c>
    </row>
    <row r="303" spans="1:9" ht="15" customHeight="1" x14ac:dyDescent="0.25">
      <c r="A303">
        <v>19804</v>
      </c>
      <c r="B303" t="s">
        <v>7</v>
      </c>
      <c r="C303" t="s">
        <v>5221</v>
      </c>
      <c r="D303" t="str">
        <f t="shared" si="17"/>
        <v/>
      </c>
      <c r="E303" t="s">
        <v>5222</v>
      </c>
      <c r="F303" t="s">
        <v>6853</v>
      </c>
      <c r="H303">
        <v>2</v>
      </c>
      <c r="I303">
        <v>1</v>
      </c>
    </row>
    <row r="304" spans="1:9" ht="15" hidden="1" customHeight="1" x14ac:dyDescent="0.25">
      <c r="A304">
        <v>19805</v>
      </c>
      <c r="B304" t="s">
        <v>10</v>
      </c>
      <c r="C304" t="s">
        <v>5223</v>
      </c>
      <c r="D304" t="str">
        <f t="shared" si="17"/>
        <v/>
      </c>
      <c r="E304" t="s">
        <v>5224</v>
      </c>
      <c r="F304" t="str">
        <f>LEFT(C304,7)</f>
        <v>1120190</v>
      </c>
    </row>
    <row r="305" spans="1:9" ht="15" hidden="1" customHeight="1" x14ac:dyDescent="0.25">
      <c r="A305">
        <v>19806</v>
      </c>
      <c r="B305" t="s">
        <v>10</v>
      </c>
      <c r="C305" t="s">
        <v>5225</v>
      </c>
      <c r="D305" t="str">
        <f t="shared" si="17"/>
        <v/>
      </c>
      <c r="E305" t="s">
        <v>5226</v>
      </c>
      <c r="F305" t="str">
        <f>LEFT(C305,7)</f>
        <v>1120190</v>
      </c>
    </row>
    <row r="306" spans="1:9" ht="15" hidden="1" customHeight="1" x14ac:dyDescent="0.25">
      <c r="A306">
        <v>19807</v>
      </c>
      <c r="B306" t="s">
        <v>10</v>
      </c>
      <c r="C306" t="s">
        <v>5227</v>
      </c>
      <c r="D306" t="str">
        <f t="shared" si="17"/>
        <v/>
      </c>
      <c r="E306" t="s">
        <v>5228</v>
      </c>
      <c r="F306" t="str">
        <f>LEFT(C306,7)</f>
        <v>1120190</v>
      </c>
    </row>
    <row r="307" spans="1:9" ht="15" customHeight="1" x14ac:dyDescent="0.25">
      <c r="A307">
        <v>20059</v>
      </c>
      <c r="B307" t="s">
        <v>7</v>
      </c>
      <c r="C307" t="s">
        <v>5443</v>
      </c>
      <c r="D307" t="str">
        <f t="shared" si="17"/>
        <v/>
      </c>
      <c r="E307" t="s">
        <v>5444</v>
      </c>
      <c r="F307" t="s">
        <v>6853</v>
      </c>
      <c r="H307">
        <v>2</v>
      </c>
      <c r="I307">
        <v>1</v>
      </c>
    </row>
    <row r="308" spans="1:9" ht="15" hidden="1" customHeight="1" x14ac:dyDescent="0.25">
      <c r="A308">
        <v>20060</v>
      </c>
      <c r="B308" t="s">
        <v>10</v>
      </c>
      <c r="C308" t="s">
        <v>5445</v>
      </c>
      <c r="D308" t="str">
        <f t="shared" si="17"/>
        <v/>
      </c>
      <c r="E308" t="s">
        <v>5446</v>
      </c>
      <c r="F308" t="str">
        <f t="shared" ref="F308:F317" si="20">LEFT(C308,7)</f>
        <v>1120195</v>
      </c>
    </row>
    <row r="309" spans="1:9" ht="15" hidden="1" customHeight="1" x14ac:dyDescent="0.25">
      <c r="A309">
        <v>20061</v>
      </c>
      <c r="B309" t="s">
        <v>10</v>
      </c>
      <c r="C309" t="s">
        <v>5447</v>
      </c>
      <c r="D309" t="str">
        <f t="shared" si="17"/>
        <v/>
      </c>
      <c r="E309" t="s">
        <v>5448</v>
      </c>
      <c r="F309" t="str">
        <f t="shared" si="20"/>
        <v>1120195</v>
      </c>
    </row>
    <row r="310" spans="1:9" ht="15" hidden="1" customHeight="1" x14ac:dyDescent="0.25">
      <c r="A310">
        <v>20062</v>
      </c>
      <c r="B310" t="s">
        <v>10</v>
      </c>
      <c r="C310" t="s">
        <v>5449</v>
      </c>
      <c r="D310" t="str">
        <f t="shared" si="17"/>
        <v/>
      </c>
      <c r="E310" t="s">
        <v>5450</v>
      </c>
      <c r="F310" t="str">
        <f t="shared" si="20"/>
        <v>1120195</v>
      </c>
    </row>
    <row r="311" spans="1:9" ht="15" customHeight="1" x14ac:dyDescent="0.25">
      <c r="A311">
        <v>19321</v>
      </c>
      <c r="B311" t="s">
        <v>7</v>
      </c>
      <c r="C311" t="s">
        <v>4595</v>
      </c>
      <c r="D311" t="str">
        <f t="shared" si="17"/>
        <v/>
      </c>
      <c r="E311" t="s">
        <v>4596</v>
      </c>
      <c r="F311" t="str">
        <f t="shared" si="20"/>
        <v>1120800</v>
      </c>
      <c r="H311">
        <v>4</v>
      </c>
      <c r="I311">
        <v>1</v>
      </c>
    </row>
    <row r="312" spans="1:9" ht="15" hidden="1" customHeight="1" x14ac:dyDescent="0.25">
      <c r="A312">
        <v>19322</v>
      </c>
      <c r="B312" t="s">
        <v>10</v>
      </c>
      <c r="C312" t="s">
        <v>4597</v>
      </c>
      <c r="D312" t="str">
        <f t="shared" si="17"/>
        <v/>
      </c>
      <c r="E312" t="s">
        <v>4598</v>
      </c>
      <c r="F312" t="str">
        <f t="shared" si="20"/>
        <v>1120800</v>
      </c>
    </row>
    <row r="313" spans="1:9" ht="15" hidden="1" customHeight="1" x14ac:dyDescent="0.25">
      <c r="A313">
        <v>19327</v>
      </c>
      <c r="B313" t="s">
        <v>10</v>
      </c>
      <c r="C313" t="s">
        <v>4599</v>
      </c>
      <c r="D313" t="str">
        <f t="shared" si="17"/>
        <v/>
      </c>
      <c r="E313" t="s">
        <v>4600</v>
      </c>
      <c r="F313" t="str">
        <f t="shared" si="20"/>
        <v>1120800</v>
      </c>
    </row>
    <row r="314" spans="1:9" ht="15" hidden="1" customHeight="1" x14ac:dyDescent="0.25">
      <c r="A314">
        <v>19328</v>
      </c>
      <c r="B314" t="s">
        <v>10</v>
      </c>
      <c r="C314" t="s">
        <v>4601</v>
      </c>
      <c r="D314" t="str">
        <f t="shared" si="17"/>
        <v/>
      </c>
      <c r="E314" t="s">
        <v>4602</v>
      </c>
      <c r="F314" t="str">
        <f t="shared" si="20"/>
        <v>1120800</v>
      </c>
    </row>
    <row r="315" spans="1:9" ht="15" hidden="1" customHeight="1" x14ac:dyDescent="0.25">
      <c r="A315">
        <v>19329</v>
      </c>
      <c r="B315" t="s">
        <v>10</v>
      </c>
      <c r="C315" t="s">
        <v>4603</v>
      </c>
      <c r="D315" t="str">
        <f t="shared" si="17"/>
        <v/>
      </c>
      <c r="E315" t="s">
        <v>4604</v>
      </c>
      <c r="F315" t="str">
        <f t="shared" si="20"/>
        <v>1120800</v>
      </c>
    </row>
    <row r="316" spans="1:9" ht="15" hidden="1" customHeight="1" x14ac:dyDescent="0.25">
      <c r="A316">
        <v>19330</v>
      </c>
      <c r="B316" t="s">
        <v>10</v>
      </c>
      <c r="C316" t="s">
        <v>4605</v>
      </c>
      <c r="D316" t="str">
        <f t="shared" si="17"/>
        <v/>
      </c>
      <c r="E316" t="s">
        <v>4606</v>
      </c>
      <c r="F316" t="str">
        <f t="shared" si="20"/>
        <v>1120800</v>
      </c>
    </row>
    <row r="317" spans="1:9" ht="15" hidden="1" customHeight="1" x14ac:dyDescent="0.25">
      <c r="A317">
        <v>19331</v>
      </c>
      <c r="B317" t="s">
        <v>10</v>
      </c>
      <c r="C317" t="s">
        <v>4607</v>
      </c>
      <c r="D317" t="str">
        <f t="shared" si="17"/>
        <v/>
      </c>
      <c r="E317" t="s">
        <v>4608</v>
      </c>
      <c r="F317" t="str">
        <f t="shared" si="20"/>
        <v>1120800</v>
      </c>
    </row>
    <row r="318" spans="1:9" ht="15" customHeight="1" x14ac:dyDescent="0.25">
      <c r="A318">
        <v>20011</v>
      </c>
      <c r="B318" t="s">
        <v>7</v>
      </c>
      <c r="C318" t="s">
        <v>5399</v>
      </c>
      <c r="D318" t="str">
        <f t="shared" si="17"/>
        <v/>
      </c>
      <c r="E318" t="s">
        <v>5400</v>
      </c>
      <c r="F318" t="s">
        <v>6854</v>
      </c>
      <c r="H318">
        <v>4</v>
      </c>
      <c r="I318">
        <v>1</v>
      </c>
    </row>
    <row r="319" spans="1:9" ht="15" hidden="1" customHeight="1" x14ac:dyDescent="0.25">
      <c r="A319">
        <v>20012</v>
      </c>
      <c r="B319" t="s">
        <v>10</v>
      </c>
      <c r="C319" t="s">
        <v>5401</v>
      </c>
      <c r="D319" t="str">
        <f t="shared" si="17"/>
        <v/>
      </c>
      <c r="E319" t="s">
        <v>5402</v>
      </c>
      <c r="F319" t="str">
        <f t="shared" ref="F319:F329" si="21">LEFT(C319,7)</f>
        <v>1120801</v>
      </c>
    </row>
    <row r="320" spans="1:9" ht="15" hidden="1" customHeight="1" x14ac:dyDescent="0.25">
      <c r="A320">
        <v>20013</v>
      </c>
      <c r="B320" t="s">
        <v>10</v>
      </c>
      <c r="C320" t="s">
        <v>5403</v>
      </c>
      <c r="D320" t="str">
        <f t="shared" si="17"/>
        <v/>
      </c>
      <c r="E320" t="s">
        <v>5404</v>
      </c>
      <c r="F320" t="str">
        <f t="shared" si="21"/>
        <v>1120801</v>
      </c>
    </row>
    <row r="321" spans="1:9" ht="15" hidden="1" customHeight="1" x14ac:dyDescent="0.25">
      <c r="A321">
        <v>20014</v>
      </c>
      <c r="B321" t="s">
        <v>10</v>
      </c>
      <c r="C321" t="s">
        <v>5405</v>
      </c>
      <c r="D321" t="str">
        <f t="shared" si="17"/>
        <v/>
      </c>
      <c r="E321" t="s">
        <v>5406</v>
      </c>
      <c r="F321" t="str">
        <f t="shared" si="21"/>
        <v>1120801</v>
      </c>
    </row>
    <row r="322" spans="1:9" ht="15" customHeight="1" x14ac:dyDescent="0.25">
      <c r="A322">
        <v>18590</v>
      </c>
      <c r="B322" t="s">
        <v>7</v>
      </c>
      <c r="C322" t="s">
        <v>3783</v>
      </c>
      <c r="D322" t="str">
        <f t="shared" si="17"/>
        <v/>
      </c>
      <c r="E322" t="s">
        <v>3784</v>
      </c>
      <c r="F322" t="str">
        <f t="shared" si="21"/>
        <v>1200001</v>
      </c>
      <c r="H322">
        <v>4</v>
      </c>
      <c r="I322">
        <v>1</v>
      </c>
    </row>
    <row r="323" spans="1:9" ht="15" hidden="1" customHeight="1" x14ac:dyDescent="0.25">
      <c r="A323">
        <v>18591</v>
      </c>
      <c r="B323" t="s">
        <v>10</v>
      </c>
      <c r="C323" t="s">
        <v>3785</v>
      </c>
      <c r="D323" t="str">
        <f t="shared" si="17"/>
        <v/>
      </c>
      <c r="E323" t="s">
        <v>3786</v>
      </c>
      <c r="F323" t="str">
        <f t="shared" si="21"/>
        <v>1200001</v>
      </c>
    </row>
    <row r="324" spans="1:9" ht="15" hidden="1" customHeight="1" x14ac:dyDescent="0.25">
      <c r="A324">
        <v>18597</v>
      </c>
      <c r="B324" t="s">
        <v>10</v>
      </c>
      <c r="C324" t="s">
        <v>3787</v>
      </c>
      <c r="D324" t="str">
        <f t="shared" si="17"/>
        <v/>
      </c>
      <c r="E324" t="s">
        <v>3788</v>
      </c>
      <c r="F324" t="str">
        <f t="shared" si="21"/>
        <v>1200001</v>
      </c>
    </row>
    <row r="325" spans="1:9" ht="15" hidden="1" customHeight="1" x14ac:dyDescent="0.25">
      <c r="A325">
        <v>18598</v>
      </c>
      <c r="B325" t="s">
        <v>10</v>
      </c>
      <c r="C325" t="s">
        <v>3789</v>
      </c>
      <c r="D325" t="str">
        <f t="shared" si="17"/>
        <v/>
      </c>
      <c r="E325" t="s">
        <v>3790</v>
      </c>
      <c r="F325" t="str">
        <f t="shared" si="21"/>
        <v>1200001</v>
      </c>
    </row>
    <row r="326" spans="1:9" ht="15" hidden="1" customHeight="1" x14ac:dyDescent="0.25">
      <c r="A326">
        <v>18599</v>
      </c>
      <c r="B326" t="s">
        <v>10</v>
      </c>
      <c r="C326" t="s">
        <v>3791</v>
      </c>
      <c r="D326" t="str">
        <f t="shared" ref="D326:D389" si="22">IF(RIGHT(LEFT(C326,9),2)="##","",RIGHT(LEFT(C326,10),2))</f>
        <v/>
      </c>
      <c r="E326" t="s">
        <v>3792</v>
      </c>
      <c r="F326" t="str">
        <f t="shared" si="21"/>
        <v>1200001</v>
      </c>
    </row>
    <row r="327" spans="1:9" ht="15" hidden="1" customHeight="1" x14ac:dyDescent="0.25">
      <c r="A327">
        <v>18600</v>
      </c>
      <c r="B327" t="s">
        <v>10</v>
      </c>
      <c r="C327" t="s">
        <v>3793</v>
      </c>
      <c r="D327" t="str">
        <f t="shared" si="22"/>
        <v/>
      </c>
      <c r="E327" t="s">
        <v>3794</v>
      </c>
      <c r="F327" t="str">
        <f t="shared" si="21"/>
        <v>1200001</v>
      </c>
    </row>
    <row r="328" spans="1:9" ht="15" hidden="1" customHeight="1" x14ac:dyDescent="0.25">
      <c r="A328">
        <v>18601</v>
      </c>
      <c r="B328" t="s">
        <v>10</v>
      </c>
      <c r="C328" t="s">
        <v>3795</v>
      </c>
      <c r="D328" t="str">
        <f t="shared" si="22"/>
        <v/>
      </c>
      <c r="E328" t="s">
        <v>3796</v>
      </c>
      <c r="F328" t="str">
        <f t="shared" si="21"/>
        <v>1200001</v>
      </c>
    </row>
    <row r="329" spans="1:9" ht="15" hidden="1" customHeight="1" x14ac:dyDescent="0.25">
      <c r="A329">
        <v>18602</v>
      </c>
      <c r="B329" t="s">
        <v>10</v>
      </c>
      <c r="C329" t="s">
        <v>3797</v>
      </c>
      <c r="D329" t="str">
        <f t="shared" si="22"/>
        <v/>
      </c>
      <c r="E329" t="s">
        <v>3798</v>
      </c>
      <c r="F329" t="str">
        <f t="shared" si="21"/>
        <v>1200001</v>
      </c>
    </row>
    <row r="330" spans="1:9" ht="15" customHeight="1" x14ac:dyDescent="0.25">
      <c r="A330">
        <v>19788</v>
      </c>
      <c r="B330" t="s">
        <v>7</v>
      </c>
      <c r="C330" t="s">
        <v>5207</v>
      </c>
      <c r="D330" t="str">
        <f t="shared" si="22"/>
        <v/>
      </c>
      <c r="E330" t="s">
        <v>5208</v>
      </c>
      <c r="F330" t="s">
        <v>6855</v>
      </c>
      <c r="H330">
        <v>4</v>
      </c>
      <c r="I330">
        <v>1</v>
      </c>
    </row>
    <row r="331" spans="1:9" ht="15" hidden="1" customHeight="1" x14ac:dyDescent="0.25">
      <c r="A331">
        <v>19789</v>
      </c>
      <c r="B331" t="s">
        <v>10</v>
      </c>
      <c r="C331" t="s">
        <v>5209</v>
      </c>
      <c r="D331" t="str">
        <f t="shared" si="22"/>
        <v/>
      </c>
      <c r="E331" t="s">
        <v>5210</v>
      </c>
      <c r="F331" t="str">
        <f t="shared" ref="F331:F341" si="23">LEFT(C331,7)</f>
        <v>1200003</v>
      </c>
    </row>
    <row r="332" spans="1:9" ht="15" hidden="1" customHeight="1" x14ac:dyDescent="0.25">
      <c r="A332">
        <v>19790</v>
      </c>
      <c r="B332" t="s">
        <v>10</v>
      </c>
      <c r="C332" t="s">
        <v>5211</v>
      </c>
      <c r="D332" t="str">
        <f t="shared" si="22"/>
        <v/>
      </c>
      <c r="E332" t="s">
        <v>5212</v>
      </c>
      <c r="F332" t="str">
        <f t="shared" si="23"/>
        <v>1200003</v>
      </c>
    </row>
    <row r="333" spans="1:9" ht="15" hidden="1" customHeight="1" x14ac:dyDescent="0.25">
      <c r="A333">
        <v>19791</v>
      </c>
      <c r="B333" t="s">
        <v>10</v>
      </c>
      <c r="C333" t="s">
        <v>5213</v>
      </c>
      <c r="D333" t="str">
        <f t="shared" si="22"/>
        <v/>
      </c>
      <c r="E333" t="s">
        <v>5214</v>
      </c>
      <c r="F333" t="str">
        <f t="shared" si="23"/>
        <v>1200003</v>
      </c>
    </row>
    <row r="334" spans="1:9" ht="15" customHeight="1" x14ac:dyDescent="0.25">
      <c r="A334">
        <v>18603</v>
      </c>
      <c r="B334" t="s">
        <v>7</v>
      </c>
      <c r="C334" t="s">
        <v>3799</v>
      </c>
      <c r="D334" t="str">
        <f t="shared" si="22"/>
        <v/>
      </c>
      <c r="E334" t="s">
        <v>3800</v>
      </c>
      <c r="F334" t="str">
        <f t="shared" si="23"/>
        <v>1200900</v>
      </c>
      <c r="H334">
        <v>4</v>
      </c>
      <c r="I334">
        <v>1</v>
      </c>
    </row>
    <row r="335" spans="1:9" ht="15" hidden="1" customHeight="1" x14ac:dyDescent="0.25">
      <c r="A335">
        <v>18604</v>
      </c>
      <c r="B335" t="s">
        <v>10</v>
      </c>
      <c r="C335" t="s">
        <v>3801</v>
      </c>
      <c r="D335" t="str">
        <f t="shared" si="22"/>
        <v/>
      </c>
      <c r="E335" t="s">
        <v>3802</v>
      </c>
      <c r="F335" t="str">
        <f t="shared" si="23"/>
        <v>1200900</v>
      </c>
    </row>
    <row r="336" spans="1:9" ht="15" hidden="1" customHeight="1" x14ac:dyDescent="0.25">
      <c r="A336">
        <v>18609</v>
      </c>
      <c r="B336" t="s">
        <v>10</v>
      </c>
      <c r="C336" t="s">
        <v>3803</v>
      </c>
      <c r="D336" t="str">
        <f t="shared" si="22"/>
        <v/>
      </c>
      <c r="E336" t="s">
        <v>3804</v>
      </c>
      <c r="F336" t="str">
        <f t="shared" si="23"/>
        <v>1200900</v>
      </c>
    </row>
    <row r="337" spans="1:9" ht="15" hidden="1" customHeight="1" x14ac:dyDescent="0.25">
      <c r="A337">
        <v>18610</v>
      </c>
      <c r="B337" t="s">
        <v>10</v>
      </c>
      <c r="C337" t="s">
        <v>3805</v>
      </c>
      <c r="D337" t="str">
        <f t="shared" si="22"/>
        <v/>
      </c>
      <c r="E337" t="s">
        <v>3806</v>
      </c>
      <c r="F337" t="str">
        <f t="shared" si="23"/>
        <v>1200900</v>
      </c>
    </row>
    <row r="338" spans="1:9" ht="15" hidden="1" customHeight="1" x14ac:dyDescent="0.25">
      <c r="A338">
        <v>18611</v>
      </c>
      <c r="B338" t="s">
        <v>10</v>
      </c>
      <c r="C338" t="s">
        <v>3807</v>
      </c>
      <c r="D338" t="str">
        <f t="shared" si="22"/>
        <v/>
      </c>
      <c r="E338" t="s">
        <v>3808</v>
      </c>
      <c r="F338" t="str">
        <f t="shared" si="23"/>
        <v>1200900</v>
      </c>
    </row>
    <row r="339" spans="1:9" ht="15" hidden="1" customHeight="1" x14ac:dyDescent="0.25">
      <c r="A339">
        <v>18612</v>
      </c>
      <c r="B339" t="s">
        <v>10</v>
      </c>
      <c r="C339" t="s">
        <v>3809</v>
      </c>
      <c r="D339" t="str">
        <f t="shared" si="22"/>
        <v/>
      </c>
      <c r="E339" t="s">
        <v>3810</v>
      </c>
      <c r="F339" t="str">
        <f t="shared" si="23"/>
        <v>1200900</v>
      </c>
    </row>
    <row r="340" spans="1:9" ht="15" hidden="1" customHeight="1" x14ac:dyDescent="0.25">
      <c r="A340">
        <v>18613</v>
      </c>
      <c r="B340" t="s">
        <v>10</v>
      </c>
      <c r="C340" t="s">
        <v>3811</v>
      </c>
      <c r="D340" t="str">
        <f t="shared" si="22"/>
        <v/>
      </c>
      <c r="E340" t="s">
        <v>3812</v>
      </c>
      <c r="F340" t="str">
        <f t="shared" si="23"/>
        <v>1200900</v>
      </c>
    </row>
    <row r="341" spans="1:9" ht="15" hidden="1" customHeight="1" x14ac:dyDescent="0.25">
      <c r="A341">
        <v>18614</v>
      </c>
      <c r="B341" t="s">
        <v>10</v>
      </c>
      <c r="C341" t="s">
        <v>3813</v>
      </c>
      <c r="D341" t="str">
        <f t="shared" si="22"/>
        <v/>
      </c>
      <c r="E341" t="s">
        <v>3814</v>
      </c>
      <c r="F341" t="str">
        <f t="shared" si="23"/>
        <v>1200900</v>
      </c>
    </row>
    <row r="342" spans="1:9" ht="15" customHeight="1" x14ac:dyDescent="0.25">
      <c r="A342">
        <v>19784</v>
      </c>
      <c r="B342" t="s">
        <v>7</v>
      </c>
      <c r="C342" t="s">
        <v>5199</v>
      </c>
      <c r="D342" t="str">
        <f t="shared" si="22"/>
        <v/>
      </c>
      <c r="E342" t="s">
        <v>5200</v>
      </c>
      <c r="F342" t="s">
        <v>6856</v>
      </c>
      <c r="H342">
        <v>4</v>
      </c>
      <c r="I342">
        <v>1</v>
      </c>
    </row>
    <row r="343" spans="1:9" ht="15" hidden="1" customHeight="1" x14ac:dyDescent="0.25">
      <c r="A343">
        <v>19785</v>
      </c>
      <c r="B343" t="s">
        <v>10</v>
      </c>
      <c r="C343" t="s">
        <v>5201</v>
      </c>
      <c r="D343" t="str">
        <f t="shared" si="22"/>
        <v/>
      </c>
      <c r="E343" t="s">
        <v>5202</v>
      </c>
      <c r="F343" t="str">
        <f t="shared" ref="F343:F354" si="24">LEFT(C343,7)</f>
        <v>1200901</v>
      </c>
    </row>
    <row r="344" spans="1:9" ht="15" hidden="1" customHeight="1" x14ac:dyDescent="0.25">
      <c r="A344">
        <v>19786</v>
      </c>
      <c r="B344" t="s">
        <v>10</v>
      </c>
      <c r="C344" t="s">
        <v>5203</v>
      </c>
      <c r="D344" t="str">
        <f t="shared" si="22"/>
        <v/>
      </c>
      <c r="E344" t="s">
        <v>5204</v>
      </c>
      <c r="F344" t="str">
        <f t="shared" si="24"/>
        <v>1200901</v>
      </c>
    </row>
    <row r="345" spans="1:9" ht="15" hidden="1" customHeight="1" x14ac:dyDescent="0.25">
      <c r="A345">
        <v>19787</v>
      </c>
      <c r="B345" t="s">
        <v>10</v>
      </c>
      <c r="C345" t="s">
        <v>5205</v>
      </c>
      <c r="D345" t="str">
        <f t="shared" si="22"/>
        <v/>
      </c>
      <c r="E345" t="s">
        <v>5206</v>
      </c>
      <c r="F345" t="str">
        <f t="shared" si="24"/>
        <v>1200901</v>
      </c>
    </row>
    <row r="346" spans="1:9" ht="15" customHeight="1" x14ac:dyDescent="0.25">
      <c r="A346">
        <v>19561</v>
      </c>
      <c r="B346" t="s">
        <v>7</v>
      </c>
      <c r="C346" t="s">
        <v>4883</v>
      </c>
      <c r="D346" t="str">
        <f t="shared" si="22"/>
        <v/>
      </c>
      <c r="E346" t="s">
        <v>4884</v>
      </c>
      <c r="F346" t="str">
        <f t="shared" si="24"/>
        <v>1120315</v>
      </c>
      <c r="H346">
        <v>2</v>
      </c>
      <c r="I346">
        <v>1</v>
      </c>
    </row>
    <row r="347" spans="1:9" ht="15" hidden="1" customHeight="1" x14ac:dyDescent="0.25">
      <c r="A347">
        <v>19562</v>
      </c>
      <c r="B347" t="s">
        <v>10</v>
      </c>
      <c r="C347" t="s">
        <v>4885</v>
      </c>
      <c r="D347" t="str">
        <f t="shared" si="22"/>
        <v/>
      </c>
      <c r="E347" t="s">
        <v>4886</v>
      </c>
      <c r="F347" t="str">
        <f t="shared" si="24"/>
        <v>1120315</v>
      </c>
    </row>
    <row r="348" spans="1:9" ht="15" hidden="1" customHeight="1" x14ac:dyDescent="0.25">
      <c r="A348">
        <v>19567</v>
      </c>
      <c r="B348" t="s">
        <v>10</v>
      </c>
      <c r="C348" t="s">
        <v>4887</v>
      </c>
      <c r="D348" t="str">
        <f t="shared" si="22"/>
        <v/>
      </c>
      <c r="E348" t="s">
        <v>4888</v>
      </c>
      <c r="F348" t="str">
        <f t="shared" si="24"/>
        <v>1120315</v>
      </c>
    </row>
    <row r="349" spans="1:9" ht="15" hidden="1" customHeight="1" x14ac:dyDescent="0.25">
      <c r="A349">
        <v>19568</v>
      </c>
      <c r="B349" t="s">
        <v>10</v>
      </c>
      <c r="C349" t="s">
        <v>4889</v>
      </c>
      <c r="D349" t="str">
        <f t="shared" si="22"/>
        <v/>
      </c>
      <c r="E349" t="s">
        <v>4890</v>
      </c>
      <c r="F349" t="str">
        <f t="shared" si="24"/>
        <v>1120315</v>
      </c>
    </row>
    <row r="350" spans="1:9" ht="15" hidden="1" customHeight="1" x14ac:dyDescent="0.25">
      <c r="A350">
        <v>19569</v>
      </c>
      <c r="B350" t="s">
        <v>10</v>
      </c>
      <c r="C350" t="s">
        <v>4891</v>
      </c>
      <c r="D350" t="str">
        <f t="shared" si="22"/>
        <v/>
      </c>
      <c r="E350" t="s">
        <v>4892</v>
      </c>
      <c r="F350" t="str">
        <f t="shared" si="24"/>
        <v>1120315</v>
      </c>
    </row>
    <row r="351" spans="1:9" ht="15" hidden="1" customHeight="1" x14ac:dyDescent="0.25">
      <c r="A351">
        <v>19570</v>
      </c>
      <c r="B351" t="s">
        <v>10</v>
      </c>
      <c r="C351" t="s">
        <v>4893</v>
      </c>
      <c r="D351" t="str">
        <f t="shared" si="22"/>
        <v/>
      </c>
      <c r="E351" t="s">
        <v>4894</v>
      </c>
      <c r="F351" t="str">
        <f t="shared" si="24"/>
        <v>1120315</v>
      </c>
    </row>
    <row r="352" spans="1:9" ht="15" hidden="1" customHeight="1" x14ac:dyDescent="0.25">
      <c r="A352">
        <v>19571</v>
      </c>
      <c r="B352" t="s">
        <v>10</v>
      </c>
      <c r="C352" t="s">
        <v>4895</v>
      </c>
      <c r="D352" t="str">
        <f t="shared" si="22"/>
        <v/>
      </c>
      <c r="E352" t="s">
        <v>4896</v>
      </c>
      <c r="F352" t="str">
        <f t="shared" si="24"/>
        <v>1120315</v>
      </c>
    </row>
    <row r="353" spans="1:9" ht="15" hidden="1" customHeight="1" x14ac:dyDescent="0.25">
      <c r="A353">
        <v>19572</v>
      </c>
      <c r="B353" t="s">
        <v>10</v>
      </c>
      <c r="C353" t="s">
        <v>4897</v>
      </c>
      <c r="D353" t="str">
        <f t="shared" si="22"/>
        <v/>
      </c>
      <c r="E353" t="s">
        <v>4898</v>
      </c>
      <c r="F353" t="str">
        <f t="shared" si="24"/>
        <v>1120315</v>
      </c>
    </row>
    <row r="354" spans="1:9" ht="15" hidden="1" customHeight="1" x14ac:dyDescent="0.25">
      <c r="A354">
        <v>19573</v>
      </c>
      <c r="B354" t="s">
        <v>10</v>
      </c>
      <c r="C354" t="s">
        <v>4899</v>
      </c>
      <c r="D354" t="str">
        <f t="shared" si="22"/>
        <v/>
      </c>
      <c r="E354" t="s">
        <v>4900</v>
      </c>
      <c r="F354" t="str">
        <f t="shared" si="24"/>
        <v>1120315</v>
      </c>
    </row>
    <row r="355" spans="1:9" ht="15" customHeight="1" x14ac:dyDescent="0.25">
      <c r="A355">
        <v>21158</v>
      </c>
      <c r="B355" t="s">
        <v>7</v>
      </c>
      <c r="C355" t="s">
        <v>6589</v>
      </c>
      <c r="D355" t="str">
        <f t="shared" si="22"/>
        <v/>
      </c>
      <c r="E355" t="s">
        <v>6590</v>
      </c>
      <c r="F355" t="s">
        <v>6857</v>
      </c>
      <c r="H355">
        <v>2</v>
      </c>
      <c r="I355">
        <v>1</v>
      </c>
    </row>
    <row r="356" spans="1:9" ht="15" hidden="1" customHeight="1" x14ac:dyDescent="0.25">
      <c r="A356">
        <v>21159</v>
      </c>
      <c r="B356" t="s">
        <v>10</v>
      </c>
      <c r="C356" t="s">
        <v>6591</v>
      </c>
      <c r="D356" t="str">
        <f t="shared" si="22"/>
        <v/>
      </c>
      <c r="E356" t="s">
        <v>6592</v>
      </c>
      <c r="F356" t="str">
        <f t="shared" ref="F356:F367" si="25">LEFT(C356,7)</f>
        <v>1120316</v>
      </c>
    </row>
    <row r="357" spans="1:9" ht="15" hidden="1" customHeight="1" x14ac:dyDescent="0.25">
      <c r="A357">
        <v>21160</v>
      </c>
      <c r="B357" t="s">
        <v>10</v>
      </c>
      <c r="C357" t="s">
        <v>6593</v>
      </c>
      <c r="D357" t="str">
        <f t="shared" si="22"/>
        <v/>
      </c>
      <c r="E357" t="s">
        <v>6594</v>
      </c>
      <c r="F357" t="str">
        <f t="shared" si="25"/>
        <v>1120316</v>
      </c>
    </row>
    <row r="358" spans="1:9" ht="15" hidden="1" customHeight="1" x14ac:dyDescent="0.25">
      <c r="A358">
        <v>21161</v>
      </c>
      <c r="B358" t="s">
        <v>10</v>
      </c>
      <c r="C358" t="s">
        <v>6595</v>
      </c>
      <c r="D358" t="str">
        <f t="shared" si="22"/>
        <v/>
      </c>
      <c r="E358" t="s">
        <v>6596</v>
      </c>
      <c r="F358" t="str">
        <f t="shared" si="25"/>
        <v>1120316</v>
      </c>
    </row>
    <row r="359" spans="1:9" ht="15" customHeight="1" x14ac:dyDescent="0.25">
      <c r="A359">
        <v>15083</v>
      </c>
      <c r="B359" t="s">
        <v>7</v>
      </c>
      <c r="C359" t="s">
        <v>499</v>
      </c>
      <c r="D359" t="str">
        <f t="shared" si="22"/>
        <v/>
      </c>
      <c r="E359" t="s">
        <v>500</v>
      </c>
      <c r="F359" t="str">
        <f t="shared" si="25"/>
        <v>1120666</v>
      </c>
      <c r="H359">
        <v>2</v>
      </c>
      <c r="I359">
        <v>1</v>
      </c>
    </row>
    <row r="360" spans="1:9" ht="15" hidden="1" customHeight="1" x14ac:dyDescent="0.25">
      <c r="A360">
        <v>15084</v>
      </c>
      <c r="B360" t="s">
        <v>10</v>
      </c>
      <c r="C360" t="s">
        <v>501</v>
      </c>
      <c r="D360" t="str">
        <f t="shared" si="22"/>
        <v/>
      </c>
      <c r="E360" t="s">
        <v>502</v>
      </c>
      <c r="F360" t="str">
        <f t="shared" si="25"/>
        <v>1120666</v>
      </c>
    </row>
    <row r="361" spans="1:9" ht="15" hidden="1" customHeight="1" x14ac:dyDescent="0.25">
      <c r="A361">
        <v>15089</v>
      </c>
      <c r="B361" t="s">
        <v>10</v>
      </c>
      <c r="C361" t="s">
        <v>503</v>
      </c>
      <c r="D361" t="str">
        <f t="shared" si="22"/>
        <v/>
      </c>
      <c r="E361" t="s">
        <v>504</v>
      </c>
      <c r="F361" t="str">
        <f t="shared" si="25"/>
        <v>1120666</v>
      </c>
    </row>
    <row r="362" spans="1:9" ht="15" hidden="1" customHeight="1" x14ac:dyDescent="0.25">
      <c r="A362">
        <v>15090</v>
      </c>
      <c r="B362" t="s">
        <v>10</v>
      </c>
      <c r="C362" t="s">
        <v>505</v>
      </c>
      <c r="D362" t="str">
        <f t="shared" si="22"/>
        <v/>
      </c>
      <c r="E362" t="s">
        <v>506</v>
      </c>
      <c r="F362" t="str">
        <f t="shared" si="25"/>
        <v>1120666</v>
      </c>
    </row>
    <row r="363" spans="1:9" ht="15" hidden="1" customHeight="1" x14ac:dyDescent="0.25">
      <c r="A363">
        <v>15091</v>
      </c>
      <c r="B363" t="s">
        <v>10</v>
      </c>
      <c r="C363" t="s">
        <v>507</v>
      </c>
      <c r="D363" t="str">
        <f t="shared" si="22"/>
        <v/>
      </c>
      <c r="E363" t="s">
        <v>508</v>
      </c>
      <c r="F363" t="str">
        <f t="shared" si="25"/>
        <v>1120666</v>
      </c>
    </row>
    <row r="364" spans="1:9" ht="15" hidden="1" customHeight="1" x14ac:dyDescent="0.25">
      <c r="A364">
        <v>15092</v>
      </c>
      <c r="B364" t="s">
        <v>10</v>
      </c>
      <c r="C364" t="s">
        <v>509</v>
      </c>
      <c r="D364" t="str">
        <f t="shared" si="22"/>
        <v/>
      </c>
      <c r="E364" t="s">
        <v>510</v>
      </c>
      <c r="F364" t="str">
        <f t="shared" si="25"/>
        <v>1120666</v>
      </c>
    </row>
    <row r="365" spans="1:9" ht="15" hidden="1" customHeight="1" x14ac:dyDescent="0.25">
      <c r="A365">
        <v>15093</v>
      </c>
      <c r="B365" t="s">
        <v>10</v>
      </c>
      <c r="C365" t="s">
        <v>511</v>
      </c>
      <c r="D365" t="str">
        <f t="shared" si="22"/>
        <v/>
      </c>
      <c r="E365" t="s">
        <v>512</v>
      </c>
      <c r="F365" t="str">
        <f t="shared" si="25"/>
        <v>1120666</v>
      </c>
    </row>
    <row r="366" spans="1:9" ht="15" hidden="1" customHeight="1" x14ac:dyDescent="0.25">
      <c r="A366">
        <v>15094</v>
      </c>
      <c r="B366" t="s">
        <v>10</v>
      </c>
      <c r="C366" t="s">
        <v>513</v>
      </c>
      <c r="D366" t="str">
        <f t="shared" si="22"/>
        <v/>
      </c>
      <c r="E366" t="s">
        <v>514</v>
      </c>
      <c r="F366" t="str">
        <f t="shared" si="25"/>
        <v>1120666</v>
      </c>
    </row>
    <row r="367" spans="1:9" ht="15" hidden="1" customHeight="1" x14ac:dyDescent="0.25">
      <c r="A367">
        <v>15095</v>
      </c>
      <c r="B367" t="s">
        <v>10</v>
      </c>
      <c r="C367" t="s">
        <v>515</v>
      </c>
      <c r="D367" t="str">
        <f t="shared" si="22"/>
        <v/>
      </c>
      <c r="E367" t="s">
        <v>516</v>
      </c>
      <c r="F367" t="str">
        <f t="shared" si="25"/>
        <v>1120666</v>
      </c>
    </row>
    <row r="368" spans="1:9" ht="15" customHeight="1" x14ac:dyDescent="0.25">
      <c r="A368">
        <v>17543</v>
      </c>
      <c r="B368" t="s">
        <v>7</v>
      </c>
      <c r="C368" t="s">
        <v>2253</v>
      </c>
      <c r="D368" t="str">
        <f t="shared" si="22"/>
        <v/>
      </c>
      <c r="E368" t="s">
        <v>2254</v>
      </c>
      <c r="F368" t="s">
        <v>6858</v>
      </c>
      <c r="H368">
        <v>2</v>
      </c>
      <c r="I368">
        <v>1</v>
      </c>
    </row>
    <row r="369" spans="1:9" ht="15" hidden="1" customHeight="1" x14ac:dyDescent="0.25">
      <c r="A369">
        <v>17544</v>
      </c>
      <c r="B369" t="s">
        <v>10</v>
      </c>
      <c r="C369" t="s">
        <v>2255</v>
      </c>
      <c r="D369" t="str">
        <f t="shared" si="22"/>
        <v/>
      </c>
      <c r="E369" t="s">
        <v>2256</v>
      </c>
      <c r="F369" t="str">
        <f>LEFT(C369,7)</f>
        <v>1120667</v>
      </c>
    </row>
    <row r="370" spans="1:9" ht="15" hidden="1" customHeight="1" x14ac:dyDescent="0.25">
      <c r="A370">
        <v>17545</v>
      </c>
      <c r="B370" t="s">
        <v>10</v>
      </c>
      <c r="C370" t="s">
        <v>2257</v>
      </c>
      <c r="D370" t="str">
        <f t="shared" si="22"/>
        <v/>
      </c>
      <c r="E370" t="s">
        <v>2258</v>
      </c>
      <c r="F370" t="str">
        <f>LEFT(C370,7)</f>
        <v>1120667</v>
      </c>
    </row>
    <row r="371" spans="1:9" ht="15" hidden="1" customHeight="1" x14ac:dyDescent="0.25">
      <c r="A371">
        <v>17546</v>
      </c>
      <c r="B371" t="s">
        <v>10</v>
      </c>
      <c r="C371" t="s">
        <v>2259</v>
      </c>
      <c r="D371" t="str">
        <f t="shared" si="22"/>
        <v/>
      </c>
      <c r="E371" t="s">
        <v>2260</v>
      </c>
      <c r="F371" t="str">
        <f>LEFT(C371,7)</f>
        <v>1120667</v>
      </c>
    </row>
    <row r="372" spans="1:9" ht="15" customHeight="1" x14ac:dyDescent="0.25">
      <c r="A372">
        <v>17547</v>
      </c>
      <c r="B372" t="s">
        <v>7</v>
      </c>
      <c r="C372" t="s">
        <v>2261</v>
      </c>
      <c r="D372" t="str">
        <f t="shared" si="22"/>
        <v/>
      </c>
      <c r="E372" t="s">
        <v>2262</v>
      </c>
      <c r="F372" t="s">
        <v>6858</v>
      </c>
      <c r="H372">
        <v>2</v>
      </c>
      <c r="I372">
        <v>1</v>
      </c>
    </row>
    <row r="373" spans="1:9" ht="15" hidden="1" customHeight="1" x14ac:dyDescent="0.25">
      <c r="A373">
        <v>17548</v>
      </c>
      <c r="B373" t="s">
        <v>10</v>
      </c>
      <c r="C373" t="s">
        <v>2263</v>
      </c>
      <c r="D373" t="str">
        <f t="shared" si="22"/>
        <v/>
      </c>
      <c r="E373" t="s">
        <v>2264</v>
      </c>
      <c r="F373" t="str">
        <f>LEFT(C373,7)</f>
        <v>1120668</v>
      </c>
    </row>
    <row r="374" spans="1:9" ht="15" hidden="1" customHeight="1" x14ac:dyDescent="0.25">
      <c r="A374">
        <v>17549</v>
      </c>
      <c r="B374" t="s">
        <v>10</v>
      </c>
      <c r="C374" t="s">
        <v>2265</v>
      </c>
      <c r="D374" t="str">
        <f t="shared" si="22"/>
        <v/>
      </c>
      <c r="E374" t="s">
        <v>2266</v>
      </c>
      <c r="F374" t="str">
        <f>LEFT(C374,7)</f>
        <v>1120668</v>
      </c>
    </row>
    <row r="375" spans="1:9" ht="15" hidden="1" customHeight="1" x14ac:dyDescent="0.25">
      <c r="A375">
        <v>17550</v>
      </c>
      <c r="B375" t="s">
        <v>10</v>
      </c>
      <c r="C375" t="s">
        <v>2267</v>
      </c>
      <c r="D375" t="str">
        <f t="shared" si="22"/>
        <v/>
      </c>
      <c r="E375" t="s">
        <v>2268</v>
      </c>
      <c r="F375" t="str">
        <f>LEFT(C375,7)</f>
        <v>1120668</v>
      </c>
    </row>
    <row r="376" spans="1:9" ht="15" customHeight="1" x14ac:dyDescent="0.25">
      <c r="A376">
        <v>17551</v>
      </c>
      <c r="B376" t="s">
        <v>7</v>
      </c>
      <c r="C376" t="s">
        <v>2269</v>
      </c>
      <c r="D376" t="str">
        <f t="shared" si="22"/>
        <v/>
      </c>
      <c r="E376" t="s">
        <v>2270</v>
      </c>
      <c r="F376" t="s">
        <v>6858</v>
      </c>
      <c r="H376">
        <v>2</v>
      </c>
      <c r="I376">
        <v>1</v>
      </c>
    </row>
    <row r="377" spans="1:9" ht="15" hidden="1" customHeight="1" x14ac:dyDescent="0.25">
      <c r="A377">
        <v>17552</v>
      </c>
      <c r="B377" t="s">
        <v>10</v>
      </c>
      <c r="C377" t="s">
        <v>2271</v>
      </c>
      <c r="D377" t="str">
        <f t="shared" si="22"/>
        <v/>
      </c>
      <c r="E377" t="s">
        <v>2272</v>
      </c>
      <c r="F377" t="str">
        <f t="shared" ref="F377:F388" si="26">LEFT(C377,7)</f>
        <v>1120669</v>
      </c>
    </row>
    <row r="378" spans="1:9" ht="15" hidden="1" customHeight="1" x14ac:dyDescent="0.25">
      <c r="A378">
        <v>17553</v>
      </c>
      <c r="B378" t="s">
        <v>10</v>
      </c>
      <c r="C378" t="s">
        <v>2273</v>
      </c>
      <c r="D378" t="str">
        <f t="shared" si="22"/>
        <v/>
      </c>
      <c r="E378" t="s">
        <v>2274</v>
      </c>
      <c r="F378" t="str">
        <f t="shared" si="26"/>
        <v>1120669</v>
      </c>
    </row>
    <row r="379" spans="1:9" ht="15" hidden="1" customHeight="1" x14ac:dyDescent="0.25">
      <c r="A379">
        <v>17554</v>
      </c>
      <c r="B379" t="s">
        <v>10</v>
      </c>
      <c r="C379" t="s">
        <v>2275</v>
      </c>
      <c r="D379" t="str">
        <f t="shared" si="22"/>
        <v/>
      </c>
      <c r="E379" t="s">
        <v>2276</v>
      </c>
      <c r="F379" t="str">
        <f t="shared" si="26"/>
        <v>1120669</v>
      </c>
    </row>
    <row r="380" spans="1:9" ht="15" customHeight="1" x14ac:dyDescent="0.25">
      <c r="A380">
        <v>21225</v>
      </c>
      <c r="B380" t="s">
        <v>7</v>
      </c>
      <c r="C380" t="s">
        <v>6699</v>
      </c>
      <c r="D380" t="str">
        <f t="shared" si="22"/>
        <v/>
      </c>
      <c r="E380" t="s">
        <v>6700</v>
      </c>
      <c r="F380" t="str">
        <f t="shared" si="26"/>
        <v>1120878</v>
      </c>
      <c r="H380">
        <v>4</v>
      </c>
      <c r="I380">
        <v>1</v>
      </c>
    </row>
    <row r="381" spans="1:9" ht="15" hidden="1" customHeight="1" x14ac:dyDescent="0.25">
      <c r="A381">
        <v>21226</v>
      </c>
      <c r="B381" t="s">
        <v>10</v>
      </c>
      <c r="C381" t="s">
        <v>6701</v>
      </c>
      <c r="D381" t="str">
        <f t="shared" si="22"/>
        <v/>
      </c>
      <c r="E381" t="s">
        <v>6702</v>
      </c>
      <c r="F381" t="str">
        <f t="shared" si="26"/>
        <v>1120878</v>
      </c>
    </row>
    <row r="382" spans="1:9" ht="15" hidden="1" customHeight="1" x14ac:dyDescent="0.25">
      <c r="A382">
        <v>21231</v>
      </c>
      <c r="B382" t="s">
        <v>10</v>
      </c>
      <c r="C382" t="s">
        <v>6703</v>
      </c>
      <c r="D382" t="str">
        <f t="shared" si="22"/>
        <v/>
      </c>
      <c r="E382" t="s">
        <v>6704</v>
      </c>
      <c r="F382" t="str">
        <f t="shared" si="26"/>
        <v>1120878</v>
      </c>
    </row>
    <row r="383" spans="1:9" ht="15" hidden="1" customHeight="1" x14ac:dyDescent="0.25">
      <c r="A383">
        <v>21232</v>
      </c>
      <c r="B383" t="s">
        <v>10</v>
      </c>
      <c r="C383" t="s">
        <v>6705</v>
      </c>
      <c r="D383" t="str">
        <f t="shared" si="22"/>
        <v/>
      </c>
      <c r="E383" t="s">
        <v>6706</v>
      </c>
      <c r="F383" t="str">
        <f t="shared" si="26"/>
        <v>1120878</v>
      </c>
    </row>
    <row r="384" spans="1:9" ht="15" hidden="1" customHeight="1" x14ac:dyDescent="0.25">
      <c r="A384">
        <v>21233</v>
      </c>
      <c r="B384" t="s">
        <v>10</v>
      </c>
      <c r="C384" t="s">
        <v>6707</v>
      </c>
      <c r="D384" t="str">
        <f t="shared" si="22"/>
        <v/>
      </c>
      <c r="E384" t="s">
        <v>6708</v>
      </c>
      <c r="F384" t="str">
        <f t="shared" si="26"/>
        <v>1120878</v>
      </c>
    </row>
    <row r="385" spans="1:9" ht="15" hidden="1" customHeight="1" x14ac:dyDescent="0.25">
      <c r="A385">
        <v>21234</v>
      </c>
      <c r="B385" t="s">
        <v>10</v>
      </c>
      <c r="C385" t="s">
        <v>6709</v>
      </c>
      <c r="D385" t="str">
        <f t="shared" si="22"/>
        <v/>
      </c>
      <c r="E385" t="s">
        <v>6710</v>
      </c>
      <c r="F385" t="str">
        <f t="shared" si="26"/>
        <v>1120878</v>
      </c>
    </row>
    <row r="386" spans="1:9" ht="15" hidden="1" customHeight="1" x14ac:dyDescent="0.25">
      <c r="A386">
        <v>21235</v>
      </c>
      <c r="B386" t="s">
        <v>10</v>
      </c>
      <c r="C386" t="s">
        <v>6711</v>
      </c>
      <c r="D386" t="str">
        <f t="shared" si="22"/>
        <v/>
      </c>
      <c r="E386" t="s">
        <v>6712</v>
      </c>
      <c r="F386" t="str">
        <f t="shared" si="26"/>
        <v>1120878</v>
      </c>
    </row>
    <row r="387" spans="1:9" ht="15" hidden="1" customHeight="1" x14ac:dyDescent="0.25">
      <c r="A387">
        <v>21236</v>
      </c>
      <c r="B387" t="s">
        <v>10</v>
      </c>
      <c r="C387" t="s">
        <v>6713</v>
      </c>
      <c r="D387" t="str">
        <f t="shared" si="22"/>
        <v/>
      </c>
      <c r="E387" t="s">
        <v>6714</v>
      </c>
      <c r="F387" t="str">
        <f t="shared" si="26"/>
        <v>1120878</v>
      </c>
    </row>
    <row r="388" spans="1:9" ht="15" hidden="1" customHeight="1" x14ac:dyDescent="0.25">
      <c r="A388">
        <v>21237</v>
      </c>
      <c r="B388" t="s">
        <v>10</v>
      </c>
      <c r="C388" t="s">
        <v>6715</v>
      </c>
      <c r="D388" t="str">
        <f t="shared" si="22"/>
        <v/>
      </c>
      <c r="E388" t="s">
        <v>6716</v>
      </c>
      <c r="F388" t="str">
        <f t="shared" si="26"/>
        <v>1120878</v>
      </c>
    </row>
    <row r="389" spans="1:9" ht="15" customHeight="1" x14ac:dyDescent="0.25">
      <c r="A389">
        <v>21238</v>
      </c>
      <c r="B389" t="s">
        <v>7</v>
      </c>
      <c r="C389" t="s">
        <v>6717</v>
      </c>
      <c r="D389" t="str">
        <f t="shared" si="22"/>
        <v/>
      </c>
      <c r="E389" t="s">
        <v>6718</v>
      </c>
      <c r="F389" t="s">
        <v>6859</v>
      </c>
      <c r="H389">
        <v>4</v>
      </c>
      <c r="I389">
        <v>1</v>
      </c>
    </row>
    <row r="390" spans="1:9" ht="15" hidden="1" customHeight="1" x14ac:dyDescent="0.25">
      <c r="A390">
        <v>21239</v>
      </c>
      <c r="B390" t="s">
        <v>10</v>
      </c>
      <c r="C390" t="s">
        <v>6719</v>
      </c>
      <c r="D390" t="str">
        <f t="shared" ref="D390:D453" si="27">IF(RIGHT(LEFT(C390,9),2)="##","",RIGHT(LEFT(C390,10),2))</f>
        <v/>
      </c>
      <c r="E390" t="s">
        <v>6720</v>
      </c>
      <c r="F390" t="str">
        <f t="shared" ref="F390:F401" si="28">LEFT(C390,7)</f>
        <v>1120880</v>
      </c>
    </row>
    <row r="391" spans="1:9" ht="15" hidden="1" customHeight="1" x14ac:dyDescent="0.25">
      <c r="A391">
        <v>21240</v>
      </c>
      <c r="B391" t="s">
        <v>10</v>
      </c>
      <c r="C391" t="s">
        <v>6721</v>
      </c>
      <c r="D391" t="str">
        <f t="shared" si="27"/>
        <v/>
      </c>
      <c r="E391" t="s">
        <v>6722</v>
      </c>
      <c r="F391" t="str">
        <f t="shared" si="28"/>
        <v>1120880</v>
      </c>
    </row>
    <row r="392" spans="1:9" ht="15" hidden="1" customHeight="1" x14ac:dyDescent="0.25">
      <c r="A392">
        <v>21241</v>
      </c>
      <c r="B392" t="s">
        <v>10</v>
      </c>
      <c r="C392" t="s">
        <v>6723</v>
      </c>
      <c r="D392" t="str">
        <f t="shared" si="27"/>
        <v/>
      </c>
      <c r="E392" t="s">
        <v>6724</v>
      </c>
      <c r="F392" t="str">
        <f t="shared" si="28"/>
        <v>1120880</v>
      </c>
    </row>
    <row r="393" spans="1:9" ht="15" customHeight="1" x14ac:dyDescent="0.25">
      <c r="A393">
        <v>15070</v>
      </c>
      <c r="B393" t="s">
        <v>7</v>
      </c>
      <c r="C393" t="s">
        <v>481</v>
      </c>
      <c r="D393" t="str">
        <f t="shared" si="27"/>
        <v/>
      </c>
      <c r="E393" t="s">
        <v>482</v>
      </c>
      <c r="F393" t="str">
        <f t="shared" si="28"/>
        <v>1120875</v>
      </c>
      <c r="H393">
        <v>4</v>
      </c>
      <c r="I393">
        <v>1</v>
      </c>
    </row>
    <row r="394" spans="1:9" ht="15" hidden="1" customHeight="1" x14ac:dyDescent="0.25">
      <c r="A394">
        <v>15071</v>
      </c>
      <c r="B394" t="s">
        <v>10</v>
      </c>
      <c r="C394" t="s">
        <v>483</v>
      </c>
      <c r="D394" t="str">
        <f t="shared" si="27"/>
        <v/>
      </c>
      <c r="E394" t="s">
        <v>484</v>
      </c>
      <c r="F394" t="str">
        <f t="shared" si="28"/>
        <v>1120875</v>
      </c>
    </row>
    <row r="395" spans="1:9" ht="15" hidden="1" customHeight="1" x14ac:dyDescent="0.25">
      <c r="A395">
        <v>15076</v>
      </c>
      <c r="B395" t="s">
        <v>10</v>
      </c>
      <c r="C395" t="s">
        <v>485</v>
      </c>
      <c r="D395" t="str">
        <f t="shared" si="27"/>
        <v/>
      </c>
      <c r="E395" t="s">
        <v>486</v>
      </c>
      <c r="F395" t="str">
        <f t="shared" si="28"/>
        <v>1120875</v>
      </c>
    </row>
    <row r="396" spans="1:9" ht="15" hidden="1" customHeight="1" x14ac:dyDescent="0.25">
      <c r="A396">
        <v>15077</v>
      </c>
      <c r="B396" t="s">
        <v>10</v>
      </c>
      <c r="C396" t="s">
        <v>487</v>
      </c>
      <c r="D396" t="str">
        <f t="shared" si="27"/>
        <v/>
      </c>
      <c r="E396" t="s">
        <v>488</v>
      </c>
      <c r="F396" t="str">
        <f t="shared" si="28"/>
        <v>1120875</v>
      </c>
    </row>
    <row r="397" spans="1:9" ht="15" hidden="1" customHeight="1" x14ac:dyDescent="0.25">
      <c r="A397">
        <v>15078</v>
      </c>
      <c r="B397" t="s">
        <v>10</v>
      </c>
      <c r="C397" t="s">
        <v>489</v>
      </c>
      <c r="D397" t="str">
        <f t="shared" si="27"/>
        <v/>
      </c>
      <c r="E397" t="s">
        <v>490</v>
      </c>
      <c r="F397" t="str">
        <f t="shared" si="28"/>
        <v>1120875</v>
      </c>
    </row>
    <row r="398" spans="1:9" ht="15" hidden="1" customHeight="1" x14ac:dyDescent="0.25">
      <c r="A398">
        <v>15079</v>
      </c>
      <c r="B398" t="s">
        <v>10</v>
      </c>
      <c r="C398" t="s">
        <v>491</v>
      </c>
      <c r="D398" t="str">
        <f t="shared" si="27"/>
        <v/>
      </c>
      <c r="E398" t="s">
        <v>492</v>
      </c>
      <c r="F398" t="str">
        <f t="shared" si="28"/>
        <v>1120875</v>
      </c>
    </row>
    <row r="399" spans="1:9" ht="15" hidden="1" customHeight="1" x14ac:dyDescent="0.25">
      <c r="A399">
        <v>15080</v>
      </c>
      <c r="B399" t="s">
        <v>10</v>
      </c>
      <c r="C399" t="s">
        <v>493</v>
      </c>
      <c r="D399" t="str">
        <f t="shared" si="27"/>
        <v/>
      </c>
      <c r="E399" t="s">
        <v>494</v>
      </c>
      <c r="F399" t="str">
        <f t="shared" si="28"/>
        <v>1120875</v>
      </c>
    </row>
    <row r="400" spans="1:9" ht="15" hidden="1" customHeight="1" x14ac:dyDescent="0.25">
      <c r="A400">
        <v>15081</v>
      </c>
      <c r="B400" t="s">
        <v>10</v>
      </c>
      <c r="C400" t="s">
        <v>495</v>
      </c>
      <c r="D400" t="str">
        <f t="shared" si="27"/>
        <v/>
      </c>
      <c r="E400" t="s">
        <v>496</v>
      </c>
      <c r="F400" t="str">
        <f t="shared" si="28"/>
        <v>1120875</v>
      </c>
    </row>
    <row r="401" spans="1:9" ht="15" hidden="1" customHeight="1" x14ac:dyDescent="0.25">
      <c r="A401">
        <v>15082</v>
      </c>
      <c r="B401" t="s">
        <v>10</v>
      </c>
      <c r="C401" t="s">
        <v>497</v>
      </c>
      <c r="D401" t="str">
        <f t="shared" si="27"/>
        <v/>
      </c>
      <c r="E401" t="s">
        <v>498</v>
      </c>
      <c r="F401" t="str">
        <f t="shared" si="28"/>
        <v>1120875</v>
      </c>
    </row>
    <row r="402" spans="1:9" ht="15" customHeight="1" x14ac:dyDescent="0.25">
      <c r="A402">
        <v>18507</v>
      </c>
      <c r="B402" t="s">
        <v>7</v>
      </c>
      <c r="C402" t="s">
        <v>3687</v>
      </c>
      <c r="D402" t="str">
        <f t="shared" si="27"/>
        <v/>
      </c>
      <c r="E402" t="s">
        <v>3688</v>
      </c>
      <c r="F402" t="s">
        <v>6860</v>
      </c>
      <c r="H402">
        <v>4</v>
      </c>
      <c r="I402">
        <v>1</v>
      </c>
    </row>
    <row r="403" spans="1:9" ht="15" hidden="1" customHeight="1" x14ac:dyDescent="0.25">
      <c r="A403">
        <v>18508</v>
      </c>
      <c r="B403" t="s">
        <v>10</v>
      </c>
      <c r="C403" t="s">
        <v>3689</v>
      </c>
      <c r="D403" t="str">
        <f t="shared" si="27"/>
        <v/>
      </c>
      <c r="E403" t="s">
        <v>3690</v>
      </c>
      <c r="F403" t="str">
        <f>LEFT(C403,7)</f>
        <v>1120462</v>
      </c>
    </row>
    <row r="404" spans="1:9" ht="15" hidden="1" customHeight="1" x14ac:dyDescent="0.25">
      <c r="A404">
        <v>18509</v>
      </c>
      <c r="B404" t="s">
        <v>10</v>
      </c>
      <c r="C404" t="s">
        <v>3691</v>
      </c>
      <c r="D404" t="str">
        <f t="shared" si="27"/>
        <v/>
      </c>
      <c r="E404" t="s">
        <v>3692</v>
      </c>
      <c r="F404" t="str">
        <f>LEFT(C404,7)</f>
        <v>1120462</v>
      </c>
    </row>
    <row r="405" spans="1:9" ht="15" hidden="1" customHeight="1" x14ac:dyDescent="0.25">
      <c r="A405">
        <v>18510</v>
      </c>
      <c r="B405" t="s">
        <v>10</v>
      </c>
      <c r="C405" t="s">
        <v>3693</v>
      </c>
      <c r="D405" t="str">
        <f t="shared" si="27"/>
        <v/>
      </c>
      <c r="E405" t="s">
        <v>3694</v>
      </c>
      <c r="F405" t="str">
        <f>LEFT(C405,7)</f>
        <v>1120462</v>
      </c>
    </row>
    <row r="406" spans="1:9" ht="15" customHeight="1" x14ac:dyDescent="0.25">
      <c r="A406">
        <v>18433</v>
      </c>
      <c r="B406" t="s">
        <v>7</v>
      </c>
      <c r="C406" t="s">
        <v>3591</v>
      </c>
      <c r="D406" t="str">
        <f t="shared" si="27"/>
        <v/>
      </c>
      <c r="E406" t="s">
        <v>3592</v>
      </c>
      <c r="F406" t="s">
        <v>6860</v>
      </c>
      <c r="H406">
        <v>4</v>
      </c>
      <c r="I406">
        <v>1</v>
      </c>
    </row>
    <row r="407" spans="1:9" ht="15" hidden="1" customHeight="1" x14ac:dyDescent="0.25">
      <c r="A407">
        <v>18434</v>
      </c>
      <c r="B407" t="s">
        <v>10</v>
      </c>
      <c r="C407" t="s">
        <v>3593</v>
      </c>
      <c r="D407" t="str">
        <f t="shared" si="27"/>
        <v/>
      </c>
      <c r="E407" t="s">
        <v>3594</v>
      </c>
      <c r="F407" t="str">
        <f>LEFT(C407,7)</f>
        <v>1120463</v>
      </c>
    </row>
    <row r="408" spans="1:9" ht="15" hidden="1" customHeight="1" x14ac:dyDescent="0.25">
      <c r="A408">
        <v>18435</v>
      </c>
      <c r="B408" t="s">
        <v>10</v>
      </c>
      <c r="C408" t="s">
        <v>3595</v>
      </c>
      <c r="D408" t="str">
        <f t="shared" si="27"/>
        <v/>
      </c>
      <c r="E408" t="s">
        <v>3596</v>
      </c>
      <c r="F408" t="str">
        <f>LEFT(C408,7)</f>
        <v>1120463</v>
      </c>
    </row>
    <row r="409" spans="1:9" ht="15" hidden="1" customHeight="1" x14ac:dyDescent="0.25">
      <c r="A409">
        <v>18436</v>
      </c>
      <c r="B409" t="s">
        <v>10</v>
      </c>
      <c r="C409" t="s">
        <v>3597</v>
      </c>
      <c r="D409" t="str">
        <f t="shared" si="27"/>
        <v/>
      </c>
      <c r="E409" t="s">
        <v>3598</v>
      </c>
      <c r="F409" t="str">
        <f>LEFT(C409,7)</f>
        <v>1120463</v>
      </c>
    </row>
    <row r="410" spans="1:9" ht="15" customHeight="1" x14ac:dyDescent="0.25">
      <c r="A410">
        <v>20926</v>
      </c>
      <c r="B410" t="s">
        <v>7</v>
      </c>
      <c r="C410" t="s">
        <v>6293</v>
      </c>
      <c r="D410" t="str">
        <f t="shared" si="27"/>
        <v/>
      </c>
      <c r="E410" t="s">
        <v>6294</v>
      </c>
      <c r="F410" s="3" t="s">
        <v>6978</v>
      </c>
      <c r="H410">
        <v>6</v>
      </c>
      <c r="I410">
        <v>1</v>
      </c>
    </row>
    <row r="411" spans="1:9" ht="15" hidden="1" customHeight="1" x14ac:dyDescent="0.25">
      <c r="A411">
        <v>20927</v>
      </c>
      <c r="B411" t="s">
        <v>10</v>
      </c>
      <c r="C411" t="s">
        <v>6295</v>
      </c>
      <c r="D411" t="str">
        <f t="shared" si="27"/>
        <v/>
      </c>
      <c r="E411" t="s">
        <v>6296</v>
      </c>
      <c r="F411" t="str">
        <f t="shared" ref="F411:F427" si="29">LEFT(C411,7)</f>
        <v>1120323</v>
      </c>
    </row>
    <row r="412" spans="1:9" ht="15" hidden="1" customHeight="1" x14ac:dyDescent="0.25">
      <c r="A412">
        <v>20932</v>
      </c>
      <c r="B412" t="s">
        <v>10</v>
      </c>
      <c r="C412" t="s">
        <v>6297</v>
      </c>
      <c r="D412" t="str">
        <f t="shared" si="27"/>
        <v/>
      </c>
      <c r="E412" t="s">
        <v>6298</v>
      </c>
      <c r="F412" t="str">
        <f t="shared" si="29"/>
        <v>1120323</v>
      </c>
    </row>
    <row r="413" spans="1:9" ht="15" hidden="1" customHeight="1" x14ac:dyDescent="0.25">
      <c r="A413">
        <v>20933</v>
      </c>
      <c r="B413" t="s">
        <v>10</v>
      </c>
      <c r="C413" t="s">
        <v>6299</v>
      </c>
      <c r="D413" t="str">
        <f t="shared" si="27"/>
        <v/>
      </c>
      <c r="E413" t="s">
        <v>6300</v>
      </c>
      <c r="F413" t="str">
        <f t="shared" si="29"/>
        <v>1120323</v>
      </c>
    </row>
    <row r="414" spans="1:9" ht="15" hidden="1" customHeight="1" x14ac:dyDescent="0.25">
      <c r="A414">
        <v>20934</v>
      </c>
      <c r="B414" t="s">
        <v>10</v>
      </c>
      <c r="C414" t="s">
        <v>6301</v>
      </c>
      <c r="D414" t="str">
        <f t="shared" si="27"/>
        <v/>
      </c>
      <c r="E414" t="s">
        <v>6302</v>
      </c>
      <c r="F414" t="str">
        <f t="shared" si="29"/>
        <v>1120323</v>
      </c>
    </row>
    <row r="415" spans="1:9" ht="15" hidden="1" customHeight="1" x14ac:dyDescent="0.25">
      <c r="A415">
        <v>20935</v>
      </c>
      <c r="B415" t="s">
        <v>10</v>
      </c>
      <c r="C415" t="s">
        <v>6303</v>
      </c>
      <c r="D415" t="str">
        <f t="shared" si="27"/>
        <v/>
      </c>
      <c r="E415" t="s">
        <v>6304</v>
      </c>
      <c r="F415" t="str">
        <f t="shared" si="29"/>
        <v>1120323</v>
      </c>
    </row>
    <row r="416" spans="1:9" ht="15" hidden="1" customHeight="1" x14ac:dyDescent="0.25">
      <c r="A416">
        <v>20936</v>
      </c>
      <c r="B416" t="s">
        <v>10</v>
      </c>
      <c r="C416" t="s">
        <v>6305</v>
      </c>
      <c r="D416" t="str">
        <f t="shared" si="27"/>
        <v/>
      </c>
      <c r="E416" t="s">
        <v>6306</v>
      </c>
      <c r="F416" t="str">
        <f t="shared" si="29"/>
        <v>1120323</v>
      </c>
    </row>
    <row r="417" spans="1:9" ht="15" hidden="1" customHeight="1" x14ac:dyDescent="0.25">
      <c r="A417">
        <v>20937</v>
      </c>
      <c r="B417" t="s">
        <v>10</v>
      </c>
      <c r="C417" t="s">
        <v>6307</v>
      </c>
      <c r="D417" t="str">
        <f t="shared" si="27"/>
        <v/>
      </c>
      <c r="E417" t="s">
        <v>6308</v>
      </c>
      <c r="F417" t="str">
        <f t="shared" si="29"/>
        <v>1120323</v>
      </c>
    </row>
    <row r="418" spans="1:9" ht="15" hidden="1" customHeight="1" x14ac:dyDescent="0.25">
      <c r="A418">
        <v>20938</v>
      </c>
      <c r="B418" t="s">
        <v>10</v>
      </c>
      <c r="C418" t="s">
        <v>6309</v>
      </c>
      <c r="D418" t="str">
        <f t="shared" si="27"/>
        <v/>
      </c>
      <c r="E418" t="s">
        <v>6310</v>
      </c>
      <c r="F418" t="str">
        <f t="shared" si="29"/>
        <v>1120323</v>
      </c>
    </row>
    <row r="419" spans="1:9" ht="15" customHeight="1" x14ac:dyDescent="0.25">
      <c r="A419">
        <v>19202</v>
      </c>
      <c r="B419" t="s">
        <v>7</v>
      </c>
      <c r="C419" t="s">
        <v>4425</v>
      </c>
      <c r="D419" t="str">
        <f t="shared" si="27"/>
        <v/>
      </c>
      <c r="E419" t="s">
        <v>4426</v>
      </c>
      <c r="F419" t="str">
        <f t="shared" si="29"/>
        <v>1120182</v>
      </c>
      <c r="H419">
        <v>5</v>
      </c>
      <c r="I419">
        <v>1</v>
      </c>
    </row>
    <row r="420" spans="1:9" ht="15" hidden="1" customHeight="1" x14ac:dyDescent="0.25">
      <c r="A420">
        <v>19203</v>
      </c>
      <c r="B420" t="s">
        <v>10</v>
      </c>
      <c r="C420" t="s">
        <v>4427</v>
      </c>
      <c r="D420" t="str">
        <f t="shared" si="27"/>
        <v/>
      </c>
      <c r="E420" t="s">
        <v>4428</v>
      </c>
      <c r="F420" t="str">
        <f t="shared" si="29"/>
        <v>1120182</v>
      </c>
    </row>
    <row r="421" spans="1:9" ht="15" hidden="1" customHeight="1" x14ac:dyDescent="0.25">
      <c r="A421">
        <v>19208</v>
      </c>
      <c r="B421" t="s">
        <v>10</v>
      </c>
      <c r="C421" t="s">
        <v>4429</v>
      </c>
      <c r="D421" t="str">
        <f t="shared" si="27"/>
        <v/>
      </c>
      <c r="E421" t="s">
        <v>4430</v>
      </c>
      <c r="F421" t="str">
        <f t="shared" si="29"/>
        <v>1120182</v>
      </c>
    </row>
    <row r="422" spans="1:9" ht="15" hidden="1" customHeight="1" x14ac:dyDescent="0.25">
      <c r="A422">
        <v>19209</v>
      </c>
      <c r="B422" t="s">
        <v>10</v>
      </c>
      <c r="C422" t="s">
        <v>4431</v>
      </c>
      <c r="D422" t="str">
        <f t="shared" si="27"/>
        <v/>
      </c>
      <c r="E422" t="s">
        <v>4432</v>
      </c>
      <c r="F422" t="str">
        <f t="shared" si="29"/>
        <v>1120182</v>
      </c>
    </row>
    <row r="423" spans="1:9" ht="15" hidden="1" customHeight="1" x14ac:dyDescent="0.25">
      <c r="A423">
        <v>19210</v>
      </c>
      <c r="B423" t="s">
        <v>10</v>
      </c>
      <c r="C423" t="s">
        <v>4433</v>
      </c>
      <c r="D423" t="str">
        <f t="shared" si="27"/>
        <v/>
      </c>
      <c r="E423" t="s">
        <v>4434</v>
      </c>
      <c r="F423" t="str">
        <f t="shared" si="29"/>
        <v>1120182</v>
      </c>
    </row>
    <row r="424" spans="1:9" ht="15" hidden="1" customHeight="1" x14ac:dyDescent="0.25">
      <c r="A424">
        <v>19211</v>
      </c>
      <c r="B424" t="s">
        <v>10</v>
      </c>
      <c r="C424" t="s">
        <v>4435</v>
      </c>
      <c r="D424" t="str">
        <f t="shared" si="27"/>
        <v/>
      </c>
      <c r="E424" t="s">
        <v>4436</v>
      </c>
      <c r="F424" t="str">
        <f t="shared" si="29"/>
        <v>1120182</v>
      </c>
    </row>
    <row r="425" spans="1:9" ht="15" hidden="1" customHeight="1" x14ac:dyDescent="0.25">
      <c r="A425">
        <v>19212</v>
      </c>
      <c r="B425" t="s">
        <v>10</v>
      </c>
      <c r="C425" t="s">
        <v>4437</v>
      </c>
      <c r="D425" t="str">
        <f t="shared" si="27"/>
        <v/>
      </c>
      <c r="E425" t="s">
        <v>4438</v>
      </c>
      <c r="F425" t="str">
        <f t="shared" si="29"/>
        <v>1120182</v>
      </c>
    </row>
    <row r="426" spans="1:9" ht="15" hidden="1" customHeight="1" x14ac:dyDescent="0.25">
      <c r="A426">
        <v>19213</v>
      </c>
      <c r="B426" t="s">
        <v>10</v>
      </c>
      <c r="C426" t="s">
        <v>4439</v>
      </c>
      <c r="D426" t="str">
        <f t="shared" si="27"/>
        <v/>
      </c>
      <c r="E426" t="s">
        <v>4440</v>
      </c>
      <c r="F426" t="str">
        <f t="shared" si="29"/>
        <v>1120182</v>
      </c>
    </row>
    <row r="427" spans="1:9" ht="15" hidden="1" customHeight="1" x14ac:dyDescent="0.25">
      <c r="A427">
        <v>19214</v>
      </c>
      <c r="B427" t="s">
        <v>10</v>
      </c>
      <c r="C427" t="s">
        <v>4441</v>
      </c>
      <c r="D427" t="str">
        <f t="shared" si="27"/>
        <v/>
      </c>
      <c r="E427" t="s">
        <v>4442</v>
      </c>
      <c r="F427" t="str">
        <f t="shared" si="29"/>
        <v>1120182</v>
      </c>
    </row>
    <row r="428" spans="1:9" ht="15" customHeight="1" x14ac:dyDescent="0.25">
      <c r="A428">
        <v>19215</v>
      </c>
      <c r="B428" t="s">
        <v>7</v>
      </c>
      <c r="C428" t="s">
        <v>4443</v>
      </c>
      <c r="D428" t="str">
        <f t="shared" si="27"/>
        <v/>
      </c>
      <c r="E428" t="s">
        <v>4444</v>
      </c>
      <c r="F428" t="s">
        <v>6861</v>
      </c>
      <c r="H428">
        <v>5</v>
      </c>
      <c r="I428">
        <v>1</v>
      </c>
    </row>
    <row r="429" spans="1:9" ht="15" hidden="1" customHeight="1" x14ac:dyDescent="0.25">
      <c r="A429">
        <v>19216</v>
      </c>
      <c r="B429" t="s">
        <v>10</v>
      </c>
      <c r="C429" t="s">
        <v>4445</v>
      </c>
      <c r="D429" t="str">
        <f t="shared" si="27"/>
        <v/>
      </c>
      <c r="E429" t="s">
        <v>4446</v>
      </c>
      <c r="F429" t="str">
        <f>LEFT(C429,7)</f>
        <v>1120183</v>
      </c>
    </row>
    <row r="430" spans="1:9" ht="15" hidden="1" customHeight="1" x14ac:dyDescent="0.25">
      <c r="A430">
        <v>19217</v>
      </c>
      <c r="B430" t="s">
        <v>10</v>
      </c>
      <c r="C430" t="s">
        <v>4447</v>
      </c>
      <c r="D430" t="str">
        <f t="shared" si="27"/>
        <v/>
      </c>
      <c r="E430" t="s">
        <v>4448</v>
      </c>
      <c r="F430" t="str">
        <f>LEFT(C430,7)</f>
        <v>1120183</v>
      </c>
    </row>
    <row r="431" spans="1:9" ht="15" hidden="1" customHeight="1" x14ac:dyDescent="0.25">
      <c r="A431">
        <v>19218</v>
      </c>
      <c r="B431" t="s">
        <v>10</v>
      </c>
      <c r="C431" t="s">
        <v>4449</v>
      </c>
      <c r="D431" t="str">
        <f t="shared" si="27"/>
        <v/>
      </c>
      <c r="E431" t="s">
        <v>4450</v>
      </c>
      <c r="F431" t="str">
        <f>LEFT(C431,7)</f>
        <v>1120183</v>
      </c>
    </row>
    <row r="432" spans="1:9" ht="15" customHeight="1" x14ac:dyDescent="0.25">
      <c r="A432">
        <v>19635</v>
      </c>
      <c r="B432" t="s">
        <v>7</v>
      </c>
      <c r="C432" t="s">
        <v>4989</v>
      </c>
      <c r="D432" t="str">
        <f t="shared" si="27"/>
        <v/>
      </c>
      <c r="E432" t="s">
        <v>4990</v>
      </c>
      <c r="F432" t="s">
        <v>6861</v>
      </c>
      <c r="H432">
        <v>5</v>
      </c>
      <c r="I432">
        <v>1</v>
      </c>
    </row>
    <row r="433" spans="1:9" ht="15" hidden="1" customHeight="1" x14ac:dyDescent="0.25">
      <c r="A433">
        <v>19636</v>
      </c>
      <c r="B433" t="s">
        <v>10</v>
      </c>
      <c r="C433" t="s">
        <v>4991</v>
      </c>
      <c r="D433" t="str">
        <f t="shared" si="27"/>
        <v/>
      </c>
      <c r="E433" t="s">
        <v>4992</v>
      </c>
      <c r="F433" t="str">
        <f>LEFT(C433,7)</f>
        <v>1120184</v>
      </c>
    </row>
    <row r="434" spans="1:9" ht="15" hidden="1" customHeight="1" x14ac:dyDescent="0.25">
      <c r="A434">
        <v>19637</v>
      </c>
      <c r="B434" t="s">
        <v>10</v>
      </c>
      <c r="C434" t="s">
        <v>4993</v>
      </c>
      <c r="D434" t="str">
        <f t="shared" si="27"/>
        <v/>
      </c>
      <c r="E434" t="s">
        <v>4994</v>
      </c>
      <c r="F434" t="str">
        <f>LEFT(C434,7)</f>
        <v>1120184</v>
      </c>
    </row>
    <row r="435" spans="1:9" ht="15" hidden="1" customHeight="1" x14ac:dyDescent="0.25">
      <c r="A435">
        <v>19638</v>
      </c>
      <c r="B435" t="s">
        <v>10</v>
      </c>
      <c r="C435" t="s">
        <v>4995</v>
      </c>
      <c r="D435" t="str">
        <f t="shared" si="27"/>
        <v/>
      </c>
      <c r="E435" t="s">
        <v>4996</v>
      </c>
      <c r="F435" t="str">
        <f>LEFT(C435,7)</f>
        <v>1120184</v>
      </c>
    </row>
    <row r="436" spans="1:9" ht="15" customHeight="1" x14ac:dyDescent="0.25">
      <c r="A436">
        <v>20478</v>
      </c>
      <c r="B436" t="s">
        <v>7</v>
      </c>
      <c r="C436" t="s">
        <v>5897</v>
      </c>
      <c r="D436" t="str">
        <f t="shared" si="27"/>
        <v/>
      </c>
      <c r="E436" t="s">
        <v>5898</v>
      </c>
      <c r="F436" t="s">
        <v>6861</v>
      </c>
      <c r="H436">
        <v>5</v>
      </c>
      <c r="I436">
        <v>1</v>
      </c>
    </row>
    <row r="437" spans="1:9" ht="15" hidden="1" customHeight="1" x14ac:dyDescent="0.25">
      <c r="A437">
        <v>20479</v>
      </c>
      <c r="B437" t="s">
        <v>10</v>
      </c>
      <c r="C437" t="s">
        <v>5899</v>
      </c>
      <c r="D437" t="str">
        <f t="shared" si="27"/>
        <v/>
      </c>
      <c r="E437" t="s">
        <v>5900</v>
      </c>
      <c r="F437" t="str">
        <f t="shared" ref="F437:F448" si="30">LEFT(C437,7)</f>
        <v>1120185</v>
      </c>
    </row>
    <row r="438" spans="1:9" ht="15" hidden="1" customHeight="1" x14ac:dyDescent="0.25">
      <c r="A438">
        <v>20480</v>
      </c>
      <c r="B438" t="s">
        <v>10</v>
      </c>
      <c r="C438" t="s">
        <v>5901</v>
      </c>
      <c r="D438" t="str">
        <f t="shared" si="27"/>
        <v/>
      </c>
      <c r="E438" t="s">
        <v>5902</v>
      </c>
      <c r="F438" t="str">
        <f t="shared" si="30"/>
        <v>1120185</v>
      </c>
    </row>
    <row r="439" spans="1:9" ht="15" hidden="1" customHeight="1" x14ac:dyDescent="0.25">
      <c r="A439">
        <v>20481</v>
      </c>
      <c r="B439" t="s">
        <v>10</v>
      </c>
      <c r="C439" t="s">
        <v>5903</v>
      </c>
      <c r="D439" t="str">
        <f t="shared" si="27"/>
        <v/>
      </c>
      <c r="E439" t="s">
        <v>5904</v>
      </c>
      <c r="F439" t="str">
        <f t="shared" si="30"/>
        <v>1120185</v>
      </c>
    </row>
    <row r="440" spans="1:9" ht="15" customHeight="1" x14ac:dyDescent="0.25">
      <c r="A440">
        <v>21200</v>
      </c>
      <c r="B440" t="s">
        <v>7</v>
      </c>
      <c r="C440" t="s">
        <v>6657</v>
      </c>
      <c r="D440" t="str">
        <f t="shared" si="27"/>
        <v/>
      </c>
      <c r="E440" t="s">
        <v>6658</v>
      </c>
      <c r="F440" t="str">
        <f t="shared" si="30"/>
        <v>1120877</v>
      </c>
      <c r="H440">
        <v>4</v>
      </c>
      <c r="I440">
        <v>1</v>
      </c>
    </row>
    <row r="441" spans="1:9" ht="15" hidden="1" customHeight="1" x14ac:dyDescent="0.25">
      <c r="A441">
        <v>21201</v>
      </c>
      <c r="B441" t="s">
        <v>10</v>
      </c>
      <c r="C441" t="s">
        <v>6659</v>
      </c>
      <c r="D441" t="str">
        <f t="shared" si="27"/>
        <v/>
      </c>
      <c r="E441" t="s">
        <v>6660</v>
      </c>
      <c r="F441" t="str">
        <f t="shared" si="30"/>
        <v>1120877</v>
      </c>
    </row>
    <row r="442" spans="1:9" ht="15" hidden="1" customHeight="1" x14ac:dyDescent="0.25">
      <c r="A442">
        <v>21206</v>
      </c>
      <c r="B442" t="s">
        <v>10</v>
      </c>
      <c r="C442" t="s">
        <v>6661</v>
      </c>
      <c r="D442" t="str">
        <f t="shared" si="27"/>
        <v/>
      </c>
      <c r="E442" t="s">
        <v>6662</v>
      </c>
      <c r="F442" t="str">
        <f t="shared" si="30"/>
        <v>1120877</v>
      </c>
    </row>
    <row r="443" spans="1:9" ht="15" hidden="1" customHeight="1" x14ac:dyDescent="0.25">
      <c r="A443">
        <v>21207</v>
      </c>
      <c r="B443" t="s">
        <v>10</v>
      </c>
      <c r="C443" t="s">
        <v>6663</v>
      </c>
      <c r="D443" t="str">
        <f t="shared" si="27"/>
        <v/>
      </c>
      <c r="E443" t="s">
        <v>6664</v>
      </c>
      <c r="F443" t="str">
        <f t="shared" si="30"/>
        <v>1120877</v>
      </c>
    </row>
    <row r="444" spans="1:9" ht="15" hidden="1" customHeight="1" x14ac:dyDescent="0.25">
      <c r="A444">
        <v>21208</v>
      </c>
      <c r="B444" t="s">
        <v>10</v>
      </c>
      <c r="C444" t="s">
        <v>6665</v>
      </c>
      <c r="D444" t="str">
        <f t="shared" si="27"/>
        <v/>
      </c>
      <c r="E444" t="s">
        <v>6666</v>
      </c>
      <c r="F444" t="str">
        <f t="shared" si="30"/>
        <v>1120877</v>
      </c>
    </row>
    <row r="445" spans="1:9" ht="15" hidden="1" customHeight="1" x14ac:dyDescent="0.25">
      <c r="A445">
        <v>21209</v>
      </c>
      <c r="B445" t="s">
        <v>10</v>
      </c>
      <c r="C445" t="s">
        <v>6667</v>
      </c>
      <c r="D445" t="str">
        <f t="shared" si="27"/>
        <v/>
      </c>
      <c r="E445" t="s">
        <v>6668</v>
      </c>
      <c r="F445" t="str">
        <f t="shared" si="30"/>
        <v>1120877</v>
      </c>
    </row>
    <row r="446" spans="1:9" ht="15" hidden="1" customHeight="1" x14ac:dyDescent="0.25">
      <c r="A446">
        <v>21210</v>
      </c>
      <c r="B446" t="s">
        <v>10</v>
      </c>
      <c r="C446" t="s">
        <v>6669</v>
      </c>
      <c r="D446" t="str">
        <f t="shared" si="27"/>
        <v/>
      </c>
      <c r="E446" t="s">
        <v>6670</v>
      </c>
      <c r="F446" t="str">
        <f t="shared" si="30"/>
        <v>1120877</v>
      </c>
    </row>
    <row r="447" spans="1:9" ht="15" hidden="1" customHeight="1" x14ac:dyDescent="0.25">
      <c r="A447">
        <v>21211</v>
      </c>
      <c r="B447" t="s">
        <v>10</v>
      </c>
      <c r="C447" t="s">
        <v>6671</v>
      </c>
      <c r="D447" t="str">
        <f t="shared" si="27"/>
        <v/>
      </c>
      <c r="E447" t="s">
        <v>6672</v>
      </c>
      <c r="F447" t="str">
        <f t="shared" si="30"/>
        <v>1120877</v>
      </c>
    </row>
    <row r="448" spans="1:9" ht="15" hidden="1" customHeight="1" x14ac:dyDescent="0.25">
      <c r="A448">
        <v>21212</v>
      </c>
      <c r="B448" t="s">
        <v>10</v>
      </c>
      <c r="C448" t="s">
        <v>6673</v>
      </c>
      <c r="D448" t="str">
        <f t="shared" si="27"/>
        <v/>
      </c>
      <c r="E448" t="s">
        <v>6674</v>
      </c>
      <c r="F448" t="str">
        <f t="shared" si="30"/>
        <v>1120877</v>
      </c>
    </row>
    <row r="449" spans="1:9" ht="15" customHeight="1" x14ac:dyDescent="0.25">
      <c r="A449">
        <v>21213</v>
      </c>
      <c r="B449" t="s">
        <v>7</v>
      </c>
      <c r="C449" t="s">
        <v>6675</v>
      </c>
      <c r="D449" t="str">
        <f t="shared" si="27"/>
        <v/>
      </c>
      <c r="E449" t="s">
        <v>6676</v>
      </c>
      <c r="F449" t="s">
        <v>6862</v>
      </c>
      <c r="H449">
        <v>4</v>
      </c>
      <c r="I449">
        <v>1</v>
      </c>
    </row>
    <row r="450" spans="1:9" ht="15" hidden="1" customHeight="1" x14ac:dyDescent="0.25">
      <c r="A450">
        <v>21214</v>
      </c>
      <c r="B450" t="s">
        <v>10</v>
      </c>
      <c r="C450" t="s">
        <v>6677</v>
      </c>
      <c r="D450" t="str">
        <f t="shared" si="27"/>
        <v/>
      </c>
      <c r="E450" t="s">
        <v>6678</v>
      </c>
      <c r="F450" t="str">
        <f>LEFT(C450,7)</f>
        <v>1120977</v>
      </c>
    </row>
    <row r="451" spans="1:9" ht="15" hidden="1" customHeight="1" x14ac:dyDescent="0.25">
      <c r="A451">
        <v>21215</v>
      </c>
      <c r="B451" t="s">
        <v>10</v>
      </c>
      <c r="C451" t="s">
        <v>6679</v>
      </c>
      <c r="D451" t="str">
        <f t="shared" si="27"/>
        <v/>
      </c>
      <c r="E451" t="s">
        <v>6680</v>
      </c>
      <c r="F451" t="str">
        <f>LEFT(C451,7)</f>
        <v>1120977</v>
      </c>
    </row>
    <row r="452" spans="1:9" ht="15" hidden="1" customHeight="1" x14ac:dyDescent="0.25">
      <c r="A452">
        <v>21216</v>
      </c>
      <c r="B452" t="s">
        <v>10</v>
      </c>
      <c r="C452" t="s">
        <v>6681</v>
      </c>
      <c r="D452" t="str">
        <f t="shared" si="27"/>
        <v/>
      </c>
      <c r="E452" t="s">
        <v>6682</v>
      </c>
      <c r="F452" t="str">
        <f>LEFT(C452,7)</f>
        <v>1120977</v>
      </c>
    </row>
    <row r="453" spans="1:9" ht="15" customHeight="1" x14ac:dyDescent="0.25">
      <c r="A453">
        <v>21217</v>
      </c>
      <c r="B453" t="s">
        <v>7</v>
      </c>
      <c r="C453" t="s">
        <v>6683</v>
      </c>
      <c r="D453" t="str">
        <f t="shared" si="27"/>
        <v/>
      </c>
      <c r="E453" t="s">
        <v>6684</v>
      </c>
      <c r="F453" t="s">
        <v>6862</v>
      </c>
      <c r="H453">
        <v>4</v>
      </c>
      <c r="I453">
        <v>1</v>
      </c>
    </row>
    <row r="454" spans="1:9" ht="15" hidden="1" customHeight="1" x14ac:dyDescent="0.25">
      <c r="A454">
        <v>21218</v>
      </c>
      <c r="B454" t="s">
        <v>10</v>
      </c>
      <c r="C454" t="s">
        <v>6685</v>
      </c>
      <c r="D454" t="str">
        <f t="shared" ref="D454:D517" si="31">IF(RIGHT(LEFT(C454,9),2)="##","",RIGHT(LEFT(C454,10),2))</f>
        <v/>
      </c>
      <c r="E454" t="s">
        <v>6686</v>
      </c>
      <c r="F454" t="str">
        <f>LEFT(C454,7)</f>
        <v>1120478</v>
      </c>
    </row>
    <row r="455" spans="1:9" ht="15" hidden="1" customHeight="1" x14ac:dyDescent="0.25">
      <c r="A455">
        <v>21219</v>
      </c>
      <c r="B455" t="s">
        <v>10</v>
      </c>
      <c r="C455" t="s">
        <v>6687</v>
      </c>
      <c r="D455" t="str">
        <f t="shared" si="31"/>
        <v/>
      </c>
      <c r="E455" t="s">
        <v>6688</v>
      </c>
      <c r="F455" t="str">
        <f>LEFT(C455,7)</f>
        <v>1120478</v>
      </c>
    </row>
    <row r="456" spans="1:9" ht="15" hidden="1" customHeight="1" x14ac:dyDescent="0.25">
      <c r="A456">
        <v>21220</v>
      </c>
      <c r="B456" t="s">
        <v>10</v>
      </c>
      <c r="C456" t="s">
        <v>6689</v>
      </c>
      <c r="D456" t="str">
        <f t="shared" si="31"/>
        <v/>
      </c>
      <c r="E456" t="s">
        <v>6690</v>
      </c>
      <c r="F456" t="str">
        <f>LEFT(C456,7)</f>
        <v>1120478</v>
      </c>
    </row>
    <row r="457" spans="1:9" ht="15" customHeight="1" x14ac:dyDescent="0.25">
      <c r="A457">
        <v>21221</v>
      </c>
      <c r="B457" t="s">
        <v>7</v>
      </c>
      <c r="C457" t="s">
        <v>6691</v>
      </c>
      <c r="D457" t="str">
        <f t="shared" si="31"/>
        <v/>
      </c>
      <c r="E457" t="s">
        <v>6692</v>
      </c>
      <c r="F457" t="s">
        <v>6862</v>
      </c>
      <c r="H457">
        <v>4</v>
      </c>
      <c r="I457">
        <v>1</v>
      </c>
    </row>
    <row r="458" spans="1:9" ht="15" hidden="1" customHeight="1" x14ac:dyDescent="0.25">
      <c r="A458">
        <v>21222</v>
      </c>
      <c r="B458" t="s">
        <v>10</v>
      </c>
      <c r="C458" t="s">
        <v>6693</v>
      </c>
      <c r="D458" t="str">
        <f t="shared" si="31"/>
        <v/>
      </c>
      <c r="E458" t="s">
        <v>6694</v>
      </c>
      <c r="F458" t="str">
        <f t="shared" ref="F458:F469" si="32">LEFT(C458,7)</f>
        <v>1120479</v>
      </c>
    </row>
    <row r="459" spans="1:9" ht="15" hidden="1" customHeight="1" x14ac:dyDescent="0.25">
      <c r="A459">
        <v>21223</v>
      </c>
      <c r="B459" t="s">
        <v>10</v>
      </c>
      <c r="C459" t="s">
        <v>6695</v>
      </c>
      <c r="D459" t="str">
        <f t="shared" si="31"/>
        <v/>
      </c>
      <c r="E459" t="s">
        <v>6696</v>
      </c>
      <c r="F459" t="str">
        <f t="shared" si="32"/>
        <v>1120479</v>
      </c>
    </row>
    <row r="460" spans="1:9" ht="15" hidden="1" customHeight="1" x14ac:dyDescent="0.25">
      <c r="A460">
        <v>21224</v>
      </c>
      <c r="B460" t="s">
        <v>10</v>
      </c>
      <c r="C460" t="s">
        <v>6697</v>
      </c>
      <c r="D460" t="str">
        <f t="shared" si="31"/>
        <v/>
      </c>
      <c r="E460" t="s">
        <v>6698</v>
      </c>
      <c r="F460" t="str">
        <f t="shared" si="32"/>
        <v>1120479</v>
      </c>
    </row>
    <row r="461" spans="1:9" ht="15" customHeight="1" x14ac:dyDescent="0.25">
      <c r="A461">
        <v>18408</v>
      </c>
      <c r="B461" t="s">
        <v>7</v>
      </c>
      <c r="C461" t="s">
        <v>3549</v>
      </c>
      <c r="D461" t="str">
        <f t="shared" si="31"/>
        <v/>
      </c>
      <c r="E461" t="s">
        <v>3550</v>
      </c>
      <c r="F461" t="str">
        <f t="shared" si="32"/>
        <v>1120499</v>
      </c>
      <c r="H461">
        <v>5</v>
      </c>
      <c r="I461">
        <v>1</v>
      </c>
    </row>
    <row r="462" spans="1:9" ht="15" hidden="1" customHeight="1" x14ac:dyDescent="0.25">
      <c r="A462">
        <v>18409</v>
      </c>
      <c r="B462" t="s">
        <v>10</v>
      </c>
      <c r="C462" t="s">
        <v>3551</v>
      </c>
      <c r="D462" t="str">
        <f t="shared" si="31"/>
        <v/>
      </c>
      <c r="E462" t="s">
        <v>3552</v>
      </c>
      <c r="F462" t="str">
        <f t="shared" si="32"/>
        <v>1120499</v>
      </c>
    </row>
    <row r="463" spans="1:9" ht="15" hidden="1" customHeight="1" x14ac:dyDescent="0.25">
      <c r="A463">
        <v>18414</v>
      </c>
      <c r="B463" t="s">
        <v>10</v>
      </c>
      <c r="C463" t="s">
        <v>3553</v>
      </c>
      <c r="D463" t="str">
        <f t="shared" si="31"/>
        <v/>
      </c>
      <c r="E463" t="s">
        <v>3554</v>
      </c>
      <c r="F463" t="str">
        <f t="shared" si="32"/>
        <v>1120499</v>
      </c>
    </row>
    <row r="464" spans="1:9" ht="15" hidden="1" customHeight="1" x14ac:dyDescent="0.25">
      <c r="A464">
        <v>18415</v>
      </c>
      <c r="B464" t="s">
        <v>10</v>
      </c>
      <c r="C464" t="s">
        <v>3555</v>
      </c>
      <c r="D464" t="str">
        <f t="shared" si="31"/>
        <v/>
      </c>
      <c r="E464" t="s">
        <v>3556</v>
      </c>
      <c r="F464" t="str">
        <f t="shared" si="32"/>
        <v>1120499</v>
      </c>
    </row>
    <row r="465" spans="1:9" ht="15" hidden="1" customHeight="1" x14ac:dyDescent="0.25">
      <c r="A465">
        <v>18416</v>
      </c>
      <c r="B465" t="s">
        <v>10</v>
      </c>
      <c r="C465" t="s">
        <v>3557</v>
      </c>
      <c r="D465" t="str">
        <f t="shared" si="31"/>
        <v/>
      </c>
      <c r="E465" t="s">
        <v>3558</v>
      </c>
      <c r="F465" t="str">
        <f t="shared" si="32"/>
        <v>1120499</v>
      </c>
    </row>
    <row r="466" spans="1:9" ht="15" hidden="1" customHeight="1" x14ac:dyDescent="0.25">
      <c r="A466">
        <v>18417</v>
      </c>
      <c r="B466" t="s">
        <v>10</v>
      </c>
      <c r="C466" t="s">
        <v>3559</v>
      </c>
      <c r="D466" t="str">
        <f t="shared" si="31"/>
        <v/>
      </c>
      <c r="E466" t="s">
        <v>3560</v>
      </c>
      <c r="F466" t="str">
        <f t="shared" si="32"/>
        <v>1120499</v>
      </c>
    </row>
    <row r="467" spans="1:9" ht="15" hidden="1" customHeight="1" x14ac:dyDescent="0.25">
      <c r="A467">
        <v>18418</v>
      </c>
      <c r="B467" t="s">
        <v>10</v>
      </c>
      <c r="C467" t="s">
        <v>3561</v>
      </c>
      <c r="D467" t="str">
        <f t="shared" si="31"/>
        <v/>
      </c>
      <c r="E467" t="s">
        <v>3562</v>
      </c>
      <c r="F467" t="str">
        <f t="shared" si="32"/>
        <v>1120499</v>
      </c>
    </row>
    <row r="468" spans="1:9" ht="15" hidden="1" customHeight="1" x14ac:dyDescent="0.25">
      <c r="A468">
        <v>18419</v>
      </c>
      <c r="B468" t="s">
        <v>10</v>
      </c>
      <c r="C468" t="s">
        <v>3563</v>
      </c>
      <c r="D468" t="str">
        <f t="shared" si="31"/>
        <v/>
      </c>
      <c r="E468" t="s">
        <v>3564</v>
      </c>
      <c r="F468" t="str">
        <f t="shared" si="32"/>
        <v>1120499</v>
      </c>
    </row>
    <row r="469" spans="1:9" ht="15" hidden="1" customHeight="1" x14ac:dyDescent="0.25">
      <c r="A469">
        <v>18420</v>
      </c>
      <c r="B469" t="s">
        <v>10</v>
      </c>
      <c r="C469" t="s">
        <v>3565</v>
      </c>
      <c r="D469" t="str">
        <f t="shared" si="31"/>
        <v/>
      </c>
      <c r="E469" t="s">
        <v>3566</v>
      </c>
      <c r="F469" t="str">
        <f t="shared" si="32"/>
        <v>1120499</v>
      </c>
    </row>
    <row r="470" spans="1:9" ht="15" customHeight="1" x14ac:dyDescent="0.25">
      <c r="A470">
        <v>18421</v>
      </c>
      <c r="B470" t="s">
        <v>7</v>
      </c>
      <c r="C470" t="s">
        <v>3567</v>
      </c>
      <c r="D470" t="str">
        <f t="shared" si="31"/>
        <v/>
      </c>
      <c r="E470" t="s">
        <v>3568</v>
      </c>
      <c r="F470" t="s">
        <v>6863</v>
      </c>
      <c r="H470">
        <v>5</v>
      </c>
      <c r="I470">
        <v>1</v>
      </c>
    </row>
    <row r="471" spans="1:9" ht="15" hidden="1" customHeight="1" x14ac:dyDescent="0.25">
      <c r="A471">
        <v>18422</v>
      </c>
      <c r="B471" t="s">
        <v>10</v>
      </c>
      <c r="C471" t="s">
        <v>3569</v>
      </c>
      <c r="D471" t="str">
        <f t="shared" si="31"/>
        <v/>
      </c>
      <c r="E471" t="s">
        <v>3570</v>
      </c>
      <c r="F471" t="str">
        <f>LEFT(C471,7)</f>
        <v>1120496</v>
      </c>
    </row>
    <row r="472" spans="1:9" ht="15" hidden="1" customHeight="1" x14ac:dyDescent="0.25">
      <c r="A472">
        <v>18423</v>
      </c>
      <c r="B472" t="s">
        <v>10</v>
      </c>
      <c r="C472" t="s">
        <v>3571</v>
      </c>
      <c r="D472" t="str">
        <f t="shared" si="31"/>
        <v/>
      </c>
      <c r="E472" t="s">
        <v>3572</v>
      </c>
      <c r="F472" t="str">
        <f>LEFT(C472,7)</f>
        <v>1120496</v>
      </c>
    </row>
    <row r="473" spans="1:9" ht="15" hidden="1" customHeight="1" x14ac:dyDescent="0.25">
      <c r="A473">
        <v>18424</v>
      </c>
      <c r="B473" t="s">
        <v>10</v>
      </c>
      <c r="C473" t="s">
        <v>3573</v>
      </c>
      <c r="D473" t="str">
        <f t="shared" si="31"/>
        <v/>
      </c>
      <c r="E473" t="s">
        <v>3574</v>
      </c>
      <c r="F473" t="str">
        <f>LEFT(C473,7)</f>
        <v>1120496</v>
      </c>
    </row>
    <row r="474" spans="1:9" ht="15" customHeight="1" x14ac:dyDescent="0.25">
      <c r="A474">
        <v>18425</v>
      </c>
      <c r="B474" t="s">
        <v>7</v>
      </c>
      <c r="C474" t="s">
        <v>3575</v>
      </c>
      <c r="D474" t="str">
        <f t="shared" si="31"/>
        <v/>
      </c>
      <c r="E474" t="s">
        <v>3576</v>
      </c>
      <c r="F474" t="s">
        <v>6863</v>
      </c>
      <c r="H474">
        <v>5</v>
      </c>
      <c r="I474">
        <v>1</v>
      </c>
    </row>
    <row r="475" spans="1:9" ht="15" hidden="1" customHeight="1" x14ac:dyDescent="0.25">
      <c r="A475">
        <v>18426</v>
      </c>
      <c r="B475" t="s">
        <v>10</v>
      </c>
      <c r="C475" t="s">
        <v>3577</v>
      </c>
      <c r="D475" t="str">
        <f t="shared" si="31"/>
        <v/>
      </c>
      <c r="E475" t="s">
        <v>3578</v>
      </c>
      <c r="F475" t="str">
        <f>LEFT(C475,7)</f>
        <v>1120497</v>
      </c>
    </row>
    <row r="476" spans="1:9" ht="15" hidden="1" customHeight="1" x14ac:dyDescent="0.25">
      <c r="A476">
        <v>18427</v>
      </c>
      <c r="B476" t="s">
        <v>10</v>
      </c>
      <c r="C476" t="s">
        <v>3579</v>
      </c>
      <c r="D476" t="str">
        <f t="shared" si="31"/>
        <v/>
      </c>
      <c r="E476" t="s">
        <v>3580</v>
      </c>
      <c r="F476" t="str">
        <f>LEFT(C476,7)</f>
        <v>1120497</v>
      </c>
    </row>
    <row r="477" spans="1:9" ht="15" hidden="1" customHeight="1" x14ac:dyDescent="0.25">
      <c r="A477">
        <v>18428</v>
      </c>
      <c r="B477" t="s">
        <v>10</v>
      </c>
      <c r="C477" t="s">
        <v>3581</v>
      </c>
      <c r="D477" t="str">
        <f t="shared" si="31"/>
        <v/>
      </c>
      <c r="E477" t="s">
        <v>3582</v>
      </c>
      <c r="F477" t="str">
        <f>LEFT(C477,7)</f>
        <v>1120497</v>
      </c>
    </row>
    <row r="478" spans="1:9" ht="15" customHeight="1" x14ac:dyDescent="0.25">
      <c r="A478">
        <v>18429</v>
      </c>
      <c r="B478" t="s">
        <v>7</v>
      </c>
      <c r="C478" t="s">
        <v>3583</v>
      </c>
      <c r="D478" t="str">
        <f t="shared" si="31"/>
        <v/>
      </c>
      <c r="E478" t="s">
        <v>3584</v>
      </c>
      <c r="F478" t="s">
        <v>6863</v>
      </c>
      <c r="H478">
        <v>5</v>
      </c>
      <c r="I478">
        <v>1</v>
      </c>
    </row>
    <row r="479" spans="1:9" ht="15" hidden="1" customHeight="1" x14ac:dyDescent="0.25">
      <c r="A479">
        <v>18430</v>
      </c>
      <c r="B479" t="s">
        <v>10</v>
      </c>
      <c r="C479" t="s">
        <v>3585</v>
      </c>
      <c r="D479" t="str">
        <f t="shared" si="31"/>
        <v/>
      </c>
      <c r="E479" t="s">
        <v>3586</v>
      </c>
      <c r="F479" t="str">
        <f t="shared" ref="F479:F489" si="33">LEFT(C479,7)</f>
        <v>1120498</v>
      </c>
    </row>
    <row r="480" spans="1:9" ht="15" hidden="1" customHeight="1" x14ac:dyDescent="0.25">
      <c r="A480">
        <v>18431</v>
      </c>
      <c r="B480" t="s">
        <v>10</v>
      </c>
      <c r="C480" t="s">
        <v>3587</v>
      </c>
      <c r="D480" t="str">
        <f t="shared" si="31"/>
        <v/>
      </c>
      <c r="E480" t="s">
        <v>3588</v>
      </c>
      <c r="F480" t="str">
        <f t="shared" si="33"/>
        <v>1120498</v>
      </c>
    </row>
    <row r="481" spans="1:9" ht="15" hidden="1" customHeight="1" x14ac:dyDescent="0.25">
      <c r="A481">
        <v>18432</v>
      </c>
      <c r="B481" t="s">
        <v>10</v>
      </c>
      <c r="C481" t="s">
        <v>3589</v>
      </c>
      <c r="D481" t="str">
        <f t="shared" si="31"/>
        <v/>
      </c>
      <c r="E481" t="s">
        <v>3590</v>
      </c>
      <c r="F481" t="str">
        <f t="shared" si="33"/>
        <v>1120498</v>
      </c>
    </row>
    <row r="482" spans="1:9" ht="15" customHeight="1" x14ac:dyDescent="0.25">
      <c r="A482">
        <v>15058</v>
      </c>
      <c r="B482" t="s">
        <v>7</v>
      </c>
      <c r="C482" t="s">
        <v>465</v>
      </c>
      <c r="D482" t="str">
        <f t="shared" si="31"/>
        <v/>
      </c>
      <c r="E482" t="s">
        <v>466</v>
      </c>
      <c r="F482" t="str">
        <f t="shared" si="33"/>
        <v>1120750</v>
      </c>
      <c r="H482">
        <v>5</v>
      </c>
      <c r="I482">
        <v>1</v>
      </c>
    </row>
    <row r="483" spans="1:9" ht="15" hidden="1" customHeight="1" x14ac:dyDescent="0.25">
      <c r="A483">
        <v>15059</v>
      </c>
      <c r="B483" t="s">
        <v>10</v>
      </c>
      <c r="C483" t="s">
        <v>467</v>
      </c>
      <c r="D483" t="str">
        <f t="shared" si="31"/>
        <v/>
      </c>
      <c r="E483" t="s">
        <v>468</v>
      </c>
      <c r="F483" t="str">
        <f t="shared" si="33"/>
        <v>1120750</v>
      </c>
    </row>
    <row r="484" spans="1:9" ht="15" hidden="1" customHeight="1" x14ac:dyDescent="0.25">
      <c r="A484">
        <v>15064</v>
      </c>
      <c r="B484" t="s">
        <v>10</v>
      </c>
      <c r="C484" t="s">
        <v>469</v>
      </c>
      <c r="D484" t="str">
        <f t="shared" si="31"/>
        <v/>
      </c>
      <c r="E484" t="s">
        <v>470</v>
      </c>
      <c r="F484" t="str">
        <f t="shared" si="33"/>
        <v>1120750</v>
      </c>
    </row>
    <row r="485" spans="1:9" ht="15" hidden="1" customHeight="1" x14ac:dyDescent="0.25">
      <c r="A485">
        <v>15065</v>
      </c>
      <c r="B485" t="s">
        <v>10</v>
      </c>
      <c r="C485" t="s">
        <v>471</v>
      </c>
      <c r="D485" t="str">
        <f t="shared" si="31"/>
        <v/>
      </c>
      <c r="E485" t="s">
        <v>472</v>
      </c>
      <c r="F485" t="str">
        <f t="shared" si="33"/>
        <v>1120750</v>
      </c>
    </row>
    <row r="486" spans="1:9" ht="15" hidden="1" customHeight="1" x14ac:dyDescent="0.25">
      <c r="A486">
        <v>15066</v>
      </c>
      <c r="B486" t="s">
        <v>10</v>
      </c>
      <c r="C486" t="s">
        <v>473</v>
      </c>
      <c r="D486" t="str">
        <f t="shared" si="31"/>
        <v/>
      </c>
      <c r="E486" t="s">
        <v>474</v>
      </c>
      <c r="F486" t="str">
        <f t="shared" si="33"/>
        <v>1120750</v>
      </c>
    </row>
    <row r="487" spans="1:9" ht="15" hidden="1" customHeight="1" x14ac:dyDescent="0.25">
      <c r="A487">
        <v>15067</v>
      </c>
      <c r="B487" t="s">
        <v>10</v>
      </c>
      <c r="C487" t="s">
        <v>475</v>
      </c>
      <c r="D487" t="str">
        <f t="shared" si="31"/>
        <v/>
      </c>
      <c r="E487" t="s">
        <v>476</v>
      </c>
      <c r="F487" t="str">
        <f t="shared" si="33"/>
        <v>1120750</v>
      </c>
    </row>
    <row r="488" spans="1:9" ht="15" hidden="1" customHeight="1" x14ac:dyDescent="0.25">
      <c r="A488">
        <v>15068</v>
      </c>
      <c r="B488" t="s">
        <v>10</v>
      </c>
      <c r="C488" t="s">
        <v>477</v>
      </c>
      <c r="D488" t="str">
        <f t="shared" si="31"/>
        <v/>
      </c>
      <c r="E488" t="s">
        <v>478</v>
      </c>
      <c r="F488" t="str">
        <f t="shared" si="33"/>
        <v>1120750</v>
      </c>
    </row>
    <row r="489" spans="1:9" ht="15" hidden="1" customHeight="1" x14ac:dyDescent="0.25">
      <c r="A489">
        <v>15069</v>
      </c>
      <c r="B489" t="s">
        <v>10</v>
      </c>
      <c r="C489" t="s">
        <v>479</v>
      </c>
      <c r="D489" t="str">
        <f t="shared" si="31"/>
        <v/>
      </c>
      <c r="E489" t="s">
        <v>480</v>
      </c>
      <c r="F489" t="str">
        <f t="shared" si="33"/>
        <v>1120750</v>
      </c>
    </row>
    <row r="490" spans="1:9" ht="15" customHeight="1" x14ac:dyDescent="0.25">
      <c r="A490">
        <v>18437</v>
      </c>
      <c r="B490" t="s">
        <v>7</v>
      </c>
      <c r="C490" t="s">
        <v>3599</v>
      </c>
      <c r="D490" t="str">
        <f t="shared" si="31"/>
        <v/>
      </c>
      <c r="E490" t="s">
        <v>3600</v>
      </c>
      <c r="F490" t="s">
        <v>6864</v>
      </c>
      <c r="H490">
        <v>5</v>
      </c>
      <c r="I490">
        <v>1</v>
      </c>
    </row>
    <row r="491" spans="1:9" ht="15" hidden="1" customHeight="1" x14ac:dyDescent="0.25">
      <c r="A491">
        <v>18438</v>
      </c>
      <c r="B491" t="s">
        <v>10</v>
      </c>
      <c r="C491" t="s">
        <v>3601</v>
      </c>
      <c r="D491" t="str">
        <f t="shared" si="31"/>
        <v/>
      </c>
      <c r="E491" t="s">
        <v>3602</v>
      </c>
      <c r="F491" t="str">
        <f>LEFT(C491,7)</f>
        <v>1120751</v>
      </c>
    </row>
    <row r="492" spans="1:9" ht="15" hidden="1" customHeight="1" x14ac:dyDescent="0.25">
      <c r="A492">
        <v>18439</v>
      </c>
      <c r="B492" t="s">
        <v>10</v>
      </c>
      <c r="C492" t="s">
        <v>3603</v>
      </c>
      <c r="D492" t="str">
        <f t="shared" si="31"/>
        <v/>
      </c>
      <c r="E492" t="s">
        <v>3604</v>
      </c>
      <c r="F492" t="str">
        <f>LEFT(C492,7)</f>
        <v>1120751</v>
      </c>
    </row>
    <row r="493" spans="1:9" ht="15" hidden="1" customHeight="1" x14ac:dyDescent="0.25">
      <c r="A493">
        <v>18440</v>
      </c>
      <c r="B493" t="s">
        <v>10</v>
      </c>
      <c r="C493" t="s">
        <v>3605</v>
      </c>
      <c r="D493" t="str">
        <f t="shared" si="31"/>
        <v/>
      </c>
      <c r="E493" t="s">
        <v>3606</v>
      </c>
      <c r="F493" t="str">
        <f>LEFT(C493,7)</f>
        <v>1120751</v>
      </c>
    </row>
    <row r="494" spans="1:9" ht="15" customHeight="1" x14ac:dyDescent="0.25">
      <c r="A494">
        <v>18441</v>
      </c>
      <c r="B494" t="s">
        <v>7</v>
      </c>
      <c r="C494" t="s">
        <v>3607</v>
      </c>
      <c r="D494" t="str">
        <f t="shared" si="31"/>
        <v/>
      </c>
      <c r="E494" t="s">
        <v>3608</v>
      </c>
      <c r="F494" t="s">
        <v>6864</v>
      </c>
      <c r="H494">
        <v>5</v>
      </c>
      <c r="I494">
        <v>1</v>
      </c>
    </row>
    <row r="495" spans="1:9" ht="15" hidden="1" customHeight="1" x14ac:dyDescent="0.25">
      <c r="A495">
        <v>18442</v>
      </c>
      <c r="B495" t="s">
        <v>10</v>
      </c>
      <c r="C495" t="s">
        <v>3609</v>
      </c>
      <c r="D495" t="str">
        <f t="shared" si="31"/>
        <v/>
      </c>
      <c r="E495" t="s">
        <v>3610</v>
      </c>
      <c r="F495" t="str">
        <f>LEFT(C495,7)</f>
        <v>1120752</v>
      </c>
    </row>
    <row r="496" spans="1:9" ht="15" hidden="1" customHeight="1" x14ac:dyDescent="0.25">
      <c r="A496">
        <v>18443</v>
      </c>
      <c r="B496" t="s">
        <v>10</v>
      </c>
      <c r="C496" t="s">
        <v>3611</v>
      </c>
      <c r="D496" t="str">
        <f t="shared" si="31"/>
        <v/>
      </c>
      <c r="E496" t="s">
        <v>3612</v>
      </c>
      <c r="F496" t="str">
        <f>LEFT(C496,7)</f>
        <v>1120752</v>
      </c>
    </row>
    <row r="497" spans="1:9" ht="15" hidden="1" customHeight="1" x14ac:dyDescent="0.25">
      <c r="A497">
        <v>18444</v>
      </c>
      <c r="B497" t="s">
        <v>10</v>
      </c>
      <c r="C497" t="s">
        <v>3613</v>
      </c>
      <c r="D497" t="str">
        <f t="shared" si="31"/>
        <v/>
      </c>
      <c r="E497" t="s">
        <v>3614</v>
      </c>
      <c r="F497" t="str">
        <f>LEFT(C497,7)</f>
        <v>1120752</v>
      </c>
    </row>
    <row r="498" spans="1:9" ht="15" customHeight="1" x14ac:dyDescent="0.25">
      <c r="A498">
        <v>18445</v>
      </c>
      <c r="B498" t="s">
        <v>7</v>
      </c>
      <c r="C498" t="s">
        <v>3615</v>
      </c>
      <c r="D498" t="str">
        <f t="shared" si="31"/>
        <v/>
      </c>
      <c r="E498" t="s">
        <v>3616</v>
      </c>
      <c r="F498" t="s">
        <v>6864</v>
      </c>
      <c r="H498">
        <v>5</v>
      </c>
      <c r="I498">
        <v>1</v>
      </c>
    </row>
    <row r="499" spans="1:9" ht="15" hidden="1" customHeight="1" x14ac:dyDescent="0.25">
      <c r="A499">
        <v>18446</v>
      </c>
      <c r="B499" t="s">
        <v>10</v>
      </c>
      <c r="C499" t="s">
        <v>3617</v>
      </c>
      <c r="D499" t="str">
        <f t="shared" si="31"/>
        <v/>
      </c>
      <c r="E499" t="s">
        <v>3618</v>
      </c>
      <c r="F499" t="str">
        <f t="shared" ref="F499:F509" si="34">LEFT(C499,7)</f>
        <v>1120753</v>
      </c>
    </row>
    <row r="500" spans="1:9" ht="15" hidden="1" customHeight="1" x14ac:dyDescent="0.25">
      <c r="A500">
        <v>18447</v>
      </c>
      <c r="B500" t="s">
        <v>10</v>
      </c>
      <c r="C500" t="s">
        <v>3619</v>
      </c>
      <c r="D500" t="str">
        <f t="shared" si="31"/>
        <v/>
      </c>
      <c r="E500" t="s">
        <v>3620</v>
      </c>
      <c r="F500" t="str">
        <f t="shared" si="34"/>
        <v>1120753</v>
      </c>
    </row>
    <row r="501" spans="1:9" ht="15" customHeight="1" x14ac:dyDescent="0.25">
      <c r="A501">
        <v>18383</v>
      </c>
      <c r="B501" t="s">
        <v>7</v>
      </c>
      <c r="C501" t="s">
        <v>3507</v>
      </c>
      <c r="D501" t="str">
        <f t="shared" si="31"/>
        <v/>
      </c>
      <c r="E501" t="s">
        <v>3508</v>
      </c>
      <c r="F501" t="str">
        <f t="shared" si="34"/>
        <v>1120900</v>
      </c>
      <c r="H501">
        <v>5</v>
      </c>
      <c r="I501">
        <v>1</v>
      </c>
    </row>
    <row r="502" spans="1:9" ht="15" hidden="1" customHeight="1" x14ac:dyDescent="0.25">
      <c r="A502">
        <v>18384</v>
      </c>
      <c r="B502" t="s">
        <v>10</v>
      </c>
      <c r="C502" t="s">
        <v>3509</v>
      </c>
      <c r="D502" t="str">
        <f t="shared" si="31"/>
        <v/>
      </c>
      <c r="E502" t="s">
        <v>3510</v>
      </c>
      <c r="F502" t="str">
        <f t="shared" si="34"/>
        <v>1120900</v>
      </c>
    </row>
    <row r="503" spans="1:9" ht="15" hidden="1" customHeight="1" x14ac:dyDescent="0.25">
      <c r="A503">
        <v>18389</v>
      </c>
      <c r="B503" t="s">
        <v>10</v>
      </c>
      <c r="C503" t="s">
        <v>3511</v>
      </c>
      <c r="D503" t="str">
        <f t="shared" si="31"/>
        <v/>
      </c>
      <c r="E503" t="s">
        <v>3512</v>
      </c>
      <c r="F503" t="str">
        <f t="shared" si="34"/>
        <v>1120900</v>
      </c>
    </row>
    <row r="504" spans="1:9" ht="15" hidden="1" customHeight="1" x14ac:dyDescent="0.25">
      <c r="A504">
        <v>18390</v>
      </c>
      <c r="B504" t="s">
        <v>10</v>
      </c>
      <c r="C504" t="s">
        <v>3513</v>
      </c>
      <c r="D504" t="str">
        <f t="shared" si="31"/>
        <v/>
      </c>
      <c r="E504" t="s">
        <v>3514</v>
      </c>
      <c r="F504" t="str">
        <f t="shared" si="34"/>
        <v>1120900</v>
      </c>
    </row>
    <row r="505" spans="1:9" ht="15" hidden="1" customHeight="1" x14ac:dyDescent="0.25">
      <c r="A505">
        <v>18391</v>
      </c>
      <c r="B505" t="s">
        <v>10</v>
      </c>
      <c r="C505" t="s">
        <v>3515</v>
      </c>
      <c r="D505" t="str">
        <f t="shared" si="31"/>
        <v/>
      </c>
      <c r="E505" t="s">
        <v>3516</v>
      </c>
      <c r="F505" t="str">
        <f t="shared" si="34"/>
        <v>1120900</v>
      </c>
    </row>
    <row r="506" spans="1:9" ht="15" hidden="1" customHeight="1" x14ac:dyDescent="0.25">
      <c r="A506">
        <v>18392</v>
      </c>
      <c r="B506" t="s">
        <v>10</v>
      </c>
      <c r="C506" t="s">
        <v>3517</v>
      </c>
      <c r="D506" t="str">
        <f t="shared" si="31"/>
        <v/>
      </c>
      <c r="E506" t="s">
        <v>3518</v>
      </c>
      <c r="F506" t="str">
        <f t="shared" si="34"/>
        <v>1120900</v>
      </c>
    </row>
    <row r="507" spans="1:9" ht="15" hidden="1" customHeight="1" x14ac:dyDescent="0.25">
      <c r="A507">
        <v>18393</v>
      </c>
      <c r="B507" t="s">
        <v>10</v>
      </c>
      <c r="C507" t="s">
        <v>3519</v>
      </c>
      <c r="D507" t="str">
        <f t="shared" si="31"/>
        <v/>
      </c>
      <c r="E507" t="s">
        <v>3520</v>
      </c>
      <c r="F507" t="str">
        <f t="shared" si="34"/>
        <v>1120900</v>
      </c>
    </row>
    <row r="508" spans="1:9" ht="15" hidden="1" customHeight="1" x14ac:dyDescent="0.25">
      <c r="A508">
        <v>18394</v>
      </c>
      <c r="B508" t="s">
        <v>10</v>
      </c>
      <c r="C508" t="s">
        <v>3521</v>
      </c>
      <c r="D508" t="str">
        <f t="shared" si="31"/>
        <v/>
      </c>
      <c r="E508" t="s">
        <v>3522</v>
      </c>
      <c r="F508" t="str">
        <f t="shared" si="34"/>
        <v>1120900</v>
      </c>
    </row>
    <row r="509" spans="1:9" ht="15" hidden="1" customHeight="1" x14ac:dyDescent="0.25">
      <c r="A509">
        <v>18395</v>
      </c>
      <c r="B509" t="s">
        <v>10</v>
      </c>
      <c r="C509" t="s">
        <v>3523</v>
      </c>
      <c r="D509" t="str">
        <f t="shared" si="31"/>
        <v/>
      </c>
      <c r="E509" t="s">
        <v>3524</v>
      </c>
      <c r="F509" t="str">
        <f t="shared" si="34"/>
        <v>1120900</v>
      </c>
    </row>
    <row r="510" spans="1:9" ht="15" customHeight="1" x14ac:dyDescent="0.25">
      <c r="A510">
        <v>18396</v>
      </c>
      <c r="B510" t="s">
        <v>7</v>
      </c>
      <c r="C510" t="s">
        <v>3525</v>
      </c>
      <c r="D510" t="str">
        <f t="shared" si="31"/>
        <v/>
      </c>
      <c r="E510" t="s">
        <v>3526</v>
      </c>
      <c r="F510" t="s">
        <v>6865</v>
      </c>
      <c r="H510">
        <v>5</v>
      </c>
      <c r="I510">
        <v>1</v>
      </c>
    </row>
    <row r="511" spans="1:9" ht="15" hidden="1" customHeight="1" x14ac:dyDescent="0.25">
      <c r="A511">
        <v>18397</v>
      </c>
      <c r="B511" t="s">
        <v>10</v>
      </c>
      <c r="C511" t="s">
        <v>3527</v>
      </c>
      <c r="D511" t="str">
        <f t="shared" si="31"/>
        <v/>
      </c>
      <c r="E511" t="s">
        <v>3528</v>
      </c>
      <c r="F511" t="str">
        <f>LEFT(C511,7)</f>
        <v>1120901</v>
      </c>
    </row>
    <row r="512" spans="1:9" ht="15" hidden="1" customHeight="1" x14ac:dyDescent="0.25">
      <c r="A512">
        <v>18398</v>
      </c>
      <c r="B512" t="s">
        <v>10</v>
      </c>
      <c r="C512" t="s">
        <v>3529</v>
      </c>
      <c r="D512" t="str">
        <f t="shared" si="31"/>
        <v/>
      </c>
      <c r="E512" t="s">
        <v>3530</v>
      </c>
      <c r="F512" t="str">
        <f>LEFT(C512,7)</f>
        <v>1120901</v>
      </c>
    </row>
    <row r="513" spans="1:9" ht="15" hidden="1" customHeight="1" x14ac:dyDescent="0.25">
      <c r="A513">
        <v>18399</v>
      </c>
      <c r="B513" t="s">
        <v>10</v>
      </c>
      <c r="C513" t="s">
        <v>3531</v>
      </c>
      <c r="D513" t="str">
        <f t="shared" si="31"/>
        <v/>
      </c>
      <c r="E513" t="s">
        <v>3532</v>
      </c>
      <c r="F513" t="str">
        <f>LEFT(C513,7)</f>
        <v>1120901</v>
      </c>
    </row>
    <row r="514" spans="1:9" ht="15" customHeight="1" x14ac:dyDescent="0.25">
      <c r="A514">
        <v>18400</v>
      </c>
      <c r="B514" t="s">
        <v>7</v>
      </c>
      <c r="C514" t="s">
        <v>3533</v>
      </c>
      <c r="D514" t="str">
        <f t="shared" si="31"/>
        <v/>
      </c>
      <c r="E514" t="s">
        <v>3534</v>
      </c>
      <c r="F514" t="s">
        <v>6865</v>
      </c>
      <c r="H514">
        <v>5</v>
      </c>
      <c r="I514">
        <v>1</v>
      </c>
    </row>
    <row r="515" spans="1:9" ht="15" hidden="1" customHeight="1" x14ac:dyDescent="0.25">
      <c r="A515">
        <v>18401</v>
      </c>
      <c r="B515" t="s">
        <v>10</v>
      </c>
      <c r="C515" t="s">
        <v>3535</v>
      </c>
      <c r="D515" t="str">
        <f t="shared" si="31"/>
        <v/>
      </c>
      <c r="E515" t="s">
        <v>3536</v>
      </c>
      <c r="F515" t="str">
        <f>LEFT(C515,7)</f>
        <v>1120902</v>
      </c>
    </row>
    <row r="516" spans="1:9" ht="15" hidden="1" customHeight="1" x14ac:dyDescent="0.25">
      <c r="A516">
        <v>18402</v>
      </c>
      <c r="B516" t="s">
        <v>10</v>
      </c>
      <c r="C516" t="s">
        <v>3537</v>
      </c>
      <c r="D516" t="str">
        <f t="shared" si="31"/>
        <v/>
      </c>
      <c r="E516" t="s">
        <v>3538</v>
      </c>
      <c r="F516" t="str">
        <f>LEFT(C516,7)</f>
        <v>1120902</v>
      </c>
    </row>
    <row r="517" spans="1:9" ht="15" hidden="1" customHeight="1" x14ac:dyDescent="0.25">
      <c r="A517">
        <v>18403</v>
      </c>
      <c r="B517" t="s">
        <v>10</v>
      </c>
      <c r="C517" t="s">
        <v>3539</v>
      </c>
      <c r="D517" t="str">
        <f t="shared" si="31"/>
        <v/>
      </c>
      <c r="E517" t="s">
        <v>3540</v>
      </c>
      <c r="F517" t="str">
        <f>LEFT(C517,7)</f>
        <v>1120902</v>
      </c>
    </row>
    <row r="518" spans="1:9" ht="15" customHeight="1" x14ac:dyDescent="0.25">
      <c r="A518">
        <v>18404</v>
      </c>
      <c r="B518" t="s">
        <v>7</v>
      </c>
      <c r="C518" t="s">
        <v>3541</v>
      </c>
      <c r="D518" t="str">
        <f t="shared" ref="D518:D581" si="35">IF(RIGHT(LEFT(C518,9),2)="##","",RIGHT(LEFT(C518,10),2))</f>
        <v/>
      </c>
      <c r="E518" t="s">
        <v>3542</v>
      </c>
      <c r="F518" t="s">
        <v>6865</v>
      </c>
      <c r="H518">
        <v>5</v>
      </c>
      <c r="I518">
        <v>1</v>
      </c>
    </row>
    <row r="519" spans="1:9" ht="15" hidden="1" customHeight="1" x14ac:dyDescent="0.25">
      <c r="A519">
        <v>18405</v>
      </c>
      <c r="B519" t="s">
        <v>10</v>
      </c>
      <c r="C519" t="s">
        <v>3543</v>
      </c>
      <c r="D519" t="str">
        <f t="shared" si="35"/>
        <v/>
      </c>
      <c r="E519" t="s">
        <v>3544</v>
      </c>
      <c r="F519" t="str">
        <f t="shared" ref="F519:F529" si="36">LEFT(C519,7)</f>
        <v>1120903</v>
      </c>
    </row>
    <row r="520" spans="1:9" ht="15" hidden="1" customHeight="1" x14ac:dyDescent="0.25">
      <c r="A520">
        <v>18406</v>
      </c>
      <c r="B520" t="s">
        <v>10</v>
      </c>
      <c r="C520" t="s">
        <v>3545</v>
      </c>
      <c r="D520" t="str">
        <f t="shared" si="35"/>
        <v/>
      </c>
      <c r="E520" t="s">
        <v>3546</v>
      </c>
      <c r="F520" t="str">
        <f t="shared" si="36"/>
        <v>1120903</v>
      </c>
    </row>
    <row r="521" spans="1:9" ht="15" hidden="1" customHeight="1" x14ac:dyDescent="0.25">
      <c r="A521">
        <v>18407</v>
      </c>
      <c r="B521" t="s">
        <v>10</v>
      </c>
      <c r="C521" t="s">
        <v>3547</v>
      </c>
      <c r="D521" t="str">
        <f t="shared" si="35"/>
        <v/>
      </c>
      <c r="E521" t="s">
        <v>3548</v>
      </c>
      <c r="F521" t="str">
        <f t="shared" si="36"/>
        <v>1120903</v>
      </c>
    </row>
    <row r="522" spans="1:9" ht="15" customHeight="1" x14ac:dyDescent="0.25">
      <c r="A522">
        <v>18905</v>
      </c>
      <c r="B522" t="s">
        <v>7</v>
      </c>
      <c r="C522" t="s">
        <v>4051</v>
      </c>
      <c r="D522" t="str">
        <f t="shared" si="35"/>
        <v/>
      </c>
      <c r="E522" t="s">
        <v>4052</v>
      </c>
      <c r="F522" t="str">
        <f t="shared" si="36"/>
        <v>1120876</v>
      </c>
      <c r="H522">
        <v>1</v>
      </c>
      <c r="I522">
        <v>1</v>
      </c>
    </row>
    <row r="523" spans="1:9" ht="15" hidden="1" customHeight="1" x14ac:dyDescent="0.25">
      <c r="A523">
        <v>18906</v>
      </c>
      <c r="B523" t="s">
        <v>10</v>
      </c>
      <c r="C523" t="s">
        <v>4053</v>
      </c>
      <c r="D523" t="str">
        <f t="shared" si="35"/>
        <v/>
      </c>
      <c r="E523" t="s">
        <v>4054</v>
      </c>
      <c r="F523" t="str">
        <f t="shared" si="36"/>
        <v>1120876</v>
      </c>
    </row>
    <row r="524" spans="1:9" ht="15" hidden="1" customHeight="1" x14ac:dyDescent="0.25">
      <c r="A524">
        <v>18911</v>
      </c>
      <c r="B524" t="s">
        <v>10</v>
      </c>
      <c r="C524" t="s">
        <v>4055</v>
      </c>
      <c r="D524" t="str">
        <f t="shared" si="35"/>
        <v/>
      </c>
      <c r="E524" t="s">
        <v>4056</v>
      </c>
      <c r="F524" t="str">
        <f t="shared" si="36"/>
        <v>1120876</v>
      </c>
    </row>
    <row r="525" spans="1:9" ht="15" hidden="1" customHeight="1" x14ac:dyDescent="0.25">
      <c r="A525">
        <v>18912</v>
      </c>
      <c r="B525" t="s">
        <v>10</v>
      </c>
      <c r="C525" t="s">
        <v>4057</v>
      </c>
      <c r="D525" t="str">
        <f t="shared" si="35"/>
        <v/>
      </c>
      <c r="E525" t="s">
        <v>4058</v>
      </c>
      <c r="F525" t="str">
        <f t="shared" si="36"/>
        <v>1120876</v>
      </c>
    </row>
    <row r="526" spans="1:9" ht="15" hidden="1" customHeight="1" x14ac:dyDescent="0.25">
      <c r="A526">
        <v>18913</v>
      </c>
      <c r="B526" t="s">
        <v>10</v>
      </c>
      <c r="C526" t="s">
        <v>4059</v>
      </c>
      <c r="D526" t="str">
        <f t="shared" si="35"/>
        <v/>
      </c>
      <c r="E526" t="s">
        <v>4060</v>
      </c>
      <c r="F526" t="str">
        <f t="shared" si="36"/>
        <v>1120876</v>
      </c>
    </row>
    <row r="527" spans="1:9" ht="15" hidden="1" customHeight="1" x14ac:dyDescent="0.25">
      <c r="A527">
        <v>18914</v>
      </c>
      <c r="B527" t="s">
        <v>10</v>
      </c>
      <c r="C527" t="s">
        <v>4061</v>
      </c>
      <c r="D527" t="str">
        <f t="shared" si="35"/>
        <v/>
      </c>
      <c r="E527" t="s">
        <v>4062</v>
      </c>
      <c r="F527" t="str">
        <f t="shared" si="36"/>
        <v>1120876</v>
      </c>
    </row>
    <row r="528" spans="1:9" ht="15" hidden="1" customHeight="1" x14ac:dyDescent="0.25">
      <c r="A528">
        <v>18915</v>
      </c>
      <c r="B528" t="s">
        <v>10</v>
      </c>
      <c r="C528" t="s">
        <v>4063</v>
      </c>
      <c r="D528" t="str">
        <f t="shared" si="35"/>
        <v/>
      </c>
      <c r="E528" t="s">
        <v>4064</v>
      </c>
      <c r="F528" t="str">
        <f t="shared" si="36"/>
        <v>1120876</v>
      </c>
    </row>
    <row r="529" spans="1:9" ht="15" hidden="1" customHeight="1" x14ac:dyDescent="0.25">
      <c r="A529">
        <v>18916</v>
      </c>
      <c r="B529" t="s">
        <v>10</v>
      </c>
      <c r="C529" t="s">
        <v>4065</v>
      </c>
      <c r="D529" t="str">
        <f t="shared" si="35"/>
        <v/>
      </c>
      <c r="E529" t="s">
        <v>4066</v>
      </c>
      <c r="F529" t="str">
        <f t="shared" si="36"/>
        <v>1120876</v>
      </c>
    </row>
    <row r="530" spans="1:9" ht="15" customHeight="1" x14ac:dyDescent="0.25">
      <c r="A530">
        <v>18917</v>
      </c>
      <c r="B530" t="s">
        <v>7</v>
      </c>
      <c r="C530" t="s">
        <v>4067</v>
      </c>
      <c r="D530" t="str">
        <f t="shared" si="35"/>
        <v/>
      </c>
      <c r="E530" t="s">
        <v>4068</v>
      </c>
      <c r="F530" t="s">
        <v>6866</v>
      </c>
      <c r="H530">
        <v>1</v>
      </c>
      <c r="I530">
        <v>1</v>
      </c>
    </row>
    <row r="531" spans="1:9" ht="15" hidden="1" customHeight="1" x14ac:dyDescent="0.25">
      <c r="A531">
        <v>18918</v>
      </c>
      <c r="B531" t="s">
        <v>10</v>
      </c>
      <c r="C531" t="s">
        <v>4069</v>
      </c>
      <c r="D531" t="str">
        <f t="shared" si="35"/>
        <v/>
      </c>
      <c r="E531" t="s">
        <v>4070</v>
      </c>
      <c r="F531" t="str">
        <f t="shared" ref="F531:F542" si="37">LEFT(C531,7)</f>
        <v>1120879</v>
      </c>
    </row>
    <row r="532" spans="1:9" ht="15" hidden="1" customHeight="1" x14ac:dyDescent="0.25">
      <c r="A532">
        <v>18919</v>
      </c>
      <c r="B532" t="s">
        <v>10</v>
      </c>
      <c r="C532" t="s">
        <v>4071</v>
      </c>
      <c r="D532" t="str">
        <f t="shared" si="35"/>
        <v/>
      </c>
      <c r="E532" t="s">
        <v>4072</v>
      </c>
      <c r="F532" t="str">
        <f t="shared" si="37"/>
        <v>1120879</v>
      </c>
    </row>
    <row r="533" spans="1:9" ht="15" hidden="1" customHeight="1" x14ac:dyDescent="0.25">
      <c r="A533">
        <v>18920</v>
      </c>
      <c r="B533" t="s">
        <v>10</v>
      </c>
      <c r="C533" t="s">
        <v>4073</v>
      </c>
      <c r="D533" t="str">
        <f t="shared" si="35"/>
        <v/>
      </c>
      <c r="E533" t="s">
        <v>4074</v>
      </c>
      <c r="F533" t="str">
        <f t="shared" si="37"/>
        <v>1120879</v>
      </c>
    </row>
    <row r="534" spans="1:9" ht="15" customHeight="1" x14ac:dyDescent="0.25">
      <c r="A534">
        <v>18285</v>
      </c>
      <c r="B534" t="s">
        <v>7</v>
      </c>
      <c r="C534" t="s">
        <v>3350</v>
      </c>
      <c r="D534" t="str">
        <f t="shared" si="35"/>
        <v/>
      </c>
      <c r="E534" t="s">
        <v>3351</v>
      </c>
      <c r="F534" t="str">
        <f t="shared" si="37"/>
        <v>1120001</v>
      </c>
      <c r="H534">
        <v>5</v>
      </c>
      <c r="I534">
        <v>1</v>
      </c>
    </row>
    <row r="535" spans="1:9" ht="15" hidden="1" customHeight="1" x14ac:dyDescent="0.25">
      <c r="A535">
        <v>18286</v>
      </c>
      <c r="B535" t="s">
        <v>10</v>
      </c>
      <c r="C535" t="s">
        <v>3352</v>
      </c>
      <c r="D535" t="str">
        <f t="shared" si="35"/>
        <v/>
      </c>
      <c r="E535" t="s">
        <v>3353</v>
      </c>
      <c r="F535" t="str">
        <f t="shared" si="37"/>
        <v>1120001</v>
      </c>
    </row>
    <row r="536" spans="1:9" ht="15" hidden="1" customHeight="1" x14ac:dyDescent="0.25">
      <c r="A536">
        <v>18291</v>
      </c>
      <c r="B536" t="s">
        <v>10</v>
      </c>
      <c r="C536" t="s">
        <v>3354</v>
      </c>
      <c r="D536" t="str">
        <f t="shared" si="35"/>
        <v/>
      </c>
      <c r="E536" t="s">
        <v>3355</v>
      </c>
      <c r="F536" t="str">
        <f t="shared" si="37"/>
        <v>1120001</v>
      </c>
    </row>
    <row r="537" spans="1:9" ht="15" hidden="1" customHeight="1" x14ac:dyDescent="0.25">
      <c r="A537">
        <v>18292</v>
      </c>
      <c r="B537" t="s">
        <v>10</v>
      </c>
      <c r="C537" t="s">
        <v>3356</v>
      </c>
      <c r="D537" t="str">
        <f t="shared" si="35"/>
        <v/>
      </c>
      <c r="E537" t="s">
        <v>3357</v>
      </c>
      <c r="F537" t="str">
        <f t="shared" si="37"/>
        <v>1120001</v>
      </c>
    </row>
    <row r="538" spans="1:9" ht="15" hidden="1" customHeight="1" x14ac:dyDescent="0.25">
      <c r="A538">
        <v>18293</v>
      </c>
      <c r="B538" t="s">
        <v>10</v>
      </c>
      <c r="C538" t="s">
        <v>3358</v>
      </c>
      <c r="D538" t="str">
        <f t="shared" si="35"/>
        <v/>
      </c>
      <c r="E538" t="s">
        <v>3359</v>
      </c>
      <c r="F538" t="str">
        <f t="shared" si="37"/>
        <v>1120001</v>
      </c>
    </row>
    <row r="539" spans="1:9" ht="15" hidden="1" customHeight="1" x14ac:dyDescent="0.25">
      <c r="A539">
        <v>18294</v>
      </c>
      <c r="B539" t="s">
        <v>10</v>
      </c>
      <c r="C539" t="s">
        <v>3360</v>
      </c>
      <c r="D539" t="str">
        <f t="shared" si="35"/>
        <v/>
      </c>
      <c r="E539" t="s">
        <v>3361</v>
      </c>
      <c r="F539" t="str">
        <f t="shared" si="37"/>
        <v>1120001</v>
      </c>
    </row>
    <row r="540" spans="1:9" ht="15" hidden="1" customHeight="1" x14ac:dyDescent="0.25">
      <c r="A540">
        <v>18295</v>
      </c>
      <c r="B540" t="s">
        <v>10</v>
      </c>
      <c r="C540" t="s">
        <v>3362</v>
      </c>
      <c r="D540" t="str">
        <f t="shared" si="35"/>
        <v/>
      </c>
      <c r="E540" t="s">
        <v>3363</v>
      </c>
      <c r="F540" t="str">
        <f t="shared" si="37"/>
        <v>1120001</v>
      </c>
    </row>
    <row r="541" spans="1:9" ht="15" hidden="1" customHeight="1" x14ac:dyDescent="0.25">
      <c r="A541">
        <v>18296</v>
      </c>
      <c r="B541" t="s">
        <v>10</v>
      </c>
      <c r="C541" t="s">
        <v>3364</v>
      </c>
      <c r="D541" t="str">
        <f t="shared" si="35"/>
        <v/>
      </c>
      <c r="E541" t="s">
        <v>3365</v>
      </c>
      <c r="F541" t="str">
        <f t="shared" si="37"/>
        <v>1120001</v>
      </c>
    </row>
    <row r="542" spans="1:9" ht="15" hidden="1" customHeight="1" x14ac:dyDescent="0.25">
      <c r="A542">
        <v>18297</v>
      </c>
      <c r="B542" t="s">
        <v>10</v>
      </c>
      <c r="C542" t="s">
        <v>3366</v>
      </c>
      <c r="D542" t="str">
        <f t="shared" si="35"/>
        <v/>
      </c>
      <c r="E542" t="s">
        <v>3367</v>
      </c>
      <c r="F542" t="str">
        <f t="shared" si="37"/>
        <v>1120001</v>
      </c>
    </row>
    <row r="543" spans="1:9" ht="15" customHeight="1" x14ac:dyDescent="0.25">
      <c r="A543">
        <v>18305</v>
      </c>
      <c r="B543" t="s">
        <v>7</v>
      </c>
      <c r="C543" t="s">
        <v>3382</v>
      </c>
      <c r="D543" t="str">
        <f t="shared" si="35"/>
        <v/>
      </c>
      <c r="E543" t="s">
        <v>3383</v>
      </c>
      <c r="F543" t="s">
        <v>6867</v>
      </c>
      <c r="H543">
        <v>5</v>
      </c>
      <c r="I543">
        <v>1</v>
      </c>
    </row>
    <row r="544" spans="1:9" ht="15" hidden="1" customHeight="1" x14ac:dyDescent="0.25">
      <c r="A544">
        <v>18306</v>
      </c>
      <c r="B544" t="s">
        <v>10</v>
      </c>
      <c r="C544" t="s">
        <v>3384</v>
      </c>
      <c r="D544" t="str">
        <f t="shared" si="35"/>
        <v/>
      </c>
      <c r="E544" t="s">
        <v>3385</v>
      </c>
      <c r="F544" t="str">
        <f>LEFT(C544,7)</f>
        <v>1120002</v>
      </c>
    </row>
    <row r="545" spans="1:9" ht="15" hidden="1" customHeight="1" x14ac:dyDescent="0.25">
      <c r="A545">
        <v>18307</v>
      </c>
      <c r="B545" t="s">
        <v>10</v>
      </c>
      <c r="C545" t="s">
        <v>3386</v>
      </c>
      <c r="D545" t="str">
        <f t="shared" si="35"/>
        <v/>
      </c>
      <c r="E545" t="s">
        <v>3387</v>
      </c>
      <c r="F545" t="str">
        <f>LEFT(C545,7)</f>
        <v>1120002</v>
      </c>
    </row>
    <row r="546" spans="1:9" ht="15" hidden="1" customHeight="1" x14ac:dyDescent="0.25">
      <c r="A546">
        <v>18308</v>
      </c>
      <c r="B546" t="s">
        <v>10</v>
      </c>
      <c r="C546" t="s">
        <v>3388</v>
      </c>
      <c r="D546" t="str">
        <f t="shared" si="35"/>
        <v/>
      </c>
      <c r="E546" t="s">
        <v>3389</v>
      </c>
      <c r="F546" t="str">
        <f>LEFT(C546,7)</f>
        <v>1120002</v>
      </c>
    </row>
    <row r="547" spans="1:9" ht="15" customHeight="1" x14ac:dyDescent="0.25">
      <c r="A547">
        <v>18309</v>
      </c>
      <c r="B547" t="s">
        <v>7</v>
      </c>
      <c r="C547" t="s">
        <v>3390</v>
      </c>
      <c r="D547" t="str">
        <f t="shared" si="35"/>
        <v/>
      </c>
      <c r="E547" t="s">
        <v>3391</v>
      </c>
      <c r="F547" t="s">
        <v>6867</v>
      </c>
      <c r="H547">
        <v>5</v>
      </c>
      <c r="I547">
        <v>1</v>
      </c>
    </row>
    <row r="548" spans="1:9" ht="15" hidden="1" customHeight="1" x14ac:dyDescent="0.25">
      <c r="A548">
        <v>18310</v>
      </c>
      <c r="B548" t="s">
        <v>10</v>
      </c>
      <c r="C548" t="s">
        <v>3392</v>
      </c>
      <c r="D548" t="str">
        <f t="shared" si="35"/>
        <v/>
      </c>
      <c r="E548" t="s">
        <v>3393</v>
      </c>
      <c r="F548" t="str">
        <f t="shared" ref="F548:F558" si="38">LEFT(C548,7)</f>
        <v>1120007</v>
      </c>
    </row>
    <row r="549" spans="1:9" ht="15" hidden="1" customHeight="1" x14ac:dyDescent="0.25">
      <c r="A549">
        <v>18311</v>
      </c>
      <c r="B549" t="s">
        <v>10</v>
      </c>
      <c r="C549" t="s">
        <v>3394</v>
      </c>
      <c r="D549" t="str">
        <f t="shared" si="35"/>
        <v/>
      </c>
      <c r="E549" t="s">
        <v>3395</v>
      </c>
      <c r="F549" t="str">
        <f t="shared" si="38"/>
        <v>1120007</v>
      </c>
    </row>
    <row r="550" spans="1:9" ht="15" customHeight="1" x14ac:dyDescent="0.25">
      <c r="A550">
        <v>15109</v>
      </c>
      <c r="B550" t="s">
        <v>7</v>
      </c>
      <c r="C550" t="s">
        <v>535</v>
      </c>
      <c r="D550" t="str">
        <f t="shared" si="35"/>
        <v/>
      </c>
      <c r="E550" t="s">
        <v>536</v>
      </c>
      <c r="F550" t="str">
        <f t="shared" si="38"/>
        <v>1120789</v>
      </c>
      <c r="H550">
        <v>6</v>
      </c>
      <c r="I550">
        <v>1</v>
      </c>
    </row>
    <row r="551" spans="1:9" ht="15" hidden="1" customHeight="1" x14ac:dyDescent="0.25">
      <c r="A551">
        <v>15110</v>
      </c>
      <c r="B551" t="s">
        <v>10</v>
      </c>
      <c r="C551" t="s">
        <v>537</v>
      </c>
      <c r="D551" t="str">
        <f t="shared" si="35"/>
        <v/>
      </c>
      <c r="E551" t="s">
        <v>538</v>
      </c>
      <c r="F551" t="str">
        <f t="shared" si="38"/>
        <v>1120789</v>
      </c>
    </row>
    <row r="552" spans="1:9" ht="15" hidden="1" customHeight="1" x14ac:dyDescent="0.25">
      <c r="A552">
        <v>15116</v>
      </c>
      <c r="B552" t="s">
        <v>10</v>
      </c>
      <c r="C552" t="s">
        <v>539</v>
      </c>
      <c r="D552" t="str">
        <f t="shared" si="35"/>
        <v/>
      </c>
      <c r="E552" t="s">
        <v>540</v>
      </c>
      <c r="F552" t="str">
        <f t="shared" si="38"/>
        <v>1120789</v>
      </c>
    </row>
    <row r="553" spans="1:9" ht="15" hidden="1" customHeight="1" x14ac:dyDescent="0.25">
      <c r="A553">
        <v>15117</v>
      </c>
      <c r="B553" t="s">
        <v>10</v>
      </c>
      <c r="C553" t="s">
        <v>541</v>
      </c>
      <c r="D553" t="str">
        <f t="shared" si="35"/>
        <v/>
      </c>
      <c r="E553" t="s">
        <v>542</v>
      </c>
      <c r="F553" t="str">
        <f t="shared" si="38"/>
        <v>1120789</v>
      </c>
    </row>
    <row r="554" spans="1:9" ht="15" hidden="1" customHeight="1" x14ac:dyDescent="0.25">
      <c r="A554">
        <v>15118</v>
      </c>
      <c r="B554" t="s">
        <v>10</v>
      </c>
      <c r="C554" t="s">
        <v>543</v>
      </c>
      <c r="D554" t="str">
        <f t="shared" si="35"/>
        <v/>
      </c>
      <c r="E554" t="s">
        <v>544</v>
      </c>
      <c r="F554" t="str">
        <f t="shared" si="38"/>
        <v>1120789</v>
      </c>
    </row>
    <row r="555" spans="1:9" ht="15" hidden="1" customHeight="1" x14ac:dyDescent="0.25">
      <c r="A555">
        <v>15119</v>
      </c>
      <c r="B555" t="s">
        <v>10</v>
      </c>
      <c r="C555" t="s">
        <v>545</v>
      </c>
      <c r="D555" t="str">
        <f t="shared" si="35"/>
        <v/>
      </c>
      <c r="E555" t="s">
        <v>546</v>
      </c>
      <c r="F555" t="str">
        <f t="shared" si="38"/>
        <v>1120789</v>
      </c>
    </row>
    <row r="556" spans="1:9" ht="15" hidden="1" customHeight="1" x14ac:dyDescent="0.25">
      <c r="A556">
        <v>15120</v>
      </c>
      <c r="B556" t="s">
        <v>10</v>
      </c>
      <c r="C556" t="s">
        <v>547</v>
      </c>
      <c r="D556" t="str">
        <f t="shared" si="35"/>
        <v/>
      </c>
      <c r="E556" t="s">
        <v>548</v>
      </c>
      <c r="F556" t="str">
        <f t="shared" si="38"/>
        <v>1120789</v>
      </c>
    </row>
    <row r="557" spans="1:9" ht="15" hidden="1" customHeight="1" x14ac:dyDescent="0.25">
      <c r="A557">
        <v>15121</v>
      </c>
      <c r="B557" t="s">
        <v>10</v>
      </c>
      <c r="C557" t="s">
        <v>549</v>
      </c>
      <c r="D557" t="str">
        <f t="shared" si="35"/>
        <v/>
      </c>
      <c r="E557" t="s">
        <v>550</v>
      </c>
      <c r="F557" t="str">
        <f t="shared" si="38"/>
        <v>1120789</v>
      </c>
    </row>
    <row r="558" spans="1:9" ht="15" hidden="1" customHeight="1" x14ac:dyDescent="0.25">
      <c r="A558">
        <v>15122</v>
      </c>
      <c r="B558" t="s">
        <v>10</v>
      </c>
      <c r="C558" t="s">
        <v>551</v>
      </c>
      <c r="D558" t="str">
        <f t="shared" si="35"/>
        <v/>
      </c>
      <c r="E558" t="s">
        <v>552</v>
      </c>
      <c r="F558" t="str">
        <f t="shared" si="38"/>
        <v>1120789</v>
      </c>
    </row>
    <row r="559" spans="1:9" ht="15" customHeight="1" x14ac:dyDescent="0.25">
      <c r="A559">
        <v>18298</v>
      </c>
      <c r="B559" t="s">
        <v>7</v>
      </c>
      <c r="C559" t="s">
        <v>3368</v>
      </c>
      <c r="D559" t="str">
        <f t="shared" si="35"/>
        <v/>
      </c>
      <c r="E559" t="s">
        <v>3369</v>
      </c>
      <c r="F559" t="s">
        <v>6868</v>
      </c>
      <c r="H559">
        <v>6</v>
      </c>
      <c r="I559">
        <v>1</v>
      </c>
    </row>
    <row r="560" spans="1:9" ht="15" hidden="1" customHeight="1" x14ac:dyDescent="0.25">
      <c r="A560">
        <v>18299</v>
      </c>
      <c r="B560" t="s">
        <v>10</v>
      </c>
      <c r="C560" t="s">
        <v>3370</v>
      </c>
      <c r="D560" t="str">
        <f t="shared" si="35"/>
        <v/>
      </c>
      <c r="E560" t="s">
        <v>3371</v>
      </c>
      <c r="F560" t="str">
        <f>LEFT(C560,7)</f>
        <v>1120790</v>
      </c>
    </row>
    <row r="561" spans="1:9" ht="15" hidden="1" customHeight="1" x14ac:dyDescent="0.25">
      <c r="A561">
        <v>18300</v>
      </c>
      <c r="B561" t="s">
        <v>10</v>
      </c>
      <c r="C561" t="s">
        <v>3372</v>
      </c>
      <c r="D561" t="str">
        <f t="shared" si="35"/>
        <v/>
      </c>
      <c r="E561" t="s">
        <v>3373</v>
      </c>
      <c r="F561" t="str">
        <f>LEFT(C561,7)</f>
        <v>1120790</v>
      </c>
    </row>
    <row r="562" spans="1:9" ht="15" hidden="1" customHeight="1" x14ac:dyDescent="0.25">
      <c r="A562">
        <v>18301</v>
      </c>
      <c r="B562" t="s">
        <v>10</v>
      </c>
      <c r="C562" t="s">
        <v>3374</v>
      </c>
      <c r="D562" t="str">
        <f t="shared" si="35"/>
        <v/>
      </c>
      <c r="E562" t="s">
        <v>3375</v>
      </c>
      <c r="F562" t="str">
        <f>LEFT(C562,7)</f>
        <v>1120790</v>
      </c>
    </row>
    <row r="563" spans="1:9" ht="15" customHeight="1" x14ac:dyDescent="0.25">
      <c r="A563">
        <v>18302</v>
      </c>
      <c r="B563" t="s">
        <v>7</v>
      </c>
      <c r="C563" t="s">
        <v>3376</v>
      </c>
      <c r="D563" t="str">
        <f t="shared" si="35"/>
        <v/>
      </c>
      <c r="E563" t="s">
        <v>3377</v>
      </c>
      <c r="F563" t="s">
        <v>6868</v>
      </c>
      <c r="H563">
        <v>6</v>
      </c>
      <c r="I563">
        <v>1</v>
      </c>
    </row>
    <row r="564" spans="1:9" ht="15" hidden="1" customHeight="1" x14ac:dyDescent="0.25">
      <c r="A564">
        <v>18303</v>
      </c>
      <c r="B564" t="s">
        <v>10</v>
      </c>
      <c r="C564" t="s">
        <v>3378</v>
      </c>
      <c r="D564" t="str">
        <f t="shared" si="35"/>
        <v/>
      </c>
      <c r="E564" t="s">
        <v>3379</v>
      </c>
      <c r="F564" t="str">
        <f t="shared" ref="F564:F582" si="39">LEFT(C564,7)</f>
        <v>1120791</v>
      </c>
    </row>
    <row r="565" spans="1:9" ht="15" hidden="1" customHeight="1" x14ac:dyDescent="0.25">
      <c r="A565">
        <v>18304</v>
      </c>
      <c r="B565" t="s">
        <v>10</v>
      </c>
      <c r="C565" t="s">
        <v>3380</v>
      </c>
      <c r="D565" t="str">
        <f t="shared" si="35"/>
        <v/>
      </c>
      <c r="E565" t="s">
        <v>3381</v>
      </c>
      <c r="F565" t="str">
        <f t="shared" si="39"/>
        <v>1120791</v>
      </c>
    </row>
    <row r="566" spans="1:9" ht="15" customHeight="1" x14ac:dyDescent="0.25">
      <c r="A566">
        <v>19533</v>
      </c>
      <c r="B566" t="s">
        <v>7</v>
      </c>
      <c r="C566" t="s">
        <v>4843</v>
      </c>
      <c r="D566" t="str">
        <f t="shared" si="35"/>
        <v/>
      </c>
      <c r="E566" t="s">
        <v>4844</v>
      </c>
      <c r="F566" t="str">
        <f t="shared" si="39"/>
        <v>1120330</v>
      </c>
      <c r="H566">
        <v>4</v>
      </c>
      <c r="I566">
        <v>1</v>
      </c>
    </row>
    <row r="567" spans="1:9" ht="15" hidden="1" customHeight="1" x14ac:dyDescent="0.25">
      <c r="A567">
        <v>19534</v>
      </c>
      <c r="B567" t="s">
        <v>10</v>
      </c>
      <c r="C567" t="s">
        <v>4845</v>
      </c>
      <c r="D567" t="str">
        <f t="shared" si="35"/>
        <v/>
      </c>
      <c r="E567" t="s">
        <v>4846</v>
      </c>
      <c r="F567" t="str">
        <f t="shared" si="39"/>
        <v>1120330</v>
      </c>
    </row>
    <row r="568" spans="1:9" ht="15" hidden="1" customHeight="1" x14ac:dyDescent="0.25">
      <c r="A568">
        <v>19539</v>
      </c>
      <c r="B568" t="s">
        <v>10</v>
      </c>
      <c r="C568" t="s">
        <v>4847</v>
      </c>
      <c r="D568" t="str">
        <f t="shared" si="35"/>
        <v/>
      </c>
      <c r="E568" t="s">
        <v>4848</v>
      </c>
      <c r="F568" t="str">
        <f t="shared" si="39"/>
        <v>1120330</v>
      </c>
    </row>
    <row r="569" spans="1:9" ht="15" hidden="1" customHeight="1" x14ac:dyDescent="0.25">
      <c r="A569">
        <v>19540</v>
      </c>
      <c r="B569" t="s">
        <v>10</v>
      </c>
      <c r="C569" t="s">
        <v>4849</v>
      </c>
      <c r="D569" t="str">
        <f t="shared" si="35"/>
        <v/>
      </c>
      <c r="E569" t="s">
        <v>4850</v>
      </c>
      <c r="F569" t="str">
        <f t="shared" si="39"/>
        <v>1120330</v>
      </c>
    </row>
    <row r="570" spans="1:9" ht="15" hidden="1" customHeight="1" x14ac:dyDescent="0.25">
      <c r="A570">
        <v>19541</v>
      </c>
      <c r="B570" t="s">
        <v>10</v>
      </c>
      <c r="C570" t="s">
        <v>4851</v>
      </c>
      <c r="D570" t="str">
        <f t="shared" si="35"/>
        <v/>
      </c>
      <c r="E570" t="s">
        <v>4852</v>
      </c>
      <c r="F570" t="str">
        <f t="shared" si="39"/>
        <v>1120330</v>
      </c>
    </row>
    <row r="571" spans="1:9" ht="15" hidden="1" customHeight="1" x14ac:dyDescent="0.25">
      <c r="A571">
        <v>19542</v>
      </c>
      <c r="B571" t="s">
        <v>10</v>
      </c>
      <c r="C571" t="s">
        <v>4853</v>
      </c>
      <c r="D571" t="str">
        <f t="shared" si="35"/>
        <v/>
      </c>
      <c r="E571" t="s">
        <v>4854</v>
      </c>
      <c r="F571" t="str">
        <f t="shared" si="39"/>
        <v>1120330</v>
      </c>
    </row>
    <row r="572" spans="1:9" ht="15" hidden="1" customHeight="1" x14ac:dyDescent="0.25">
      <c r="A572">
        <v>19543</v>
      </c>
      <c r="B572" t="s">
        <v>10</v>
      </c>
      <c r="C572" t="s">
        <v>4855</v>
      </c>
      <c r="D572" t="str">
        <f t="shared" si="35"/>
        <v/>
      </c>
      <c r="E572" t="s">
        <v>4856</v>
      </c>
      <c r="F572" t="str">
        <f t="shared" si="39"/>
        <v>1120330</v>
      </c>
    </row>
    <row r="573" spans="1:9" ht="15" hidden="1" customHeight="1" x14ac:dyDescent="0.25">
      <c r="A573">
        <v>19544</v>
      </c>
      <c r="B573" t="s">
        <v>10</v>
      </c>
      <c r="C573" t="s">
        <v>4857</v>
      </c>
      <c r="D573" t="str">
        <f t="shared" si="35"/>
        <v/>
      </c>
      <c r="E573" t="s">
        <v>4858</v>
      </c>
      <c r="F573" t="str">
        <f t="shared" si="39"/>
        <v>1120330</v>
      </c>
    </row>
    <row r="574" spans="1:9" ht="15" customHeight="1" x14ac:dyDescent="0.25">
      <c r="A574">
        <v>15044</v>
      </c>
      <c r="B574" t="s">
        <v>7</v>
      </c>
      <c r="C574" t="s">
        <v>447</v>
      </c>
      <c r="D574" t="str">
        <f t="shared" si="35"/>
        <v/>
      </c>
      <c r="E574" t="s">
        <v>448</v>
      </c>
      <c r="F574" t="str">
        <f t="shared" si="39"/>
        <v>1120263</v>
      </c>
      <c r="H574">
        <v>6</v>
      </c>
      <c r="I574">
        <v>1</v>
      </c>
    </row>
    <row r="575" spans="1:9" ht="15" hidden="1" customHeight="1" x14ac:dyDescent="0.25">
      <c r="A575">
        <v>15045</v>
      </c>
      <c r="B575" t="s">
        <v>10</v>
      </c>
      <c r="C575" t="s">
        <v>449</v>
      </c>
      <c r="D575" t="str">
        <f t="shared" si="35"/>
        <v/>
      </c>
      <c r="E575" t="s">
        <v>450</v>
      </c>
      <c r="F575" t="str">
        <f t="shared" si="39"/>
        <v>1120263</v>
      </c>
    </row>
    <row r="576" spans="1:9" ht="15" hidden="1" customHeight="1" x14ac:dyDescent="0.25">
      <c r="A576">
        <v>15051</v>
      </c>
      <c r="B576" t="s">
        <v>10</v>
      </c>
      <c r="C576" t="s">
        <v>451</v>
      </c>
      <c r="D576" t="str">
        <f t="shared" si="35"/>
        <v/>
      </c>
      <c r="E576" t="s">
        <v>452</v>
      </c>
      <c r="F576" t="str">
        <f t="shared" si="39"/>
        <v>1120263</v>
      </c>
    </row>
    <row r="577" spans="1:9" ht="15" hidden="1" customHeight="1" x14ac:dyDescent="0.25">
      <c r="A577">
        <v>15052</v>
      </c>
      <c r="B577" t="s">
        <v>10</v>
      </c>
      <c r="C577" t="s">
        <v>453</v>
      </c>
      <c r="D577" t="str">
        <f t="shared" si="35"/>
        <v/>
      </c>
      <c r="E577" t="s">
        <v>454</v>
      </c>
      <c r="F577" t="str">
        <f t="shared" si="39"/>
        <v>1120263</v>
      </c>
    </row>
    <row r="578" spans="1:9" ht="15" hidden="1" customHeight="1" x14ac:dyDescent="0.25">
      <c r="A578">
        <v>15053</v>
      </c>
      <c r="B578" t="s">
        <v>10</v>
      </c>
      <c r="C578" t="s">
        <v>455</v>
      </c>
      <c r="D578" t="str">
        <f t="shared" si="35"/>
        <v/>
      </c>
      <c r="E578" t="s">
        <v>456</v>
      </c>
      <c r="F578" t="str">
        <f t="shared" si="39"/>
        <v>1120263</v>
      </c>
    </row>
    <row r="579" spans="1:9" ht="15" hidden="1" customHeight="1" x14ac:dyDescent="0.25">
      <c r="A579">
        <v>15054</v>
      </c>
      <c r="B579" t="s">
        <v>10</v>
      </c>
      <c r="C579" t="s">
        <v>457</v>
      </c>
      <c r="D579" t="str">
        <f t="shared" si="35"/>
        <v/>
      </c>
      <c r="E579" t="s">
        <v>458</v>
      </c>
      <c r="F579" t="str">
        <f t="shared" si="39"/>
        <v>1120263</v>
      </c>
    </row>
    <row r="580" spans="1:9" ht="15" hidden="1" customHeight="1" x14ac:dyDescent="0.25">
      <c r="A580">
        <v>15055</v>
      </c>
      <c r="B580" t="s">
        <v>10</v>
      </c>
      <c r="C580" t="s">
        <v>459</v>
      </c>
      <c r="D580" t="str">
        <f t="shared" si="35"/>
        <v/>
      </c>
      <c r="E580" t="s">
        <v>460</v>
      </c>
      <c r="F580" t="str">
        <f t="shared" si="39"/>
        <v>1120263</v>
      </c>
    </row>
    <row r="581" spans="1:9" ht="15" hidden="1" customHeight="1" x14ac:dyDescent="0.25">
      <c r="A581">
        <v>15056</v>
      </c>
      <c r="B581" t="s">
        <v>10</v>
      </c>
      <c r="C581" t="s">
        <v>461</v>
      </c>
      <c r="D581" t="str">
        <f t="shared" si="35"/>
        <v/>
      </c>
      <c r="E581" t="s">
        <v>462</v>
      </c>
      <c r="F581" t="str">
        <f t="shared" si="39"/>
        <v>1120263</v>
      </c>
    </row>
    <row r="582" spans="1:9" ht="15" hidden="1" customHeight="1" x14ac:dyDescent="0.25">
      <c r="A582">
        <v>15057</v>
      </c>
      <c r="B582" t="s">
        <v>10</v>
      </c>
      <c r="C582" t="s">
        <v>463</v>
      </c>
      <c r="D582" t="str">
        <f t="shared" ref="D582:D586" si="40">IF(RIGHT(LEFT(C582,9),2)="##","",RIGHT(LEFT(C582,10),2))</f>
        <v/>
      </c>
      <c r="E582" t="s">
        <v>464</v>
      </c>
      <c r="F582" t="str">
        <f t="shared" si="39"/>
        <v>1120263</v>
      </c>
    </row>
    <row r="583" spans="1:9" ht="15" customHeight="1" x14ac:dyDescent="0.25">
      <c r="A583">
        <v>15044</v>
      </c>
      <c r="B583" t="s">
        <v>7</v>
      </c>
      <c r="C583" t="s">
        <v>2573</v>
      </c>
      <c r="D583" t="str">
        <f t="shared" si="40"/>
        <v/>
      </c>
      <c r="E583" t="s">
        <v>2574</v>
      </c>
      <c r="F583" t="s">
        <v>6869</v>
      </c>
      <c r="H583">
        <v>6</v>
      </c>
      <c r="I583">
        <v>1</v>
      </c>
    </row>
    <row r="584" spans="1:9" ht="15" hidden="1" customHeight="1" x14ac:dyDescent="0.25">
      <c r="A584">
        <v>17772</v>
      </c>
      <c r="B584" t="s">
        <v>10</v>
      </c>
      <c r="C584" t="s">
        <v>2575</v>
      </c>
      <c r="D584" t="str">
        <f t="shared" si="40"/>
        <v/>
      </c>
      <c r="E584" t="s">
        <v>2576</v>
      </c>
      <c r="F584" t="str">
        <f>LEFT(C584,7)</f>
        <v>1120264</v>
      </c>
    </row>
    <row r="585" spans="1:9" ht="15" hidden="1" customHeight="1" x14ac:dyDescent="0.25">
      <c r="A585">
        <v>17773</v>
      </c>
      <c r="B585" t="s">
        <v>10</v>
      </c>
      <c r="C585" t="s">
        <v>2577</v>
      </c>
      <c r="D585" t="str">
        <f t="shared" si="40"/>
        <v/>
      </c>
      <c r="E585" t="s">
        <v>2578</v>
      </c>
      <c r="F585" t="str">
        <f>LEFT(C585,7)</f>
        <v>1120264</v>
      </c>
    </row>
    <row r="586" spans="1:9" ht="15" hidden="1" customHeight="1" x14ac:dyDescent="0.25">
      <c r="A586">
        <v>17774</v>
      </c>
      <c r="B586" t="s">
        <v>10</v>
      </c>
      <c r="C586" t="s">
        <v>2579</v>
      </c>
      <c r="D586" t="str">
        <f t="shared" si="40"/>
        <v/>
      </c>
      <c r="E586" t="s">
        <v>2580</v>
      </c>
      <c r="F586" t="str">
        <f>LEFT(C586,7)</f>
        <v>1120264</v>
      </c>
    </row>
    <row r="587" spans="1:9" ht="15" customHeight="1" x14ac:dyDescent="0.25">
      <c r="A587">
        <v>15044</v>
      </c>
      <c r="B587" t="s">
        <v>7</v>
      </c>
      <c r="C587" t="s">
        <v>7012</v>
      </c>
      <c r="E587" t="s">
        <v>7010</v>
      </c>
      <c r="F587" t="s">
        <v>6869</v>
      </c>
    </row>
    <row r="588" spans="1:9" ht="15" customHeight="1" x14ac:dyDescent="0.25">
      <c r="A588">
        <v>15044</v>
      </c>
      <c r="B588" t="s">
        <v>7</v>
      </c>
      <c r="C588" t="s">
        <v>7013</v>
      </c>
      <c r="E588" t="s">
        <v>7011</v>
      </c>
      <c r="F588" t="s">
        <v>6869</v>
      </c>
    </row>
    <row r="589" spans="1:9" ht="15" customHeight="1" x14ac:dyDescent="0.25">
      <c r="A589">
        <v>15044</v>
      </c>
      <c r="B589" t="s">
        <v>7</v>
      </c>
      <c r="C589" t="s">
        <v>4569</v>
      </c>
      <c r="D589" t="str">
        <f t="shared" ref="D589:D601" si="41">IF(RIGHT(LEFT(C589,9),2)="##","",RIGHT(LEFT(C589,10),2))</f>
        <v/>
      </c>
      <c r="E589" t="s">
        <v>4570</v>
      </c>
      <c r="F589" t="str">
        <f t="shared" ref="F589:F597" si="42">LEFT(C589,7)</f>
        <v>1120060</v>
      </c>
      <c r="H589">
        <v>6</v>
      </c>
      <c r="I589">
        <v>1</v>
      </c>
    </row>
    <row r="590" spans="1:9" ht="15" hidden="1" customHeight="1" x14ac:dyDescent="0.25">
      <c r="A590">
        <v>19305</v>
      </c>
      <c r="B590" t="s">
        <v>10</v>
      </c>
      <c r="C590" t="s">
        <v>4571</v>
      </c>
      <c r="D590" t="str">
        <f t="shared" si="41"/>
        <v/>
      </c>
      <c r="E590" t="s">
        <v>4572</v>
      </c>
      <c r="F590" t="str">
        <f t="shared" si="42"/>
        <v>1120060</v>
      </c>
    </row>
    <row r="591" spans="1:9" ht="15" hidden="1" customHeight="1" x14ac:dyDescent="0.25">
      <c r="A591">
        <v>19310</v>
      </c>
      <c r="B591" t="s">
        <v>10</v>
      </c>
      <c r="C591" t="s">
        <v>4573</v>
      </c>
      <c r="D591" t="str">
        <f t="shared" si="41"/>
        <v/>
      </c>
      <c r="E591" t="s">
        <v>4574</v>
      </c>
      <c r="F591" t="str">
        <f t="shared" si="42"/>
        <v>1120060</v>
      </c>
    </row>
    <row r="592" spans="1:9" ht="15" hidden="1" customHeight="1" x14ac:dyDescent="0.25">
      <c r="A592">
        <v>19311</v>
      </c>
      <c r="B592" t="s">
        <v>10</v>
      </c>
      <c r="C592" t="s">
        <v>4575</v>
      </c>
      <c r="D592" t="str">
        <f t="shared" si="41"/>
        <v/>
      </c>
      <c r="E592" t="s">
        <v>4576</v>
      </c>
      <c r="F592" t="str">
        <f t="shared" si="42"/>
        <v>1120060</v>
      </c>
    </row>
    <row r="593" spans="1:9" ht="15" hidden="1" customHeight="1" x14ac:dyDescent="0.25">
      <c r="A593">
        <v>19312</v>
      </c>
      <c r="B593" t="s">
        <v>10</v>
      </c>
      <c r="C593" t="s">
        <v>4577</v>
      </c>
      <c r="D593" t="str">
        <f t="shared" si="41"/>
        <v/>
      </c>
      <c r="E593" t="s">
        <v>4578</v>
      </c>
      <c r="F593" t="str">
        <f t="shared" si="42"/>
        <v>1120060</v>
      </c>
    </row>
    <row r="594" spans="1:9" ht="15" hidden="1" customHeight="1" x14ac:dyDescent="0.25">
      <c r="A594">
        <v>19313</v>
      </c>
      <c r="B594" t="s">
        <v>10</v>
      </c>
      <c r="C594" t="s">
        <v>4579</v>
      </c>
      <c r="D594" t="str">
        <f t="shared" si="41"/>
        <v/>
      </c>
      <c r="E594" t="s">
        <v>4580</v>
      </c>
      <c r="F594" t="str">
        <f t="shared" si="42"/>
        <v>1120060</v>
      </c>
    </row>
    <row r="595" spans="1:9" ht="15" hidden="1" customHeight="1" x14ac:dyDescent="0.25">
      <c r="A595">
        <v>19314</v>
      </c>
      <c r="B595" t="s">
        <v>10</v>
      </c>
      <c r="C595" t="s">
        <v>4581</v>
      </c>
      <c r="D595" t="str">
        <f t="shared" si="41"/>
        <v/>
      </c>
      <c r="E595" t="s">
        <v>4582</v>
      </c>
      <c r="F595" t="str">
        <f t="shared" si="42"/>
        <v>1120060</v>
      </c>
    </row>
    <row r="596" spans="1:9" ht="15" hidden="1" customHeight="1" x14ac:dyDescent="0.25">
      <c r="A596">
        <v>19315</v>
      </c>
      <c r="B596" t="s">
        <v>10</v>
      </c>
      <c r="C596" t="s">
        <v>4583</v>
      </c>
      <c r="D596" t="str">
        <f t="shared" si="41"/>
        <v/>
      </c>
      <c r="E596" t="s">
        <v>4584</v>
      </c>
      <c r="F596" t="str">
        <f t="shared" si="42"/>
        <v>1120060</v>
      </c>
    </row>
    <row r="597" spans="1:9" ht="15" hidden="1" customHeight="1" x14ac:dyDescent="0.25">
      <c r="A597">
        <v>19316</v>
      </c>
      <c r="B597" t="s">
        <v>10</v>
      </c>
      <c r="C597" t="s">
        <v>4585</v>
      </c>
      <c r="D597" t="str">
        <f t="shared" si="41"/>
        <v/>
      </c>
      <c r="E597" t="s">
        <v>4586</v>
      </c>
      <c r="F597" t="str">
        <f t="shared" si="42"/>
        <v>1120060</v>
      </c>
    </row>
    <row r="598" spans="1:9" ht="15" customHeight="1" x14ac:dyDescent="0.25">
      <c r="A598">
        <v>15044</v>
      </c>
      <c r="B598" t="s">
        <v>7</v>
      </c>
      <c r="C598" t="s">
        <v>4587</v>
      </c>
      <c r="D598" t="str">
        <f t="shared" si="41"/>
        <v/>
      </c>
      <c r="E598" t="s">
        <v>4588</v>
      </c>
      <c r="F598" t="s">
        <v>6870</v>
      </c>
      <c r="H598">
        <v>6</v>
      </c>
      <c r="I598">
        <v>1</v>
      </c>
    </row>
    <row r="599" spans="1:9" ht="15" hidden="1" customHeight="1" x14ac:dyDescent="0.25">
      <c r="A599">
        <v>19318</v>
      </c>
      <c r="B599" t="s">
        <v>10</v>
      </c>
      <c r="C599" t="s">
        <v>4589</v>
      </c>
      <c r="D599" t="str">
        <f t="shared" si="41"/>
        <v/>
      </c>
      <c r="E599" t="s">
        <v>4590</v>
      </c>
      <c r="F599" t="str">
        <f>LEFT(C599,7)</f>
        <v>1120061</v>
      </c>
    </row>
    <row r="600" spans="1:9" ht="15" hidden="1" customHeight="1" x14ac:dyDescent="0.25">
      <c r="A600">
        <v>19319</v>
      </c>
      <c r="B600" t="s">
        <v>10</v>
      </c>
      <c r="C600" t="s">
        <v>4591</v>
      </c>
      <c r="D600" t="str">
        <f t="shared" si="41"/>
        <v/>
      </c>
      <c r="E600" t="s">
        <v>4592</v>
      </c>
      <c r="F600" t="str">
        <f>LEFT(C600,7)</f>
        <v>1120061</v>
      </c>
    </row>
    <row r="601" spans="1:9" ht="15" hidden="1" customHeight="1" x14ac:dyDescent="0.25">
      <c r="A601">
        <v>19320</v>
      </c>
      <c r="B601" t="s">
        <v>10</v>
      </c>
      <c r="C601" t="s">
        <v>4593</v>
      </c>
      <c r="D601" t="str">
        <f t="shared" si="41"/>
        <v/>
      </c>
      <c r="E601" t="s">
        <v>4594</v>
      </c>
      <c r="F601" t="str">
        <f>LEFT(C601,7)</f>
        <v>1120061</v>
      </c>
    </row>
    <row r="602" spans="1:9" ht="15" customHeight="1" x14ac:dyDescent="0.25">
      <c r="A602">
        <f>+A601+1</f>
        <v>19321</v>
      </c>
      <c r="B602" t="s">
        <v>7</v>
      </c>
      <c r="C602" t="s">
        <v>7008</v>
      </c>
      <c r="E602" t="s">
        <v>7006</v>
      </c>
      <c r="F602" t="s">
        <v>6870</v>
      </c>
    </row>
    <row r="603" spans="1:9" ht="15" customHeight="1" x14ac:dyDescent="0.25">
      <c r="A603">
        <f>+A602+1</f>
        <v>19322</v>
      </c>
      <c r="B603" t="s">
        <v>7</v>
      </c>
      <c r="C603" t="s">
        <v>7009</v>
      </c>
      <c r="E603" t="s">
        <v>7007</v>
      </c>
      <c r="F603" t="s">
        <v>6870</v>
      </c>
    </row>
    <row r="604" spans="1:9" ht="15" customHeight="1" x14ac:dyDescent="0.25">
      <c r="A604">
        <v>20063</v>
      </c>
      <c r="B604" t="s">
        <v>7</v>
      </c>
      <c r="C604" t="s">
        <v>5451</v>
      </c>
      <c r="D604" t="str">
        <f t="shared" ref="D604:D667" si="43">IF(RIGHT(LEFT(C604,9),2)="##","",RIGHT(LEFT(C604,10),2))</f>
        <v/>
      </c>
      <c r="E604" t="s">
        <v>5452</v>
      </c>
      <c r="F604" t="str">
        <f t="shared" ref="F604:F612" si="44">LEFT(C604,7)</f>
        <v>1120196</v>
      </c>
      <c r="H604">
        <v>5</v>
      </c>
      <c r="I604">
        <v>1</v>
      </c>
    </row>
    <row r="605" spans="1:9" ht="15" hidden="1" customHeight="1" x14ac:dyDescent="0.25">
      <c r="A605">
        <v>20064</v>
      </c>
      <c r="B605" t="s">
        <v>10</v>
      </c>
      <c r="C605" t="s">
        <v>5453</v>
      </c>
      <c r="D605" t="str">
        <f t="shared" si="43"/>
        <v/>
      </c>
      <c r="E605" t="s">
        <v>5454</v>
      </c>
      <c r="F605" t="str">
        <f t="shared" si="44"/>
        <v>1120196</v>
      </c>
    </row>
    <row r="606" spans="1:9" ht="15" hidden="1" customHeight="1" x14ac:dyDescent="0.25">
      <c r="A606">
        <v>20065</v>
      </c>
      <c r="B606" t="s">
        <v>10</v>
      </c>
      <c r="C606" t="s">
        <v>5455</v>
      </c>
      <c r="D606" t="str">
        <f t="shared" si="43"/>
        <v/>
      </c>
      <c r="E606" t="s">
        <v>5456</v>
      </c>
      <c r="F606" t="str">
        <f t="shared" si="44"/>
        <v>1120196</v>
      </c>
    </row>
    <row r="607" spans="1:9" ht="15" hidden="1" customHeight="1" x14ac:dyDescent="0.25">
      <c r="A607">
        <v>20066</v>
      </c>
      <c r="B607" t="s">
        <v>10</v>
      </c>
      <c r="C607" t="s">
        <v>5457</v>
      </c>
      <c r="D607" t="str">
        <f t="shared" si="43"/>
        <v/>
      </c>
      <c r="E607" t="s">
        <v>5458</v>
      </c>
      <c r="F607" t="str">
        <f t="shared" si="44"/>
        <v>1120196</v>
      </c>
    </row>
    <row r="608" spans="1:9" ht="15" hidden="1" customHeight="1" x14ac:dyDescent="0.25">
      <c r="A608">
        <v>20067</v>
      </c>
      <c r="B608" t="s">
        <v>10</v>
      </c>
      <c r="C608" t="s">
        <v>5459</v>
      </c>
      <c r="D608" t="str">
        <f t="shared" si="43"/>
        <v/>
      </c>
      <c r="E608" t="s">
        <v>5460</v>
      </c>
      <c r="F608" t="str">
        <f t="shared" si="44"/>
        <v>1120196</v>
      </c>
    </row>
    <row r="609" spans="1:9" ht="15" hidden="1" customHeight="1" x14ac:dyDescent="0.25">
      <c r="A609">
        <v>20068</v>
      </c>
      <c r="B609" t="s">
        <v>10</v>
      </c>
      <c r="C609" t="s">
        <v>5461</v>
      </c>
      <c r="D609" t="str">
        <f t="shared" si="43"/>
        <v/>
      </c>
      <c r="E609" t="s">
        <v>5462</v>
      </c>
      <c r="F609" t="str">
        <f t="shared" si="44"/>
        <v>1120196</v>
      </c>
    </row>
    <row r="610" spans="1:9" ht="15" hidden="1" customHeight="1" x14ac:dyDescent="0.25">
      <c r="A610">
        <v>20069</v>
      </c>
      <c r="B610" t="s">
        <v>10</v>
      </c>
      <c r="C610" t="s">
        <v>5463</v>
      </c>
      <c r="D610" t="str">
        <f t="shared" si="43"/>
        <v/>
      </c>
      <c r="E610" t="s">
        <v>5464</v>
      </c>
      <c r="F610" t="str">
        <f t="shared" si="44"/>
        <v>1120196</v>
      </c>
    </row>
    <row r="611" spans="1:9" ht="15" hidden="1" customHeight="1" x14ac:dyDescent="0.25">
      <c r="A611">
        <v>20070</v>
      </c>
      <c r="B611" t="s">
        <v>10</v>
      </c>
      <c r="C611" t="s">
        <v>5465</v>
      </c>
      <c r="D611" t="str">
        <f t="shared" si="43"/>
        <v/>
      </c>
      <c r="E611" t="s">
        <v>5466</v>
      </c>
      <c r="F611" t="str">
        <f t="shared" si="44"/>
        <v>1120196</v>
      </c>
    </row>
    <row r="612" spans="1:9" ht="15" hidden="1" customHeight="1" x14ac:dyDescent="0.25">
      <c r="A612">
        <v>20071</v>
      </c>
      <c r="B612" t="s">
        <v>10</v>
      </c>
      <c r="C612" t="s">
        <v>5467</v>
      </c>
      <c r="D612" t="str">
        <f t="shared" si="43"/>
        <v/>
      </c>
      <c r="E612" t="s">
        <v>5468</v>
      </c>
      <c r="F612" t="str">
        <f t="shared" si="44"/>
        <v>1120196</v>
      </c>
    </row>
    <row r="613" spans="1:9" ht="15" customHeight="1" x14ac:dyDescent="0.25">
      <c r="A613">
        <v>20072</v>
      </c>
      <c r="B613" t="s">
        <v>7</v>
      </c>
      <c r="C613" t="s">
        <v>5469</v>
      </c>
      <c r="D613" t="str">
        <f t="shared" si="43"/>
        <v/>
      </c>
      <c r="E613" t="s">
        <v>5470</v>
      </c>
      <c r="F613" t="s">
        <v>6871</v>
      </c>
      <c r="H613">
        <v>5</v>
      </c>
      <c r="I613">
        <v>1</v>
      </c>
    </row>
    <row r="614" spans="1:9" ht="15" hidden="1" customHeight="1" x14ac:dyDescent="0.25">
      <c r="A614">
        <v>20073</v>
      </c>
      <c r="B614" t="s">
        <v>10</v>
      </c>
      <c r="C614" t="s">
        <v>5471</v>
      </c>
      <c r="D614" t="str">
        <f t="shared" si="43"/>
        <v/>
      </c>
      <c r="E614" t="s">
        <v>5472</v>
      </c>
      <c r="F614" t="str">
        <f>LEFT(C614,7)</f>
        <v>1120197</v>
      </c>
    </row>
    <row r="615" spans="1:9" ht="15" hidden="1" customHeight="1" x14ac:dyDescent="0.25">
      <c r="A615">
        <v>20074</v>
      </c>
      <c r="B615" t="s">
        <v>10</v>
      </c>
      <c r="C615" t="s">
        <v>5473</v>
      </c>
      <c r="D615" t="str">
        <f t="shared" si="43"/>
        <v/>
      </c>
      <c r="E615" t="s">
        <v>5474</v>
      </c>
      <c r="F615" t="str">
        <f>LEFT(C615,7)</f>
        <v>1120197</v>
      </c>
    </row>
    <row r="616" spans="1:9" ht="15" hidden="1" customHeight="1" x14ac:dyDescent="0.25">
      <c r="A616">
        <v>20075</v>
      </c>
      <c r="B616" t="s">
        <v>10</v>
      </c>
      <c r="C616" t="s">
        <v>5475</v>
      </c>
      <c r="D616" t="str">
        <f t="shared" si="43"/>
        <v/>
      </c>
      <c r="E616" t="s">
        <v>5476</v>
      </c>
      <c r="F616" t="str">
        <f>LEFT(C616,7)</f>
        <v>1120197</v>
      </c>
    </row>
    <row r="617" spans="1:9" ht="15" customHeight="1" x14ac:dyDescent="0.25">
      <c r="A617">
        <v>20076</v>
      </c>
      <c r="B617" t="s">
        <v>7</v>
      </c>
      <c r="C617" t="s">
        <v>5477</v>
      </c>
      <c r="D617" t="str">
        <f t="shared" si="43"/>
        <v/>
      </c>
      <c r="E617" t="s">
        <v>5478</v>
      </c>
      <c r="F617" t="s">
        <v>6871</v>
      </c>
      <c r="H617">
        <v>5</v>
      </c>
      <c r="I617">
        <v>1</v>
      </c>
    </row>
    <row r="618" spans="1:9" ht="15" hidden="1" customHeight="1" x14ac:dyDescent="0.25">
      <c r="A618">
        <v>20077</v>
      </c>
      <c r="B618" t="s">
        <v>10</v>
      </c>
      <c r="C618" t="s">
        <v>5479</v>
      </c>
      <c r="D618" t="str">
        <f t="shared" si="43"/>
        <v/>
      </c>
      <c r="E618" t="s">
        <v>5480</v>
      </c>
      <c r="F618" t="str">
        <f t="shared" ref="F618:F629" si="45">LEFT(C618,7)</f>
        <v>1120188</v>
      </c>
    </row>
    <row r="619" spans="1:9" ht="15" hidden="1" customHeight="1" x14ac:dyDescent="0.25">
      <c r="A619">
        <v>20078</v>
      </c>
      <c r="B619" t="s">
        <v>10</v>
      </c>
      <c r="C619" t="s">
        <v>5481</v>
      </c>
      <c r="D619" t="str">
        <f t="shared" si="43"/>
        <v/>
      </c>
      <c r="E619" t="s">
        <v>5482</v>
      </c>
      <c r="F619" t="str">
        <f t="shared" si="45"/>
        <v>1120188</v>
      </c>
    </row>
    <row r="620" spans="1:9" ht="15" hidden="1" customHeight="1" x14ac:dyDescent="0.25">
      <c r="A620">
        <v>20079</v>
      </c>
      <c r="B620" t="s">
        <v>10</v>
      </c>
      <c r="C620" t="s">
        <v>5483</v>
      </c>
      <c r="D620" t="str">
        <f t="shared" si="43"/>
        <v/>
      </c>
      <c r="E620" t="s">
        <v>5484</v>
      </c>
      <c r="F620" t="str">
        <f t="shared" si="45"/>
        <v>1120188</v>
      </c>
    </row>
    <row r="621" spans="1:9" ht="15" customHeight="1" x14ac:dyDescent="0.25">
      <c r="A621">
        <v>19955</v>
      </c>
      <c r="B621" t="s">
        <v>7</v>
      </c>
      <c r="C621" t="s">
        <v>5343</v>
      </c>
      <c r="D621" t="str">
        <f t="shared" si="43"/>
        <v/>
      </c>
      <c r="E621" t="s">
        <v>5344</v>
      </c>
      <c r="F621" t="str">
        <f t="shared" si="45"/>
        <v>1120201</v>
      </c>
      <c r="H621">
        <v>5</v>
      </c>
      <c r="I621">
        <v>1</v>
      </c>
    </row>
    <row r="622" spans="1:9" ht="15" hidden="1" customHeight="1" x14ac:dyDescent="0.25">
      <c r="A622">
        <v>19956</v>
      </c>
      <c r="B622" t="s">
        <v>10</v>
      </c>
      <c r="C622" t="s">
        <v>5345</v>
      </c>
      <c r="D622" t="str">
        <f t="shared" si="43"/>
        <v/>
      </c>
      <c r="E622" t="s">
        <v>5346</v>
      </c>
      <c r="F622" t="str">
        <f t="shared" si="45"/>
        <v>1120201</v>
      </c>
    </row>
    <row r="623" spans="1:9" ht="15" hidden="1" customHeight="1" x14ac:dyDescent="0.25">
      <c r="A623">
        <v>19957</v>
      </c>
      <c r="B623" t="s">
        <v>10</v>
      </c>
      <c r="C623" t="s">
        <v>5347</v>
      </c>
      <c r="D623" t="str">
        <f t="shared" si="43"/>
        <v/>
      </c>
      <c r="E623" t="s">
        <v>5348</v>
      </c>
      <c r="F623" t="str">
        <f t="shared" si="45"/>
        <v>1120201</v>
      </c>
    </row>
    <row r="624" spans="1:9" ht="15" hidden="1" customHeight="1" x14ac:dyDescent="0.25">
      <c r="A624">
        <v>19958</v>
      </c>
      <c r="B624" t="s">
        <v>10</v>
      </c>
      <c r="C624" t="s">
        <v>5349</v>
      </c>
      <c r="D624" t="str">
        <f t="shared" si="43"/>
        <v/>
      </c>
      <c r="E624" t="s">
        <v>5350</v>
      </c>
      <c r="F624" t="str">
        <f t="shared" si="45"/>
        <v>1120201</v>
      </c>
    </row>
    <row r="625" spans="1:9" ht="15" hidden="1" customHeight="1" x14ac:dyDescent="0.25">
      <c r="A625">
        <v>19959</v>
      </c>
      <c r="B625" t="s">
        <v>10</v>
      </c>
      <c r="C625" t="s">
        <v>5351</v>
      </c>
      <c r="D625" t="str">
        <f t="shared" si="43"/>
        <v/>
      </c>
      <c r="E625" t="s">
        <v>5352</v>
      </c>
      <c r="F625" t="str">
        <f t="shared" si="45"/>
        <v>1120201</v>
      </c>
    </row>
    <row r="626" spans="1:9" ht="15" hidden="1" customHeight="1" x14ac:dyDescent="0.25">
      <c r="A626">
        <v>19960</v>
      </c>
      <c r="B626" t="s">
        <v>10</v>
      </c>
      <c r="C626" t="s">
        <v>5353</v>
      </c>
      <c r="D626" t="str">
        <f t="shared" si="43"/>
        <v/>
      </c>
      <c r="E626" t="s">
        <v>5354</v>
      </c>
      <c r="F626" t="str">
        <f t="shared" si="45"/>
        <v>1120201</v>
      </c>
    </row>
    <row r="627" spans="1:9" ht="15" hidden="1" customHeight="1" x14ac:dyDescent="0.25">
      <c r="A627">
        <v>19961</v>
      </c>
      <c r="B627" t="s">
        <v>10</v>
      </c>
      <c r="C627" t="s">
        <v>5355</v>
      </c>
      <c r="D627" t="str">
        <f t="shared" si="43"/>
        <v/>
      </c>
      <c r="E627" t="s">
        <v>5356</v>
      </c>
      <c r="F627" t="str">
        <f t="shared" si="45"/>
        <v>1120201</v>
      </c>
    </row>
    <row r="628" spans="1:9" ht="15" hidden="1" customHeight="1" x14ac:dyDescent="0.25">
      <c r="A628">
        <v>19962</v>
      </c>
      <c r="B628" t="s">
        <v>10</v>
      </c>
      <c r="C628" t="s">
        <v>5357</v>
      </c>
      <c r="D628" t="str">
        <f t="shared" si="43"/>
        <v/>
      </c>
      <c r="E628" t="s">
        <v>5358</v>
      </c>
      <c r="F628" t="str">
        <f t="shared" si="45"/>
        <v>1120201</v>
      </c>
    </row>
    <row r="629" spans="1:9" ht="15" hidden="1" customHeight="1" x14ac:dyDescent="0.25">
      <c r="A629">
        <v>19963</v>
      </c>
      <c r="B629" t="s">
        <v>10</v>
      </c>
      <c r="C629" t="s">
        <v>5359</v>
      </c>
      <c r="D629" t="str">
        <f t="shared" si="43"/>
        <v/>
      </c>
      <c r="E629" t="s">
        <v>5360</v>
      </c>
      <c r="F629" t="str">
        <f t="shared" si="45"/>
        <v>1120201</v>
      </c>
    </row>
    <row r="630" spans="1:9" ht="15" customHeight="1" x14ac:dyDescent="0.25">
      <c r="A630">
        <v>20080</v>
      </c>
      <c r="B630" t="s">
        <v>7</v>
      </c>
      <c r="C630" t="s">
        <v>5485</v>
      </c>
      <c r="D630" t="str">
        <f t="shared" si="43"/>
        <v/>
      </c>
      <c r="E630" t="s">
        <v>5486</v>
      </c>
      <c r="F630" t="s">
        <v>6872</v>
      </c>
      <c r="H630">
        <v>5</v>
      </c>
      <c r="I630">
        <v>1</v>
      </c>
    </row>
    <row r="631" spans="1:9" ht="15" hidden="1" customHeight="1" x14ac:dyDescent="0.25">
      <c r="A631">
        <v>20081</v>
      </c>
      <c r="B631" t="s">
        <v>10</v>
      </c>
      <c r="C631" t="s">
        <v>5487</v>
      </c>
      <c r="D631" t="str">
        <f t="shared" si="43"/>
        <v/>
      </c>
      <c r="E631" t="s">
        <v>5488</v>
      </c>
      <c r="F631" t="str">
        <f>LEFT(C631,7)</f>
        <v>1120202</v>
      </c>
    </row>
    <row r="632" spans="1:9" ht="15" hidden="1" customHeight="1" x14ac:dyDescent="0.25">
      <c r="A632">
        <v>20082</v>
      </c>
      <c r="B632" t="s">
        <v>10</v>
      </c>
      <c r="C632" t="s">
        <v>5489</v>
      </c>
      <c r="D632" t="str">
        <f t="shared" si="43"/>
        <v/>
      </c>
      <c r="E632" t="s">
        <v>5490</v>
      </c>
      <c r="F632" t="str">
        <f>LEFT(C632,7)</f>
        <v>1120202</v>
      </c>
    </row>
    <row r="633" spans="1:9" ht="15" hidden="1" customHeight="1" x14ac:dyDescent="0.25">
      <c r="A633">
        <v>20083</v>
      </c>
      <c r="B633" t="s">
        <v>10</v>
      </c>
      <c r="C633" t="s">
        <v>5491</v>
      </c>
      <c r="D633" t="str">
        <f t="shared" si="43"/>
        <v/>
      </c>
      <c r="E633" t="s">
        <v>5492</v>
      </c>
      <c r="F633" t="str">
        <f>LEFT(C633,7)</f>
        <v>1120202</v>
      </c>
    </row>
    <row r="634" spans="1:9" ht="15" customHeight="1" x14ac:dyDescent="0.25">
      <c r="A634">
        <v>20084</v>
      </c>
      <c r="B634" t="s">
        <v>7</v>
      </c>
      <c r="C634" t="s">
        <v>5493</v>
      </c>
      <c r="D634" t="str">
        <f t="shared" si="43"/>
        <v/>
      </c>
      <c r="E634" t="s">
        <v>5494</v>
      </c>
      <c r="F634" t="s">
        <v>6872</v>
      </c>
      <c r="H634">
        <v>5</v>
      </c>
      <c r="I634">
        <v>1</v>
      </c>
    </row>
    <row r="635" spans="1:9" ht="15" hidden="1" customHeight="1" x14ac:dyDescent="0.25">
      <c r="A635">
        <v>20085</v>
      </c>
      <c r="B635" t="s">
        <v>10</v>
      </c>
      <c r="C635" t="s">
        <v>5495</v>
      </c>
      <c r="D635" t="str">
        <f t="shared" si="43"/>
        <v/>
      </c>
      <c r="E635" t="s">
        <v>5496</v>
      </c>
      <c r="F635" t="str">
        <f t="shared" ref="F635:F646" si="46">LEFT(C635,7)</f>
        <v>1120203</v>
      </c>
    </row>
    <row r="636" spans="1:9" ht="15" hidden="1" customHeight="1" x14ac:dyDescent="0.25">
      <c r="A636">
        <v>20086</v>
      </c>
      <c r="B636" t="s">
        <v>10</v>
      </c>
      <c r="C636" t="s">
        <v>5497</v>
      </c>
      <c r="D636" t="str">
        <f t="shared" si="43"/>
        <v/>
      </c>
      <c r="E636" t="s">
        <v>5498</v>
      </c>
      <c r="F636" t="str">
        <f t="shared" si="46"/>
        <v>1120203</v>
      </c>
    </row>
    <row r="637" spans="1:9" ht="15" hidden="1" customHeight="1" x14ac:dyDescent="0.25">
      <c r="A637">
        <v>20087</v>
      </c>
      <c r="B637" t="s">
        <v>10</v>
      </c>
      <c r="C637" t="s">
        <v>5499</v>
      </c>
      <c r="D637" t="str">
        <f t="shared" si="43"/>
        <v/>
      </c>
      <c r="E637" t="s">
        <v>5500</v>
      </c>
      <c r="F637" t="str">
        <f t="shared" si="46"/>
        <v>1120203</v>
      </c>
    </row>
    <row r="638" spans="1:9" ht="15" customHeight="1" x14ac:dyDescent="0.25">
      <c r="A638">
        <v>15137</v>
      </c>
      <c r="B638" t="s">
        <v>7</v>
      </c>
      <c r="C638" t="s">
        <v>571</v>
      </c>
      <c r="D638" t="str">
        <f t="shared" si="43"/>
        <v/>
      </c>
      <c r="E638" t="s">
        <v>572</v>
      </c>
      <c r="F638" t="str">
        <f t="shared" si="46"/>
        <v>1120191</v>
      </c>
      <c r="H638">
        <v>5</v>
      </c>
      <c r="I638">
        <v>1</v>
      </c>
    </row>
    <row r="639" spans="1:9" ht="15" hidden="1" customHeight="1" x14ac:dyDescent="0.25">
      <c r="A639">
        <v>15138</v>
      </c>
      <c r="B639" t="s">
        <v>10</v>
      </c>
      <c r="C639" t="s">
        <v>573</v>
      </c>
      <c r="D639" t="str">
        <f t="shared" si="43"/>
        <v/>
      </c>
      <c r="E639" t="s">
        <v>574</v>
      </c>
      <c r="F639" t="str">
        <f t="shared" si="46"/>
        <v>1120191</v>
      </c>
    </row>
    <row r="640" spans="1:9" ht="15" hidden="1" customHeight="1" x14ac:dyDescent="0.25">
      <c r="A640">
        <v>15143</v>
      </c>
      <c r="B640" t="s">
        <v>10</v>
      </c>
      <c r="C640" t="s">
        <v>575</v>
      </c>
      <c r="D640" t="str">
        <f t="shared" si="43"/>
        <v/>
      </c>
      <c r="E640" t="s">
        <v>576</v>
      </c>
      <c r="F640" t="str">
        <f t="shared" si="46"/>
        <v>1120191</v>
      </c>
    </row>
    <row r="641" spans="1:9" ht="15" hidden="1" customHeight="1" x14ac:dyDescent="0.25">
      <c r="A641">
        <v>15144</v>
      </c>
      <c r="B641" t="s">
        <v>10</v>
      </c>
      <c r="C641" t="s">
        <v>577</v>
      </c>
      <c r="D641" t="str">
        <f t="shared" si="43"/>
        <v/>
      </c>
      <c r="E641" t="s">
        <v>578</v>
      </c>
      <c r="F641" t="str">
        <f t="shared" si="46"/>
        <v>1120191</v>
      </c>
    </row>
    <row r="642" spans="1:9" ht="15" hidden="1" customHeight="1" x14ac:dyDescent="0.25">
      <c r="A642">
        <v>15145</v>
      </c>
      <c r="B642" t="s">
        <v>10</v>
      </c>
      <c r="C642" t="s">
        <v>579</v>
      </c>
      <c r="D642" t="str">
        <f t="shared" si="43"/>
        <v/>
      </c>
      <c r="E642" t="s">
        <v>580</v>
      </c>
      <c r="F642" t="str">
        <f t="shared" si="46"/>
        <v>1120191</v>
      </c>
    </row>
    <row r="643" spans="1:9" ht="15" hidden="1" customHeight="1" x14ac:dyDescent="0.25">
      <c r="A643">
        <v>15146</v>
      </c>
      <c r="B643" t="s">
        <v>10</v>
      </c>
      <c r="C643" t="s">
        <v>581</v>
      </c>
      <c r="D643" t="str">
        <f t="shared" si="43"/>
        <v/>
      </c>
      <c r="E643" t="s">
        <v>582</v>
      </c>
      <c r="F643" t="str">
        <f t="shared" si="46"/>
        <v>1120191</v>
      </c>
    </row>
    <row r="644" spans="1:9" ht="15" hidden="1" customHeight="1" x14ac:dyDescent="0.25">
      <c r="A644">
        <v>15147</v>
      </c>
      <c r="B644" t="s">
        <v>10</v>
      </c>
      <c r="C644" t="s">
        <v>583</v>
      </c>
      <c r="D644" t="str">
        <f t="shared" si="43"/>
        <v/>
      </c>
      <c r="E644" t="s">
        <v>584</v>
      </c>
      <c r="F644" t="str">
        <f t="shared" si="46"/>
        <v>1120191</v>
      </c>
    </row>
    <row r="645" spans="1:9" ht="15" hidden="1" customHeight="1" x14ac:dyDescent="0.25">
      <c r="A645">
        <v>15148</v>
      </c>
      <c r="B645" t="s">
        <v>10</v>
      </c>
      <c r="C645" t="s">
        <v>585</v>
      </c>
      <c r="D645" t="str">
        <f t="shared" si="43"/>
        <v/>
      </c>
      <c r="E645" t="s">
        <v>586</v>
      </c>
      <c r="F645" t="str">
        <f t="shared" si="46"/>
        <v>1120191</v>
      </c>
    </row>
    <row r="646" spans="1:9" ht="15" hidden="1" customHeight="1" x14ac:dyDescent="0.25">
      <c r="A646">
        <v>15149</v>
      </c>
      <c r="B646" t="s">
        <v>10</v>
      </c>
      <c r="C646" t="s">
        <v>587</v>
      </c>
      <c r="D646" t="str">
        <f t="shared" si="43"/>
        <v/>
      </c>
      <c r="E646" t="s">
        <v>588</v>
      </c>
      <c r="F646" t="str">
        <f t="shared" si="46"/>
        <v>1120191</v>
      </c>
    </row>
    <row r="647" spans="1:9" ht="15" customHeight="1" x14ac:dyDescent="0.25">
      <c r="A647">
        <v>17745</v>
      </c>
      <c r="B647" t="s">
        <v>7</v>
      </c>
      <c r="C647" t="s">
        <v>2521</v>
      </c>
      <c r="D647" t="str">
        <f t="shared" si="43"/>
        <v/>
      </c>
      <c r="E647" t="s">
        <v>2522</v>
      </c>
      <c r="F647" t="s">
        <v>6873</v>
      </c>
      <c r="H647">
        <v>5</v>
      </c>
      <c r="I647">
        <v>1</v>
      </c>
    </row>
    <row r="648" spans="1:9" ht="15" hidden="1" customHeight="1" x14ac:dyDescent="0.25">
      <c r="A648">
        <v>17746</v>
      </c>
      <c r="B648" t="s">
        <v>10</v>
      </c>
      <c r="C648" t="s">
        <v>2523</v>
      </c>
      <c r="D648" t="str">
        <f t="shared" si="43"/>
        <v/>
      </c>
      <c r="E648" t="s">
        <v>2524</v>
      </c>
      <c r="F648" t="str">
        <f>LEFT(C648,7)</f>
        <v>1120192</v>
      </c>
    </row>
    <row r="649" spans="1:9" ht="15" hidden="1" customHeight="1" x14ac:dyDescent="0.25">
      <c r="A649">
        <v>17747</v>
      </c>
      <c r="B649" t="s">
        <v>10</v>
      </c>
      <c r="C649" t="s">
        <v>2525</v>
      </c>
      <c r="D649" t="str">
        <f t="shared" si="43"/>
        <v/>
      </c>
      <c r="E649" t="s">
        <v>2526</v>
      </c>
      <c r="F649" t="str">
        <f>LEFT(C649,7)</f>
        <v>1120192</v>
      </c>
    </row>
    <row r="650" spans="1:9" ht="15" hidden="1" customHeight="1" x14ac:dyDescent="0.25">
      <c r="A650">
        <v>17748</v>
      </c>
      <c r="B650" t="s">
        <v>10</v>
      </c>
      <c r="C650" t="s">
        <v>2527</v>
      </c>
      <c r="D650" t="str">
        <f t="shared" si="43"/>
        <v/>
      </c>
      <c r="E650" t="s">
        <v>2528</v>
      </c>
      <c r="F650" t="str">
        <f>LEFT(C650,7)</f>
        <v>1120192</v>
      </c>
    </row>
    <row r="651" spans="1:9" ht="15" customHeight="1" x14ac:dyDescent="0.25">
      <c r="A651">
        <v>17749</v>
      </c>
      <c r="B651" t="s">
        <v>7</v>
      </c>
      <c r="C651" t="s">
        <v>2529</v>
      </c>
      <c r="D651" t="str">
        <f t="shared" si="43"/>
        <v/>
      </c>
      <c r="E651" t="s">
        <v>2530</v>
      </c>
      <c r="F651" t="s">
        <v>6873</v>
      </c>
      <c r="H651">
        <v>5</v>
      </c>
      <c r="I651">
        <v>1</v>
      </c>
    </row>
    <row r="652" spans="1:9" ht="15" hidden="1" customHeight="1" x14ac:dyDescent="0.25">
      <c r="A652">
        <v>17750</v>
      </c>
      <c r="B652" t="s">
        <v>10</v>
      </c>
      <c r="C652" t="s">
        <v>2531</v>
      </c>
      <c r="D652" t="str">
        <f t="shared" si="43"/>
        <v/>
      </c>
      <c r="E652" t="s">
        <v>2532</v>
      </c>
      <c r="F652" t="str">
        <f t="shared" ref="F652:F663" si="47">LEFT(C652,7)</f>
        <v>1120193</v>
      </c>
    </row>
    <row r="653" spans="1:9" ht="15" hidden="1" customHeight="1" x14ac:dyDescent="0.25">
      <c r="A653">
        <v>17751</v>
      </c>
      <c r="B653" t="s">
        <v>10</v>
      </c>
      <c r="C653" t="s">
        <v>2533</v>
      </c>
      <c r="D653" t="str">
        <f t="shared" si="43"/>
        <v/>
      </c>
      <c r="E653" t="s">
        <v>2534</v>
      </c>
      <c r="F653" t="str">
        <f t="shared" si="47"/>
        <v>1120193</v>
      </c>
    </row>
    <row r="654" spans="1:9" ht="15" hidden="1" customHeight="1" x14ac:dyDescent="0.25">
      <c r="A654">
        <v>17752</v>
      </c>
      <c r="B654" t="s">
        <v>10</v>
      </c>
      <c r="C654" t="s">
        <v>2535</v>
      </c>
      <c r="D654" t="str">
        <f t="shared" si="43"/>
        <v/>
      </c>
      <c r="E654" t="s">
        <v>2536</v>
      </c>
      <c r="F654" t="str">
        <f t="shared" si="47"/>
        <v>1120193</v>
      </c>
    </row>
    <row r="655" spans="1:9" ht="15" customHeight="1" x14ac:dyDescent="0.25">
      <c r="A655">
        <v>15123</v>
      </c>
      <c r="B655" t="s">
        <v>7</v>
      </c>
      <c r="C655" t="s">
        <v>553</v>
      </c>
      <c r="D655" t="str">
        <f t="shared" si="43"/>
        <v/>
      </c>
      <c r="E655" t="s">
        <v>554</v>
      </c>
      <c r="F655" t="str">
        <f t="shared" si="47"/>
        <v>1120500</v>
      </c>
      <c r="H655">
        <v>6</v>
      </c>
      <c r="I655">
        <v>1</v>
      </c>
    </row>
    <row r="656" spans="1:9" ht="15" hidden="1" customHeight="1" x14ac:dyDescent="0.25">
      <c r="A656">
        <v>15124</v>
      </c>
      <c r="B656" t="s">
        <v>10</v>
      </c>
      <c r="C656" t="s">
        <v>555</v>
      </c>
      <c r="D656" t="str">
        <f t="shared" si="43"/>
        <v/>
      </c>
      <c r="E656" t="s">
        <v>556</v>
      </c>
      <c r="F656" t="str">
        <f t="shared" si="47"/>
        <v>1120500</v>
      </c>
    </row>
    <row r="657" spans="1:9" ht="15" hidden="1" customHeight="1" x14ac:dyDescent="0.25">
      <c r="A657">
        <v>15130</v>
      </c>
      <c r="B657" t="s">
        <v>10</v>
      </c>
      <c r="C657" t="s">
        <v>557</v>
      </c>
      <c r="D657" t="str">
        <f t="shared" si="43"/>
        <v/>
      </c>
      <c r="E657" t="s">
        <v>558</v>
      </c>
      <c r="F657" t="str">
        <f t="shared" si="47"/>
        <v>1120500</v>
      </c>
    </row>
    <row r="658" spans="1:9" ht="15" hidden="1" customHeight="1" x14ac:dyDescent="0.25">
      <c r="A658">
        <v>15131</v>
      </c>
      <c r="B658" t="s">
        <v>10</v>
      </c>
      <c r="C658" t="s">
        <v>559</v>
      </c>
      <c r="D658" t="str">
        <f t="shared" si="43"/>
        <v/>
      </c>
      <c r="E658" t="s">
        <v>560</v>
      </c>
      <c r="F658" t="str">
        <f t="shared" si="47"/>
        <v>1120500</v>
      </c>
    </row>
    <row r="659" spans="1:9" ht="15" hidden="1" customHeight="1" x14ac:dyDescent="0.25">
      <c r="A659">
        <v>15132</v>
      </c>
      <c r="B659" t="s">
        <v>10</v>
      </c>
      <c r="C659" t="s">
        <v>561</v>
      </c>
      <c r="D659" t="str">
        <f t="shared" si="43"/>
        <v/>
      </c>
      <c r="E659" t="s">
        <v>562</v>
      </c>
      <c r="F659" t="str">
        <f t="shared" si="47"/>
        <v>1120500</v>
      </c>
    </row>
    <row r="660" spans="1:9" ht="15" hidden="1" customHeight="1" x14ac:dyDescent="0.25">
      <c r="A660">
        <v>15133</v>
      </c>
      <c r="B660" t="s">
        <v>10</v>
      </c>
      <c r="C660" t="s">
        <v>563</v>
      </c>
      <c r="D660" t="str">
        <f t="shared" si="43"/>
        <v/>
      </c>
      <c r="E660" t="s">
        <v>564</v>
      </c>
      <c r="F660" t="str">
        <f t="shared" si="47"/>
        <v>1120500</v>
      </c>
    </row>
    <row r="661" spans="1:9" ht="15" hidden="1" customHeight="1" x14ac:dyDescent="0.25">
      <c r="A661">
        <v>15134</v>
      </c>
      <c r="B661" t="s">
        <v>10</v>
      </c>
      <c r="C661" t="s">
        <v>565</v>
      </c>
      <c r="D661" t="str">
        <f t="shared" si="43"/>
        <v/>
      </c>
      <c r="E661" t="s">
        <v>566</v>
      </c>
      <c r="F661" t="str">
        <f t="shared" si="47"/>
        <v>1120500</v>
      </c>
    </row>
    <row r="662" spans="1:9" ht="15" hidden="1" customHeight="1" x14ac:dyDescent="0.25">
      <c r="A662">
        <v>15135</v>
      </c>
      <c r="B662" t="s">
        <v>10</v>
      </c>
      <c r="C662" t="s">
        <v>567</v>
      </c>
      <c r="D662" t="str">
        <f t="shared" si="43"/>
        <v/>
      </c>
      <c r="E662" t="s">
        <v>568</v>
      </c>
      <c r="F662" t="str">
        <f t="shared" si="47"/>
        <v>1120500</v>
      </c>
    </row>
    <row r="663" spans="1:9" ht="15" hidden="1" customHeight="1" x14ac:dyDescent="0.25">
      <c r="A663">
        <v>15136</v>
      </c>
      <c r="B663" t="s">
        <v>10</v>
      </c>
      <c r="C663" t="s">
        <v>569</v>
      </c>
      <c r="D663" t="str">
        <f t="shared" si="43"/>
        <v/>
      </c>
      <c r="E663" t="s">
        <v>570</v>
      </c>
      <c r="F663" t="str">
        <f t="shared" si="47"/>
        <v>1120500</v>
      </c>
    </row>
    <row r="664" spans="1:9" ht="15" customHeight="1" x14ac:dyDescent="0.25">
      <c r="A664">
        <v>17582</v>
      </c>
      <c r="B664" t="s">
        <v>7</v>
      </c>
      <c r="C664" t="s">
        <v>2309</v>
      </c>
      <c r="D664" t="str">
        <f t="shared" si="43"/>
        <v/>
      </c>
      <c r="E664" t="s">
        <v>2310</v>
      </c>
      <c r="F664" t="s">
        <v>6874</v>
      </c>
      <c r="H664">
        <v>6</v>
      </c>
      <c r="I664">
        <v>1</v>
      </c>
    </row>
    <row r="665" spans="1:9" ht="15" hidden="1" customHeight="1" x14ac:dyDescent="0.25">
      <c r="A665">
        <v>17583</v>
      </c>
      <c r="B665" t="s">
        <v>10</v>
      </c>
      <c r="C665" t="s">
        <v>2311</v>
      </c>
      <c r="D665" t="str">
        <f t="shared" si="43"/>
        <v/>
      </c>
      <c r="E665" t="s">
        <v>2312</v>
      </c>
      <c r="F665" t="str">
        <f>LEFT(C665,7)</f>
        <v>1120501</v>
      </c>
    </row>
    <row r="666" spans="1:9" ht="15" hidden="1" customHeight="1" x14ac:dyDescent="0.25">
      <c r="A666">
        <v>17584</v>
      </c>
      <c r="B666" t="s">
        <v>10</v>
      </c>
      <c r="C666" t="s">
        <v>2313</v>
      </c>
      <c r="D666" t="str">
        <f t="shared" si="43"/>
        <v/>
      </c>
      <c r="E666" t="s">
        <v>2314</v>
      </c>
      <c r="F666" t="str">
        <f>LEFT(C666,7)</f>
        <v>1120501</v>
      </c>
    </row>
    <row r="667" spans="1:9" ht="15" hidden="1" customHeight="1" x14ac:dyDescent="0.25">
      <c r="A667">
        <v>17585</v>
      </c>
      <c r="B667" t="s">
        <v>10</v>
      </c>
      <c r="C667" t="s">
        <v>2315</v>
      </c>
      <c r="D667" t="str">
        <f t="shared" si="43"/>
        <v/>
      </c>
      <c r="E667" t="s">
        <v>2316</v>
      </c>
      <c r="F667" t="str">
        <f>LEFT(C667,7)</f>
        <v>1120501</v>
      </c>
    </row>
    <row r="668" spans="1:9" ht="15" customHeight="1" x14ac:dyDescent="0.25">
      <c r="A668">
        <v>20000</v>
      </c>
      <c r="B668" t="s">
        <v>7</v>
      </c>
      <c r="C668" t="s">
        <v>5383</v>
      </c>
      <c r="D668" t="str">
        <f t="shared" ref="D668:D731" si="48">IF(RIGHT(LEFT(C668,9),2)="##","",RIGHT(LEFT(C668,10),2))</f>
        <v/>
      </c>
      <c r="E668" t="s">
        <v>5384</v>
      </c>
      <c r="F668" t="s">
        <v>6874</v>
      </c>
      <c r="H668">
        <v>6</v>
      </c>
      <c r="I668">
        <v>1</v>
      </c>
    </row>
    <row r="669" spans="1:9" ht="15" hidden="1" customHeight="1" x14ac:dyDescent="0.25">
      <c r="A669">
        <v>20001</v>
      </c>
      <c r="B669" t="s">
        <v>10</v>
      </c>
      <c r="C669" t="s">
        <v>5385</v>
      </c>
      <c r="D669" t="str">
        <f t="shared" si="48"/>
        <v/>
      </c>
      <c r="E669" t="s">
        <v>5386</v>
      </c>
      <c r="F669" t="str">
        <f t="shared" ref="F669:F680" si="49">LEFT(C669,7)</f>
        <v>1120502</v>
      </c>
    </row>
    <row r="670" spans="1:9" ht="15" hidden="1" customHeight="1" x14ac:dyDescent="0.25">
      <c r="A670">
        <v>20002</v>
      </c>
      <c r="B670" t="s">
        <v>10</v>
      </c>
      <c r="C670" t="s">
        <v>5387</v>
      </c>
      <c r="D670" t="str">
        <f t="shared" si="48"/>
        <v/>
      </c>
      <c r="E670" t="s">
        <v>5388</v>
      </c>
      <c r="F670" t="str">
        <f t="shared" si="49"/>
        <v>1120502</v>
      </c>
    </row>
    <row r="671" spans="1:9" ht="15" hidden="1" customHeight="1" x14ac:dyDescent="0.25">
      <c r="A671">
        <v>20003</v>
      </c>
      <c r="B671" t="s">
        <v>10</v>
      </c>
      <c r="C671" t="s">
        <v>5389</v>
      </c>
      <c r="D671" t="str">
        <f t="shared" si="48"/>
        <v/>
      </c>
      <c r="E671" t="s">
        <v>5390</v>
      </c>
      <c r="F671" t="str">
        <f t="shared" si="49"/>
        <v>1120502</v>
      </c>
    </row>
    <row r="672" spans="1:9" ht="15" customHeight="1" x14ac:dyDescent="0.25">
      <c r="A672">
        <v>21093</v>
      </c>
      <c r="B672" t="s">
        <v>7</v>
      </c>
      <c r="C672" t="s">
        <v>6499</v>
      </c>
      <c r="D672" t="str">
        <f t="shared" si="48"/>
        <v/>
      </c>
      <c r="E672" t="s">
        <v>6500</v>
      </c>
      <c r="F672" t="str">
        <f t="shared" si="49"/>
        <v>1120055</v>
      </c>
      <c r="H672">
        <v>3</v>
      </c>
      <c r="I672">
        <v>1</v>
      </c>
    </row>
    <row r="673" spans="1:9" ht="15" hidden="1" customHeight="1" x14ac:dyDescent="0.25">
      <c r="A673">
        <v>21094</v>
      </c>
      <c r="B673" t="s">
        <v>10</v>
      </c>
      <c r="C673" t="s">
        <v>6501</v>
      </c>
      <c r="D673" t="str">
        <f t="shared" si="48"/>
        <v/>
      </c>
      <c r="E673" t="s">
        <v>6502</v>
      </c>
      <c r="F673" t="str">
        <f t="shared" si="49"/>
        <v>1120055</v>
      </c>
    </row>
    <row r="674" spans="1:9" ht="15" hidden="1" customHeight="1" x14ac:dyDescent="0.25">
      <c r="A674">
        <v>21095</v>
      </c>
      <c r="B674" t="s">
        <v>10</v>
      </c>
      <c r="C674" t="s">
        <v>6503</v>
      </c>
      <c r="D674" t="str">
        <f t="shared" si="48"/>
        <v/>
      </c>
      <c r="E674" t="s">
        <v>6504</v>
      </c>
      <c r="F674" t="str">
        <f t="shared" si="49"/>
        <v>1120055</v>
      </c>
    </row>
    <row r="675" spans="1:9" ht="15" hidden="1" customHeight="1" x14ac:dyDescent="0.25">
      <c r="A675">
        <v>21096</v>
      </c>
      <c r="B675" t="s">
        <v>10</v>
      </c>
      <c r="C675" t="s">
        <v>6505</v>
      </c>
      <c r="D675" t="str">
        <f t="shared" si="48"/>
        <v/>
      </c>
      <c r="E675" t="s">
        <v>6506</v>
      </c>
      <c r="F675" t="str">
        <f t="shared" si="49"/>
        <v>1120055</v>
      </c>
    </row>
    <row r="676" spans="1:9" ht="15" hidden="1" customHeight="1" x14ac:dyDescent="0.25">
      <c r="A676">
        <v>21097</v>
      </c>
      <c r="B676" t="s">
        <v>10</v>
      </c>
      <c r="C676" t="s">
        <v>6507</v>
      </c>
      <c r="D676" t="str">
        <f t="shared" si="48"/>
        <v/>
      </c>
      <c r="E676" t="s">
        <v>6508</v>
      </c>
      <c r="F676" t="str">
        <f t="shared" si="49"/>
        <v>1120055</v>
      </c>
    </row>
    <row r="677" spans="1:9" ht="15" hidden="1" customHeight="1" x14ac:dyDescent="0.25">
      <c r="A677">
        <v>21098</v>
      </c>
      <c r="B677" t="s">
        <v>10</v>
      </c>
      <c r="C677" t="s">
        <v>6509</v>
      </c>
      <c r="D677" t="str">
        <f t="shared" si="48"/>
        <v/>
      </c>
      <c r="E677" t="s">
        <v>6510</v>
      </c>
      <c r="F677" t="str">
        <f t="shared" si="49"/>
        <v>1120055</v>
      </c>
    </row>
    <row r="678" spans="1:9" ht="15" hidden="1" customHeight="1" x14ac:dyDescent="0.25">
      <c r="A678">
        <v>21099</v>
      </c>
      <c r="B678" t="s">
        <v>10</v>
      </c>
      <c r="C678" t="s">
        <v>6511</v>
      </c>
      <c r="D678" t="str">
        <f t="shared" si="48"/>
        <v/>
      </c>
      <c r="E678" t="s">
        <v>6512</v>
      </c>
      <c r="F678" t="str">
        <f t="shared" si="49"/>
        <v>1120055</v>
      </c>
    </row>
    <row r="679" spans="1:9" ht="15" hidden="1" customHeight="1" x14ac:dyDescent="0.25">
      <c r="A679">
        <v>21100</v>
      </c>
      <c r="B679" t="s">
        <v>10</v>
      </c>
      <c r="C679" t="s">
        <v>6513</v>
      </c>
      <c r="D679" t="str">
        <f t="shared" si="48"/>
        <v/>
      </c>
      <c r="E679" t="s">
        <v>6514</v>
      </c>
      <c r="F679" t="str">
        <f t="shared" si="49"/>
        <v>1120055</v>
      </c>
    </row>
    <row r="680" spans="1:9" ht="15" hidden="1" customHeight="1" x14ac:dyDescent="0.25">
      <c r="A680">
        <v>21101</v>
      </c>
      <c r="B680" t="s">
        <v>10</v>
      </c>
      <c r="C680" t="s">
        <v>6515</v>
      </c>
      <c r="D680" t="str">
        <f t="shared" si="48"/>
        <v/>
      </c>
      <c r="E680" t="s">
        <v>6516</v>
      </c>
      <c r="F680" t="str">
        <f t="shared" si="49"/>
        <v>1120055</v>
      </c>
    </row>
    <row r="681" spans="1:9" ht="15" customHeight="1" x14ac:dyDescent="0.25">
      <c r="A681">
        <v>21102</v>
      </c>
      <c r="B681" t="s">
        <v>7</v>
      </c>
      <c r="C681" t="s">
        <v>6517</v>
      </c>
      <c r="D681" t="str">
        <f t="shared" si="48"/>
        <v/>
      </c>
      <c r="E681" t="s">
        <v>6518</v>
      </c>
      <c r="F681" t="s">
        <v>6875</v>
      </c>
      <c r="H681">
        <v>3</v>
      </c>
      <c r="I681">
        <v>1</v>
      </c>
    </row>
    <row r="682" spans="1:9" ht="15" hidden="1" customHeight="1" x14ac:dyDescent="0.25">
      <c r="A682">
        <v>21103</v>
      </c>
      <c r="B682" t="s">
        <v>10</v>
      </c>
      <c r="C682" t="s">
        <v>6519</v>
      </c>
      <c r="D682" t="str">
        <f t="shared" si="48"/>
        <v/>
      </c>
      <c r="E682" t="s">
        <v>6520</v>
      </c>
      <c r="F682" t="str">
        <f t="shared" ref="F682:F693" si="50">LEFT(C682,7)</f>
        <v>1120056</v>
      </c>
    </row>
    <row r="683" spans="1:9" ht="15" hidden="1" customHeight="1" x14ac:dyDescent="0.25">
      <c r="A683">
        <v>21104</v>
      </c>
      <c r="B683" t="s">
        <v>10</v>
      </c>
      <c r="C683" t="s">
        <v>6521</v>
      </c>
      <c r="D683" t="str">
        <f t="shared" si="48"/>
        <v/>
      </c>
      <c r="E683" t="s">
        <v>6522</v>
      </c>
      <c r="F683" t="str">
        <f t="shared" si="50"/>
        <v>1120056</v>
      </c>
    </row>
    <row r="684" spans="1:9" ht="15" hidden="1" customHeight="1" x14ac:dyDescent="0.25">
      <c r="A684">
        <v>21105</v>
      </c>
      <c r="B684" t="s">
        <v>10</v>
      </c>
      <c r="C684" t="s">
        <v>6523</v>
      </c>
      <c r="D684" t="str">
        <f t="shared" si="48"/>
        <v/>
      </c>
      <c r="E684" t="s">
        <v>6524</v>
      </c>
      <c r="F684" t="str">
        <f t="shared" si="50"/>
        <v>1120056</v>
      </c>
    </row>
    <row r="685" spans="1:9" ht="15" customHeight="1" x14ac:dyDescent="0.25">
      <c r="A685">
        <v>17565</v>
      </c>
      <c r="B685" t="s">
        <v>7</v>
      </c>
      <c r="C685" t="s">
        <v>2283</v>
      </c>
      <c r="D685" t="str">
        <f t="shared" si="48"/>
        <v/>
      </c>
      <c r="E685" t="s">
        <v>2284</v>
      </c>
      <c r="F685" t="str">
        <f t="shared" si="50"/>
        <v>1120504</v>
      </c>
      <c r="H685">
        <v>6</v>
      </c>
      <c r="I685">
        <v>1</v>
      </c>
    </row>
    <row r="686" spans="1:9" ht="15" hidden="1" customHeight="1" x14ac:dyDescent="0.25">
      <c r="A686">
        <v>17566</v>
      </c>
      <c r="B686" t="s">
        <v>10</v>
      </c>
      <c r="C686" t="s">
        <v>2285</v>
      </c>
      <c r="D686" t="str">
        <f t="shared" si="48"/>
        <v/>
      </c>
      <c r="E686" t="s">
        <v>2286</v>
      </c>
      <c r="F686" t="str">
        <f t="shared" si="50"/>
        <v>1120504</v>
      </c>
    </row>
    <row r="687" spans="1:9" ht="15" hidden="1" customHeight="1" x14ac:dyDescent="0.25">
      <c r="A687">
        <v>17571</v>
      </c>
      <c r="B687" t="s">
        <v>10</v>
      </c>
      <c r="C687" t="s">
        <v>2287</v>
      </c>
      <c r="D687" t="str">
        <f t="shared" si="48"/>
        <v/>
      </c>
      <c r="E687" t="s">
        <v>2288</v>
      </c>
      <c r="F687" t="str">
        <f t="shared" si="50"/>
        <v>1120504</v>
      </c>
    </row>
    <row r="688" spans="1:9" ht="15" hidden="1" customHeight="1" x14ac:dyDescent="0.25">
      <c r="A688">
        <v>17572</v>
      </c>
      <c r="B688" t="s">
        <v>10</v>
      </c>
      <c r="C688" t="s">
        <v>2289</v>
      </c>
      <c r="D688" t="str">
        <f t="shared" si="48"/>
        <v/>
      </c>
      <c r="E688" t="s">
        <v>2290</v>
      </c>
      <c r="F688" t="str">
        <f t="shared" si="50"/>
        <v>1120504</v>
      </c>
    </row>
    <row r="689" spans="1:9" ht="15" hidden="1" customHeight="1" x14ac:dyDescent="0.25">
      <c r="A689">
        <v>17573</v>
      </c>
      <c r="B689" t="s">
        <v>10</v>
      </c>
      <c r="C689" t="s">
        <v>2291</v>
      </c>
      <c r="D689" t="str">
        <f t="shared" si="48"/>
        <v/>
      </c>
      <c r="E689" t="s">
        <v>2292</v>
      </c>
      <c r="F689" t="str">
        <f t="shared" si="50"/>
        <v>1120504</v>
      </c>
    </row>
    <row r="690" spans="1:9" ht="15" hidden="1" customHeight="1" x14ac:dyDescent="0.25">
      <c r="A690">
        <v>17574</v>
      </c>
      <c r="B690" t="s">
        <v>10</v>
      </c>
      <c r="C690" t="s">
        <v>2293</v>
      </c>
      <c r="D690" t="str">
        <f t="shared" si="48"/>
        <v/>
      </c>
      <c r="E690" t="s">
        <v>2294</v>
      </c>
      <c r="F690" t="str">
        <f t="shared" si="50"/>
        <v>1120504</v>
      </c>
    </row>
    <row r="691" spans="1:9" ht="15" hidden="1" customHeight="1" x14ac:dyDescent="0.25">
      <c r="A691">
        <v>17575</v>
      </c>
      <c r="B691" t="s">
        <v>10</v>
      </c>
      <c r="C691" t="s">
        <v>2295</v>
      </c>
      <c r="D691" t="str">
        <f t="shared" si="48"/>
        <v/>
      </c>
      <c r="E691" t="s">
        <v>2296</v>
      </c>
      <c r="F691" t="str">
        <f t="shared" si="50"/>
        <v>1120504</v>
      </c>
    </row>
    <row r="692" spans="1:9" ht="15" hidden="1" customHeight="1" x14ac:dyDescent="0.25">
      <c r="A692">
        <v>17576</v>
      </c>
      <c r="B692" t="s">
        <v>10</v>
      </c>
      <c r="C692" t="s">
        <v>2297</v>
      </c>
      <c r="D692" t="str">
        <f t="shared" si="48"/>
        <v/>
      </c>
      <c r="E692" t="s">
        <v>2298</v>
      </c>
      <c r="F692" t="str">
        <f t="shared" si="50"/>
        <v>1120504</v>
      </c>
    </row>
    <row r="693" spans="1:9" ht="15" hidden="1" customHeight="1" x14ac:dyDescent="0.25">
      <c r="A693">
        <v>17577</v>
      </c>
      <c r="B693" t="s">
        <v>10</v>
      </c>
      <c r="C693" t="s">
        <v>2299</v>
      </c>
      <c r="D693" t="str">
        <f t="shared" si="48"/>
        <v/>
      </c>
      <c r="E693" t="s">
        <v>2300</v>
      </c>
      <c r="F693" t="str">
        <f t="shared" si="50"/>
        <v>1120504</v>
      </c>
    </row>
    <row r="694" spans="1:9" ht="15" customHeight="1" x14ac:dyDescent="0.25">
      <c r="A694">
        <v>17578</v>
      </c>
      <c r="B694" t="s">
        <v>7</v>
      </c>
      <c r="C694" t="s">
        <v>2301</v>
      </c>
      <c r="D694" t="str">
        <f t="shared" si="48"/>
        <v/>
      </c>
      <c r="E694" t="s">
        <v>2302</v>
      </c>
      <c r="F694" t="s">
        <v>6876</v>
      </c>
      <c r="H694">
        <v>6</v>
      </c>
      <c r="I694">
        <v>1</v>
      </c>
    </row>
    <row r="695" spans="1:9" ht="15" hidden="1" customHeight="1" x14ac:dyDescent="0.25">
      <c r="A695">
        <v>17579</v>
      </c>
      <c r="B695" t="s">
        <v>10</v>
      </c>
      <c r="C695" t="s">
        <v>2303</v>
      </c>
      <c r="D695" t="str">
        <f t="shared" si="48"/>
        <v/>
      </c>
      <c r="E695" t="s">
        <v>2304</v>
      </c>
      <c r="F695" t="str">
        <f>LEFT(C695,7)</f>
        <v>1120505</v>
      </c>
    </row>
    <row r="696" spans="1:9" ht="15" hidden="1" customHeight="1" x14ac:dyDescent="0.25">
      <c r="A696">
        <v>17580</v>
      </c>
      <c r="B696" t="s">
        <v>10</v>
      </c>
      <c r="C696" t="s">
        <v>2305</v>
      </c>
      <c r="D696" t="str">
        <f t="shared" si="48"/>
        <v/>
      </c>
      <c r="E696" t="s">
        <v>2306</v>
      </c>
      <c r="F696" t="str">
        <f>LEFT(C696,7)</f>
        <v>1120505</v>
      </c>
    </row>
    <row r="697" spans="1:9" ht="15" hidden="1" customHeight="1" x14ac:dyDescent="0.25">
      <c r="A697">
        <v>17581</v>
      </c>
      <c r="B697" t="s">
        <v>10</v>
      </c>
      <c r="C697" t="s">
        <v>2307</v>
      </c>
      <c r="D697" t="str">
        <f t="shared" si="48"/>
        <v/>
      </c>
      <c r="E697" t="s">
        <v>2308</v>
      </c>
      <c r="F697" t="str">
        <f>LEFT(C697,7)</f>
        <v>1120505</v>
      </c>
    </row>
    <row r="698" spans="1:9" ht="15" customHeight="1" x14ac:dyDescent="0.25">
      <c r="A698">
        <v>17741</v>
      </c>
      <c r="B698" t="s">
        <v>7</v>
      </c>
      <c r="C698" t="s">
        <v>2513</v>
      </c>
      <c r="D698" t="str">
        <f t="shared" si="48"/>
        <v/>
      </c>
      <c r="E698" t="s">
        <v>2514</v>
      </c>
      <c r="F698" t="s">
        <v>6876</v>
      </c>
      <c r="H698">
        <v>6</v>
      </c>
      <c r="I698">
        <v>1</v>
      </c>
    </row>
    <row r="699" spans="1:9" ht="15" hidden="1" customHeight="1" x14ac:dyDescent="0.25">
      <c r="A699">
        <v>17742</v>
      </c>
      <c r="B699" t="s">
        <v>10</v>
      </c>
      <c r="C699" t="s">
        <v>2515</v>
      </c>
      <c r="D699" t="str">
        <f t="shared" si="48"/>
        <v/>
      </c>
      <c r="E699" t="s">
        <v>2516</v>
      </c>
      <c r="F699" t="str">
        <f t="shared" ref="F699:F710" si="51">LEFT(C699,7)</f>
        <v>1120506</v>
      </c>
    </row>
    <row r="700" spans="1:9" ht="15" hidden="1" customHeight="1" x14ac:dyDescent="0.25">
      <c r="A700">
        <v>17743</v>
      </c>
      <c r="B700" t="s">
        <v>10</v>
      </c>
      <c r="C700" t="s">
        <v>2517</v>
      </c>
      <c r="D700" t="str">
        <f t="shared" si="48"/>
        <v/>
      </c>
      <c r="E700" t="s">
        <v>2518</v>
      </c>
      <c r="F700" t="str">
        <f t="shared" si="51"/>
        <v>1120506</v>
      </c>
    </row>
    <row r="701" spans="1:9" ht="15" hidden="1" customHeight="1" x14ac:dyDescent="0.25">
      <c r="A701">
        <v>17744</v>
      </c>
      <c r="B701" t="s">
        <v>10</v>
      </c>
      <c r="C701" t="s">
        <v>2519</v>
      </c>
      <c r="D701" t="str">
        <f t="shared" si="48"/>
        <v/>
      </c>
      <c r="E701" t="s">
        <v>2520</v>
      </c>
      <c r="F701" t="str">
        <f t="shared" si="51"/>
        <v>1120506</v>
      </c>
    </row>
    <row r="702" spans="1:9" ht="15" customHeight="1" x14ac:dyDescent="0.25">
      <c r="A702">
        <v>19283</v>
      </c>
      <c r="B702" t="s">
        <v>7</v>
      </c>
      <c r="C702" t="s">
        <v>4535</v>
      </c>
      <c r="D702" t="str">
        <f t="shared" si="48"/>
        <v/>
      </c>
      <c r="E702" t="s">
        <v>4536</v>
      </c>
      <c r="F702" t="str">
        <f t="shared" si="51"/>
        <v>1120130</v>
      </c>
      <c r="H702">
        <v>2</v>
      </c>
      <c r="I702">
        <v>1</v>
      </c>
    </row>
    <row r="703" spans="1:9" ht="15" hidden="1" customHeight="1" x14ac:dyDescent="0.25">
      <c r="A703">
        <v>19284</v>
      </c>
      <c r="B703" t="s">
        <v>10</v>
      </c>
      <c r="C703" t="s">
        <v>4537</v>
      </c>
      <c r="D703" t="str">
        <f t="shared" si="48"/>
        <v/>
      </c>
      <c r="E703" t="s">
        <v>4538</v>
      </c>
      <c r="F703" t="str">
        <f t="shared" si="51"/>
        <v>1120130</v>
      </c>
    </row>
    <row r="704" spans="1:9" ht="15" hidden="1" customHeight="1" x14ac:dyDescent="0.25">
      <c r="A704">
        <v>19289</v>
      </c>
      <c r="B704" t="s">
        <v>10</v>
      </c>
      <c r="C704" t="s">
        <v>4539</v>
      </c>
      <c r="D704" t="str">
        <f t="shared" si="48"/>
        <v/>
      </c>
      <c r="E704" t="s">
        <v>4540</v>
      </c>
      <c r="F704" t="str">
        <f t="shared" si="51"/>
        <v>1120130</v>
      </c>
    </row>
    <row r="705" spans="1:9" ht="15" hidden="1" customHeight="1" x14ac:dyDescent="0.25">
      <c r="A705">
        <v>19290</v>
      </c>
      <c r="B705" t="s">
        <v>10</v>
      </c>
      <c r="C705" t="s">
        <v>4541</v>
      </c>
      <c r="D705" t="str">
        <f t="shared" si="48"/>
        <v/>
      </c>
      <c r="E705" t="s">
        <v>4542</v>
      </c>
      <c r="F705" t="str">
        <f t="shared" si="51"/>
        <v>1120130</v>
      </c>
    </row>
    <row r="706" spans="1:9" ht="15" hidden="1" customHeight="1" x14ac:dyDescent="0.25">
      <c r="A706">
        <v>19291</v>
      </c>
      <c r="B706" t="s">
        <v>10</v>
      </c>
      <c r="C706" t="s">
        <v>4543</v>
      </c>
      <c r="D706" t="str">
        <f t="shared" si="48"/>
        <v/>
      </c>
      <c r="E706" t="s">
        <v>4544</v>
      </c>
      <c r="F706" t="str">
        <f t="shared" si="51"/>
        <v>1120130</v>
      </c>
    </row>
    <row r="707" spans="1:9" ht="15" hidden="1" customHeight="1" x14ac:dyDescent="0.25">
      <c r="A707">
        <v>19292</v>
      </c>
      <c r="B707" t="s">
        <v>10</v>
      </c>
      <c r="C707" t="s">
        <v>4545</v>
      </c>
      <c r="D707" t="str">
        <f t="shared" si="48"/>
        <v/>
      </c>
      <c r="E707" t="s">
        <v>4546</v>
      </c>
      <c r="F707" t="str">
        <f t="shared" si="51"/>
        <v>1120130</v>
      </c>
    </row>
    <row r="708" spans="1:9" ht="15" hidden="1" customHeight="1" x14ac:dyDescent="0.25">
      <c r="A708">
        <v>19293</v>
      </c>
      <c r="B708" t="s">
        <v>10</v>
      </c>
      <c r="C708" t="s">
        <v>4547</v>
      </c>
      <c r="D708" t="str">
        <f t="shared" si="48"/>
        <v/>
      </c>
      <c r="E708" t="s">
        <v>4548</v>
      </c>
      <c r="F708" t="str">
        <f t="shared" si="51"/>
        <v>1120130</v>
      </c>
    </row>
    <row r="709" spans="1:9" ht="15" hidden="1" customHeight="1" x14ac:dyDescent="0.25">
      <c r="A709">
        <v>19294</v>
      </c>
      <c r="B709" t="s">
        <v>10</v>
      </c>
      <c r="C709" t="s">
        <v>4549</v>
      </c>
      <c r="D709" t="str">
        <f t="shared" si="48"/>
        <v/>
      </c>
      <c r="E709" t="s">
        <v>4550</v>
      </c>
      <c r="F709" t="str">
        <f t="shared" si="51"/>
        <v>1120130</v>
      </c>
    </row>
    <row r="710" spans="1:9" ht="15" hidden="1" customHeight="1" x14ac:dyDescent="0.25">
      <c r="A710">
        <v>19295</v>
      </c>
      <c r="B710" t="s">
        <v>10</v>
      </c>
      <c r="C710" t="s">
        <v>4551</v>
      </c>
      <c r="D710" t="str">
        <f t="shared" si="48"/>
        <v/>
      </c>
      <c r="E710" t="s">
        <v>4552</v>
      </c>
      <c r="F710" t="str">
        <f t="shared" si="51"/>
        <v>1120130</v>
      </c>
    </row>
    <row r="711" spans="1:9" ht="15" customHeight="1" x14ac:dyDescent="0.25">
      <c r="A711">
        <v>19296</v>
      </c>
      <c r="B711" t="s">
        <v>7</v>
      </c>
      <c r="C711" t="s">
        <v>4553</v>
      </c>
      <c r="D711" t="str">
        <f t="shared" si="48"/>
        <v/>
      </c>
      <c r="E711" t="s">
        <v>4554</v>
      </c>
      <c r="F711" t="s">
        <v>6877</v>
      </c>
      <c r="H711">
        <v>2</v>
      </c>
      <c r="I711">
        <v>1</v>
      </c>
    </row>
    <row r="712" spans="1:9" ht="15" hidden="1" customHeight="1" x14ac:dyDescent="0.25">
      <c r="A712">
        <v>19297</v>
      </c>
      <c r="B712" t="s">
        <v>10</v>
      </c>
      <c r="C712" t="s">
        <v>4555</v>
      </c>
      <c r="D712" t="str">
        <f t="shared" si="48"/>
        <v/>
      </c>
      <c r="E712" t="s">
        <v>4556</v>
      </c>
      <c r="F712" t="str">
        <f t="shared" ref="F712:F721" si="52">LEFT(C712,7)</f>
        <v>1120131</v>
      </c>
    </row>
    <row r="713" spans="1:9" ht="15" hidden="1" customHeight="1" x14ac:dyDescent="0.25">
      <c r="A713">
        <v>19298</v>
      </c>
      <c r="B713" t="s">
        <v>10</v>
      </c>
      <c r="C713" t="s">
        <v>4557</v>
      </c>
      <c r="D713" t="str">
        <f t="shared" si="48"/>
        <v/>
      </c>
      <c r="E713" t="s">
        <v>4558</v>
      </c>
      <c r="F713" t="str">
        <f t="shared" si="52"/>
        <v>1120131</v>
      </c>
    </row>
    <row r="714" spans="1:9" ht="15" hidden="1" customHeight="1" x14ac:dyDescent="0.25">
      <c r="A714">
        <v>19299</v>
      </c>
      <c r="B714" t="s">
        <v>10</v>
      </c>
      <c r="C714" t="s">
        <v>4559</v>
      </c>
      <c r="D714" t="str">
        <f t="shared" si="48"/>
        <v/>
      </c>
      <c r="E714" t="s">
        <v>4560</v>
      </c>
      <c r="F714" t="str">
        <f t="shared" si="52"/>
        <v>1120131</v>
      </c>
    </row>
    <row r="715" spans="1:9" ht="15" customHeight="1" x14ac:dyDescent="0.25">
      <c r="A715">
        <v>19130</v>
      </c>
      <c r="B715" t="s">
        <v>7</v>
      </c>
      <c r="C715" t="s">
        <v>4330</v>
      </c>
      <c r="D715" t="str">
        <f t="shared" si="48"/>
        <v/>
      </c>
      <c r="E715" t="s">
        <v>4331</v>
      </c>
      <c r="F715" t="str">
        <f t="shared" si="52"/>
        <v>1120720</v>
      </c>
      <c r="H715">
        <v>6</v>
      </c>
      <c r="I715">
        <v>1</v>
      </c>
    </row>
    <row r="716" spans="1:9" ht="15" hidden="1" customHeight="1" x14ac:dyDescent="0.25">
      <c r="A716">
        <v>19131</v>
      </c>
      <c r="B716" t="s">
        <v>10</v>
      </c>
      <c r="C716" t="s">
        <v>4332</v>
      </c>
      <c r="D716" t="str">
        <f t="shared" si="48"/>
        <v/>
      </c>
      <c r="E716" t="s">
        <v>4333</v>
      </c>
      <c r="F716" t="str">
        <f t="shared" si="52"/>
        <v>1120720</v>
      </c>
    </row>
    <row r="717" spans="1:9" ht="15" hidden="1" customHeight="1" x14ac:dyDescent="0.25">
      <c r="A717">
        <v>19137</v>
      </c>
      <c r="B717" t="s">
        <v>10</v>
      </c>
      <c r="C717" t="s">
        <v>4334</v>
      </c>
      <c r="D717" t="str">
        <f t="shared" si="48"/>
        <v/>
      </c>
      <c r="E717" t="s">
        <v>4335</v>
      </c>
      <c r="F717" t="str">
        <f t="shared" si="52"/>
        <v>1120720</v>
      </c>
    </row>
    <row r="718" spans="1:9" ht="15" hidden="1" customHeight="1" x14ac:dyDescent="0.25">
      <c r="A718">
        <v>19138</v>
      </c>
      <c r="B718" t="s">
        <v>10</v>
      </c>
      <c r="C718" t="s">
        <v>4336</v>
      </c>
      <c r="D718" t="str">
        <f t="shared" si="48"/>
        <v/>
      </c>
      <c r="E718" t="s">
        <v>4337</v>
      </c>
      <c r="F718" t="str">
        <f t="shared" si="52"/>
        <v>1120720</v>
      </c>
    </row>
    <row r="719" spans="1:9" ht="15" hidden="1" customHeight="1" x14ac:dyDescent="0.25">
      <c r="A719">
        <v>19139</v>
      </c>
      <c r="B719" t="s">
        <v>10</v>
      </c>
      <c r="C719" t="s">
        <v>4338</v>
      </c>
      <c r="D719" t="str">
        <f t="shared" si="48"/>
        <v/>
      </c>
      <c r="E719" t="s">
        <v>4339</v>
      </c>
      <c r="F719" t="str">
        <f t="shared" si="52"/>
        <v>1120720</v>
      </c>
    </row>
    <row r="720" spans="1:9" ht="15" hidden="1" customHeight="1" x14ac:dyDescent="0.25">
      <c r="A720">
        <v>19140</v>
      </c>
      <c r="B720" t="s">
        <v>10</v>
      </c>
      <c r="C720" t="s">
        <v>4340</v>
      </c>
      <c r="D720" t="str">
        <f t="shared" si="48"/>
        <v/>
      </c>
      <c r="E720" t="s">
        <v>4341</v>
      </c>
      <c r="F720" t="str">
        <f t="shared" si="52"/>
        <v>1120720</v>
      </c>
    </row>
    <row r="721" spans="1:9" ht="15" hidden="1" customHeight="1" x14ac:dyDescent="0.25">
      <c r="A721">
        <v>19141</v>
      </c>
      <c r="B721" t="s">
        <v>10</v>
      </c>
      <c r="C721" t="s">
        <v>4342</v>
      </c>
      <c r="D721" t="str">
        <f t="shared" si="48"/>
        <v/>
      </c>
      <c r="E721" t="s">
        <v>4343</v>
      </c>
      <c r="F721" t="str">
        <f t="shared" si="52"/>
        <v>1120720</v>
      </c>
    </row>
    <row r="722" spans="1:9" ht="15" customHeight="1" x14ac:dyDescent="0.25">
      <c r="A722">
        <v>19142</v>
      </c>
      <c r="B722" t="s">
        <v>7</v>
      </c>
      <c r="C722" t="s">
        <v>4344</v>
      </c>
      <c r="D722" t="str">
        <f t="shared" si="48"/>
        <v/>
      </c>
      <c r="E722" t="s">
        <v>4345</v>
      </c>
      <c r="F722" t="s">
        <v>6878</v>
      </c>
      <c r="H722">
        <v>6</v>
      </c>
      <c r="I722">
        <v>1</v>
      </c>
    </row>
    <row r="723" spans="1:9" ht="15" hidden="1" customHeight="1" x14ac:dyDescent="0.25">
      <c r="A723">
        <v>19143</v>
      </c>
      <c r="B723" t="s">
        <v>10</v>
      </c>
      <c r="C723" t="s">
        <v>4346</v>
      </c>
      <c r="D723" t="str">
        <f t="shared" si="48"/>
        <v/>
      </c>
      <c r="E723" t="s">
        <v>4347</v>
      </c>
      <c r="F723" t="str">
        <f t="shared" ref="F723:F733" si="53">LEFT(C723,7)</f>
        <v>1120721</v>
      </c>
    </row>
    <row r="724" spans="1:9" ht="15" hidden="1" customHeight="1" x14ac:dyDescent="0.25">
      <c r="A724">
        <v>19144</v>
      </c>
      <c r="B724" t="s">
        <v>10</v>
      </c>
      <c r="C724" t="s">
        <v>4348</v>
      </c>
      <c r="D724" t="str">
        <f t="shared" si="48"/>
        <v/>
      </c>
      <c r="E724" t="s">
        <v>4349</v>
      </c>
      <c r="F724" t="str">
        <f t="shared" si="53"/>
        <v>1120721</v>
      </c>
    </row>
    <row r="725" spans="1:9" ht="15" hidden="1" customHeight="1" x14ac:dyDescent="0.25">
      <c r="A725">
        <v>19145</v>
      </c>
      <c r="B725" t="s">
        <v>10</v>
      </c>
      <c r="C725" t="s">
        <v>4350</v>
      </c>
      <c r="D725" t="str">
        <f t="shared" si="48"/>
        <v/>
      </c>
      <c r="E725" t="s">
        <v>4351</v>
      </c>
      <c r="F725" t="str">
        <f t="shared" si="53"/>
        <v>1120721</v>
      </c>
    </row>
    <row r="726" spans="1:9" ht="15" customHeight="1" x14ac:dyDescent="0.25">
      <c r="A726">
        <v>19757</v>
      </c>
      <c r="B726" t="s">
        <v>7</v>
      </c>
      <c r="C726" t="s">
        <v>5167</v>
      </c>
      <c r="D726" t="str">
        <f t="shared" si="48"/>
        <v/>
      </c>
      <c r="E726" t="s">
        <v>5168</v>
      </c>
      <c r="F726" t="str">
        <f t="shared" si="53"/>
        <v>1120724</v>
      </c>
      <c r="H726">
        <v>6</v>
      </c>
      <c r="I726">
        <v>1</v>
      </c>
    </row>
    <row r="727" spans="1:9" ht="15" hidden="1" customHeight="1" x14ac:dyDescent="0.25">
      <c r="A727">
        <v>19758</v>
      </c>
      <c r="B727" t="s">
        <v>10</v>
      </c>
      <c r="C727" t="s">
        <v>5169</v>
      </c>
      <c r="D727" t="str">
        <f t="shared" si="48"/>
        <v/>
      </c>
      <c r="E727" t="s">
        <v>5170</v>
      </c>
      <c r="F727" t="str">
        <f t="shared" si="53"/>
        <v>1120724</v>
      </c>
    </row>
    <row r="728" spans="1:9" ht="15" hidden="1" customHeight="1" x14ac:dyDescent="0.25">
      <c r="A728">
        <v>19763</v>
      </c>
      <c r="B728" t="s">
        <v>10</v>
      </c>
      <c r="C728" t="s">
        <v>5171</v>
      </c>
      <c r="D728" t="str">
        <f t="shared" si="48"/>
        <v/>
      </c>
      <c r="E728" t="s">
        <v>5172</v>
      </c>
      <c r="F728" t="str">
        <f t="shared" si="53"/>
        <v>1120724</v>
      </c>
    </row>
    <row r="729" spans="1:9" ht="15" hidden="1" customHeight="1" x14ac:dyDescent="0.25">
      <c r="A729">
        <v>19764</v>
      </c>
      <c r="B729" t="s">
        <v>10</v>
      </c>
      <c r="C729" t="s">
        <v>5173</v>
      </c>
      <c r="D729" t="str">
        <f t="shared" si="48"/>
        <v/>
      </c>
      <c r="E729" t="s">
        <v>5174</v>
      </c>
      <c r="F729" t="str">
        <f t="shared" si="53"/>
        <v>1120724</v>
      </c>
    </row>
    <row r="730" spans="1:9" ht="15" hidden="1" customHeight="1" x14ac:dyDescent="0.25">
      <c r="A730">
        <v>19765</v>
      </c>
      <c r="B730" t="s">
        <v>10</v>
      </c>
      <c r="C730" t="s">
        <v>5175</v>
      </c>
      <c r="D730" t="str">
        <f t="shared" si="48"/>
        <v/>
      </c>
      <c r="E730" t="s">
        <v>5176</v>
      </c>
      <c r="F730" t="str">
        <f t="shared" si="53"/>
        <v>1120724</v>
      </c>
    </row>
    <row r="731" spans="1:9" ht="15" hidden="1" customHeight="1" x14ac:dyDescent="0.25">
      <c r="A731">
        <v>19766</v>
      </c>
      <c r="B731" t="s">
        <v>10</v>
      </c>
      <c r="C731" t="s">
        <v>5177</v>
      </c>
      <c r="D731" t="str">
        <f t="shared" si="48"/>
        <v/>
      </c>
      <c r="E731" t="s">
        <v>5178</v>
      </c>
      <c r="F731" t="str">
        <f t="shared" si="53"/>
        <v>1120724</v>
      </c>
    </row>
    <row r="732" spans="1:9" ht="15" hidden="1" customHeight="1" x14ac:dyDescent="0.25">
      <c r="A732">
        <v>19767</v>
      </c>
      <c r="B732" t="s">
        <v>10</v>
      </c>
      <c r="C732" t="s">
        <v>5179</v>
      </c>
      <c r="D732" t="str">
        <f t="shared" ref="D732:D795" si="54">IF(RIGHT(LEFT(C732,9),2)="##","",RIGHT(LEFT(C732,10),2))</f>
        <v/>
      </c>
      <c r="E732" t="s">
        <v>5180</v>
      </c>
      <c r="F732" t="str">
        <f t="shared" si="53"/>
        <v>1120724</v>
      </c>
    </row>
    <row r="733" spans="1:9" ht="15" hidden="1" customHeight="1" x14ac:dyDescent="0.25">
      <c r="A733">
        <v>19768</v>
      </c>
      <c r="B733" t="s">
        <v>10</v>
      </c>
      <c r="C733" t="s">
        <v>5181</v>
      </c>
      <c r="D733" t="str">
        <f t="shared" si="54"/>
        <v/>
      </c>
      <c r="E733" t="s">
        <v>5182</v>
      </c>
      <c r="F733" t="str">
        <f t="shared" si="53"/>
        <v>1120724</v>
      </c>
    </row>
    <row r="734" spans="1:9" ht="15" customHeight="1" x14ac:dyDescent="0.25">
      <c r="A734">
        <v>19964</v>
      </c>
      <c r="B734" t="s">
        <v>7</v>
      </c>
      <c r="C734" t="s">
        <v>5361</v>
      </c>
      <c r="D734" t="str">
        <f t="shared" si="54"/>
        <v/>
      </c>
      <c r="E734" t="s">
        <v>5362</v>
      </c>
      <c r="F734" t="s">
        <v>6879</v>
      </c>
      <c r="H734">
        <v>6</v>
      </c>
      <c r="I734">
        <v>1</v>
      </c>
    </row>
    <row r="735" spans="1:9" ht="15" hidden="1" customHeight="1" x14ac:dyDescent="0.25">
      <c r="A735">
        <v>19965</v>
      </c>
      <c r="B735" t="s">
        <v>10</v>
      </c>
      <c r="C735" t="s">
        <v>5363</v>
      </c>
      <c r="D735" t="str">
        <f t="shared" si="54"/>
        <v/>
      </c>
      <c r="E735" t="s">
        <v>5364</v>
      </c>
      <c r="F735" t="str">
        <f t="shared" ref="F735:F746" si="55">LEFT(C735,7)</f>
        <v>1120725</v>
      </c>
    </row>
    <row r="736" spans="1:9" ht="15" hidden="1" customHeight="1" x14ac:dyDescent="0.25">
      <c r="A736">
        <v>19966</v>
      </c>
      <c r="B736" t="s">
        <v>10</v>
      </c>
      <c r="C736" t="s">
        <v>5365</v>
      </c>
      <c r="D736" t="str">
        <f t="shared" si="54"/>
        <v/>
      </c>
      <c r="E736" t="s">
        <v>5366</v>
      </c>
      <c r="F736" t="str">
        <f t="shared" si="55"/>
        <v>1120725</v>
      </c>
    </row>
    <row r="737" spans="1:9" ht="15" hidden="1" customHeight="1" x14ac:dyDescent="0.25">
      <c r="A737">
        <v>19967</v>
      </c>
      <c r="B737" t="s">
        <v>10</v>
      </c>
      <c r="C737" t="s">
        <v>5367</v>
      </c>
      <c r="D737" t="str">
        <f t="shared" si="54"/>
        <v/>
      </c>
      <c r="E737" t="s">
        <v>5368</v>
      </c>
      <c r="F737" t="str">
        <f t="shared" si="55"/>
        <v>1120725</v>
      </c>
    </row>
    <row r="738" spans="1:9" ht="15" customHeight="1" x14ac:dyDescent="0.25">
      <c r="A738">
        <v>21307</v>
      </c>
      <c r="B738" t="s">
        <v>7</v>
      </c>
      <c r="C738" t="s">
        <v>6807</v>
      </c>
      <c r="D738" t="str">
        <f t="shared" si="54"/>
        <v/>
      </c>
      <c r="E738" t="s">
        <v>6808</v>
      </c>
      <c r="F738" t="str">
        <f t="shared" si="55"/>
        <v>1120742</v>
      </c>
      <c r="H738">
        <v>6</v>
      </c>
      <c r="I738">
        <v>1</v>
      </c>
    </row>
    <row r="739" spans="1:9" ht="15" hidden="1" customHeight="1" x14ac:dyDescent="0.25">
      <c r="A739">
        <v>21308</v>
      </c>
      <c r="B739" t="s">
        <v>10</v>
      </c>
      <c r="C739" t="s">
        <v>6809</v>
      </c>
      <c r="D739" t="str">
        <f t="shared" si="54"/>
        <v/>
      </c>
      <c r="E739" t="s">
        <v>6810</v>
      </c>
      <c r="F739" t="str">
        <f t="shared" si="55"/>
        <v>1120742</v>
      </c>
    </row>
    <row r="740" spans="1:9" ht="15" hidden="1" customHeight="1" x14ac:dyDescent="0.25">
      <c r="A740">
        <v>21313</v>
      </c>
      <c r="B740" t="s">
        <v>10</v>
      </c>
      <c r="C740" t="s">
        <v>6811</v>
      </c>
      <c r="D740" t="str">
        <f t="shared" si="54"/>
        <v/>
      </c>
      <c r="E740" t="s">
        <v>6812</v>
      </c>
      <c r="F740" t="str">
        <f t="shared" si="55"/>
        <v>1120742</v>
      </c>
    </row>
    <row r="741" spans="1:9" ht="15" hidden="1" customHeight="1" x14ac:dyDescent="0.25">
      <c r="A741">
        <v>21314</v>
      </c>
      <c r="B741" t="s">
        <v>10</v>
      </c>
      <c r="C741" t="s">
        <v>6813</v>
      </c>
      <c r="D741" t="str">
        <f t="shared" si="54"/>
        <v/>
      </c>
      <c r="E741" t="s">
        <v>6814</v>
      </c>
      <c r="F741" t="str">
        <f t="shared" si="55"/>
        <v>1120742</v>
      </c>
    </row>
    <row r="742" spans="1:9" ht="15" hidden="1" customHeight="1" x14ac:dyDescent="0.25">
      <c r="A742">
        <v>21315</v>
      </c>
      <c r="B742" t="s">
        <v>10</v>
      </c>
      <c r="C742" t="s">
        <v>6815</v>
      </c>
      <c r="D742" t="str">
        <f t="shared" si="54"/>
        <v/>
      </c>
      <c r="E742" t="s">
        <v>6816</v>
      </c>
      <c r="F742" t="str">
        <f t="shared" si="55"/>
        <v>1120742</v>
      </c>
    </row>
    <row r="743" spans="1:9" ht="15" hidden="1" customHeight="1" x14ac:dyDescent="0.25">
      <c r="A743">
        <v>21316</v>
      </c>
      <c r="B743" t="s">
        <v>10</v>
      </c>
      <c r="C743" t="s">
        <v>6817</v>
      </c>
      <c r="D743" t="str">
        <f t="shared" si="54"/>
        <v/>
      </c>
      <c r="E743" t="s">
        <v>6818</v>
      </c>
      <c r="F743" t="str">
        <f t="shared" si="55"/>
        <v>1120742</v>
      </c>
    </row>
    <row r="744" spans="1:9" ht="15" hidden="1" customHeight="1" x14ac:dyDescent="0.25">
      <c r="A744">
        <v>21317</v>
      </c>
      <c r="B744" t="s">
        <v>10</v>
      </c>
      <c r="C744" t="s">
        <v>6819</v>
      </c>
      <c r="D744" t="str">
        <f t="shared" si="54"/>
        <v/>
      </c>
      <c r="E744" t="s">
        <v>6820</v>
      </c>
      <c r="F744" t="str">
        <f t="shared" si="55"/>
        <v>1120742</v>
      </c>
    </row>
    <row r="745" spans="1:9" ht="15" hidden="1" customHeight="1" x14ac:dyDescent="0.25">
      <c r="A745">
        <v>21318</v>
      </c>
      <c r="B745" t="s">
        <v>10</v>
      </c>
      <c r="C745" t="s">
        <v>6821</v>
      </c>
      <c r="D745" t="str">
        <f t="shared" si="54"/>
        <v/>
      </c>
      <c r="E745" t="s">
        <v>6822</v>
      </c>
      <c r="F745" t="str">
        <f t="shared" si="55"/>
        <v>1120742</v>
      </c>
    </row>
    <row r="746" spans="1:9" ht="15" hidden="1" customHeight="1" x14ac:dyDescent="0.25">
      <c r="A746">
        <v>21319</v>
      </c>
      <c r="B746" t="s">
        <v>10</v>
      </c>
      <c r="C746" t="s">
        <v>6823</v>
      </c>
      <c r="D746" t="str">
        <f t="shared" si="54"/>
        <v/>
      </c>
      <c r="E746" t="s">
        <v>6824</v>
      </c>
      <c r="F746" t="str">
        <f t="shared" si="55"/>
        <v>1120742</v>
      </c>
    </row>
    <row r="747" spans="1:9" ht="15" customHeight="1" x14ac:dyDescent="0.25">
      <c r="A747">
        <v>21320</v>
      </c>
      <c r="B747" t="s">
        <v>7</v>
      </c>
      <c r="C747" t="s">
        <v>6825</v>
      </c>
      <c r="D747" t="str">
        <f t="shared" si="54"/>
        <v/>
      </c>
      <c r="E747" t="s">
        <v>6826</v>
      </c>
      <c r="F747" t="s">
        <v>6880</v>
      </c>
      <c r="H747">
        <v>6</v>
      </c>
      <c r="I747">
        <v>1</v>
      </c>
    </row>
    <row r="748" spans="1:9" ht="15" hidden="1" customHeight="1" x14ac:dyDescent="0.25">
      <c r="A748">
        <v>21321</v>
      </c>
      <c r="B748" t="s">
        <v>10</v>
      </c>
      <c r="C748" t="s">
        <v>6827</v>
      </c>
      <c r="D748" t="str">
        <f t="shared" si="54"/>
        <v/>
      </c>
      <c r="E748" t="s">
        <v>6828</v>
      </c>
      <c r="F748" t="str">
        <f t="shared" ref="F748:F759" si="56">LEFT(C748,7)</f>
        <v>1120743</v>
      </c>
    </row>
    <row r="749" spans="1:9" ht="15" hidden="1" customHeight="1" x14ac:dyDescent="0.25">
      <c r="A749">
        <v>21322</v>
      </c>
      <c r="B749" t="s">
        <v>10</v>
      </c>
      <c r="C749" t="s">
        <v>6829</v>
      </c>
      <c r="D749" t="str">
        <f t="shared" si="54"/>
        <v/>
      </c>
      <c r="E749" t="s">
        <v>6830</v>
      </c>
      <c r="F749" t="str">
        <f t="shared" si="56"/>
        <v>1120743</v>
      </c>
    </row>
    <row r="750" spans="1:9" ht="15" hidden="1" customHeight="1" x14ac:dyDescent="0.25">
      <c r="A750">
        <v>21323</v>
      </c>
      <c r="B750" t="s">
        <v>10</v>
      </c>
      <c r="C750" t="s">
        <v>6831</v>
      </c>
      <c r="D750" t="str">
        <f t="shared" si="54"/>
        <v/>
      </c>
      <c r="E750" t="s">
        <v>6832</v>
      </c>
      <c r="F750" t="str">
        <f t="shared" si="56"/>
        <v>1120743</v>
      </c>
    </row>
    <row r="751" spans="1:9" ht="15" customHeight="1" x14ac:dyDescent="0.25">
      <c r="A751">
        <v>18243</v>
      </c>
      <c r="B751" t="s">
        <v>7</v>
      </c>
      <c r="C751" t="s">
        <v>3322</v>
      </c>
      <c r="D751" t="str">
        <f t="shared" si="54"/>
        <v/>
      </c>
      <c r="E751" t="s">
        <v>3323</v>
      </c>
      <c r="F751" t="str">
        <f t="shared" si="56"/>
        <v>1120173</v>
      </c>
      <c r="H751">
        <v>3</v>
      </c>
      <c r="I751">
        <v>1</v>
      </c>
    </row>
    <row r="752" spans="1:9" ht="15" hidden="1" customHeight="1" x14ac:dyDescent="0.25">
      <c r="A752">
        <v>18244</v>
      </c>
      <c r="B752" t="s">
        <v>10</v>
      </c>
      <c r="C752" t="s">
        <v>3324</v>
      </c>
      <c r="D752" t="str">
        <f t="shared" si="54"/>
        <v/>
      </c>
      <c r="E752" t="s">
        <v>3325</v>
      </c>
      <c r="F752" t="str">
        <f t="shared" si="56"/>
        <v>1120173</v>
      </c>
    </row>
    <row r="753" spans="1:9" ht="15" hidden="1" customHeight="1" x14ac:dyDescent="0.25">
      <c r="A753">
        <v>18248</v>
      </c>
      <c r="B753" t="s">
        <v>10</v>
      </c>
      <c r="C753" t="s">
        <v>3326</v>
      </c>
      <c r="D753" t="str">
        <f t="shared" si="54"/>
        <v/>
      </c>
      <c r="E753" t="s">
        <v>3327</v>
      </c>
      <c r="F753" t="str">
        <f t="shared" si="56"/>
        <v>1120173</v>
      </c>
    </row>
    <row r="754" spans="1:9" ht="15" hidden="1" customHeight="1" x14ac:dyDescent="0.25">
      <c r="A754">
        <v>18249</v>
      </c>
      <c r="B754" t="s">
        <v>10</v>
      </c>
      <c r="C754" t="s">
        <v>3328</v>
      </c>
      <c r="D754" t="str">
        <f t="shared" si="54"/>
        <v/>
      </c>
      <c r="E754" t="s">
        <v>3329</v>
      </c>
      <c r="F754" t="str">
        <f t="shared" si="56"/>
        <v>1120173</v>
      </c>
    </row>
    <row r="755" spans="1:9" ht="15" hidden="1" customHeight="1" x14ac:dyDescent="0.25">
      <c r="A755">
        <v>18250</v>
      </c>
      <c r="B755" t="s">
        <v>10</v>
      </c>
      <c r="C755" t="s">
        <v>3330</v>
      </c>
      <c r="D755" t="str">
        <f t="shared" si="54"/>
        <v/>
      </c>
      <c r="E755" t="s">
        <v>3331</v>
      </c>
      <c r="F755" t="str">
        <f t="shared" si="56"/>
        <v>1120173</v>
      </c>
    </row>
    <row r="756" spans="1:9" ht="15" hidden="1" customHeight="1" x14ac:dyDescent="0.25">
      <c r="A756">
        <v>18251</v>
      </c>
      <c r="B756" t="s">
        <v>10</v>
      </c>
      <c r="C756" t="s">
        <v>3332</v>
      </c>
      <c r="D756" t="str">
        <f t="shared" si="54"/>
        <v/>
      </c>
      <c r="E756" t="s">
        <v>3333</v>
      </c>
      <c r="F756" t="str">
        <f t="shared" si="56"/>
        <v>1120173</v>
      </c>
    </row>
    <row r="757" spans="1:9" ht="15" hidden="1" customHeight="1" x14ac:dyDescent="0.25">
      <c r="A757">
        <v>18252</v>
      </c>
      <c r="B757" t="s">
        <v>10</v>
      </c>
      <c r="C757" t="s">
        <v>3334</v>
      </c>
      <c r="D757" t="str">
        <f t="shared" si="54"/>
        <v/>
      </c>
      <c r="E757" t="s">
        <v>3335</v>
      </c>
      <c r="F757" t="str">
        <f t="shared" si="56"/>
        <v>1120173</v>
      </c>
    </row>
    <row r="758" spans="1:9" ht="15" hidden="1" customHeight="1" x14ac:dyDescent="0.25">
      <c r="A758">
        <v>18253</v>
      </c>
      <c r="B758" t="s">
        <v>10</v>
      </c>
      <c r="C758" t="s">
        <v>3336</v>
      </c>
      <c r="D758" t="str">
        <f t="shared" si="54"/>
        <v/>
      </c>
      <c r="E758" t="s">
        <v>3337</v>
      </c>
      <c r="F758" t="str">
        <f t="shared" si="56"/>
        <v>1120173</v>
      </c>
    </row>
    <row r="759" spans="1:9" ht="15" hidden="1" customHeight="1" x14ac:dyDescent="0.25">
      <c r="A759">
        <v>18254</v>
      </c>
      <c r="B759" t="s">
        <v>10</v>
      </c>
      <c r="C759" t="s">
        <v>3338</v>
      </c>
      <c r="D759" t="str">
        <f t="shared" si="54"/>
        <v/>
      </c>
      <c r="E759" t="s">
        <v>3339</v>
      </c>
      <c r="F759" t="str">
        <f t="shared" si="56"/>
        <v>1120173</v>
      </c>
    </row>
    <row r="760" spans="1:9" ht="15" customHeight="1" x14ac:dyDescent="0.25">
      <c r="A760">
        <v>18255</v>
      </c>
      <c r="B760" t="s">
        <v>7</v>
      </c>
      <c r="C760" t="s">
        <v>3340</v>
      </c>
      <c r="D760" t="str">
        <f t="shared" si="54"/>
        <v/>
      </c>
      <c r="E760" t="s">
        <v>3341</v>
      </c>
      <c r="F760" t="s">
        <v>6881</v>
      </c>
      <c r="H760">
        <v>3</v>
      </c>
      <c r="I760">
        <v>1</v>
      </c>
    </row>
    <row r="761" spans="1:9" ht="15" hidden="1" customHeight="1" x14ac:dyDescent="0.25">
      <c r="A761">
        <v>18256</v>
      </c>
      <c r="B761" t="s">
        <v>10</v>
      </c>
      <c r="C761" t="s">
        <v>3342</v>
      </c>
      <c r="D761" t="str">
        <f t="shared" si="54"/>
        <v/>
      </c>
      <c r="E761" t="s">
        <v>3343</v>
      </c>
      <c r="F761" t="str">
        <f t="shared" ref="F761:F772" si="57">LEFT(C761,7)</f>
        <v>1120174</v>
      </c>
    </row>
    <row r="762" spans="1:9" ht="15" hidden="1" customHeight="1" x14ac:dyDescent="0.25">
      <c r="A762">
        <v>18257</v>
      </c>
      <c r="B762" t="s">
        <v>10</v>
      </c>
      <c r="C762" t="s">
        <v>3344</v>
      </c>
      <c r="D762" t="str">
        <f t="shared" si="54"/>
        <v/>
      </c>
      <c r="E762" t="s">
        <v>3345</v>
      </c>
      <c r="F762" t="str">
        <f t="shared" si="57"/>
        <v>1120174</v>
      </c>
    </row>
    <row r="763" spans="1:9" ht="15" hidden="1" customHeight="1" x14ac:dyDescent="0.25">
      <c r="A763">
        <v>18258</v>
      </c>
      <c r="B763" t="s">
        <v>10</v>
      </c>
      <c r="C763" t="s">
        <v>3346</v>
      </c>
      <c r="D763" t="str">
        <f t="shared" si="54"/>
        <v/>
      </c>
      <c r="E763" t="s">
        <v>3347</v>
      </c>
      <c r="F763" t="str">
        <f t="shared" si="57"/>
        <v>1120174</v>
      </c>
    </row>
    <row r="764" spans="1:9" ht="15" customHeight="1" x14ac:dyDescent="0.25">
      <c r="A764">
        <v>15096</v>
      </c>
      <c r="B764" t="s">
        <v>7</v>
      </c>
      <c r="C764" t="s">
        <v>517</v>
      </c>
      <c r="D764" t="str">
        <f t="shared" si="54"/>
        <v/>
      </c>
      <c r="E764" t="s">
        <v>518</v>
      </c>
      <c r="F764" t="str">
        <f t="shared" si="57"/>
        <v>1120414</v>
      </c>
      <c r="H764">
        <v>9</v>
      </c>
      <c r="I764">
        <v>1</v>
      </c>
    </row>
    <row r="765" spans="1:9" ht="15" hidden="1" customHeight="1" x14ac:dyDescent="0.25">
      <c r="A765">
        <v>15097</v>
      </c>
      <c r="B765" t="s">
        <v>10</v>
      </c>
      <c r="C765" t="s">
        <v>519</v>
      </c>
      <c r="D765" t="str">
        <f t="shared" si="54"/>
        <v/>
      </c>
      <c r="E765" t="s">
        <v>520</v>
      </c>
      <c r="F765" t="str">
        <f t="shared" si="57"/>
        <v>1120414</v>
      </c>
    </row>
    <row r="766" spans="1:9" ht="15" hidden="1" customHeight="1" x14ac:dyDescent="0.25">
      <c r="A766">
        <v>15102</v>
      </c>
      <c r="B766" t="s">
        <v>10</v>
      </c>
      <c r="C766" t="s">
        <v>521</v>
      </c>
      <c r="D766" t="str">
        <f t="shared" si="54"/>
        <v/>
      </c>
      <c r="E766" t="s">
        <v>522</v>
      </c>
      <c r="F766" t="str">
        <f t="shared" si="57"/>
        <v>1120414</v>
      </c>
    </row>
    <row r="767" spans="1:9" ht="15" hidden="1" customHeight="1" x14ac:dyDescent="0.25">
      <c r="A767">
        <v>15103</v>
      </c>
      <c r="B767" t="s">
        <v>10</v>
      </c>
      <c r="C767" t="s">
        <v>523</v>
      </c>
      <c r="D767" t="str">
        <f t="shared" si="54"/>
        <v/>
      </c>
      <c r="E767" t="s">
        <v>524</v>
      </c>
      <c r="F767" t="str">
        <f t="shared" si="57"/>
        <v>1120414</v>
      </c>
    </row>
    <row r="768" spans="1:9" ht="15" hidden="1" customHeight="1" x14ac:dyDescent="0.25">
      <c r="A768">
        <v>15104</v>
      </c>
      <c r="B768" t="s">
        <v>10</v>
      </c>
      <c r="C768" t="s">
        <v>525</v>
      </c>
      <c r="D768" t="str">
        <f t="shared" si="54"/>
        <v/>
      </c>
      <c r="E768" t="s">
        <v>526</v>
      </c>
      <c r="F768" t="str">
        <f t="shared" si="57"/>
        <v>1120414</v>
      </c>
    </row>
    <row r="769" spans="1:9" ht="15" hidden="1" customHeight="1" x14ac:dyDescent="0.25">
      <c r="A769">
        <v>15105</v>
      </c>
      <c r="B769" t="s">
        <v>10</v>
      </c>
      <c r="C769" t="s">
        <v>527</v>
      </c>
      <c r="D769" t="str">
        <f t="shared" si="54"/>
        <v/>
      </c>
      <c r="E769" t="s">
        <v>528</v>
      </c>
      <c r="F769" t="str">
        <f t="shared" si="57"/>
        <v>1120414</v>
      </c>
    </row>
    <row r="770" spans="1:9" ht="15" hidden="1" customHeight="1" x14ac:dyDescent="0.25">
      <c r="A770">
        <v>15106</v>
      </c>
      <c r="B770" t="s">
        <v>10</v>
      </c>
      <c r="C770" t="s">
        <v>529</v>
      </c>
      <c r="D770" t="str">
        <f t="shared" si="54"/>
        <v/>
      </c>
      <c r="E770" t="s">
        <v>530</v>
      </c>
      <c r="F770" t="str">
        <f t="shared" si="57"/>
        <v>1120414</v>
      </c>
    </row>
    <row r="771" spans="1:9" ht="15" hidden="1" customHeight="1" x14ac:dyDescent="0.25">
      <c r="A771">
        <v>15107</v>
      </c>
      <c r="B771" t="s">
        <v>10</v>
      </c>
      <c r="C771" t="s">
        <v>531</v>
      </c>
      <c r="D771" t="str">
        <f t="shared" si="54"/>
        <v/>
      </c>
      <c r="E771" t="s">
        <v>532</v>
      </c>
      <c r="F771" t="str">
        <f t="shared" si="57"/>
        <v>1120414</v>
      </c>
    </row>
    <row r="772" spans="1:9" ht="15" hidden="1" customHeight="1" x14ac:dyDescent="0.25">
      <c r="A772">
        <v>15108</v>
      </c>
      <c r="B772" t="s">
        <v>10</v>
      </c>
      <c r="C772" t="s">
        <v>533</v>
      </c>
      <c r="D772" t="str">
        <f t="shared" si="54"/>
        <v/>
      </c>
      <c r="E772" t="s">
        <v>534</v>
      </c>
      <c r="F772" t="str">
        <f t="shared" si="57"/>
        <v>1120414</v>
      </c>
    </row>
    <row r="773" spans="1:9" ht="15" customHeight="1" x14ac:dyDescent="0.25">
      <c r="A773">
        <v>19742</v>
      </c>
      <c r="B773" t="s">
        <v>7</v>
      </c>
      <c r="C773" t="s">
        <v>5145</v>
      </c>
      <c r="D773" t="str">
        <f t="shared" si="54"/>
        <v/>
      </c>
      <c r="E773" t="s">
        <v>5146</v>
      </c>
      <c r="F773" t="s">
        <v>6882</v>
      </c>
      <c r="H773">
        <v>9</v>
      </c>
      <c r="I773">
        <v>1</v>
      </c>
    </row>
    <row r="774" spans="1:9" ht="15" hidden="1" customHeight="1" x14ac:dyDescent="0.25">
      <c r="A774">
        <v>19743</v>
      </c>
      <c r="B774" t="s">
        <v>10</v>
      </c>
      <c r="C774" t="s">
        <v>5147</v>
      </c>
      <c r="D774" t="str">
        <f t="shared" si="54"/>
        <v/>
      </c>
      <c r="E774" t="s">
        <v>5148</v>
      </c>
      <c r="F774" t="str">
        <f t="shared" ref="F774:F805" si="58">LEFT(C774,7)</f>
        <v>1120415</v>
      </c>
    </row>
    <row r="775" spans="1:9" ht="15" hidden="1" customHeight="1" x14ac:dyDescent="0.25">
      <c r="A775">
        <v>19744</v>
      </c>
      <c r="B775" t="s">
        <v>10</v>
      </c>
      <c r="C775" t="s">
        <v>5149</v>
      </c>
      <c r="D775" t="str">
        <f t="shared" si="54"/>
        <v/>
      </c>
      <c r="E775" t="s">
        <v>5150</v>
      </c>
      <c r="F775" t="str">
        <f t="shared" si="58"/>
        <v>1120415</v>
      </c>
    </row>
    <row r="776" spans="1:9" ht="15" hidden="1" customHeight="1" x14ac:dyDescent="0.25">
      <c r="A776">
        <v>19745</v>
      </c>
      <c r="B776" t="s">
        <v>10</v>
      </c>
      <c r="C776" t="s">
        <v>5151</v>
      </c>
      <c r="D776" t="str">
        <f t="shared" si="54"/>
        <v/>
      </c>
      <c r="E776" t="s">
        <v>5152</v>
      </c>
      <c r="F776" t="str">
        <f t="shared" si="58"/>
        <v>1120415</v>
      </c>
    </row>
    <row r="777" spans="1:9" ht="15" customHeight="1" x14ac:dyDescent="0.25">
      <c r="A777">
        <v>19673</v>
      </c>
      <c r="B777" t="s">
        <v>7</v>
      </c>
      <c r="C777" t="s">
        <v>5047</v>
      </c>
      <c r="D777" t="str">
        <f t="shared" si="54"/>
        <v/>
      </c>
      <c r="E777" t="s">
        <v>5048</v>
      </c>
      <c r="F777" t="str">
        <f t="shared" si="58"/>
        <v>8205119</v>
      </c>
      <c r="H777">
        <v>6</v>
      </c>
      <c r="I777">
        <v>1</v>
      </c>
    </row>
    <row r="778" spans="1:9" ht="15" hidden="1" customHeight="1" x14ac:dyDescent="0.25">
      <c r="A778">
        <v>19674</v>
      </c>
      <c r="B778" t="s">
        <v>10</v>
      </c>
      <c r="C778" t="s">
        <v>5049</v>
      </c>
      <c r="D778" t="str">
        <f t="shared" si="54"/>
        <v/>
      </c>
      <c r="E778" t="s">
        <v>5050</v>
      </c>
      <c r="F778" t="str">
        <f t="shared" si="58"/>
        <v>8205119</v>
      </c>
    </row>
    <row r="779" spans="1:9" ht="15" hidden="1" customHeight="1" x14ac:dyDescent="0.25">
      <c r="A779">
        <v>19679</v>
      </c>
      <c r="B779" t="s">
        <v>10</v>
      </c>
      <c r="C779" t="s">
        <v>5051</v>
      </c>
      <c r="D779" t="str">
        <f t="shared" si="54"/>
        <v/>
      </c>
      <c r="E779" t="s">
        <v>5052</v>
      </c>
      <c r="F779" t="str">
        <f t="shared" si="58"/>
        <v>8205119</v>
      </c>
    </row>
    <row r="780" spans="1:9" ht="15" hidden="1" customHeight="1" x14ac:dyDescent="0.25">
      <c r="A780">
        <v>19680</v>
      </c>
      <c r="B780" t="s">
        <v>10</v>
      </c>
      <c r="C780" t="s">
        <v>5053</v>
      </c>
      <c r="D780" t="str">
        <f t="shared" si="54"/>
        <v/>
      </c>
      <c r="E780" t="s">
        <v>5054</v>
      </c>
      <c r="F780" t="str">
        <f t="shared" si="58"/>
        <v>8205119</v>
      </c>
    </row>
    <row r="781" spans="1:9" ht="15" hidden="1" customHeight="1" x14ac:dyDescent="0.25">
      <c r="A781">
        <v>19681</v>
      </c>
      <c r="B781" t="s">
        <v>10</v>
      </c>
      <c r="C781" t="s">
        <v>5055</v>
      </c>
      <c r="D781" t="str">
        <f t="shared" si="54"/>
        <v/>
      </c>
      <c r="E781" t="s">
        <v>5056</v>
      </c>
      <c r="F781" t="str">
        <f t="shared" si="58"/>
        <v>8205119</v>
      </c>
    </row>
    <row r="782" spans="1:9" ht="15" hidden="1" customHeight="1" x14ac:dyDescent="0.25">
      <c r="A782">
        <v>19682</v>
      </c>
      <c r="B782" t="s">
        <v>10</v>
      </c>
      <c r="C782" t="s">
        <v>5057</v>
      </c>
      <c r="D782" t="str">
        <f t="shared" si="54"/>
        <v/>
      </c>
      <c r="E782" t="s">
        <v>5058</v>
      </c>
      <c r="F782" t="str">
        <f t="shared" si="58"/>
        <v>8205119</v>
      </c>
    </row>
    <row r="783" spans="1:9" ht="15" hidden="1" customHeight="1" x14ac:dyDescent="0.25">
      <c r="A783">
        <v>19683</v>
      </c>
      <c r="B783" t="s">
        <v>10</v>
      </c>
      <c r="C783" t="s">
        <v>5059</v>
      </c>
      <c r="D783" t="str">
        <f t="shared" si="54"/>
        <v/>
      </c>
      <c r="E783" t="s">
        <v>5060</v>
      </c>
      <c r="F783" t="str">
        <f t="shared" si="58"/>
        <v>8205119</v>
      </c>
    </row>
    <row r="784" spans="1:9" ht="15" hidden="1" customHeight="1" x14ac:dyDescent="0.25">
      <c r="A784">
        <v>19684</v>
      </c>
      <c r="B784" t="s">
        <v>10</v>
      </c>
      <c r="C784" t="s">
        <v>5061</v>
      </c>
      <c r="D784" t="str">
        <f t="shared" si="54"/>
        <v/>
      </c>
      <c r="E784" t="s">
        <v>5062</v>
      </c>
      <c r="F784" t="str">
        <f t="shared" si="58"/>
        <v>8205119</v>
      </c>
    </row>
    <row r="785" spans="1:9" ht="15" hidden="1" customHeight="1" x14ac:dyDescent="0.25">
      <c r="A785">
        <v>19685</v>
      </c>
      <c r="B785" t="s">
        <v>10</v>
      </c>
      <c r="C785" t="s">
        <v>5063</v>
      </c>
      <c r="D785" t="str">
        <f t="shared" si="54"/>
        <v/>
      </c>
      <c r="E785" t="s">
        <v>5064</v>
      </c>
      <c r="F785" t="str">
        <f t="shared" si="58"/>
        <v>8205119</v>
      </c>
    </row>
    <row r="786" spans="1:9" ht="15" hidden="1" customHeight="1" x14ac:dyDescent="0.25">
      <c r="A786">
        <v>19686</v>
      </c>
      <c r="B786" t="s">
        <v>10</v>
      </c>
      <c r="C786" t="s">
        <v>5065</v>
      </c>
      <c r="D786" t="str">
        <f t="shared" si="54"/>
        <v/>
      </c>
      <c r="E786" t="s">
        <v>5066</v>
      </c>
      <c r="F786" t="str">
        <f t="shared" si="58"/>
        <v>8205119</v>
      </c>
    </row>
    <row r="787" spans="1:9" ht="15" customHeight="1" x14ac:dyDescent="0.25">
      <c r="A787">
        <v>20798</v>
      </c>
      <c r="B787" t="s">
        <v>7</v>
      </c>
      <c r="C787" t="s">
        <v>6121</v>
      </c>
      <c r="D787" t="str">
        <f t="shared" si="54"/>
        <v/>
      </c>
      <c r="E787" t="s">
        <v>6122</v>
      </c>
      <c r="F787" t="str">
        <f t="shared" si="58"/>
        <v>8205080</v>
      </c>
      <c r="H787">
        <v>7</v>
      </c>
      <c r="I787">
        <v>1</v>
      </c>
    </row>
    <row r="788" spans="1:9" ht="15" hidden="1" customHeight="1" x14ac:dyDescent="0.25">
      <c r="A788">
        <v>20799</v>
      </c>
      <c r="B788" t="s">
        <v>10</v>
      </c>
      <c r="C788" t="s">
        <v>6123</v>
      </c>
      <c r="D788" t="str">
        <f t="shared" si="54"/>
        <v/>
      </c>
      <c r="E788" t="s">
        <v>6124</v>
      </c>
      <c r="F788" t="str">
        <f t="shared" si="58"/>
        <v>8205080</v>
      </c>
    </row>
    <row r="789" spans="1:9" ht="15" hidden="1" customHeight="1" x14ac:dyDescent="0.25">
      <c r="A789">
        <v>20800</v>
      </c>
      <c r="B789" t="s">
        <v>10</v>
      </c>
      <c r="C789" t="s">
        <v>6125</v>
      </c>
      <c r="D789" t="str">
        <f t="shared" si="54"/>
        <v/>
      </c>
      <c r="E789" t="s">
        <v>6126</v>
      </c>
      <c r="F789" t="str">
        <f t="shared" si="58"/>
        <v>8205080</v>
      </c>
    </row>
    <row r="790" spans="1:9" ht="15" hidden="1" customHeight="1" x14ac:dyDescent="0.25">
      <c r="A790">
        <v>20801</v>
      </c>
      <c r="B790" t="s">
        <v>10</v>
      </c>
      <c r="C790" t="s">
        <v>6127</v>
      </c>
      <c r="D790" t="str">
        <f t="shared" si="54"/>
        <v/>
      </c>
      <c r="E790" t="s">
        <v>6128</v>
      </c>
      <c r="F790" t="str">
        <f t="shared" si="58"/>
        <v>8205080</v>
      </c>
    </row>
    <row r="791" spans="1:9" ht="15" hidden="1" customHeight="1" x14ac:dyDescent="0.25">
      <c r="A791">
        <v>20802</v>
      </c>
      <c r="B791" t="s">
        <v>10</v>
      </c>
      <c r="C791" t="s">
        <v>6129</v>
      </c>
      <c r="D791" t="str">
        <f t="shared" si="54"/>
        <v/>
      </c>
      <c r="E791" t="s">
        <v>6130</v>
      </c>
      <c r="F791" t="str">
        <f t="shared" si="58"/>
        <v>8205080</v>
      </c>
    </row>
    <row r="792" spans="1:9" ht="15" hidden="1" customHeight="1" x14ac:dyDescent="0.25">
      <c r="A792">
        <v>20803</v>
      </c>
      <c r="B792" t="s">
        <v>10</v>
      </c>
      <c r="C792" t="s">
        <v>6131</v>
      </c>
      <c r="D792" t="str">
        <f t="shared" si="54"/>
        <v/>
      </c>
      <c r="E792" t="s">
        <v>6132</v>
      </c>
      <c r="F792" t="str">
        <f t="shared" si="58"/>
        <v>8205080</v>
      </c>
    </row>
    <row r="793" spans="1:9" ht="15" hidden="1" customHeight="1" x14ac:dyDescent="0.25">
      <c r="A793">
        <v>20804</v>
      </c>
      <c r="B793" t="s">
        <v>10</v>
      </c>
      <c r="C793" t="s">
        <v>6133</v>
      </c>
      <c r="D793" t="str">
        <f t="shared" si="54"/>
        <v/>
      </c>
      <c r="E793" t="s">
        <v>6134</v>
      </c>
      <c r="F793" t="str">
        <f t="shared" si="58"/>
        <v>8205080</v>
      </c>
    </row>
    <row r="794" spans="1:9" ht="15" hidden="1" customHeight="1" x14ac:dyDescent="0.25">
      <c r="A794">
        <v>20805</v>
      </c>
      <c r="B794" t="s">
        <v>10</v>
      </c>
      <c r="C794" t="s">
        <v>6135</v>
      </c>
      <c r="D794" t="str">
        <f t="shared" si="54"/>
        <v/>
      </c>
      <c r="E794" t="s">
        <v>6136</v>
      </c>
      <c r="F794" t="str">
        <f t="shared" si="58"/>
        <v>8205080</v>
      </c>
    </row>
    <row r="795" spans="1:9" ht="15" hidden="1" customHeight="1" x14ac:dyDescent="0.25">
      <c r="A795">
        <v>20806</v>
      </c>
      <c r="B795" t="s">
        <v>10</v>
      </c>
      <c r="C795" t="s">
        <v>6137</v>
      </c>
      <c r="D795" t="str">
        <f t="shared" si="54"/>
        <v/>
      </c>
      <c r="E795" t="s">
        <v>6138</v>
      </c>
      <c r="F795" t="str">
        <f t="shared" si="58"/>
        <v>8205080</v>
      </c>
    </row>
    <row r="796" spans="1:9" ht="15" hidden="1" customHeight="1" x14ac:dyDescent="0.25">
      <c r="A796">
        <v>20807</v>
      </c>
      <c r="B796" t="s">
        <v>10</v>
      </c>
      <c r="C796" t="s">
        <v>6139</v>
      </c>
      <c r="D796" t="str">
        <f t="shared" ref="D796:D859" si="59">IF(RIGHT(LEFT(C796,9),2)="##","",RIGHT(LEFT(C796,10),2))</f>
        <v/>
      </c>
      <c r="E796" t="s">
        <v>6140</v>
      </c>
      <c r="F796" t="str">
        <f t="shared" si="58"/>
        <v>8205080</v>
      </c>
    </row>
    <row r="797" spans="1:9" ht="15" hidden="1" customHeight="1" x14ac:dyDescent="0.25">
      <c r="A797">
        <v>20808</v>
      </c>
      <c r="B797" t="s">
        <v>10</v>
      </c>
      <c r="C797" t="s">
        <v>6141</v>
      </c>
      <c r="D797" t="str">
        <f t="shared" si="59"/>
        <v/>
      </c>
      <c r="E797" t="s">
        <v>6142</v>
      </c>
      <c r="F797" t="str">
        <f t="shared" si="58"/>
        <v>8205080</v>
      </c>
    </row>
    <row r="798" spans="1:9" ht="15" hidden="1" customHeight="1" x14ac:dyDescent="0.25">
      <c r="A798">
        <v>20809</v>
      </c>
      <c r="B798" t="s">
        <v>10</v>
      </c>
      <c r="C798" t="s">
        <v>6143</v>
      </c>
      <c r="D798" t="str">
        <f t="shared" si="59"/>
        <v/>
      </c>
      <c r="E798" t="s">
        <v>6144</v>
      </c>
      <c r="F798" t="str">
        <f t="shared" si="58"/>
        <v>8205080</v>
      </c>
    </row>
    <row r="799" spans="1:9" ht="15" hidden="1" customHeight="1" x14ac:dyDescent="0.25">
      <c r="A799">
        <v>20810</v>
      </c>
      <c r="B799" t="s">
        <v>10</v>
      </c>
      <c r="C799" t="s">
        <v>6145</v>
      </c>
      <c r="D799" t="str">
        <f t="shared" si="59"/>
        <v/>
      </c>
      <c r="E799" t="s">
        <v>6146</v>
      </c>
      <c r="F799" t="str">
        <f t="shared" si="58"/>
        <v>8205080</v>
      </c>
    </row>
    <row r="800" spans="1:9" ht="15" customHeight="1" x14ac:dyDescent="0.25">
      <c r="A800">
        <v>18524</v>
      </c>
      <c r="B800" t="s">
        <v>7</v>
      </c>
      <c r="C800" t="s">
        <v>3707</v>
      </c>
      <c r="D800" t="str">
        <f t="shared" si="59"/>
        <v/>
      </c>
      <c r="E800" t="s">
        <v>3708</v>
      </c>
      <c r="F800" t="str">
        <f t="shared" si="58"/>
        <v>8205118</v>
      </c>
      <c r="H800">
        <v>7</v>
      </c>
      <c r="I800">
        <v>1</v>
      </c>
    </row>
    <row r="801" spans="1:9" ht="15" hidden="1" customHeight="1" x14ac:dyDescent="0.25">
      <c r="A801">
        <v>18525</v>
      </c>
      <c r="B801" t="s">
        <v>10</v>
      </c>
      <c r="C801" t="s">
        <v>3709</v>
      </c>
      <c r="D801" t="str">
        <f t="shared" si="59"/>
        <v/>
      </c>
      <c r="E801" t="s">
        <v>3710</v>
      </c>
      <c r="F801" t="str">
        <f t="shared" si="58"/>
        <v>8205118</v>
      </c>
    </row>
    <row r="802" spans="1:9" ht="15" hidden="1" customHeight="1" x14ac:dyDescent="0.25">
      <c r="A802">
        <v>18530</v>
      </c>
      <c r="B802" t="s">
        <v>10</v>
      </c>
      <c r="C802" t="s">
        <v>3711</v>
      </c>
      <c r="D802" t="str">
        <f t="shared" si="59"/>
        <v/>
      </c>
      <c r="E802" t="s">
        <v>3712</v>
      </c>
      <c r="F802" t="str">
        <f t="shared" si="58"/>
        <v>8205118</v>
      </c>
    </row>
    <row r="803" spans="1:9" ht="15" hidden="1" customHeight="1" x14ac:dyDescent="0.25">
      <c r="A803">
        <v>18531</v>
      </c>
      <c r="B803" t="s">
        <v>10</v>
      </c>
      <c r="C803" t="s">
        <v>3713</v>
      </c>
      <c r="D803" t="str">
        <f t="shared" si="59"/>
        <v/>
      </c>
      <c r="E803" t="s">
        <v>3714</v>
      </c>
      <c r="F803" t="str">
        <f t="shared" si="58"/>
        <v>8205118</v>
      </c>
    </row>
    <row r="804" spans="1:9" ht="15" hidden="1" customHeight="1" x14ac:dyDescent="0.25">
      <c r="A804">
        <v>18532</v>
      </c>
      <c r="B804" t="s">
        <v>10</v>
      </c>
      <c r="C804" t="s">
        <v>3715</v>
      </c>
      <c r="D804" t="str">
        <f t="shared" si="59"/>
        <v/>
      </c>
      <c r="E804" t="s">
        <v>3716</v>
      </c>
      <c r="F804" t="str">
        <f t="shared" si="58"/>
        <v>8205118</v>
      </c>
    </row>
    <row r="805" spans="1:9" ht="15" hidden="1" customHeight="1" x14ac:dyDescent="0.25">
      <c r="A805">
        <v>18533</v>
      </c>
      <c r="B805" t="s">
        <v>10</v>
      </c>
      <c r="C805" t="s">
        <v>3717</v>
      </c>
      <c r="D805" t="str">
        <f t="shared" si="59"/>
        <v/>
      </c>
      <c r="E805" t="s">
        <v>3718</v>
      </c>
      <c r="F805" t="str">
        <f t="shared" si="58"/>
        <v>8205118</v>
      </c>
    </row>
    <row r="806" spans="1:9" ht="15" hidden="1" customHeight="1" x14ac:dyDescent="0.25">
      <c r="A806">
        <v>18534</v>
      </c>
      <c r="B806" t="s">
        <v>10</v>
      </c>
      <c r="C806" t="s">
        <v>3719</v>
      </c>
      <c r="D806" t="str">
        <f t="shared" si="59"/>
        <v/>
      </c>
      <c r="E806" t="s">
        <v>3720</v>
      </c>
      <c r="F806" t="str">
        <f t="shared" ref="F806:F837" si="60">LEFT(C806,7)</f>
        <v>8205118</v>
      </c>
    </row>
    <row r="807" spans="1:9" ht="15" hidden="1" customHeight="1" x14ac:dyDescent="0.25">
      <c r="A807">
        <v>18535</v>
      </c>
      <c r="B807" t="s">
        <v>10</v>
      </c>
      <c r="C807" t="s">
        <v>3721</v>
      </c>
      <c r="D807" t="str">
        <f t="shared" si="59"/>
        <v/>
      </c>
      <c r="E807" t="s">
        <v>3722</v>
      </c>
      <c r="F807" t="str">
        <f t="shared" si="60"/>
        <v>8205118</v>
      </c>
    </row>
    <row r="808" spans="1:9" ht="15" hidden="1" customHeight="1" x14ac:dyDescent="0.25">
      <c r="A808">
        <v>18536</v>
      </c>
      <c r="B808" t="s">
        <v>10</v>
      </c>
      <c r="C808" t="s">
        <v>3723</v>
      </c>
      <c r="D808" t="str">
        <f t="shared" si="59"/>
        <v/>
      </c>
      <c r="E808" t="s">
        <v>3724</v>
      </c>
      <c r="F808" t="str">
        <f t="shared" si="60"/>
        <v>8205118</v>
      </c>
    </row>
    <row r="809" spans="1:9" ht="15" hidden="1" customHeight="1" x14ac:dyDescent="0.25">
      <c r="A809">
        <v>18537</v>
      </c>
      <c r="B809" t="s">
        <v>10</v>
      </c>
      <c r="C809" t="s">
        <v>3725</v>
      </c>
      <c r="D809" t="str">
        <f t="shared" si="59"/>
        <v/>
      </c>
      <c r="E809" t="s">
        <v>3726</v>
      </c>
      <c r="F809" t="str">
        <f t="shared" si="60"/>
        <v>8205118</v>
      </c>
    </row>
    <row r="810" spans="1:9" ht="15" hidden="1" customHeight="1" x14ac:dyDescent="0.25">
      <c r="A810">
        <v>18538</v>
      </c>
      <c r="B810" t="s">
        <v>10</v>
      </c>
      <c r="C810" t="s">
        <v>3727</v>
      </c>
      <c r="D810" t="str">
        <f t="shared" si="59"/>
        <v/>
      </c>
      <c r="E810" t="s">
        <v>3728</v>
      </c>
      <c r="F810" t="str">
        <f t="shared" si="60"/>
        <v>8205118</v>
      </c>
    </row>
    <row r="811" spans="1:9" ht="15" hidden="1" customHeight="1" x14ac:dyDescent="0.25">
      <c r="A811">
        <v>18539</v>
      </c>
      <c r="B811" t="s">
        <v>10</v>
      </c>
      <c r="C811" t="s">
        <v>3729</v>
      </c>
      <c r="D811" t="str">
        <f t="shared" si="59"/>
        <v/>
      </c>
      <c r="E811" t="s">
        <v>3730</v>
      </c>
      <c r="F811" t="str">
        <f t="shared" si="60"/>
        <v>8205118</v>
      </c>
    </row>
    <row r="812" spans="1:9" ht="15" hidden="1" customHeight="1" x14ac:dyDescent="0.25">
      <c r="A812">
        <v>18540</v>
      </c>
      <c r="B812" t="s">
        <v>10</v>
      </c>
      <c r="C812" t="s">
        <v>3731</v>
      </c>
      <c r="D812" t="str">
        <f t="shared" si="59"/>
        <v/>
      </c>
      <c r="E812" t="s">
        <v>3732</v>
      </c>
      <c r="F812" t="str">
        <f t="shared" si="60"/>
        <v>8205118</v>
      </c>
    </row>
    <row r="813" spans="1:9" ht="15" customHeight="1" x14ac:dyDescent="0.25">
      <c r="A813">
        <v>20148</v>
      </c>
      <c r="B813" t="s">
        <v>7</v>
      </c>
      <c r="C813" t="s">
        <v>5569</v>
      </c>
      <c r="D813" t="str">
        <f t="shared" si="59"/>
        <v/>
      </c>
      <c r="E813" t="s">
        <v>5570</v>
      </c>
      <c r="F813" t="str">
        <f t="shared" si="60"/>
        <v>8205051</v>
      </c>
      <c r="H813">
        <v>10</v>
      </c>
      <c r="I813">
        <v>1</v>
      </c>
    </row>
    <row r="814" spans="1:9" ht="15" hidden="1" customHeight="1" x14ac:dyDescent="0.25">
      <c r="A814">
        <v>20149</v>
      </c>
      <c r="B814" t="s">
        <v>10</v>
      </c>
      <c r="C814" t="s">
        <v>5571</v>
      </c>
      <c r="D814" t="str">
        <f t="shared" si="59"/>
        <v/>
      </c>
      <c r="E814" t="s">
        <v>5572</v>
      </c>
      <c r="F814" t="str">
        <f t="shared" si="60"/>
        <v>8205051</v>
      </c>
    </row>
    <row r="815" spans="1:9" ht="15" hidden="1" customHeight="1" x14ac:dyDescent="0.25">
      <c r="A815">
        <v>20154</v>
      </c>
      <c r="B815" t="s">
        <v>10</v>
      </c>
      <c r="C815" t="s">
        <v>5573</v>
      </c>
      <c r="D815" t="str">
        <f t="shared" si="59"/>
        <v/>
      </c>
      <c r="E815" t="s">
        <v>5574</v>
      </c>
      <c r="F815" t="str">
        <f t="shared" si="60"/>
        <v>8205051</v>
      </c>
    </row>
    <row r="816" spans="1:9" ht="15" hidden="1" customHeight="1" x14ac:dyDescent="0.25">
      <c r="A816">
        <v>20155</v>
      </c>
      <c r="B816" t="s">
        <v>10</v>
      </c>
      <c r="C816" t="s">
        <v>5575</v>
      </c>
      <c r="D816" t="str">
        <f t="shared" si="59"/>
        <v/>
      </c>
      <c r="E816" t="s">
        <v>5576</v>
      </c>
      <c r="F816" t="str">
        <f t="shared" si="60"/>
        <v>8205051</v>
      </c>
    </row>
    <row r="817" spans="1:9" ht="15" hidden="1" customHeight="1" x14ac:dyDescent="0.25">
      <c r="A817">
        <v>20156</v>
      </c>
      <c r="B817" t="s">
        <v>10</v>
      </c>
      <c r="C817" t="s">
        <v>5577</v>
      </c>
      <c r="D817" t="str">
        <f t="shared" si="59"/>
        <v/>
      </c>
      <c r="E817" t="s">
        <v>5578</v>
      </c>
      <c r="F817" t="str">
        <f t="shared" si="60"/>
        <v>8205051</v>
      </c>
    </row>
    <row r="818" spans="1:9" ht="15" hidden="1" customHeight="1" x14ac:dyDescent="0.25">
      <c r="A818">
        <v>20157</v>
      </c>
      <c r="B818" t="s">
        <v>10</v>
      </c>
      <c r="C818" t="s">
        <v>5579</v>
      </c>
      <c r="D818" t="str">
        <f t="shared" si="59"/>
        <v/>
      </c>
      <c r="E818" t="s">
        <v>5580</v>
      </c>
      <c r="F818" t="str">
        <f t="shared" si="60"/>
        <v>8205051</v>
      </c>
    </row>
    <row r="819" spans="1:9" ht="15" hidden="1" customHeight="1" x14ac:dyDescent="0.25">
      <c r="A819">
        <v>20158</v>
      </c>
      <c r="B819" t="s">
        <v>10</v>
      </c>
      <c r="C819" t="s">
        <v>5581</v>
      </c>
      <c r="D819" t="str">
        <f t="shared" si="59"/>
        <v/>
      </c>
      <c r="E819" t="s">
        <v>5582</v>
      </c>
      <c r="F819" t="str">
        <f t="shared" si="60"/>
        <v>8205051</v>
      </c>
    </row>
    <row r="820" spans="1:9" ht="15" hidden="1" customHeight="1" x14ac:dyDescent="0.25">
      <c r="A820">
        <v>20159</v>
      </c>
      <c r="B820" t="s">
        <v>10</v>
      </c>
      <c r="C820" t="s">
        <v>5583</v>
      </c>
      <c r="D820" t="str">
        <f t="shared" si="59"/>
        <v/>
      </c>
      <c r="E820" t="s">
        <v>5584</v>
      </c>
      <c r="F820" t="str">
        <f t="shared" si="60"/>
        <v>8205051</v>
      </c>
    </row>
    <row r="821" spans="1:9" ht="15" hidden="1" customHeight="1" x14ac:dyDescent="0.25">
      <c r="A821">
        <v>20160</v>
      </c>
      <c r="B821" t="s">
        <v>10</v>
      </c>
      <c r="C821" t="s">
        <v>5585</v>
      </c>
      <c r="D821" t="str">
        <f t="shared" si="59"/>
        <v/>
      </c>
      <c r="E821" t="s">
        <v>5586</v>
      </c>
      <c r="F821" t="str">
        <f t="shared" si="60"/>
        <v>8205051</v>
      </c>
    </row>
    <row r="822" spans="1:9" ht="15" hidden="1" customHeight="1" x14ac:dyDescent="0.25">
      <c r="A822">
        <v>20161</v>
      </c>
      <c r="B822" t="s">
        <v>10</v>
      </c>
      <c r="C822" t="s">
        <v>5587</v>
      </c>
      <c r="D822" t="str">
        <f t="shared" si="59"/>
        <v/>
      </c>
      <c r="E822" t="s">
        <v>5588</v>
      </c>
      <c r="F822" t="str">
        <f t="shared" si="60"/>
        <v>8205051</v>
      </c>
    </row>
    <row r="823" spans="1:9" ht="15" hidden="1" customHeight="1" x14ac:dyDescent="0.25">
      <c r="A823">
        <v>20162</v>
      </c>
      <c r="B823" t="s">
        <v>10</v>
      </c>
      <c r="C823" t="s">
        <v>5589</v>
      </c>
      <c r="D823" t="str">
        <f t="shared" si="59"/>
        <v/>
      </c>
      <c r="E823" t="s">
        <v>5590</v>
      </c>
      <c r="F823" t="str">
        <f t="shared" si="60"/>
        <v>8205051</v>
      </c>
    </row>
    <row r="824" spans="1:9" ht="15" hidden="1" customHeight="1" x14ac:dyDescent="0.25">
      <c r="A824">
        <v>20163</v>
      </c>
      <c r="B824" t="s">
        <v>10</v>
      </c>
      <c r="C824" t="s">
        <v>5591</v>
      </c>
      <c r="D824" t="str">
        <f t="shared" si="59"/>
        <v/>
      </c>
      <c r="E824" t="s">
        <v>5592</v>
      </c>
      <c r="F824" t="str">
        <f t="shared" si="60"/>
        <v>8205051</v>
      </c>
    </row>
    <row r="825" spans="1:9" ht="15" customHeight="1" x14ac:dyDescent="0.25">
      <c r="A825">
        <v>16730</v>
      </c>
      <c r="B825" t="s">
        <v>7</v>
      </c>
      <c r="C825" t="s">
        <v>1644</v>
      </c>
      <c r="D825" t="str">
        <f t="shared" si="59"/>
        <v/>
      </c>
      <c r="E825" t="s">
        <v>1645</v>
      </c>
      <c r="F825" t="str">
        <f t="shared" si="60"/>
        <v>8205050</v>
      </c>
      <c r="H825">
        <v>8</v>
      </c>
      <c r="I825">
        <v>1</v>
      </c>
    </row>
    <row r="826" spans="1:9" ht="15" hidden="1" customHeight="1" x14ac:dyDescent="0.25">
      <c r="A826">
        <v>16731</v>
      </c>
      <c r="B826" t="s">
        <v>10</v>
      </c>
      <c r="C826" t="s">
        <v>1646</v>
      </c>
      <c r="D826" t="str">
        <f t="shared" si="59"/>
        <v/>
      </c>
      <c r="E826" t="s">
        <v>1647</v>
      </c>
      <c r="F826" t="str">
        <f t="shared" si="60"/>
        <v>8205050</v>
      </c>
    </row>
    <row r="827" spans="1:9" ht="15" hidden="1" customHeight="1" x14ac:dyDescent="0.25">
      <c r="A827">
        <v>16736</v>
      </c>
      <c r="B827" t="s">
        <v>10</v>
      </c>
      <c r="C827" t="s">
        <v>1648</v>
      </c>
      <c r="D827" t="str">
        <f t="shared" si="59"/>
        <v/>
      </c>
      <c r="E827" t="s">
        <v>1649</v>
      </c>
      <c r="F827" t="str">
        <f t="shared" si="60"/>
        <v>8205050</v>
      </c>
    </row>
    <row r="828" spans="1:9" ht="15" hidden="1" customHeight="1" x14ac:dyDescent="0.25">
      <c r="A828">
        <v>16737</v>
      </c>
      <c r="B828" t="s">
        <v>10</v>
      </c>
      <c r="C828" t="s">
        <v>1650</v>
      </c>
      <c r="D828" t="str">
        <f t="shared" si="59"/>
        <v/>
      </c>
      <c r="E828" t="s">
        <v>1651</v>
      </c>
      <c r="F828" t="str">
        <f t="shared" si="60"/>
        <v>8205050</v>
      </c>
    </row>
    <row r="829" spans="1:9" ht="15" hidden="1" customHeight="1" x14ac:dyDescent="0.25">
      <c r="A829">
        <v>16738</v>
      </c>
      <c r="B829" t="s">
        <v>10</v>
      </c>
      <c r="C829" t="s">
        <v>1652</v>
      </c>
      <c r="D829" t="str">
        <f t="shared" si="59"/>
        <v/>
      </c>
      <c r="E829" t="s">
        <v>1653</v>
      </c>
      <c r="F829" t="str">
        <f t="shared" si="60"/>
        <v>8205050</v>
      </c>
    </row>
    <row r="830" spans="1:9" ht="15" hidden="1" customHeight="1" x14ac:dyDescent="0.25">
      <c r="A830">
        <v>16739</v>
      </c>
      <c r="B830" t="s">
        <v>10</v>
      </c>
      <c r="C830" t="s">
        <v>1654</v>
      </c>
      <c r="D830" t="str">
        <f t="shared" si="59"/>
        <v/>
      </c>
      <c r="E830" t="s">
        <v>1655</v>
      </c>
      <c r="F830" t="str">
        <f t="shared" si="60"/>
        <v>8205050</v>
      </c>
    </row>
    <row r="831" spans="1:9" ht="15" hidden="1" customHeight="1" x14ac:dyDescent="0.25">
      <c r="A831">
        <v>16740</v>
      </c>
      <c r="B831" t="s">
        <v>10</v>
      </c>
      <c r="C831" t="s">
        <v>1656</v>
      </c>
      <c r="D831" t="str">
        <f t="shared" si="59"/>
        <v/>
      </c>
      <c r="E831" t="s">
        <v>1657</v>
      </c>
      <c r="F831" t="str">
        <f t="shared" si="60"/>
        <v>8205050</v>
      </c>
    </row>
    <row r="832" spans="1:9" ht="15" hidden="1" customHeight="1" x14ac:dyDescent="0.25">
      <c r="A832">
        <v>16741</v>
      </c>
      <c r="B832" t="s">
        <v>10</v>
      </c>
      <c r="C832" t="s">
        <v>1658</v>
      </c>
      <c r="D832" t="str">
        <f t="shared" si="59"/>
        <v/>
      </c>
      <c r="E832" t="s">
        <v>1659</v>
      </c>
      <c r="F832" t="str">
        <f t="shared" si="60"/>
        <v>8205050</v>
      </c>
    </row>
    <row r="833" spans="1:9" ht="15" hidden="1" customHeight="1" x14ac:dyDescent="0.25">
      <c r="A833">
        <v>16742</v>
      </c>
      <c r="B833" t="s">
        <v>10</v>
      </c>
      <c r="C833" t="s">
        <v>1660</v>
      </c>
      <c r="D833" t="str">
        <f t="shared" si="59"/>
        <v/>
      </c>
      <c r="E833" t="s">
        <v>1661</v>
      </c>
      <c r="F833" t="str">
        <f t="shared" si="60"/>
        <v>8205050</v>
      </c>
    </row>
    <row r="834" spans="1:9" ht="15" hidden="1" customHeight="1" x14ac:dyDescent="0.25">
      <c r="A834">
        <v>16743</v>
      </c>
      <c r="B834" t="s">
        <v>10</v>
      </c>
      <c r="C834" t="s">
        <v>1662</v>
      </c>
      <c r="D834" t="str">
        <f t="shared" si="59"/>
        <v/>
      </c>
      <c r="E834" t="s">
        <v>1663</v>
      </c>
      <c r="F834" t="str">
        <f t="shared" si="60"/>
        <v>8205050</v>
      </c>
    </row>
    <row r="835" spans="1:9" ht="15" hidden="1" customHeight="1" x14ac:dyDescent="0.25">
      <c r="A835">
        <v>16744</v>
      </c>
      <c r="B835" t="s">
        <v>10</v>
      </c>
      <c r="C835" t="s">
        <v>1664</v>
      </c>
      <c r="D835" t="str">
        <f t="shared" si="59"/>
        <v/>
      </c>
      <c r="E835" t="s">
        <v>1665</v>
      </c>
      <c r="F835" t="str">
        <f t="shared" si="60"/>
        <v>8205050</v>
      </c>
    </row>
    <row r="836" spans="1:9" ht="15" customHeight="1" x14ac:dyDescent="0.25">
      <c r="A836">
        <v>20590</v>
      </c>
      <c r="B836" t="s">
        <v>7</v>
      </c>
      <c r="C836" t="s">
        <v>5959</v>
      </c>
      <c r="D836" t="str">
        <f t="shared" si="59"/>
        <v/>
      </c>
      <c r="E836" t="s">
        <v>5960</v>
      </c>
      <c r="F836" t="str">
        <f t="shared" si="60"/>
        <v>8205881</v>
      </c>
      <c r="H836">
        <v>5</v>
      </c>
      <c r="I836">
        <v>1</v>
      </c>
    </row>
    <row r="837" spans="1:9" ht="15" hidden="1" customHeight="1" x14ac:dyDescent="0.25">
      <c r="A837">
        <v>20591</v>
      </c>
      <c r="B837" t="s">
        <v>10</v>
      </c>
      <c r="C837" t="s">
        <v>5961</v>
      </c>
      <c r="D837" t="str">
        <f t="shared" si="59"/>
        <v/>
      </c>
      <c r="E837" t="s">
        <v>5962</v>
      </c>
      <c r="F837" t="str">
        <f t="shared" si="60"/>
        <v>8205881</v>
      </c>
    </row>
    <row r="838" spans="1:9" ht="15" hidden="1" customHeight="1" x14ac:dyDescent="0.25">
      <c r="A838">
        <v>20592</v>
      </c>
      <c r="B838" t="s">
        <v>10</v>
      </c>
      <c r="C838" t="s">
        <v>5963</v>
      </c>
      <c r="D838" t="str">
        <f t="shared" si="59"/>
        <v/>
      </c>
      <c r="E838" t="s">
        <v>5964</v>
      </c>
      <c r="F838" t="str">
        <f t="shared" ref="F838:F869" si="61">LEFT(C838,7)</f>
        <v>8205881</v>
      </c>
    </row>
    <row r="839" spans="1:9" ht="15" hidden="1" customHeight="1" x14ac:dyDescent="0.25">
      <c r="A839">
        <v>20593</v>
      </c>
      <c r="B839" t="s">
        <v>10</v>
      </c>
      <c r="C839" t="s">
        <v>5965</v>
      </c>
      <c r="D839" t="str">
        <f t="shared" si="59"/>
        <v/>
      </c>
      <c r="E839" t="s">
        <v>5966</v>
      </c>
      <c r="F839" t="str">
        <f t="shared" si="61"/>
        <v>8205881</v>
      </c>
    </row>
    <row r="840" spans="1:9" ht="15" hidden="1" customHeight="1" x14ac:dyDescent="0.25">
      <c r="A840">
        <v>20594</v>
      </c>
      <c r="B840" t="s">
        <v>10</v>
      </c>
      <c r="C840" t="s">
        <v>5967</v>
      </c>
      <c r="D840" t="str">
        <f t="shared" si="59"/>
        <v/>
      </c>
      <c r="E840" t="s">
        <v>5968</v>
      </c>
      <c r="F840" t="str">
        <f t="shared" si="61"/>
        <v>8205881</v>
      </c>
    </row>
    <row r="841" spans="1:9" ht="15" hidden="1" customHeight="1" x14ac:dyDescent="0.25">
      <c r="A841">
        <v>20595</v>
      </c>
      <c r="B841" t="s">
        <v>10</v>
      </c>
      <c r="C841" t="s">
        <v>5969</v>
      </c>
      <c r="D841" t="str">
        <f t="shared" si="59"/>
        <v/>
      </c>
      <c r="E841" t="s">
        <v>5970</v>
      </c>
      <c r="F841" t="str">
        <f t="shared" si="61"/>
        <v>8205881</v>
      </c>
    </row>
    <row r="842" spans="1:9" ht="15" hidden="1" customHeight="1" x14ac:dyDescent="0.25">
      <c r="A842">
        <v>20596</v>
      </c>
      <c r="B842" t="s">
        <v>10</v>
      </c>
      <c r="C842" t="s">
        <v>5971</v>
      </c>
      <c r="D842" t="str">
        <f t="shared" si="59"/>
        <v/>
      </c>
      <c r="E842" t="s">
        <v>5972</v>
      </c>
      <c r="F842" t="str">
        <f t="shared" si="61"/>
        <v>8205881</v>
      </c>
    </row>
    <row r="843" spans="1:9" ht="15" hidden="1" customHeight="1" x14ac:dyDescent="0.25">
      <c r="A843">
        <v>20597</v>
      </c>
      <c r="B843" t="s">
        <v>10</v>
      </c>
      <c r="C843" t="s">
        <v>5973</v>
      </c>
      <c r="D843" t="str">
        <f t="shared" si="59"/>
        <v/>
      </c>
      <c r="E843" t="s">
        <v>5974</v>
      </c>
      <c r="F843" t="str">
        <f t="shared" si="61"/>
        <v>8205881</v>
      </c>
    </row>
    <row r="844" spans="1:9" ht="15" hidden="1" customHeight="1" x14ac:dyDescent="0.25">
      <c r="A844">
        <v>20598</v>
      </c>
      <c r="B844" t="s">
        <v>10</v>
      </c>
      <c r="C844" t="s">
        <v>5975</v>
      </c>
      <c r="D844" t="str">
        <f t="shared" si="59"/>
        <v/>
      </c>
      <c r="E844" t="s">
        <v>5976</v>
      </c>
      <c r="F844" t="str">
        <f t="shared" si="61"/>
        <v>8205881</v>
      </c>
    </row>
    <row r="845" spans="1:9" ht="15" hidden="1" customHeight="1" x14ac:dyDescent="0.25">
      <c r="A845">
        <v>20599</v>
      </c>
      <c r="B845" t="s">
        <v>10</v>
      </c>
      <c r="C845" t="s">
        <v>5977</v>
      </c>
      <c r="D845" t="str">
        <f t="shared" si="59"/>
        <v/>
      </c>
      <c r="E845" t="s">
        <v>5978</v>
      </c>
      <c r="F845" t="str">
        <f t="shared" si="61"/>
        <v>8205881</v>
      </c>
    </row>
    <row r="846" spans="1:9" ht="15" hidden="1" customHeight="1" x14ac:dyDescent="0.25">
      <c r="A846">
        <v>20600</v>
      </c>
      <c r="B846" t="s">
        <v>10</v>
      </c>
      <c r="C846" t="s">
        <v>5979</v>
      </c>
      <c r="D846" t="str">
        <f t="shared" si="59"/>
        <v/>
      </c>
      <c r="E846" t="s">
        <v>5980</v>
      </c>
      <c r="F846" t="str">
        <f t="shared" si="61"/>
        <v>8205881</v>
      </c>
    </row>
    <row r="847" spans="1:9" ht="15" hidden="1" customHeight="1" x14ac:dyDescent="0.25">
      <c r="A847">
        <v>20601</v>
      </c>
      <c r="B847" t="s">
        <v>10</v>
      </c>
      <c r="C847" t="s">
        <v>5981</v>
      </c>
      <c r="D847" t="str">
        <f t="shared" si="59"/>
        <v/>
      </c>
      <c r="E847" t="s">
        <v>5982</v>
      </c>
      <c r="F847" t="str">
        <f t="shared" si="61"/>
        <v>8205881</v>
      </c>
    </row>
    <row r="848" spans="1:9" ht="15" hidden="1" customHeight="1" x14ac:dyDescent="0.25">
      <c r="A848">
        <v>20602</v>
      </c>
      <c r="B848" t="s">
        <v>10</v>
      </c>
      <c r="C848" t="s">
        <v>5983</v>
      </c>
      <c r="D848" t="str">
        <f t="shared" si="59"/>
        <v/>
      </c>
      <c r="E848" t="s">
        <v>5984</v>
      </c>
      <c r="F848" t="str">
        <f t="shared" si="61"/>
        <v>8205881</v>
      </c>
    </row>
    <row r="849" spans="1:9" ht="15" customHeight="1" x14ac:dyDescent="0.25">
      <c r="A849">
        <v>20939</v>
      </c>
      <c r="B849" t="s">
        <v>7</v>
      </c>
      <c r="C849" t="s">
        <v>6311</v>
      </c>
      <c r="D849" t="str">
        <f t="shared" si="59"/>
        <v/>
      </c>
      <c r="E849" t="s">
        <v>6312</v>
      </c>
      <c r="F849" t="str">
        <f t="shared" si="61"/>
        <v>8205120</v>
      </c>
      <c r="H849">
        <v>2</v>
      </c>
      <c r="I849">
        <v>1</v>
      </c>
    </row>
    <row r="850" spans="1:9" ht="15" hidden="1" customHeight="1" x14ac:dyDescent="0.25">
      <c r="A850">
        <v>20940</v>
      </c>
      <c r="B850" t="s">
        <v>10</v>
      </c>
      <c r="C850" t="s">
        <v>6313</v>
      </c>
      <c r="D850" t="str">
        <f t="shared" si="59"/>
        <v/>
      </c>
      <c r="E850" t="s">
        <v>6314</v>
      </c>
      <c r="F850" t="str">
        <f t="shared" si="61"/>
        <v>8205120</v>
      </c>
    </row>
    <row r="851" spans="1:9" ht="15" hidden="1" customHeight="1" x14ac:dyDescent="0.25">
      <c r="A851">
        <v>20943</v>
      </c>
      <c r="B851" t="s">
        <v>10</v>
      </c>
      <c r="C851" t="s">
        <v>6315</v>
      </c>
      <c r="D851" t="str">
        <f t="shared" si="59"/>
        <v/>
      </c>
      <c r="E851" t="s">
        <v>6316</v>
      </c>
      <c r="F851" t="str">
        <f t="shared" si="61"/>
        <v>8205120</v>
      </c>
    </row>
    <row r="852" spans="1:9" ht="15" hidden="1" customHeight="1" x14ac:dyDescent="0.25">
      <c r="A852">
        <v>20944</v>
      </c>
      <c r="B852" t="s">
        <v>10</v>
      </c>
      <c r="C852" t="s">
        <v>6317</v>
      </c>
      <c r="D852" t="str">
        <f t="shared" si="59"/>
        <v/>
      </c>
      <c r="E852" t="s">
        <v>6318</v>
      </c>
      <c r="F852" t="str">
        <f t="shared" si="61"/>
        <v>8205120</v>
      </c>
    </row>
    <row r="853" spans="1:9" ht="15" hidden="1" customHeight="1" x14ac:dyDescent="0.25">
      <c r="A853">
        <v>20945</v>
      </c>
      <c r="B853" t="s">
        <v>10</v>
      </c>
      <c r="C853" t="s">
        <v>6319</v>
      </c>
      <c r="D853" t="str">
        <f t="shared" si="59"/>
        <v/>
      </c>
      <c r="E853" t="s">
        <v>6320</v>
      </c>
      <c r="F853" t="str">
        <f t="shared" si="61"/>
        <v>8205120</v>
      </c>
    </row>
    <row r="854" spans="1:9" ht="15" hidden="1" customHeight="1" x14ac:dyDescent="0.25">
      <c r="A854">
        <v>20946</v>
      </c>
      <c r="B854" t="s">
        <v>10</v>
      </c>
      <c r="C854" t="s">
        <v>6321</v>
      </c>
      <c r="D854" t="str">
        <f t="shared" si="59"/>
        <v/>
      </c>
      <c r="E854" t="s">
        <v>6322</v>
      </c>
      <c r="F854" t="str">
        <f t="shared" si="61"/>
        <v>8205120</v>
      </c>
    </row>
    <row r="855" spans="1:9" ht="15" hidden="1" customHeight="1" x14ac:dyDescent="0.25">
      <c r="A855">
        <v>20947</v>
      </c>
      <c r="B855" t="s">
        <v>10</v>
      </c>
      <c r="C855" t="s">
        <v>6323</v>
      </c>
      <c r="D855" t="str">
        <f t="shared" si="59"/>
        <v/>
      </c>
      <c r="E855" t="s">
        <v>6324</v>
      </c>
      <c r="F855" t="str">
        <f t="shared" si="61"/>
        <v>8205120</v>
      </c>
    </row>
    <row r="856" spans="1:9" ht="15" hidden="1" customHeight="1" x14ac:dyDescent="0.25">
      <c r="A856">
        <v>20948</v>
      </c>
      <c r="B856" t="s">
        <v>10</v>
      </c>
      <c r="C856" t="s">
        <v>6325</v>
      </c>
      <c r="D856" t="str">
        <f t="shared" si="59"/>
        <v/>
      </c>
      <c r="E856" t="s">
        <v>6326</v>
      </c>
      <c r="F856" t="str">
        <f t="shared" si="61"/>
        <v>8205120</v>
      </c>
    </row>
    <row r="857" spans="1:9" ht="15" hidden="1" customHeight="1" x14ac:dyDescent="0.25">
      <c r="A857">
        <v>20949</v>
      </c>
      <c r="B857" t="s">
        <v>10</v>
      </c>
      <c r="C857" t="s">
        <v>6327</v>
      </c>
      <c r="D857" t="str">
        <f t="shared" si="59"/>
        <v/>
      </c>
      <c r="E857" t="s">
        <v>6328</v>
      </c>
      <c r="F857" t="str">
        <f t="shared" si="61"/>
        <v>8205120</v>
      </c>
    </row>
    <row r="858" spans="1:9" ht="15" hidden="1" customHeight="1" x14ac:dyDescent="0.25">
      <c r="A858">
        <v>20950</v>
      </c>
      <c r="B858" t="s">
        <v>10</v>
      </c>
      <c r="C858" t="s">
        <v>6329</v>
      </c>
      <c r="D858" t="str">
        <f t="shared" si="59"/>
        <v/>
      </c>
      <c r="E858" t="s">
        <v>6330</v>
      </c>
      <c r="F858" t="str">
        <f t="shared" si="61"/>
        <v>8205120</v>
      </c>
    </row>
    <row r="859" spans="1:9" ht="15" hidden="1" customHeight="1" x14ac:dyDescent="0.25">
      <c r="A859">
        <v>20951</v>
      </c>
      <c r="B859" t="s">
        <v>10</v>
      </c>
      <c r="C859" t="s">
        <v>6331</v>
      </c>
      <c r="D859" t="str">
        <f t="shared" si="59"/>
        <v/>
      </c>
      <c r="E859" t="s">
        <v>6332</v>
      </c>
      <c r="F859" t="str">
        <f t="shared" si="61"/>
        <v>8205120</v>
      </c>
    </row>
    <row r="860" spans="1:9" ht="15" hidden="1" customHeight="1" x14ac:dyDescent="0.25">
      <c r="A860">
        <v>20952</v>
      </c>
      <c r="B860" t="s">
        <v>10</v>
      </c>
      <c r="C860" t="s">
        <v>6333</v>
      </c>
      <c r="D860" t="str">
        <f t="shared" ref="D860:D923" si="62">IF(RIGHT(LEFT(C860,9),2)="##","",RIGHT(LEFT(C860,10),2))</f>
        <v/>
      </c>
      <c r="E860" t="s">
        <v>6334</v>
      </c>
      <c r="F860" t="str">
        <f t="shared" si="61"/>
        <v>8205120</v>
      </c>
    </row>
    <row r="861" spans="1:9" ht="15" hidden="1" customHeight="1" x14ac:dyDescent="0.25">
      <c r="A861">
        <v>20953</v>
      </c>
      <c r="B861" t="s">
        <v>10</v>
      </c>
      <c r="C861" t="s">
        <v>6335</v>
      </c>
      <c r="D861" t="str">
        <f t="shared" si="62"/>
        <v/>
      </c>
      <c r="E861" t="s">
        <v>6336</v>
      </c>
      <c r="F861" t="str">
        <f t="shared" si="61"/>
        <v>8205120</v>
      </c>
    </row>
    <row r="862" spans="1:9" ht="15" hidden="1" customHeight="1" x14ac:dyDescent="0.25">
      <c r="A862">
        <v>20954</v>
      </c>
      <c r="B862" t="s">
        <v>10</v>
      </c>
      <c r="C862" t="s">
        <v>6337</v>
      </c>
      <c r="D862" t="str">
        <f t="shared" si="62"/>
        <v/>
      </c>
      <c r="E862" t="s">
        <v>6338</v>
      </c>
      <c r="F862" t="str">
        <f t="shared" si="61"/>
        <v>8205120</v>
      </c>
    </row>
    <row r="863" spans="1:9" ht="15" hidden="1" customHeight="1" x14ac:dyDescent="0.25">
      <c r="A863">
        <v>20955</v>
      </c>
      <c r="B863" t="s">
        <v>10</v>
      </c>
      <c r="C863" t="s">
        <v>6339</v>
      </c>
      <c r="D863" t="str">
        <f t="shared" si="62"/>
        <v/>
      </c>
      <c r="E863" t="s">
        <v>6340</v>
      </c>
      <c r="F863" t="str">
        <f t="shared" si="61"/>
        <v>8205120</v>
      </c>
    </row>
    <row r="864" spans="1:9" ht="15" customHeight="1" x14ac:dyDescent="0.25">
      <c r="A864">
        <v>21139</v>
      </c>
      <c r="B864" t="s">
        <v>7</v>
      </c>
      <c r="C864" t="s">
        <v>6559</v>
      </c>
      <c r="D864" t="str">
        <f t="shared" si="62"/>
        <v/>
      </c>
      <c r="E864" t="s">
        <v>6560</v>
      </c>
      <c r="F864" t="str">
        <f t="shared" si="61"/>
        <v>8205090</v>
      </c>
      <c r="H864">
        <v>7</v>
      </c>
      <c r="I864">
        <v>1</v>
      </c>
    </row>
    <row r="865" spans="1:9" ht="15" hidden="1" customHeight="1" x14ac:dyDescent="0.25">
      <c r="A865">
        <v>21140</v>
      </c>
      <c r="B865" t="s">
        <v>10</v>
      </c>
      <c r="C865" t="s">
        <v>6561</v>
      </c>
      <c r="D865" t="str">
        <f t="shared" si="62"/>
        <v/>
      </c>
      <c r="E865" t="s">
        <v>6562</v>
      </c>
      <c r="F865" t="str">
        <f t="shared" si="61"/>
        <v>8205090</v>
      </c>
    </row>
    <row r="866" spans="1:9" ht="15" hidden="1" customHeight="1" x14ac:dyDescent="0.25">
      <c r="A866">
        <v>21145</v>
      </c>
      <c r="B866" t="s">
        <v>10</v>
      </c>
      <c r="C866" t="s">
        <v>6563</v>
      </c>
      <c r="D866" t="str">
        <f t="shared" si="62"/>
        <v/>
      </c>
      <c r="E866" t="s">
        <v>6564</v>
      </c>
      <c r="F866" t="str">
        <f t="shared" si="61"/>
        <v>8205090</v>
      </c>
    </row>
    <row r="867" spans="1:9" ht="15" hidden="1" customHeight="1" x14ac:dyDescent="0.25">
      <c r="A867">
        <v>21146</v>
      </c>
      <c r="B867" t="s">
        <v>10</v>
      </c>
      <c r="C867" t="s">
        <v>6565</v>
      </c>
      <c r="D867" t="str">
        <f t="shared" si="62"/>
        <v/>
      </c>
      <c r="E867" t="s">
        <v>6566</v>
      </c>
      <c r="F867" t="str">
        <f t="shared" si="61"/>
        <v>8205090</v>
      </c>
    </row>
    <row r="868" spans="1:9" ht="15" hidden="1" customHeight="1" x14ac:dyDescent="0.25">
      <c r="A868">
        <v>21147</v>
      </c>
      <c r="B868" t="s">
        <v>10</v>
      </c>
      <c r="C868" t="s">
        <v>6567</v>
      </c>
      <c r="D868" t="str">
        <f t="shared" si="62"/>
        <v/>
      </c>
      <c r="E868" t="s">
        <v>6568</v>
      </c>
      <c r="F868" t="str">
        <f t="shared" si="61"/>
        <v>8205090</v>
      </c>
    </row>
    <row r="869" spans="1:9" ht="15" hidden="1" customHeight="1" x14ac:dyDescent="0.25">
      <c r="A869">
        <v>21148</v>
      </c>
      <c r="B869" t="s">
        <v>10</v>
      </c>
      <c r="C869" t="s">
        <v>6569</v>
      </c>
      <c r="D869" t="str">
        <f t="shared" si="62"/>
        <v/>
      </c>
      <c r="E869" t="s">
        <v>6570</v>
      </c>
      <c r="F869" t="str">
        <f t="shared" si="61"/>
        <v>8205090</v>
      </c>
    </row>
    <row r="870" spans="1:9" ht="15" hidden="1" customHeight="1" x14ac:dyDescent="0.25">
      <c r="A870">
        <v>21149</v>
      </c>
      <c r="B870" t="s">
        <v>10</v>
      </c>
      <c r="C870" t="s">
        <v>6571</v>
      </c>
      <c r="D870" t="str">
        <f t="shared" si="62"/>
        <v/>
      </c>
      <c r="E870" t="s">
        <v>6572</v>
      </c>
      <c r="F870" t="str">
        <f t="shared" ref="F870:F891" si="63">LEFT(C870,7)</f>
        <v>8205090</v>
      </c>
    </row>
    <row r="871" spans="1:9" ht="15" hidden="1" customHeight="1" x14ac:dyDescent="0.25">
      <c r="A871">
        <v>21150</v>
      </c>
      <c r="B871" t="s">
        <v>10</v>
      </c>
      <c r="C871" t="s">
        <v>6573</v>
      </c>
      <c r="D871" t="str">
        <f t="shared" si="62"/>
        <v/>
      </c>
      <c r="E871" t="s">
        <v>6574</v>
      </c>
      <c r="F871" t="str">
        <f t="shared" si="63"/>
        <v>8205090</v>
      </c>
    </row>
    <row r="872" spans="1:9" ht="15" hidden="1" customHeight="1" x14ac:dyDescent="0.25">
      <c r="A872">
        <v>21151</v>
      </c>
      <c r="B872" t="s">
        <v>10</v>
      </c>
      <c r="C872" t="s">
        <v>6575</v>
      </c>
      <c r="D872" t="str">
        <f t="shared" si="62"/>
        <v/>
      </c>
      <c r="E872" t="s">
        <v>6576</v>
      </c>
      <c r="F872" t="str">
        <f t="shared" si="63"/>
        <v>8205090</v>
      </c>
    </row>
    <row r="873" spans="1:9" ht="15" hidden="1" customHeight="1" x14ac:dyDescent="0.25">
      <c r="A873">
        <v>21152</v>
      </c>
      <c r="B873" t="s">
        <v>10</v>
      </c>
      <c r="C873" t="s">
        <v>6577</v>
      </c>
      <c r="D873" t="str">
        <f t="shared" si="62"/>
        <v/>
      </c>
      <c r="E873" t="s">
        <v>6578</v>
      </c>
      <c r="F873" t="str">
        <f t="shared" si="63"/>
        <v>8205090</v>
      </c>
    </row>
    <row r="874" spans="1:9" ht="15" hidden="1" customHeight="1" x14ac:dyDescent="0.25">
      <c r="A874">
        <v>21153</v>
      </c>
      <c r="B874" t="s">
        <v>10</v>
      </c>
      <c r="C874" t="s">
        <v>6579</v>
      </c>
      <c r="D874" t="str">
        <f t="shared" si="62"/>
        <v/>
      </c>
      <c r="E874" t="s">
        <v>6580</v>
      </c>
      <c r="F874" t="str">
        <f t="shared" si="63"/>
        <v>8205090</v>
      </c>
    </row>
    <row r="875" spans="1:9" ht="15" hidden="1" customHeight="1" x14ac:dyDescent="0.25">
      <c r="A875">
        <v>21154</v>
      </c>
      <c r="B875" t="s">
        <v>10</v>
      </c>
      <c r="C875" t="s">
        <v>6581</v>
      </c>
      <c r="D875" t="str">
        <f t="shared" si="62"/>
        <v/>
      </c>
      <c r="E875" t="s">
        <v>6582</v>
      </c>
      <c r="F875" t="str">
        <f t="shared" si="63"/>
        <v>8205090</v>
      </c>
    </row>
    <row r="876" spans="1:9" ht="15" hidden="1" customHeight="1" x14ac:dyDescent="0.25">
      <c r="A876">
        <v>21155</v>
      </c>
      <c r="B876" t="s">
        <v>10</v>
      </c>
      <c r="C876" t="s">
        <v>6583</v>
      </c>
      <c r="D876" t="str">
        <f t="shared" si="62"/>
        <v/>
      </c>
      <c r="E876" t="s">
        <v>6584</v>
      </c>
      <c r="F876" t="str">
        <f t="shared" si="63"/>
        <v>8205090</v>
      </c>
    </row>
    <row r="877" spans="1:9" ht="15" hidden="1" customHeight="1" x14ac:dyDescent="0.25">
      <c r="A877">
        <v>21156</v>
      </c>
      <c r="B877" t="s">
        <v>10</v>
      </c>
      <c r="C877" t="s">
        <v>6585</v>
      </c>
      <c r="D877" t="str">
        <f t="shared" si="62"/>
        <v/>
      </c>
      <c r="E877" t="s">
        <v>6586</v>
      </c>
      <c r="F877" t="str">
        <f t="shared" si="63"/>
        <v>8205090</v>
      </c>
    </row>
    <row r="878" spans="1:9" ht="15" hidden="1" customHeight="1" x14ac:dyDescent="0.25">
      <c r="A878">
        <v>21157</v>
      </c>
      <c r="B878" t="s">
        <v>10</v>
      </c>
      <c r="C878" t="s">
        <v>6587</v>
      </c>
      <c r="D878" t="str">
        <f t="shared" si="62"/>
        <v/>
      </c>
      <c r="E878" t="s">
        <v>6588</v>
      </c>
      <c r="F878" t="str">
        <f t="shared" si="63"/>
        <v>8205090</v>
      </c>
    </row>
    <row r="879" spans="1:9" ht="15" customHeight="1" x14ac:dyDescent="0.25">
      <c r="A879">
        <v>15439</v>
      </c>
      <c r="B879" t="s">
        <v>7</v>
      </c>
      <c r="C879" t="s">
        <v>841</v>
      </c>
      <c r="D879" t="str">
        <f t="shared" si="62"/>
        <v/>
      </c>
      <c r="E879" t="s">
        <v>842</v>
      </c>
      <c r="F879" t="str">
        <f t="shared" si="63"/>
        <v>8205115</v>
      </c>
      <c r="H879">
        <v>7</v>
      </c>
      <c r="I879">
        <v>1</v>
      </c>
    </row>
    <row r="880" spans="1:9" ht="15" hidden="1" customHeight="1" x14ac:dyDescent="0.25">
      <c r="A880">
        <v>15440</v>
      </c>
      <c r="B880" t="s">
        <v>10</v>
      </c>
      <c r="C880" t="s">
        <v>843</v>
      </c>
      <c r="D880" t="str">
        <f t="shared" si="62"/>
        <v/>
      </c>
      <c r="E880" t="s">
        <v>844</v>
      </c>
      <c r="F880" t="str">
        <f t="shared" si="63"/>
        <v>8205115</v>
      </c>
    </row>
    <row r="881" spans="1:9" ht="15" hidden="1" customHeight="1" x14ac:dyDescent="0.25">
      <c r="A881">
        <v>15446</v>
      </c>
      <c r="B881" t="s">
        <v>10</v>
      </c>
      <c r="C881" t="s">
        <v>845</v>
      </c>
      <c r="D881" t="str">
        <f t="shared" si="62"/>
        <v/>
      </c>
      <c r="E881" t="s">
        <v>846</v>
      </c>
      <c r="F881" t="str">
        <f t="shared" si="63"/>
        <v>8205115</v>
      </c>
    </row>
    <row r="882" spans="1:9" ht="15" hidden="1" customHeight="1" x14ac:dyDescent="0.25">
      <c r="A882">
        <v>15447</v>
      </c>
      <c r="B882" t="s">
        <v>10</v>
      </c>
      <c r="C882" t="s">
        <v>847</v>
      </c>
      <c r="D882" t="str">
        <f t="shared" si="62"/>
        <v/>
      </c>
      <c r="E882" t="s">
        <v>848</v>
      </c>
      <c r="F882" t="str">
        <f t="shared" si="63"/>
        <v>8205115</v>
      </c>
    </row>
    <row r="883" spans="1:9" ht="15" hidden="1" customHeight="1" x14ac:dyDescent="0.25">
      <c r="A883">
        <v>15448</v>
      </c>
      <c r="B883" t="s">
        <v>10</v>
      </c>
      <c r="C883" t="s">
        <v>849</v>
      </c>
      <c r="D883" t="str">
        <f t="shared" si="62"/>
        <v/>
      </c>
      <c r="E883" t="s">
        <v>850</v>
      </c>
      <c r="F883" t="str">
        <f t="shared" si="63"/>
        <v>8205115</v>
      </c>
    </row>
    <row r="884" spans="1:9" ht="15" hidden="1" customHeight="1" x14ac:dyDescent="0.25">
      <c r="A884">
        <v>15449</v>
      </c>
      <c r="B884" t="s">
        <v>10</v>
      </c>
      <c r="C884" t="s">
        <v>851</v>
      </c>
      <c r="D884" t="str">
        <f t="shared" si="62"/>
        <v/>
      </c>
      <c r="E884" t="s">
        <v>852</v>
      </c>
      <c r="F884" t="str">
        <f t="shared" si="63"/>
        <v>8205115</v>
      </c>
    </row>
    <row r="885" spans="1:9" ht="15" hidden="1" customHeight="1" x14ac:dyDescent="0.25">
      <c r="A885">
        <v>15450</v>
      </c>
      <c r="B885" t="s">
        <v>10</v>
      </c>
      <c r="C885" t="s">
        <v>853</v>
      </c>
      <c r="D885" t="str">
        <f t="shared" si="62"/>
        <v/>
      </c>
      <c r="E885" t="s">
        <v>854</v>
      </c>
      <c r="F885" t="str">
        <f t="shared" si="63"/>
        <v>8205115</v>
      </c>
    </row>
    <row r="886" spans="1:9" ht="15" hidden="1" customHeight="1" x14ac:dyDescent="0.25">
      <c r="A886">
        <v>15451</v>
      </c>
      <c r="B886" t="s">
        <v>10</v>
      </c>
      <c r="C886" t="s">
        <v>855</v>
      </c>
      <c r="D886" t="str">
        <f t="shared" si="62"/>
        <v/>
      </c>
      <c r="E886" t="s">
        <v>856</v>
      </c>
      <c r="F886" t="str">
        <f t="shared" si="63"/>
        <v>8205115</v>
      </c>
    </row>
    <row r="887" spans="1:9" ht="15" hidden="1" customHeight="1" x14ac:dyDescent="0.25">
      <c r="A887">
        <v>15452</v>
      </c>
      <c r="B887" t="s">
        <v>10</v>
      </c>
      <c r="C887" t="s">
        <v>857</v>
      </c>
      <c r="D887" t="str">
        <f t="shared" si="62"/>
        <v/>
      </c>
      <c r="E887" t="s">
        <v>858</v>
      </c>
      <c r="F887" t="str">
        <f t="shared" si="63"/>
        <v>8205115</v>
      </c>
    </row>
    <row r="888" spans="1:9" ht="15" hidden="1" customHeight="1" x14ac:dyDescent="0.25">
      <c r="A888">
        <v>15453</v>
      </c>
      <c r="B888" t="s">
        <v>10</v>
      </c>
      <c r="C888" t="s">
        <v>859</v>
      </c>
      <c r="D888" t="str">
        <f t="shared" si="62"/>
        <v/>
      </c>
      <c r="E888" t="s">
        <v>860</v>
      </c>
      <c r="F888" t="str">
        <f t="shared" si="63"/>
        <v>8205115</v>
      </c>
    </row>
    <row r="889" spans="1:9" ht="15" hidden="1" customHeight="1" x14ac:dyDescent="0.25">
      <c r="A889">
        <v>15454</v>
      </c>
      <c r="B889" t="s">
        <v>10</v>
      </c>
      <c r="C889" t="s">
        <v>861</v>
      </c>
      <c r="D889" t="str">
        <f t="shared" si="62"/>
        <v/>
      </c>
      <c r="E889" t="s">
        <v>862</v>
      </c>
      <c r="F889" t="str">
        <f t="shared" si="63"/>
        <v>8205115</v>
      </c>
    </row>
    <row r="890" spans="1:9" ht="15" hidden="1" customHeight="1" x14ac:dyDescent="0.25">
      <c r="A890">
        <v>15455</v>
      </c>
      <c r="B890" t="s">
        <v>10</v>
      </c>
      <c r="C890" t="s">
        <v>863</v>
      </c>
      <c r="D890" t="str">
        <f t="shared" si="62"/>
        <v/>
      </c>
      <c r="E890" t="s">
        <v>864</v>
      </c>
      <c r="F890" t="str">
        <f t="shared" si="63"/>
        <v>8205115</v>
      </c>
    </row>
    <row r="891" spans="1:9" ht="15" hidden="1" customHeight="1" x14ac:dyDescent="0.25">
      <c r="A891">
        <v>15456</v>
      </c>
      <c r="B891" t="s">
        <v>10</v>
      </c>
      <c r="C891" t="s">
        <v>865</v>
      </c>
      <c r="D891" t="str">
        <f t="shared" si="62"/>
        <v/>
      </c>
      <c r="E891" t="s">
        <v>866</v>
      </c>
      <c r="F891" t="str">
        <f t="shared" si="63"/>
        <v>8205115</v>
      </c>
    </row>
    <row r="892" spans="1:9" ht="15" customHeight="1" x14ac:dyDescent="0.25">
      <c r="A892">
        <v>18960</v>
      </c>
      <c r="B892" t="s">
        <v>7</v>
      </c>
      <c r="C892" t="s">
        <v>4113</v>
      </c>
      <c r="D892" t="str">
        <f t="shared" si="62"/>
        <v/>
      </c>
      <c r="E892" t="s">
        <v>4114</v>
      </c>
      <c r="F892" t="s">
        <v>6946</v>
      </c>
      <c r="H892">
        <v>7</v>
      </c>
      <c r="I892">
        <v>1</v>
      </c>
    </row>
    <row r="893" spans="1:9" ht="15" hidden="1" customHeight="1" x14ac:dyDescent="0.25">
      <c r="A893">
        <v>18961</v>
      </c>
      <c r="B893" t="s">
        <v>10</v>
      </c>
      <c r="C893" t="s">
        <v>4115</v>
      </c>
      <c r="D893" t="str">
        <f t="shared" si="62"/>
        <v/>
      </c>
      <c r="E893" t="s">
        <v>4116</v>
      </c>
      <c r="F893" t="str">
        <f t="shared" ref="F893:F924" si="64">LEFT(C893,7)</f>
        <v>8205116</v>
      </c>
    </row>
    <row r="894" spans="1:9" ht="15" hidden="1" customHeight="1" x14ac:dyDescent="0.25">
      <c r="A894">
        <v>18962</v>
      </c>
      <c r="B894" t="s">
        <v>10</v>
      </c>
      <c r="C894" t="s">
        <v>4117</v>
      </c>
      <c r="D894" t="str">
        <f t="shared" si="62"/>
        <v/>
      </c>
      <c r="E894" t="s">
        <v>4118</v>
      </c>
      <c r="F894" t="str">
        <f t="shared" si="64"/>
        <v>8205116</v>
      </c>
    </row>
    <row r="895" spans="1:9" ht="15" hidden="1" customHeight="1" x14ac:dyDescent="0.25">
      <c r="A895">
        <v>18963</v>
      </c>
      <c r="B895" t="s">
        <v>10</v>
      </c>
      <c r="C895" t="s">
        <v>4119</v>
      </c>
      <c r="D895" t="str">
        <f t="shared" si="62"/>
        <v/>
      </c>
      <c r="E895" t="s">
        <v>4120</v>
      </c>
      <c r="F895" t="str">
        <f t="shared" si="64"/>
        <v>8205116</v>
      </c>
    </row>
    <row r="896" spans="1:9" ht="15" hidden="1" customHeight="1" x14ac:dyDescent="0.25">
      <c r="A896">
        <v>18964</v>
      </c>
      <c r="B896" t="s">
        <v>10</v>
      </c>
      <c r="C896" t="s">
        <v>4121</v>
      </c>
      <c r="D896" t="str">
        <f t="shared" si="62"/>
        <v/>
      </c>
      <c r="E896" t="s">
        <v>4122</v>
      </c>
      <c r="F896" t="str">
        <f t="shared" si="64"/>
        <v>8205116</v>
      </c>
    </row>
    <row r="897" spans="1:9" ht="15" customHeight="1" x14ac:dyDescent="0.25">
      <c r="A897">
        <v>18541</v>
      </c>
      <c r="B897" t="s">
        <v>7</v>
      </c>
      <c r="C897" t="s">
        <v>3733</v>
      </c>
      <c r="D897" t="str">
        <f t="shared" si="62"/>
        <v/>
      </c>
      <c r="E897" t="s">
        <v>3734</v>
      </c>
      <c r="F897" t="str">
        <f t="shared" si="64"/>
        <v>8205041</v>
      </c>
      <c r="H897">
        <v>7</v>
      </c>
      <c r="I897">
        <v>1</v>
      </c>
    </row>
    <row r="898" spans="1:9" ht="15" hidden="1" customHeight="1" x14ac:dyDescent="0.25">
      <c r="A898">
        <v>18542</v>
      </c>
      <c r="B898" t="s">
        <v>10</v>
      </c>
      <c r="C898" t="s">
        <v>3735</v>
      </c>
      <c r="D898" t="str">
        <f t="shared" si="62"/>
        <v/>
      </c>
      <c r="E898" t="s">
        <v>3736</v>
      </c>
      <c r="F898" t="str">
        <f t="shared" si="64"/>
        <v>8205041</v>
      </c>
    </row>
    <row r="899" spans="1:9" ht="15" hidden="1" customHeight="1" x14ac:dyDescent="0.25">
      <c r="A899">
        <v>18547</v>
      </c>
      <c r="B899" t="s">
        <v>10</v>
      </c>
      <c r="C899" t="s">
        <v>3737</v>
      </c>
      <c r="D899" t="str">
        <f t="shared" si="62"/>
        <v/>
      </c>
      <c r="E899" t="s">
        <v>3738</v>
      </c>
      <c r="F899" t="str">
        <f t="shared" si="64"/>
        <v>8205041</v>
      </c>
    </row>
    <row r="900" spans="1:9" ht="15" hidden="1" customHeight="1" x14ac:dyDescent="0.25">
      <c r="A900">
        <v>18548</v>
      </c>
      <c r="B900" t="s">
        <v>10</v>
      </c>
      <c r="C900" t="s">
        <v>3739</v>
      </c>
      <c r="D900" t="str">
        <f t="shared" si="62"/>
        <v/>
      </c>
      <c r="E900" t="s">
        <v>3740</v>
      </c>
      <c r="F900" t="str">
        <f t="shared" si="64"/>
        <v>8205041</v>
      </c>
    </row>
    <row r="901" spans="1:9" ht="15" hidden="1" customHeight="1" x14ac:dyDescent="0.25">
      <c r="A901">
        <v>18549</v>
      </c>
      <c r="B901" t="s">
        <v>10</v>
      </c>
      <c r="C901" t="s">
        <v>3741</v>
      </c>
      <c r="D901" t="str">
        <f t="shared" si="62"/>
        <v/>
      </c>
      <c r="E901" t="s">
        <v>3742</v>
      </c>
      <c r="F901" t="str">
        <f t="shared" si="64"/>
        <v>8205041</v>
      </c>
    </row>
    <row r="902" spans="1:9" ht="15" hidden="1" customHeight="1" x14ac:dyDescent="0.25">
      <c r="A902">
        <v>18550</v>
      </c>
      <c r="B902" t="s">
        <v>10</v>
      </c>
      <c r="C902" t="s">
        <v>3743</v>
      </c>
      <c r="D902" t="str">
        <f t="shared" si="62"/>
        <v/>
      </c>
      <c r="E902" t="s">
        <v>3744</v>
      </c>
      <c r="F902" t="str">
        <f t="shared" si="64"/>
        <v>8205041</v>
      </c>
    </row>
    <row r="903" spans="1:9" ht="15" hidden="1" customHeight="1" x14ac:dyDescent="0.25">
      <c r="A903">
        <v>18551</v>
      </c>
      <c r="B903" t="s">
        <v>10</v>
      </c>
      <c r="C903" t="s">
        <v>3745</v>
      </c>
      <c r="D903" t="str">
        <f t="shared" si="62"/>
        <v/>
      </c>
      <c r="E903" t="s">
        <v>3746</v>
      </c>
      <c r="F903" t="str">
        <f t="shared" si="64"/>
        <v>8205041</v>
      </c>
    </row>
    <row r="904" spans="1:9" ht="15" hidden="1" customHeight="1" x14ac:dyDescent="0.25">
      <c r="A904">
        <v>18552</v>
      </c>
      <c r="B904" t="s">
        <v>10</v>
      </c>
      <c r="C904" t="s">
        <v>3747</v>
      </c>
      <c r="D904" t="str">
        <f t="shared" si="62"/>
        <v/>
      </c>
      <c r="E904" t="s">
        <v>3748</v>
      </c>
      <c r="F904" t="str">
        <f t="shared" si="64"/>
        <v>8205041</v>
      </c>
    </row>
    <row r="905" spans="1:9" ht="15" hidden="1" customHeight="1" x14ac:dyDescent="0.25">
      <c r="A905">
        <v>18553</v>
      </c>
      <c r="B905" t="s">
        <v>10</v>
      </c>
      <c r="C905" t="s">
        <v>3749</v>
      </c>
      <c r="D905" t="str">
        <f t="shared" si="62"/>
        <v/>
      </c>
      <c r="E905" t="s">
        <v>3750</v>
      </c>
      <c r="F905" t="str">
        <f t="shared" si="64"/>
        <v>8205041</v>
      </c>
    </row>
    <row r="906" spans="1:9" ht="15" hidden="1" customHeight="1" x14ac:dyDescent="0.25">
      <c r="A906">
        <v>18554</v>
      </c>
      <c r="B906" t="s">
        <v>10</v>
      </c>
      <c r="C906" t="s">
        <v>3751</v>
      </c>
      <c r="D906" t="str">
        <f t="shared" si="62"/>
        <v/>
      </c>
      <c r="E906" t="s">
        <v>3752</v>
      </c>
      <c r="F906" t="str">
        <f t="shared" si="64"/>
        <v>8205041</v>
      </c>
    </row>
    <row r="907" spans="1:9" ht="15" hidden="1" customHeight="1" x14ac:dyDescent="0.25">
      <c r="A907">
        <v>18555</v>
      </c>
      <c r="B907" t="s">
        <v>10</v>
      </c>
      <c r="C907" t="s">
        <v>3753</v>
      </c>
      <c r="D907" t="str">
        <f t="shared" si="62"/>
        <v/>
      </c>
      <c r="E907" t="s">
        <v>3754</v>
      </c>
      <c r="F907" t="str">
        <f t="shared" si="64"/>
        <v>8205041</v>
      </c>
    </row>
    <row r="908" spans="1:9" ht="15" hidden="1" customHeight="1" x14ac:dyDescent="0.25">
      <c r="A908">
        <v>18556</v>
      </c>
      <c r="B908" t="s">
        <v>10</v>
      </c>
      <c r="C908" t="s">
        <v>3755</v>
      </c>
      <c r="D908" t="str">
        <f t="shared" si="62"/>
        <v/>
      </c>
      <c r="E908" t="s">
        <v>3756</v>
      </c>
      <c r="F908" t="str">
        <f t="shared" si="64"/>
        <v>8205041</v>
      </c>
    </row>
    <row r="909" spans="1:9" ht="15" customHeight="1" x14ac:dyDescent="0.25">
      <c r="A909">
        <v>15396</v>
      </c>
      <c r="B909" t="s">
        <v>7</v>
      </c>
      <c r="C909" t="s">
        <v>815</v>
      </c>
      <c r="D909" t="str">
        <f t="shared" si="62"/>
        <v/>
      </c>
      <c r="E909" t="s">
        <v>816</v>
      </c>
      <c r="F909" t="str">
        <f t="shared" si="64"/>
        <v>8205018</v>
      </c>
      <c r="H909">
        <v>6</v>
      </c>
      <c r="I909">
        <v>1</v>
      </c>
    </row>
    <row r="910" spans="1:9" ht="15" hidden="1" customHeight="1" x14ac:dyDescent="0.25">
      <c r="A910">
        <v>15397</v>
      </c>
      <c r="B910" t="s">
        <v>10</v>
      </c>
      <c r="C910" t="s">
        <v>817</v>
      </c>
      <c r="D910" t="str">
        <f t="shared" si="62"/>
        <v/>
      </c>
      <c r="E910" t="s">
        <v>818</v>
      </c>
      <c r="F910" t="str">
        <f t="shared" si="64"/>
        <v>8205018</v>
      </c>
    </row>
    <row r="911" spans="1:9" ht="15" hidden="1" customHeight="1" x14ac:dyDescent="0.25">
      <c r="A911">
        <v>15402</v>
      </c>
      <c r="B911" t="s">
        <v>10</v>
      </c>
      <c r="C911" t="s">
        <v>819</v>
      </c>
      <c r="D911" t="str">
        <f t="shared" si="62"/>
        <v/>
      </c>
      <c r="E911" t="s">
        <v>820</v>
      </c>
      <c r="F911" t="str">
        <f t="shared" si="64"/>
        <v>8205018</v>
      </c>
    </row>
    <row r="912" spans="1:9" ht="15" hidden="1" customHeight="1" x14ac:dyDescent="0.25">
      <c r="A912">
        <v>15403</v>
      </c>
      <c r="B912" t="s">
        <v>10</v>
      </c>
      <c r="C912" t="s">
        <v>821</v>
      </c>
      <c r="D912" t="str">
        <f t="shared" si="62"/>
        <v/>
      </c>
      <c r="E912" t="s">
        <v>822</v>
      </c>
      <c r="F912" t="str">
        <f t="shared" si="64"/>
        <v>8205018</v>
      </c>
    </row>
    <row r="913" spans="1:9" ht="15" hidden="1" customHeight="1" x14ac:dyDescent="0.25">
      <c r="A913">
        <v>15404</v>
      </c>
      <c r="B913" t="s">
        <v>10</v>
      </c>
      <c r="C913" t="s">
        <v>823</v>
      </c>
      <c r="D913" t="str">
        <f t="shared" si="62"/>
        <v/>
      </c>
      <c r="E913" t="s">
        <v>824</v>
      </c>
      <c r="F913" t="str">
        <f t="shared" si="64"/>
        <v>8205018</v>
      </c>
    </row>
    <row r="914" spans="1:9" ht="15" hidden="1" customHeight="1" x14ac:dyDescent="0.25">
      <c r="A914">
        <v>15405</v>
      </c>
      <c r="B914" t="s">
        <v>10</v>
      </c>
      <c r="C914" t="s">
        <v>825</v>
      </c>
      <c r="D914" t="str">
        <f t="shared" si="62"/>
        <v/>
      </c>
      <c r="E914" t="s">
        <v>826</v>
      </c>
      <c r="F914" t="str">
        <f t="shared" si="64"/>
        <v>8205018</v>
      </c>
    </row>
    <row r="915" spans="1:9" ht="15" hidden="1" customHeight="1" x14ac:dyDescent="0.25">
      <c r="A915">
        <v>15406</v>
      </c>
      <c r="B915" t="s">
        <v>10</v>
      </c>
      <c r="C915" t="s">
        <v>827</v>
      </c>
      <c r="D915" t="str">
        <f t="shared" si="62"/>
        <v/>
      </c>
      <c r="E915" t="s">
        <v>828</v>
      </c>
      <c r="F915" t="str">
        <f t="shared" si="64"/>
        <v>8205018</v>
      </c>
    </row>
    <row r="916" spans="1:9" ht="15" hidden="1" customHeight="1" x14ac:dyDescent="0.25">
      <c r="A916">
        <v>15407</v>
      </c>
      <c r="B916" t="s">
        <v>10</v>
      </c>
      <c r="C916" t="s">
        <v>829</v>
      </c>
      <c r="D916" t="str">
        <f t="shared" si="62"/>
        <v/>
      </c>
      <c r="E916" t="s">
        <v>830</v>
      </c>
      <c r="F916" t="str">
        <f t="shared" si="64"/>
        <v>8205018</v>
      </c>
    </row>
    <row r="917" spans="1:9" ht="15" customHeight="1" x14ac:dyDescent="0.25">
      <c r="A917">
        <v>21242</v>
      </c>
      <c r="B917" t="s">
        <v>7</v>
      </c>
      <c r="C917" t="s">
        <v>6725</v>
      </c>
      <c r="D917" t="str">
        <f t="shared" si="62"/>
        <v/>
      </c>
      <c r="E917" t="s">
        <v>6726</v>
      </c>
      <c r="F917" t="str">
        <f t="shared" si="64"/>
        <v>8205040</v>
      </c>
      <c r="H917">
        <v>3</v>
      </c>
      <c r="I917">
        <v>1</v>
      </c>
    </row>
    <row r="918" spans="1:9" ht="15" hidden="1" customHeight="1" x14ac:dyDescent="0.25">
      <c r="A918">
        <v>21243</v>
      </c>
      <c r="B918" t="s">
        <v>10</v>
      </c>
      <c r="C918" t="s">
        <v>6727</v>
      </c>
      <c r="D918" t="str">
        <f t="shared" si="62"/>
        <v/>
      </c>
      <c r="E918" t="s">
        <v>6728</v>
      </c>
      <c r="F918" t="str">
        <f t="shared" si="64"/>
        <v>8205040</v>
      </c>
    </row>
    <row r="919" spans="1:9" ht="15" hidden="1" customHeight="1" x14ac:dyDescent="0.25">
      <c r="A919">
        <v>21247</v>
      </c>
      <c r="B919" t="s">
        <v>10</v>
      </c>
      <c r="C919" t="s">
        <v>6729</v>
      </c>
      <c r="D919" t="str">
        <f t="shared" si="62"/>
        <v/>
      </c>
      <c r="E919" t="s">
        <v>6730</v>
      </c>
      <c r="F919" t="str">
        <f t="shared" si="64"/>
        <v>8205040</v>
      </c>
    </row>
    <row r="920" spans="1:9" ht="15" hidden="1" customHeight="1" x14ac:dyDescent="0.25">
      <c r="A920">
        <v>21248</v>
      </c>
      <c r="B920" t="s">
        <v>10</v>
      </c>
      <c r="C920" t="s">
        <v>6731</v>
      </c>
      <c r="D920" t="str">
        <f t="shared" si="62"/>
        <v/>
      </c>
      <c r="E920" t="s">
        <v>6732</v>
      </c>
      <c r="F920" t="str">
        <f t="shared" si="64"/>
        <v>8205040</v>
      </c>
    </row>
    <row r="921" spans="1:9" ht="15" hidden="1" customHeight="1" x14ac:dyDescent="0.25">
      <c r="A921">
        <v>21249</v>
      </c>
      <c r="B921" t="s">
        <v>10</v>
      </c>
      <c r="C921" t="s">
        <v>6733</v>
      </c>
      <c r="D921" t="str">
        <f t="shared" si="62"/>
        <v/>
      </c>
      <c r="E921" t="s">
        <v>6734</v>
      </c>
      <c r="F921" t="str">
        <f t="shared" si="64"/>
        <v>8205040</v>
      </c>
    </row>
    <row r="922" spans="1:9" ht="15" hidden="1" customHeight="1" x14ac:dyDescent="0.25">
      <c r="A922">
        <v>21250</v>
      </c>
      <c r="B922" t="s">
        <v>10</v>
      </c>
      <c r="C922" t="s">
        <v>6735</v>
      </c>
      <c r="D922" t="str">
        <f t="shared" si="62"/>
        <v/>
      </c>
      <c r="E922" t="s">
        <v>6736</v>
      </c>
      <c r="F922" t="str">
        <f t="shared" si="64"/>
        <v>8205040</v>
      </c>
    </row>
    <row r="923" spans="1:9" ht="15" hidden="1" customHeight="1" x14ac:dyDescent="0.25">
      <c r="A923">
        <v>21251</v>
      </c>
      <c r="B923" t="s">
        <v>10</v>
      </c>
      <c r="C923" t="s">
        <v>6737</v>
      </c>
      <c r="D923" t="str">
        <f t="shared" si="62"/>
        <v/>
      </c>
      <c r="E923" t="s">
        <v>6738</v>
      </c>
      <c r="F923" t="str">
        <f t="shared" si="64"/>
        <v>8205040</v>
      </c>
    </row>
    <row r="924" spans="1:9" ht="15" hidden="1" customHeight="1" x14ac:dyDescent="0.25">
      <c r="A924">
        <v>21252</v>
      </c>
      <c r="B924" t="s">
        <v>10</v>
      </c>
      <c r="C924" t="s">
        <v>6739</v>
      </c>
      <c r="D924" t="str">
        <f t="shared" ref="D924:D987" si="65">IF(RIGHT(LEFT(C924,9),2)="##","",RIGHT(LEFT(C924,10),2))</f>
        <v/>
      </c>
      <c r="E924" t="s">
        <v>6740</v>
      </c>
      <c r="F924" t="str">
        <f t="shared" si="64"/>
        <v>8205040</v>
      </c>
    </row>
    <row r="925" spans="1:9" ht="15" hidden="1" customHeight="1" x14ac:dyDescent="0.25">
      <c r="A925">
        <v>21253</v>
      </c>
      <c r="B925" t="s">
        <v>10</v>
      </c>
      <c r="C925" t="s">
        <v>6741</v>
      </c>
      <c r="D925" t="str">
        <f t="shared" si="65"/>
        <v/>
      </c>
      <c r="E925" t="s">
        <v>6742</v>
      </c>
      <c r="F925" t="str">
        <f t="shared" ref="F925:F956" si="66">LEFT(C925,7)</f>
        <v>8205040</v>
      </c>
    </row>
    <row r="926" spans="1:9" ht="15" hidden="1" customHeight="1" x14ac:dyDescent="0.25">
      <c r="A926">
        <v>21254</v>
      </c>
      <c r="B926" t="s">
        <v>10</v>
      </c>
      <c r="C926" t="s">
        <v>6743</v>
      </c>
      <c r="D926" t="str">
        <f t="shared" si="65"/>
        <v/>
      </c>
      <c r="E926" t="s">
        <v>6744</v>
      </c>
      <c r="F926" t="str">
        <f t="shared" si="66"/>
        <v>8205040</v>
      </c>
    </row>
    <row r="927" spans="1:9" ht="15" hidden="1" customHeight="1" x14ac:dyDescent="0.25">
      <c r="A927">
        <v>21255</v>
      </c>
      <c r="B927" t="s">
        <v>10</v>
      </c>
      <c r="C927" t="s">
        <v>6745</v>
      </c>
      <c r="D927" t="str">
        <f t="shared" si="65"/>
        <v/>
      </c>
      <c r="E927" t="s">
        <v>6746</v>
      </c>
      <c r="F927" t="str">
        <f t="shared" si="66"/>
        <v>8205040</v>
      </c>
    </row>
    <row r="928" spans="1:9" ht="15" hidden="1" customHeight="1" x14ac:dyDescent="0.25">
      <c r="A928">
        <v>21256</v>
      </c>
      <c r="B928" t="s">
        <v>10</v>
      </c>
      <c r="C928" t="s">
        <v>6747</v>
      </c>
      <c r="D928" t="str">
        <f t="shared" si="65"/>
        <v/>
      </c>
      <c r="E928" t="s">
        <v>6748</v>
      </c>
      <c r="F928" t="str">
        <f t="shared" si="66"/>
        <v>8205040</v>
      </c>
    </row>
    <row r="929" spans="1:9" ht="15" hidden="1" customHeight="1" x14ac:dyDescent="0.25">
      <c r="A929">
        <v>21257</v>
      </c>
      <c r="B929" t="s">
        <v>10</v>
      </c>
      <c r="C929" t="s">
        <v>6749</v>
      </c>
      <c r="D929" t="str">
        <f t="shared" si="65"/>
        <v/>
      </c>
      <c r="E929" t="s">
        <v>6750</v>
      </c>
      <c r="F929" t="str">
        <f t="shared" si="66"/>
        <v>8205040</v>
      </c>
    </row>
    <row r="930" spans="1:9" ht="15" hidden="1" customHeight="1" x14ac:dyDescent="0.25">
      <c r="A930">
        <v>21258</v>
      </c>
      <c r="B930" t="s">
        <v>10</v>
      </c>
      <c r="C930" t="s">
        <v>6751</v>
      </c>
      <c r="D930" t="str">
        <f t="shared" si="65"/>
        <v/>
      </c>
      <c r="E930" t="s">
        <v>6752</v>
      </c>
      <c r="F930" t="str">
        <f t="shared" si="66"/>
        <v>8205040</v>
      </c>
    </row>
    <row r="931" spans="1:9" ht="15" hidden="1" customHeight="1" x14ac:dyDescent="0.25">
      <c r="A931">
        <v>21259</v>
      </c>
      <c r="B931" t="s">
        <v>10</v>
      </c>
      <c r="C931" t="s">
        <v>6753</v>
      </c>
      <c r="D931" t="str">
        <f t="shared" si="65"/>
        <v/>
      </c>
      <c r="E931" t="s">
        <v>6754</v>
      </c>
      <c r="F931" t="str">
        <f t="shared" si="66"/>
        <v>8205040</v>
      </c>
    </row>
    <row r="932" spans="1:9" ht="15" hidden="1" customHeight="1" x14ac:dyDescent="0.25">
      <c r="A932">
        <v>21260</v>
      </c>
      <c r="B932" t="s">
        <v>10</v>
      </c>
      <c r="C932" t="s">
        <v>6755</v>
      </c>
      <c r="D932" t="str">
        <f t="shared" si="65"/>
        <v/>
      </c>
      <c r="E932" t="s">
        <v>6756</v>
      </c>
      <c r="F932" t="str">
        <f t="shared" si="66"/>
        <v>8205040</v>
      </c>
    </row>
    <row r="933" spans="1:9" ht="15" hidden="1" customHeight="1" x14ac:dyDescent="0.25">
      <c r="A933">
        <v>21261</v>
      </c>
      <c r="B933" t="s">
        <v>10</v>
      </c>
      <c r="C933" t="s">
        <v>6757</v>
      </c>
      <c r="D933" t="str">
        <f t="shared" si="65"/>
        <v/>
      </c>
      <c r="E933" t="s">
        <v>6758</v>
      </c>
      <c r="F933" t="str">
        <f t="shared" si="66"/>
        <v>8205040</v>
      </c>
    </row>
    <row r="934" spans="1:9" ht="15" customHeight="1" x14ac:dyDescent="0.25">
      <c r="A934">
        <v>15384</v>
      </c>
      <c r="B934" t="s">
        <v>7</v>
      </c>
      <c r="C934" t="s">
        <v>799</v>
      </c>
      <c r="D934" t="str">
        <f t="shared" si="65"/>
        <v/>
      </c>
      <c r="E934" t="s">
        <v>800</v>
      </c>
      <c r="F934" t="str">
        <f t="shared" si="66"/>
        <v>8205060</v>
      </c>
      <c r="H934">
        <v>4</v>
      </c>
      <c r="I934">
        <v>1</v>
      </c>
    </row>
    <row r="935" spans="1:9" ht="15" hidden="1" customHeight="1" x14ac:dyDescent="0.25">
      <c r="A935">
        <v>15385</v>
      </c>
      <c r="B935" t="s">
        <v>10</v>
      </c>
      <c r="C935" t="s">
        <v>801</v>
      </c>
      <c r="D935" t="str">
        <f t="shared" si="65"/>
        <v/>
      </c>
      <c r="E935" t="s">
        <v>802</v>
      </c>
      <c r="F935" t="str">
        <f t="shared" si="66"/>
        <v>8205060</v>
      </c>
    </row>
    <row r="936" spans="1:9" ht="15" hidden="1" customHeight="1" x14ac:dyDescent="0.25">
      <c r="A936">
        <v>15390</v>
      </c>
      <c r="B936" t="s">
        <v>10</v>
      </c>
      <c r="C936" t="s">
        <v>803</v>
      </c>
      <c r="D936" t="str">
        <f t="shared" si="65"/>
        <v/>
      </c>
      <c r="E936" t="s">
        <v>804</v>
      </c>
      <c r="F936" t="str">
        <f t="shared" si="66"/>
        <v>8205060</v>
      </c>
    </row>
    <row r="937" spans="1:9" ht="15" hidden="1" customHeight="1" x14ac:dyDescent="0.25">
      <c r="A937">
        <v>15391</v>
      </c>
      <c r="B937" t="s">
        <v>10</v>
      </c>
      <c r="C937" t="s">
        <v>805</v>
      </c>
      <c r="D937" t="str">
        <f t="shared" si="65"/>
        <v/>
      </c>
      <c r="E937" t="s">
        <v>806</v>
      </c>
      <c r="F937" t="str">
        <f t="shared" si="66"/>
        <v>8205060</v>
      </c>
    </row>
    <row r="938" spans="1:9" ht="15" hidden="1" customHeight="1" x14ac:dyDescent="0.25">
      <c r="A938">
        <v>15392</v>
      </c>
      <c r="B938" t="s">
        <v>10</v>
      </c>
      <c r="C938" t="s">
        <v>807</v>
      </c>
      <c r="D938" t="str">
        <f t="shared" si="65"/>
        <v/>
      </c>
      <c r="E938" t="s">
        <v>808</v>
      </c>
      <c r="F938" t="str">
        <f t="shared" si="66"/>
        <v>8205060</v>
      </c>
    </row>
    <row r="939" spans="1:9" ht="15" hidden="1" customHeight="1" x14ac:dyDescent="0.25">
      <c r="A939">
        <v>15393</v>
      </c>
      <c r="B939" t="s">
        <v>10</v>
      </c>
      <c r="C939" t="s">
        <v>809</v>
      </c>
      <c r="D939" t="str">
        <f t="shared" si="65"/>
        <v/>
      </c>
      <c r="E939" t="s">
        <v>810</v>
      </c>
      <c r="F939" t="str">
        <f t="shared" si="66"/>
        <v>8205060</v>
      </c>
    </row>
    <row r="940" spans="1:9" ht="15" hidden="1" customHeight="1" x14ac:dyDescent="0.25">
      <c r="A940">
        <v>15394</v>
      </c>
      <c r="B940" t="s">
        <v>10</v>
      </c>
      <c r="C940" t="s">
        <v>811</v>
      </c>
      <c r="D940" t="str">
        <f t="shared" si="65"/>
        <v/>
      </c>
      <c r="E940" t="s">
        <v>812</v>
      </c>
      <c r="F940" t="str">
        <f t="shared" si="66"/>
        <v>8205060</v>
      </c>
    </row>
    <row r="941" spans="1:9" ht="15" hidden="1" customHeight="1" x14ac:dyDescent="0.25">
      <c r="A941">
        <v>15395</v>
      </c>
      <c r="B941" t="s">
        <v>10</v>
      </c>
      <c r="C941" t="s">
        <v>813</v>
      </c>
      <c r="D941" t="str">
        <f t="shared" si="65"/>
        <v/>
      </c>
      <c r="E941" t="s">
        <v>814</v>
      </c>
      <c r="F941" t="str">
        <f t="shared" si="66"/>
        <v>8205060</v>
      </c>
    </row>
    <row r="942" spans="1:9" ht="15" customHeight="1" x14ac:dyDescent="0.25">
      <c r="A942">
        <v>19902</v>
      </c>
      <c r="B942" t="s">
        <v>7</v>
      </c>
      <c r="C942" t="s">
        <v>5319</v>
      </c>
      <c r="D942" t="str">
        <f t="shared" si="65"/>
        <v/>
      </c>
      <c r="E942" t="s">
        <v>5320</v>
      </c>
      <c r="F942" t="str">
        <f t="shared" si="66"/>
        <v>8205016</v>
      </c>
      <c r="H942">
        <v>4</v>
      </c>
      <c r="I942">
        <v>1</v>
      </c>
    </row>
    <row r="943" spans="1:9" ht="15" hidden="1" customHeight="1" x14ac:dyDescent="0.25">
      <c r="A943">
        <v>19903</v>
      </c>
      <c r="B943" t="s">
        <v>10</v>
      </c>
      <c r="C943" t="s">
        <v>5321</v>
      </c>
      <c r="D943" t="str">
        <f t="shared" si="65"/>
        <v/>
      </c>
      <c r="E943" t="s">
        <v>5322</v>
      </c>
      <c r="F943" t="str">
        <f t="shared" si="66"/>
        <v>8205016</v>
      </c>
    </row>
    <row r="944" spans="1:9" ht="15" hidden="1" customHeight="1" x14ac:dyDescent="0.25">
      <c r="A944">
        <v>19908</v>
      </c>
      <c r="B944" t="s">
        <v>10</v>
      </c>
      <c r="C944" t="s">
        <v>5323</v>
      </c>
      <c r="D944" t="str">
        <f t="shared" si="65"/>
        <v/>
      </c>
      <c r="E944" t="s">
        <v>5324</v>
      </c>
      <c r="F944" t="str">
        <f t="shared" si="66"/>
        <v>8205016</v>
      </c>
    </row>
    <row r="945" spans="1:9" ht="15" hidden="1" customHeight="1" x14ac:dyDescent="0.25">
      <c r="A945">
        <v>19909</v>
      </c>
      <c r="B945" t="s">
        <v>10</v>
      </c>
      <c r="C945" t="s">
        <v>5325</v>
      </c>
      <c r="D945" t="str">
        <f t="shared" si="65"/>
        <v/>
      </c>
      <c r="E945" t="s">
        <v>5326</v>
      </c>
      <c r="F945" t="str">
        <f t="shared" si="66"/>
        <v>8205016</v>
      </c>
    </row>
    <row r="946" spans="1:9" ht="15" hidden="1" customHeight="1" x14ac:dyDescent="0.25">
      <c r="A946">
        <v>19910</v>
      </c>
      <c r="B946" t="s">
        <v>10</v>
      </c>
      <c r="C946" t="s">
        <v>5327</v>
      </c>
      <c r="D946" t="str">
        <f t="shared" si="65"/>
        <v/>
      </c>
      <c r="E946" t="s">
        <v>5328</v>
      </c>
      <c r="F946" t="str">
        <f t="shared" si="66"/>
        <v>8205016</v>
      </c>
    </row>
    <row r="947" spans="1:9" ht="15" hidden="1" customHeight="1" x14ac:dyDescent="0.25">
      <c r="A947">
        <v>19911</v>
      </c>
      <c r="B947" t="s">
        <v>10</v>
      </c>
      <c r="C947" t="s">
        <v>5329</v>
      </c>
      <c r="D947" t="str">
        <f t="shared" si="65"/>
        <v/>
      </c>
      <c r="E947" t="s">
        <v>5330</v>
      </c>
      <c r="F947" t="str">
        <f t="shared" si="66"/>
        <v>8205016</v>
      </c>
    </row>
    <row r="948" spans="1:9" ht="15" hidden="1" customHeight="1" x14ac:dyDescent="0.25">
      <c r="A948">
        <v>19912</v>
      </c>
      <c r="B948" t="s">
        <v>10</v>
      </c>
      <c r="C948" t="s">
        <v>5331</v>
      </c>
      <c r="D948" t="str">
        <f t="shared" si="65"/>
        <v/>
      </c>
      <c r="E948" t="s">
        <v>5332</v>
      </c>
      <c r="F948" t="str">
        <f t="shared" si="66"/>
        <v>8205016</v>
      </c>
    </row>
    <row r="949" spans="1:9" ht="15" hidden="1" customHeight="1" x14ac:dyDescent="0.25">
      <c r="A949">
        <v>19913</v>
      </c>
      <c r="B949" t="s">
        <v>10</v>
      </c>
      <c r="C949" t="s">
        <v>5333</v>
      </c>
      <c r="D949" t="str">
        <f t="shared" si="65"/>
        <v/>
      </c>
      <c r="E949" t="s">
        <v>5334</v>
      </c>
      <c r="F949" t="str">
        <f t="shared" si="66"/>
        <v>8205016</v>
      </c>
    </row>
    <row r="950" spans="1:9" ht="15" customHeight="1" x14ac:dyDescent="0.25">
      <c r="A950">
        <v>17116</v>
      </c>
      <c r="B950" t="s">
        <v>7</v>
      </c>
      <c r="C950" t="s">
        <v>1963</v>
      </c>
      <c r="D950" t="str">
        <f t="shared" si="65"/>
        <v/>
      </c>
      <c r="E950" t="s">
        <v>1964</v>
      </c>
      <c r="F950" t="str">
        <f t="shared" si="66"/>
        <v>8205010</v>
      </c>
      <c r="H950">
        <v>3</v>
      </c>
      <c r="I950">
        <v>1</v>
      </c>
    </row>
    <row r="951" spans="1:9" ht="15" hidden="1" customHeight="1" x14ac:dyDescent="0.25">
      <c r="A951">
        <v>17117</v>
      </c>
      <c r="B951" t="s">
        <v>10</v>
      </c>
      <c r="C951" t="s">
        <v>1965</v>
      </c>
      <c r="D951" t="str">
        <f t="shared" si="65"/>
        <v/>
      </c>
      <c r="E951" t="s">
        <v>1966</v>
      </c>
      <c r="F951" t="str">
        <f t="shared" si="66"/>
        <v>8205010</v>
      </c>
    </row>
    <row r="952" spans="1:9" ht="15" hidden="1" customHeight="1" x14ac:dyDescent="0.25">
      <c r="A952">
        <v>17121</v>
      </c>
      <c r="B952" t="s">
        <v>10</v>
      </c>
      <c r="C952" t="s">
        <v>1967</v>
      </c>
      <c r="D952" t="str">
        <f t="shared" si="65"/>
        <v/>
      </c>
      <c r="E952" t="s">
        <v>1968</v>
      </c>
      <c r="F952" t="str">
        <f t="shared" si="66"/>
        <v>8205010</v>
      </c>
    </row>
    <row r="953" spans="1:9" ht="15" hidden="1" customHeight="1" x14ac:dyDescent="0.25">
      <c r="A953">
        <v>17122</v>
      </c>
      <c r="B953" t="s">
        <v>10</v>
      </c>
      <c r="C953" t="s">
        <v>1969</v>
      </c>
      <c r="D953" t="str">
        <f t="shared" si="65"/>
        <v/>
      </c>
      <c r="E953" t="s">
        <v>1970</v>
      </c>
      <c r="F953" t="str">
        <f t="shared" si="66"/>
        <v>8205010</v>
      </c>
    </row>
    <row r="954" spans="1:9" ht="15" hidden="1" customHeight="1" x14ac:dyDescent="0.25">
      <c r="A954">
        <v>17123</v>
      </c>
      <c r="B954" t="s">
        <v>10</v>
      </c>
      <c r="C954" t="s">
        <v>1971</v>
      </c>
      <c r="D954" t="str">
        <f t="shared" si="65"/>
        <v/>
      </c>
      <c r="E954" t="s">
        <v>1972</v>
      </c>
      <c r="F954" t="str">
        <f t="shared" si="66"/>
        <v>8205010</v>
      </c>
    </row>
    <row r="955" spans="1:9" ht="15" hidden="1" customHeight="1" x14ac:dyDescent="0.25">
      <c r="A955">
        <v>17124</v>
      </c>
      <c r="B955" t="s">
        <v>10</v>
      </c>
      <c r="C955" t="s">
        <v>1973</v>
      </c>
      <c r="D955" t="str">
        <f t="shared" si="65"/>
        <v/>
      </c>
      <c r="E955" t="s">
        <v>1974</v>
      </c>
      <c r="F955" t="str">
        <f t="shared" si="66"/>
        <v>8205010</v>
      </c>
    </row>
    <row r="956" spans="1:9" ht="15" hidden="1" customHeight="1" x14ac:dyDescent="0.25">
      <c r="A956">
        <v>17125</v>
      </c>
      <c r="B956" t="s">
        <v>10</v>
      </c>
      <c r="C956" t="s">
        <v>1975</v>
      </c>
      <c r="D956" t="str">
        <f t="shared" si="65"/>
        <v/>
      </c>
      <c r="E956" t="s">
        <v>1976</v>
      </c>
      <c r="F956" t="str">
        <f t="shared" si="66"/>
        <v>8205010</v>
      </c>
    </row>
    <row r="957" spans="1:9" ht="15" hidden="1" customHeight="1" x14ac:dyDescent="0.25">
      <c r="A957">
        <v>17126</v>
      </c>
      <c r="B957" t="s">
        <v>10</v>
      </c>
      <c r="C957" t="s">
        <v>1977</v>
      </c>
      <c r="D957" t="str">
        <f t="shared" si="65"/>
        <v/>
      </c>
      <c r="E957" t="s">
        <v>1978</v>
      </c>
      <c r="F957" t="str">
        <f t="shared" ref="F957:F980" si="67">LEFT(C957,7)</f>
        <v>8205010</v>
      </c>
    </row>
    <row r="958" spans="1:9" ht="15" customHeight="1" x14ac:dyDescent="0.25">
      <c r="A958">
        <v>14909</v>
      </c>
      <c r="B958" t="s">
        <v>7</v>
      </c>
      <c r="C958" t="s">
        <v>295</v>
      </c>
      <c r="D958" t="str">
        <f t="shared" si="65"/>
        <v/>
      </c>
      <c r="E958" t="s">
        <v>296</v>
      </c>
      <c r="F958" t="str">
        <f t="shared" si="67"/>
        <v>8205020</v>
      </c>
      <c r="H958">
        <v>3</v>
      </c>
      <c r="I958">
        <v>1</v>
      </c>
    </row>
    <row r="959" spans="1:9" ht="15" hidden="1" customHeight="1" x14ac:dyDescent="0.25">
      <c r="A959">
        <v>14910</v>
      </c>
      <c r="B959" t="s">
        <v>10</v>
      </c>
      <c r="C959" t="s">
        <v>297</v>
      </c>
      <c r="D959" t="str">
        <f t="shared" si="65"/>
        <v/>
      </c>
      <c r="E959" t="s">
        <v>298</v>
      </c>
      <c r="F959" t="str">
        <f t="shared" si="67"/>
        <v>8205020</v>
      </c>
    </row>
    <row r="960" spans="1:9" ht="15" hidden="1" customHeight="1" x14ac:dyDescent="0.25">
      <c r="A960">
        <v>14915</v>
      </c>
      <c r="B960" t="s">
        <v>10</v>
      </c>
      <c r="C960" t="s">
        <v>299</v>
      </c>
      <c r="D960" t="str">
        <f t="shared" si="65"/>
        <v/>
      </c>
      <c r="E960" t="s">
        <v>300</v>
      </c>
      <c r="F960" t="str">
        <f t="shared" si="67"/>
        <v>8205020</v>
      </c>
    </row>
    <row r="961" spans="1:9" ht="15" hidden="1" customHeight="1" x14ac:dyDescent="0.25">
      <c r="A961">
        <v>14916</v>
      </c>
      <c r="B961" t="s">
        <v>10</v>
      </c>
      <c r="C961" t="s">
        <v>301</v>
      </c>
      <c r="D961" t="str">
        <f t="shared" si="65"/>
        <v/>
      </c>
      <c r="E961" t="s">
        <v>302</v>
      </c>
      <c r="F961" t="str">
        <f t="shared" si="67"/>
        <v>8205020</v>
      </c>
    </row>
    <row r="962" spans="1:9" ht="15" hidden="1" customHeight="1" x14ac:dyDescent="0.25">
      <c r="A962">
        <v>14917</v>
      </c>
      <c r="B962" t="s">
        <v>10</v>
      </c>
      <c r="C962" t="s">
        <v>303</v>
      </c>
      <c r="D962" t="str">
        <f t="shared" si="65"/>
        <v/>
      </c>
      <c r="E962" t="s">
        <v>304</v>
      </c>
      <c r="F962" t="str">
        <f t="shared" si="67"/>
        <v>8205020</v>
      </c>
    </row>
    <row r="963" spans="1:9" ht="15" hidden="1" customHeight="1" x14ac:dyDescent="0.25">
      <c r="A963">
        <v>14918</v>
      </c>
      <c r="B963" t="s">
        <v>10</v>
      </c>
      <c r="C963" t="s">
        <v>305</v>
      </c>
      <c r="D963" t="str">
        <f t="shared" si="65"/>
        <v/>
      </c>
      <c r="E963" t="s">
        <v>306</v>
      </c>
      <c r="F963" t="str">
        <f t="shared" si="67"/>
        <v>8205020</v>
      </c>
    </row>
    <row r="964" spans="1:9" hidden="1" x14ac:dyDescent="0.25">
      <c r="A964">
        <v>14919</v>
      </c>
      <c r="B964" t="s">
        <v>10</v>
      </c>
      <c r="C964" t="s">
        <v>307</v>
      </c>
      <c r="D964" t="str">
        <f t="shared" si="65"/>
        <v/>
      </c>
      <c r="E964" t="s">
        <v>308</v>
      </c>
      <c r="F964" t="str">
        <f t="shared" si="67"/>
        <v>8205020</v>
      </c>
    </row>
    <row r="965" spans="1:9" hidden="1" x14ac:dyDescent="0.25">
      <c r="A965">
        <v>14920</v>
      </c>
      <c r="B965" t="s">
        <v>10</v>
      </c>
      <c r="C965" t="s">
        <v>309</v>
      </c>
      <c r="D965" t="str">
        <f t="shared" si="65"/>
        <v/>
      </c>
      <c r="E965" t="s">
        <v>310</v>
      </c>
      <c r="F965" t="str">
        <f t="shared" si="67"/>
        <v>8205020</v>
      </c>
    </row>
    <row r="966" spans="1:9" hidden="1" x14ac:dyDescent="0.25">
      <c r="A966">
        <v>16303</v>
      </c>
      <c r="B966" t="s">
        <v>4</v>
      </c>
      <c r="C966" t="s">
        <v>1408</v>
      </c>
      <c r="D966" t="str">
        <f t="shared" si="65"/>
        <v/>
      </c>
      <c r="E966" t="s">
        <v>1409</v>
      </c>
      <c r="F966" t="str">
        <f t="shared" si="67"/>
        <v>7707508</v>
      </c>
      <c r="H966">
        <v>1</v>
      </c>
    </row>
    <row r="967" spans="1:9" hidden="1" x14ac:dyDescent="0.25">
      <c r="A967">
        <v>17799</v>
      </c>
      <c r="B967" t="s">
        <v>4</v>
      </c>
      <c r="C967" t="s">
        <v>2617</v>
      </c>
      <c r="D967" t="str">
        <f t="shared" si="65"/>
        <v/>
      </c>
      <c r="E967" t="s">
        <v>2618</v>
      </c>
      <c r="F967" t="str">
        <f t="shared" si="67"/>
        <v>7707288</v>
      </c>
      <c r="H967">
        <v>1</v>
      </c>
    </row>
    <row r="968" spans="1:9" hidden="1" x14ac:dyDescent="0.25">
      <c r="A968">
        <v>17279</v>
      </c>
      <c r="B968" t="s">
        <v>4</v>
      </c>
      <c r="C968" t="s">
        <v>2065</v>
      </c>
      <c r="D968" t="str">
        <f t="shared" si="65"/>
        <v/>
      </c>
      <c r="E968" t="s">
        <v>2066</v>
      </c>
      <c r="F968" t="str">
        <f t="shared" si="67"/>
        <v>7707504</v>
      </c>
      <c r="H968">
        <v>1</v>
      </c>
    </row>
    <row r="969" spans="1:9" hidden="1" x14ac:dyDescent="0.25">
      <c r="A969">
        <v>17802</v>
      </c>
      <c r="B969" t="s">
        <v>4</v>
      </c>
      <c r="C969" t="s">
        <v>2619</v>
      </c>
      <c r="D969" t="str">
        <f t="shared" si="65"/>
        <v/>
      </c>
      <c r="E969" t="s">
        <v>2620</v>
      </c>
      <c r="F969" t="str">
        <f t="shared" si="67"/>
        <v>7707284</v>
      </c>
      <c r="H969">
        <v>1</v>
      </c>
    </row>
    <row r="970" spans="1:9" hidden="1" x14ac:dyDescent="0.25">
      <c r="A970">
        <v>17282</v>
      </c>
      <c r="B970" t="s">
        <v>4</v>
      </c>
      <c r="C970" t="s">
        <v>2067</v>
      </c>
      <c r="D970" t="str">
        <f t="shared" si="65"/>
        <v/>
      </c>
      <c r="E970" t="s">
        <v>2068</v>
      </c>
      <c r="F970" t="str">
        <f t="shared" si="67"/>
        <v>7707505</v>
      </c>
      <c r="H970">
        <v>1</v>
      </c>
    </row>
    <row r="971" spans="1:9" ht="15" hidden="1" customHeight="1" x14ac:dyDescent="0.25">
      <c r="A971">
        <v>17805</v>
      </c>
      <c r="B971" t="s">
        <v>4</v>
      </c>
      <c r="C971" t="s">
        <v>2621</v>
      </c>
      <c r="D971" t="str">
        <f t="shared" si="65"/>
        <v/>
      </c>
      <c r="E971" t="s">
        <v>2622</v>
      </c>
      <c r="F971" t="str">
        <f t="shared" si="67"/>
        <v>7707285</v>
      </c>
      <c r="H971">
        <v>1</v>
      </c>
    </row>
    <row r="972" spans="1:9" ht="15" hidden="1" customHeight="1" x14ac:dyDescent="0.25">
      <c r="A972">
        <v>15949</v>
      </c>
      <c r="B972" t="s">
        <v>4</v>
      </c>
      <c r="C972" t="s">
        <v>1216</v>
      </c>
      <c r="D972" t="str">
        <f t="shared" si="65"/>
        <v/>
      </c>
      <c r="E972" t="s">
        <v>1217</v>
      </c>
      <c r="F972" t="str">
        <f t="shared" si="67"/>
        <v>8520124</v>
      </c>
      <c r="H972">
        <v>3</v>
      </c>
    </row>
    <row r="973" spans="1:9" ht="15" customHeight="1" x14ac:dyDescent="0.25">
      <c r="A973">
        <v>18863</v>
      </c>
      <c r="B973" t="s">
        <v>7</v>
      </c>
      <c r="C973" t="s">
        <v>4005</v>
      </c>
      <c r="D973" t="str">
        <f t="shared" si="65"/>
        <v/>
      </c>
      <c r="E973" t="s">
        <v>4006</v>
      </c>
      <c r="F973" t="str">
        <f t="shared" si="67"/>
        <v>1120428</v>
      </c>
      <c r="H973">
        <v>4</v>
      </c>
      <c r="I973">
        <v>1</v>
      </c>
    </row>
    <row r="974" spans="1:9" ht="15" hidden="1" customHeight="1" x14ac:dyDescent="0.25">
      <c r="A974">
        <v>18864</v>
      </c>
      <c r="B974" t="s">
        <v>10</v>
      </c>
      <c r="C974" t="s">
        <v>4007</v>
      </c>
      <c r="D974" t="str">
        <f t="shared" si="65"/>
        <v/>
      </c>
      <c r="E974" t="s">
        <v>4008</v>
      </c>
      <c r="F974" t="str">
        <f t="shared" si="67"/>
        <v>1120428</v>
      </c>
    </row>
    <row r="975" spans="1:9" ht="15" hidden="1" customHeight="1" x14ac:dyDescent="0.25">
      <c r="A975">
        <v>18869</v>
      </c>
      <c r="B975" t="s">
        <v>10</v>
      </c>
      <c r="C975" t="s">
        <v>4009</v>
      </c>
      <c r="D975" t="str">
        <f t="shared" si="65"/>
        <v/>
      </c>
      <c r="E975" t="s">
        <v>4010</v>
      </c>
      <c r="F975" t="str">
        <f t="shared" si="67"/>
        <v>1120428</v>
      </c>
    </row>
    <row r="976" spans="1:9" ht="15" hidden="1" customHeight="1" x14ac:dyDescent="0.25">
      <c r="A976">
        <v>18870</v>
      </c>
      <c r="B976" t="s">
        <v>10</v>
      </c>
      <c r="C976" t="s">
        <v>4011</v>
      </c>
      <c r="D976" t="str">
        <f t="shared" si="65"/>
        <v/>
      </c>
      <c r="E976" t="s">
        <v>4012</v>
      </c>
      <c r="F976" t="str">
        <f t="shared" si="67"/>
        <v>1120428</v>
      </c>
    </row>
    <row r="977" spans="1:9" ht="15" hidden="1" customHeight="1" x14ac:dyDescent="0.25">
      <c r="A977">
        <v>18871</v>
      </c>
      <c r="B977" t="s">
        <v>10</v>
      </c>
      <c r="C977" t="s">
        <v>4013</v>
      </c>
      <c r="D977" t="str">
        <f t="shared" si="65"/>
        <v/>
      </c>
      <c r="E977" t="s">
        <v>4014</v>
      </c>
      <c r="F977" t="str">
        <f t="shared" si="67"/>
        <v>1120428</v>
      </c>
    </row>
    <row r="978" spans="1:9" ht="15" hidden="1" customHeight="1" x14ac:dyDescent="0.25">
      <c r="A978">
        <v>18872</v>
      </c>
      <c r="B978" t="s">
        <v>10</v>
      </c>
      <c r="C978" t="s">
        <v>4015</v>
      </c>
      <c r="D978" t="str">
        <f t="shared" si="65"/>
        <v/>
      </c>
      <c r="E978" t="s">
        <v>4016</v>
      </c>
      <c r="F978" t="str">
        <f t="shared" si="67"/>
        <v>1120428</v>
      </c>
    </row>
    <row r="979" spans="1:9" ht="15" hidden="1" customHeight="1" x14ac:dyDescent="0.25">
      <c r="A979">
        <v>18873</v>
      </c>
      <c r="B979" t="s">
        <v>10</v>
      </c>
      <c r="C979" t="s">
        <v>4017</v>
      </c>
      <c r="D979" t="str">
        <f t="shared" si="65"/>
        <v/>
      </c>
      <c r="E979" t="s">
        <v>4018</v>
      </c>
      <c r="F979" t="str">
        <f t="shared" si="67"/>
        <v>1120428</v>
      </c>
    </row>
    <row r="980" spans="1:9" ht="15" hidden="1" customHeight="1" x14ac:dyDescent="0.25">
      <c r="A980">
        <v>18874</v>
      </c>
      <c r="B980" t="s">
        <v>10</v>
      </c>
      <c r="C980" t="s">
        <v>4019</v>
      </c>
      <c r="D980" t="str">
        <f t="shared" si="65"/>
        <v/>
      </c>
      <c r="E980" t="s">
        <v>4020</v>
      </c>
      <c r="F980" t="str">
        <f t="shared" si="67"/>
        <v>1120428</v>
      </c>
    </row>
    <row r="981" spans="1:9" ht="15" customHeight="1" x14ac:dyDescent="0.25">
      <c r="A981">
        <v>18879</v>
      </c>
      <c r="B981" t="s">
        <v>7</v>
      </c>
      <c r="C981" t="s">
        <v>4029</v>
      </c>
      <c r="D981" t="str">
        <f t="shared" si="65"/>
        <v/>
      </c>
      <c r="E981" t="s">
        <v>4030</v>
      </c>
      <c r="F981" t="s">
        <v>6883</v>
      </c>
      <c r="H981">
        <v>4</v>
      </c>
      <c r="I981">
        <v>1</v>
      </c>
    </row>
    <row r="982" spans="1:9" ht="15" hidden="1" customHeight="1" x14ac:dyDescent="0.25">
      <c r="A982">
        <v>18880</v>
      </c>
      <c r="B982" t="s">
        <v>10</v>
      </c>
      <c r="C982" t="s">
        <v>4031</v>
      </c>
      <c r="D982" t="str">
        <f t="shared" si="65"/>
        <v/>
      </c>
      <c r="E982" t="s">
        <v>4032</v>
      </c>
      <c r="F982" t="str">
        <f t="shared" ref="F982:F992" si="68">LEFT(C982,7)</f>
        <v>1120429</v>
      </c>
    </row>
    <row r="983" spans="1:9" ht="15" hidden="1" customHeight="1" x14ac:dyDescent="0.25">
      <c r="A983">
        <v>18881</v>
      </c>
      <c r="B983" t="s">
        <v>10</v>
      </c>
      <c r="C983" t="s">
        <v>4033</v>
      </c>
      <c r="D983" t="str">
        <f t="shared" si="65"/>
        <v/>
      </c>
      <c r="E983" t="s">
        <v>4034</v>
      </c>
      <c r="F983" t="str">
        <f t="shared" si="68"/>
        <v>1120429</v>
      </c>
    </row>
    <row r="984" spans="1:9" ht="15" hidden="1" customHeight="1" x14ac:dyDescent="0.25">
      <c r="A984">
        <v>18882</v>
      </c>
      <c r="B984" t="s">
        <v>10</v>
      </c>
      <c r="C984" t="s">
        <v>4035</v>
      </c>
      <c r="D984" t="str">
        <f t="shared" si="65"/>
        <v/>
      </c>
      <c r="E984" t="s">
        <v>4036</v>
      </c>
      <c r="F984" t="str">
        <f t="shared" si="68"/>
        <v>1120429</v>
      </c>
    </row>
    <row r="985" spans="1:9" ht="15" customHeight="1" x14ac:dyDescent="0.25">
      <c r="A985">
        <v>14748</v>
      </c>
      <c r="B985" t="s">
        <v>7</v>
      </c>
      <c r="C985" t="s">
        <v>147</v>
      </c>
      <c r="D985" t="str">
        <f t="shared" si="65"/>
        <v/>
      </c>
      <c r="E985" t="s">
        <v>148</v>
      </c>
      <c r="F985" t="str">
        <f t="shared" si="68"/>
        <v>1120450</v>
      </c>
      <c r="H985">
        <v>4</v>
      </c>
      <c r="I985">
        <v>1</v>
      </c>
    </row>
    <row r="986" spans="1:9" ht="15" hidden="1" customHeight="1" x14ac:dyDescent="0.25">
      <c r="A986">
        <v>14749</v>
      </c>
      <c r="B986" t="s">
        <v>10</v>
      </c>
      <c r="C986" t="s">
        <v>149</v>
      </c>
      <c r="D986" t="str">
        <f t="shared" si="65"/>
        <v/>
      </c>
      <c r="E986" t="s">
        <v>150</v>
      </c>
      <c r="F986" t="str">
        <f t="shared" si="68"/>
        <v>1120450</v>
      </c>
    </row>
    <row r="987" spans="1:9" ht="15" hidden="1" customHeight="1" x14ac:dyDescent="0.25">
      <c r="A987">
        <v>14755</v>
      </c>
      <c r="B987" t="s">
        <v>10</v>
      </c>
      <c r="C987" t="s">
        <v>151</v>
      </c>
      <c r="D987" t="str">
        <f t="shared" si="65"/>
        <v/>
      </c>
      <c r="E987" t="s">
        <v>152</v>
      </c>
      <c r="F987" t="str">
        <f t="shared" si="68"/>
        <v>1120450</v>
      </c>
    </row>
    <row r="988" spans="1:9" ht="15" hidden="1" customHeight="1" x14ac:dyDescent="0.25">
      <c r="A988">
        <v>14756</v>
      </c>
      <c r="B988" t="s">
        <v>10</v>
      </c>
      <c r="C988" t="s">
        <v>153</v>
      </c>
      <c r="D988" t="str">
        <f t="shared" ref="D988:D1051" si="69">IF(RIGHT(LEFT(C988,9),2)="##","",RIGHT(LEFT(C988,10),2))</f>
        <v/>
      </c>
      <c r="E988" t="s">
        <v>154</v>
      </c>
      <c r="F988" t="str">
        <f t="shared" si="68"/>
        <v>1120450</v>
      </c>
    </row>
    <row r="989" spans="1:9" ht="15" hidden="1" customHeight="1" x14ac:dyDescent="0.25">
      <c r="A989">
        <v>14757</v>
      </c>
      <c r="B989" t="s">
        <v>10</v>
      </c>
      <c r="C989" t="s">
        <v>155</v>
      </c>
      <c r="D989" t="str">
        <f t="shared" si="69"/>
        <v/>
      </c>
      <c r="E989" t="s">
        <v>156</v>
      </c>
      <c r="F989" t="str">
        <f t="shared" si="68"/>
        <v>1120450</v>
      </c>
    </row>
    <row r="990" spans="1:9" ht="15" hidden="1" customHeight="1" x14ac:dyDescent="0.25">
      <c r="A990">
        <v>14758</v>
      </c>
      <c r="B990" t="s">
        <v>10</v>
      </c>
      <c r="C990" t="s">
        <v>157</v>
      </c>
      <c r="D990" t="str">
        <f t="shared" si="69"/>
        <v/>
      </c>
      <c r="E990" t="s">
        <v>158</v>
      </c>
      <c r="F990" t="str">
        <f t="shared" si="68"/>
        <v>1120450</v>
      </c>
    </row>
    <row r="991" spans="1:9" ht="15" hidden="1" customHeight="1" x14ac:dyDescent="0.25">
      <c r="A991">
        <v>14759</v>
      </c>
      <c r="B991" t="s">
        <v>10</v>
      </c>
      <c r="C991" t="s">
        <v>159</v>
      </c>
      <c r="D991" t="str">
        <f t="shared" si="69"/>
        <v/>
      </c>
      <c r="E991" t="s">
        <v>160</v>
      </c>
      <c r="F991" t="str">
        <f t="shared" si="68"/>
        <v>1120450</v>
      </c>
    </row>
    <row r="992" spans="1:9" ht="15" hidden="1" customHeight="1" x14ac:dyDescent="0.25">
      <c r="A992">
        <v>14760</v>
      </c>
      <c r="B992" t="s">
        <v>10</v>
      </c>
      <c r="C992" t="s">
        <v>161</v>
      </c>
      <c r="D992" t="str">
        <f t="shared" si="69"/>
        <v/>
      </c>
      <c r="E992" t="s">
        <v>162</v>
      </c>
      <c r="F992" t="str">
        <f t="shared" si="68"/>
        <v>1120450</v>
      </c>
    </row>
    <row r="993" spans="1:9" ht="15" customHeight="1" x14ac:dyDescent="0.25">
      <c r="A993">
        <v>18875</v>
      </c>
      <c r="B993" t="s">
        <v>7</v>
      </c>
      <c r="C993" t="s">
        <v>4021</v>
      </c>
      <c r="D993" t="str">
        <f t="shared" si="69"/>
        <v/>
      </c>
      <c r="E993" t="s">
        <v>4022</v>
      </c>
      <c r="F993" t="s">
        <v>6884</v>
      </c>
      <c r="H993">
        <v>4</v>
      </c>
      <c r="I993">
        <v>1</v>
      </c>
    </row>
    <row r="994" spans="1:9" ht="15" hidden="1" customHeight="1" x14ac:dyDescent="0.25">
      <c r="A994">
        <v>18876</v>
      </c>
      <c r="B994" t="s">
        <v>10</v>
      </c>
      <c r="C994" t="s">
        <v>4023</v>
      </c>
      <c r="D994" t="str">
        <f t="shared" si="69"/>
        <v/>
      </c>
      <c r="E994" t="s">
        <v>4024</v>
      </c>
      <c r="F994" t="str">
        <f>LEFT(C994,7)</f>
        <v>1120449</v>
      </c>
    </row>
    <row r="995" spans="1:9" ht="15" hidden="1" customHeight="1" x14ac:dyDescent="0.25">
      <c r="A995">
        <v>18877</v>
      </c>
      <c r="B995" t="s">
        <v>10</v>
      </c>
      <c r="C995" t="s">
        <v>4025</v>
      </c>
      <c r="D995" t="str">
        <f t="shared" si="69"/>
        <v/>
      </c>
      <c r="E995" t="s">
        <v>4026</v>
      </c>
      <c r="F995" t="str">
        <f>LEFT(C995,7)</f>
        <v>1120449</v>
      </c>
    </row>
    <row r="996" spans="1:9" ht="15" hidden="1" customHeight="1" x14ac:dyDescent="0.25">
      <c r="A996">
        <v>18878</v>
      </c>
      <c r="B996" t="s">
        <v>10</v>
      </c>
      <c r="C996" t="s">
        <v>4027</v>
      </c>
      <c r="D996" t="str">
        <f t="shared" si="69"/>
        <v/>
      </c>
      <c r="E996" t="s">
        <v>4028</v>
      </c>
      <c r="F996" t="str">
        <f>LEFT(C996,7)</f>
        <v>1120449</v>
      </c>
    </row>
    <row r="997" spans="1:9" ht="15" customHeight="1" x14ac:dyDescent="0.25">
      <c r="A997">
        <v>19354</v>
      </c>
      <c r="B997" t="s">
        <v>7</v>
      </c>
      <c r="C997" t="s">
        <v>4627</v>
      </c>
      <c r="D997" t="str">
        <f t="shared" si="69"/>
        <v/>
      </c>
      <c r="E997" t="s">
        <v>4628</v>
      </c>
      <c r="F997" t="s">
        <v>6884</v>
      </c>
      <c r="H997">
        <v>4</v>
      </c>
      <c r="I997">
        <v>1</v>
      </c>
    </row>
    <row r="998" spans="1:9" ht="15" hidden="1" customHeight="1" x14ac:dyDescent="0.25">
      <c r="A998">
        <v>19355</v>
      </c>
      <c r="B998" t="s">
        <v>10</v>
      </c>
      <c r="C998" t="s">
        <v>4629</v>
      </c>
      <c r="D998" t="str">
        <f t="shared" si="69"/>
        <v/>
      </c>
      <c r="E998" t="s">
        <v>4630</v>
      </c>
      <c r="F998" t="str">
        <f t="shared" ref="F998:F1023" si="70">LEFT(C998,7)</f>
        <v>1120448</v>
      </c>
    </row>
    <row r="999" spans="1:9" hidden="1" x14ac:dyDescent="0.25">
      <c r="A999">
        <v>19356</v>
      </c>
      <c r="B999" t="s">
        <v>10</v>
      </c>
      <c r="C999" t="s">
        <v>4631</v>
      </c>
      <c r="D999" t="str">
        <f t="shared" si="69"/>
        <v/>
      </c>
      <c r="E999" t="s">
        <v>4632</v>
      </c>
      <c r="F999" t="str">
        <f t="shared" si="70"/>
        <v>1120448</v>
      </c>
    </row>
    <row r="1000" spans="1:9" hidden="1" x14ac:dyDescent="0.25">
      <c r="A1000">
        <v>19357</v>
      </c>
      <c r="B1000" t="s">
        <v>10</v>
      </c>
      <c r="C1000" t="s">
        <v>4633</v>
      </c>
      <c r="D1000" t="str">
        <f t="shared" si="69"/>
        <v/>
      </c>
      <c r="E1000" t="s">
        <v>4634</v>
      </c>
      <c r="F1000" t="str">
        <f t="shared" si="70"/>
        <v>1120448</v>
      </c>
    </row>
    <row r="1001" spans="1:9" ht="15" hidden="1" customHeight="1" x14ac:dyDescent="0.25">
      <c r="A1001">
        <v>18576</v>
      </c>
      <c r="B1001" t="s">
        <v>4</v>
      </c>
      <c r="C1001" t="s">
        <v>3779</v>
      </c>
      <c r="D1001" t="str">
        <f t="shared" si="69"/>
        <v/>
      </c>
      <c r="E1001" t="s">
        <v>3780</v>
      </c>
      <c r="F1001" t="str">
        <f t="shared" si="70"/>
        <v>8686003</v>
      </c>
      <c r="H1001">
        <v>5</v>
      </c>
    </row>
    <row r="1002" spans="1:9" ht="15" hidden="1" customHeight="1" x14ac:dyDescent="0.25">
      <c r="A1002">
        <v>17234</v>
      </c>
      <c r="B1002" t="s">
        <v>4</v>
      </c>
      <c r="C1002" t="s">
        <v>2055</v>
      </c>
      <c r="D1002" t="str">
        <f t="shared" si="69"/>
        <v/>
      </c>
      <c r="E1002" t="s">
        <v>2056</v>
      </c>
      <c r="F1002" t="str">
        <f t="shared" si="70"/>
        <v>8686070</v>
      </c>
      <c r="H1002">
        <v>3</v>
      </c>
    </row>
    <row r="1003" spans="1:9" ht="15" customHeight="1" x14ac:dyDescent="0.25">
      <c r="A1003">
        <v>19746</v>
      </c>
      <c r="B1003" t="s">
        <v>7</v>
      </c>
      <c r="C1003" t="s">
        <v>5153</v>
      </c>
      <c r="D1003" t="str">
        <f t="shared" si="69"/>
        <v/>
      </c>
      <c r="E1003" t="s">
        <v>5154</v>
      </c>
      <c r="F1003" t="str">
        <f t="shared" si="70"/>
        <v>2601495</v>
      </c>
      <c r="H1003">
        <v>7</v>
      </c>
      <c r="I1003">
        <v>1</v>
      </c>
    </row>
    <row r="1004" spans="1:9" ht="15" hidden="1" customHeight="1" x14ac:dyDescent="0.25">
      <c r="A1004">
        <v>19754</v>
      </c>
      <c r="B1004" t="s">
        <v>10</v>
      </c>
      <c r="C1004" t="s">
        <v>5161</v>
      </c>
      <c r="D1004" t="str">
        <f t="shared" si="69"/>
        <v/>
      </c>
      <c r="E1004" t="s">
        <v>5162</v>
      </c>
      <c r="F1004" t="str">
        <f t="shared" si="70"/>
        <v>2601495</v>
      </c>
    </row>
    <row r="1005" spans="1:9" ht="15" hidden="1" customHeight="1" x14ac:dyDescent="0.25">
      <c r="A1005">
        <v>19753</v>
      </c>
      <c r="B1005" t="s">
        <v>10</v>
      </c>
      <c r="C1005" t="s">
        <v>5159</v>
      </c>
      <c r="D1005" t="str">
        <f t="shared" si="69"/>
        <v/>
      </c>
      <c r="E1005" t="s">
        <v>5160</v>
      </c>
      <c r="F1005" t="str">
        <f t="shared" si="70"/>
        <v>2601495</v>
      </c>
    </row>
    <row r="1006" spans="1:9" ht="15" hidden="1" customHeight="1" x14ac:dyDescent="0.25">
      <c r="A1006">
        <v>19752</v>
      </c>
      <c r="B1006" t="s">
        <v>10</v>
      </c>
      <c r="C1006" t="s">
        <v>5157</v>
      </c>
      <c r="D1006" t="str">
        <f t="shared" si="69"/>
        <v/>
      </c>
      <c r="E1006" t="s">
        <v>5158</v>
      </c>
      <c r="F1006" t="str">
        <f t="shared" si="70"/>
        <v>2601495</v>
      </c>
    </row>
    <row r="1007" spans="1:9" ht="15" hidden="1" customHeight="1" x14ac:dyDescent="0.25">
      <c r="A1007">
        <v>19755</v>
      </c>
      <c r="B1007" t="s">
        <v>10</v>
      </c>
      <c r="C1007" t="s">
        <v>5163</v>
      </c>
      <c r="D1007" t="str">
        <f t="shared" si="69"/>
        <v/>
      </c>
      <c r="E1007" t="s">
        <v>5164</v>
      </c>
      <c r="F1007" t="str">
        <f t="shared" si="70"/>
        <v>2601495</v>
      </c>
    </row>
    <row r="1008" spans="1:9" ht="15" hidden="1" customHeight="1" x14ac:dyDescent="0.25">
      <c r="A1008">
        <v>19747</v>
      </c>
      <c r="B1008" t="s">
        <v>10</v>
      </c>
      <c r="C1008" t="s">
        <v>5155</v>
      </c>
      <c r="D1008" t="str">
        <f t="shared" si="69"/>
        <v/>
      </c>
      <c r="E1008" t="s">
        <v>5156</v>
      </c>
      <c r="F1008" t="str">
        <f t="shared" si="70"/>
        <v>2601495</v>
      </c>
    </row>
    <row r="1009" spans="1:9" ht="15" hidden="1" customHeight="1" x14ac:dyDescent="0.25">
      <c r="A1009">
        <v>19756</v>
      </c>
      <c r="B1009" t="s">
        <v>10</v>
      </c>
      <c r="C1009" t="s">
        <v>5165</v>
      </c>
      <c r="D1009" t="str">
        <f t="shared" si="69"/>
        <v/>
      </c>
      <c r="E1009" t="s">
        <v>5166</v>
      </c>
      <c r="F1009" t="str">
        <f t="shared" si="70"/>
        <v>2601495</v>
      </c>
    </row>
    <row r="1010" spans="1:9" ht="15" customHeight="1" x14ac:dyDescent="0.25">
      <c r="A1010">
        <v>19808</v>
      </c>
      <c r="B1010" t="s">
        <v>7</v>
      </c>
      <c r="C1010" t="s">
        <v>5229</v>
      </c>
      <c r="D1010" t="str">
        <f t="shared" si="69"/>
        <v/>
      </c>
      <c r="E1010" t="s">
        <v>5230</v>
      </c>
      <c r="F1010" t="str">
        <f t="shared" si="70"/>
        <v>2601900</v>
      </c>
      <c r="H1010">
        <v>5</v>
      </c>
      <c r="I1010">
        <v>1</v>
      </c>
    </row>
    <row r="1011" spans="1:9" ht="15" hidden="1" customHeight="1" x14ac:dyDescent="0.25">
      <c r="A1011">
        <v>19815</v>
      </c>
      <c r="B1011" t="s">
        <v>10</v>
      </c>
      <c r="C1011" t="s">
        <v>5237</v>
      </c>
      <c r="D1011" t="str">
        <f t="shared" si="69"/>
        <v/>
      </c>
      <c r="E1011" t="s">
        <v>5238</v>
      </c>
      <c r="F1011" t="str">
        <f t="shared" si="70"/>
        <v>2601900</v>
      </c>
    </row>
    <row r="1012" spans="1:9" ht="15" hidden="1" customHeight="1" x14ac:dyDescent="0.25">
      <c r="A1012">
        <v>19814</v>
      </c>
      <c r="B1012" t="s">
        <v>10</v>
      </c>
      <c r="C1012" t="s">
        <v>5235</v>
      </c>
      <c r="D1012" t="str">
        <f t="shared" si="69"/>
        <v/>
      </c>
      <c r="E1012" t="s">
        <v>5236</v>
      </c>
      <c r="F1012" t="str">
        <f t="shared" si="70"/>
        <v>2601900</v>
      </c>
    </row>
    <row r="1013" spans="1:9" ht="15" hidden="1" customHeight="1" x14ac:dyDescent="0.25">
      <c r="A1013">
        <v>19813</v>
      </c>
      <c r="B1013" t="s">
        <v>10</v>
      </c>
      <c r="C1013" t="s">
        <v>5233</v>
      </c>
      <c r="D1013" t="str">
        <f t="shared" si="69"/>
        <v/>
      </c>
      <c r="E1013" t="s">
        <v>5234</v>
      </c>
      <c r="F1013" t="str">
        <f t="shared" si="70"/>
        <v>2601900</v>
      </c>
    </row>
    <row r="1014" spans="1:9" ht="15" hidden="1" customHeight="1" x14ac:dyDescent="0.25">
      <c r="A1014">
        <v>19816</v>
      </c>
      <c r="B1014" t="s">
        <v>10</v>
      </c>
      <c r="C1014" t="s">
        <v>5239</v>
      </c>
      <c r="D1014" t="str">
        <f t="shared" si="69"/>
        <v/>
      </c>
      <c r="E1014" t="s">
        <v>5240</v>
      </c>
      <c r="F1014" t="str">
        <f t="shared" si="70"/>
        <v>2601900</v>
      </c>
    </row>
    <row r="1015" spans="1:9" ht="15" hidden="1" customHeight="1" x14ac:dyDescent="0.25">
      <c r="A1015">
        <v>19809</v>
      </c>
      <c r="B1015" t="s">
        <v>10</v>
      </c>
      <c r="C1015" t="s">
        <v>5231</v>
      </c>
      <c r="D1015" t="str">
        <f t="shared" si="69"/>
        <v/>
      </c>
      <c r="E1015" t="s">
        <v>5232</v>
      </c>
      <c r="F1015" t="str">
        <f t="shared" si="70"/>
        <v>2601900</v>
      </c>
    </row>
    <row r="1016" spans="1:9" ht="15" hidden="1" customHeight="1" x14ac:dyDescent="0.25">
      <c r="A1016">
        <v>19817</v>
      </c>
      <c r="B1016" t="s">
        <v>10</v>
      </c>
      <c r="C1016" t="s">
        <v>5241</v>
      </c>
      <c r="D1016" t="str">
        <f t="shared" si="69"/>
        <v/>
      </c>
      <c r="E1016" t="s">
        <v>5242</v>
      </c>
      <c r="F1016" t="str">
        <f t="shared" si="70"/>
        <v>2601900</v>
      </c>
    </row>
    <row r="1017" spans="1:9" ht="15" customHeight="1" x14ac:dyDescent="0.25">
      <c r="A1017">
        <v>19609</v>
      </c>
      <c r="B1017" t="s">
        <v>7</v>
      </c>
      <c r="C1017" t="s">
        <v>4957</v>
      </c>
      <c r="D1017" t="str">
        <f t="shared" si="69"/>
        <v/>
      </c>
      <c r="E1017" t="s">
        <v>4958</v>
      </c>
      <c r="F1017" t="str">
        <f t="shared" si="70"/>
        <v>4120007</v>
      </c>
      <c r="H1017">
        <v>1</v>
      </c>
      <c r="I1017">
        <v>1</v>
      </c>
    </row>
    <row r="1018" spans="1:9" ht="15" hidden="1" customHeight="1" x14ac:dyDescent="0.25">
      <c r="A1018">
        <v>19610</v>
      </c>
      <c r="B1018" t="s">
        <v>10</v>
      </c>
      <c r="C1018" t="s">
        <v>4959</v>
      </c>
      <c r="D1018" t="str">
        <f t="shared" si="69"/>
        <v/>
      </c>
      <c r="E1018" t="s">
        <v>4960</v>
      </c>
      <c r="F1018" t="str">
        <f t="shared" si="70"/>
        <v>4120007</v>
      </c>
    </row>
    <row r="1019" spans="1:9" ht="15" hidden="1" customHeight="1" x14ac:dyDescent="0.25">
      <c r="A1019">
        <v>19611</v>
      </c>
      <c r="B1019" t="s">
        <v>10</v>
      </c>
      <c r="C1019" t="s">
        <v>4961</v>
      </c>
      <c r="D1019" t="str">
        <f t="shared" si="69"/>
        <v/>
      </c>
      <c r="E1019" t="s">
        <v>4962</v>
      </c>
      <c r="F1019" t="str">
        <f t="shared" si="70"/>
        <v>4120007</v>
      </c>
    </row>
    <row r="1020" spans="1:9" ht="15" hidden="1" customHeight="1" x14ac:dyDescent="0.25">
      <c r="A1020">
        <v>19612</v>
      </c>
      <c r="B1020" t="s">
        <v>10</v>
      </c>
      <c r="C1020" t="s">
        <v>4963</v>
      </c>
      <c r="D1020" t="str">
        <f t="shared" si="69"/>
        <v/>
      </c>
      <c r="E1020" t="s">
        <v>4964</v>
      </c>
      <c r="F1020" t="str">
        <f t="shared" si="70"/>
        <v>4120007</v>
      </c>
    </row>
    <row r="1021" spans="1:9" ht="15" hidden="1" customHeight="1" x14ac:dyDescent="0.25">
      <c r="A1021">
        <v>19613</v>
      </c>
      <c r="B1021" t="s">
        <v>10</v>
      </c>
      <c r="C1021" t="s">
        <v>4965</v>
      </c>
      <c r="D1021" t="str">
        <f t="shared" si="69"/>
        <v/>
      </c>
      <c r="E1021" t="s">
        <v>4966</v>
      </c>
      <c r="F1021" t="str">
        <f t="shared" si="70"/>
        <v>4120007</v>
      </c>
    </row>
    <row r="1022" spans="1:9" ht="15" hidden="1" customHeight="1" x14ac:dyDescent="0.25">
      <c r="A1022">
        <v>19614</v>
      </c>
      <c r="B1022" t="s">
        <v>10</v>
      </c>
      <c r="C1022" t="s">
        <v>4967</v>
      </c>
      <c r="D1022" t="str">
        <f t="shared" si="69"/>
        <v/>
      </c>
      <c r="E1022" t="s">
        <v>4968</v>
      </c>
      <c r="F1022" t="str">
        <f t="shared" si="70"/>
        <v>4120007</v>
      </c>
    </row>
    <row r="1023" spans="1:9" ht="15" hidden="1" customHeight="1" x14ac:dyDescent="0.25">
      <c r="A1023">
        <v>19615</v>
      </c>
      <c r="B1023" t="s">
        <v>10</v>
      </c>
      <c r="C1023" t="s">
        <v>4969</v>
      </c>
      <c r="D1023" t="str">
        <f t="shared" si="69"/>
        <v/>
      </c>
      <c r="E1023" t="s">
        <v>4970</v>
      </c>
      <c r="F1023" t="str">
        <f t="shared" si="70"/>
        <v>4120007</v>
      </c>
    </row>
    <row r="1024" spans="1:9" ht="15" customHeight="1" x14ac:dyDescent="0.25">
      <c r="A1024">
        <v>19616</v>
      </c>
      <c r="B1024" t="s">
        <v>7</v>
      </c>
      <c r="C1024" t="s">
        <v>4971</v>
      </c>
      <c r="D1024" t="str">
        <f t="shared" si="69"/>
        <v/>
      </c>
      <c r="E1024" t="s">
        <v>4972</v>
      </c>
      <c r="F1024" t="s">
        <v>6886</v>
      </c>
      <c r="H1024">
        <v>1</v>
      </c>
      <c r="I1024">
        <v>1</v>
      </c>
    </row>
    <row r="1025" spans="1:9" ht="15" hidden="1" customHeight="1" x14ac:dyDescent="0.25">
      <c r="A1025">
        <v>19617</v>
      </c>
      <c r="B1025" t="s">
        <v>10</v>
      </c>
      <c r="C1025" t="s">
        <v>4973</v>
      </c>
      <c r="D1025" t="str">
        <f t="shared" si="69"/>
        <v/>
      </c>
      <c r="E1025" t="s">
        <v>4974</v>
      </c>
      <c r="F1025" t="str">
        <f>LEFT(C1025,7)</f>
        <v>4120008</v>
      </c>
    </row>
    <row r="1026" spans="1:9" ht="15" hidden="1" customHeight="1" x14ac:dyDescent="0.25">
      <c r="A1026">
        <v>19618</v>
      </c>
      <c r="B1026" t="s">
        <v>10</v>
      </c>
      <c r="C1026" t="s">
        <v>4975</v>
      </c>
      <c r="D1026" t="str">
        <f t="shared" si="69"/>
        <v/>
      </c>
      <c r="E1026" t="s">
        <v>4976</v>
      </c>
      <c r="F1026" t="str">
        <f>LEFT(C1026,7)</f>
        <v>4120008</v>
      </c>
    </row>
    <row r="1027" spans="1:9" ht="15" hidden="1" customHeight="1" x14ac:dyDescent="0.25">
      <c r="A1027">
        <v>19619</v>
      </c>
      <c r="B1027" t="s">
        <v>10</v>
      </c>
      <c r="C1027" t="s">
        <v>4977</v>
      </c>
      <c r="D1027" t="str">
        <f t="shared" si="69"/>
        <v/>
      </c>
      <c r="E1027" t="s">
        <v>4978</v>
      </c>
      <c r="F1027" t="str">
        <f>LEFT(C1027,7)</f>
        <v>4120008</v>
      </c>
    </row>
    <row r="1028" spans="1:9" ht="15" customHeight="1" x14ac:dyDescent="0.25">
      <c r="A1028">
        <v>19620</v>
      </c>
      <c r="B1028" t="s">
        <v>7</v>
      </c>
      <c r="C1028" t="s">
        <v>4979</v>
      </c>
      <c r="D1028" t="str">
        <f t="shared" si="69"/>
        <v/>
      </c>
      <c r="E1028" t="s">
        <v>4980</v>
      </c>
      <c r="F1028" t="s">
        <v>6886</v>
      </c>
      <c r="H1028">
        <v>1</v>
      </c>
      <c r="I1028">
        <v>1</v>
      </c>
    </row>
    <row r="1029" spans="1:9" ht="15" hidden="1" customHeight="1" x14ac:dyDescent="0.25">
      <c r="A1029">
        <v>19621</v>
      </c>
      <c r="B1029" t="s">
        <v>10</v>
      </c>
      <c r="C1029" t="s">
        <v>4981</v>
      </c>
      <c r="D1029" t="str">
        <f t="shared" si="69"/>
        <v/>
      </c>
      <c r="E1029" t="s">
        <v>4982</v>
      </c>
      <c r="F1029" t="str">
        <f t="shared" ref="F1029:F1038" si="71">LEFT(C1029,7)</f>
        <v>4120004</v>
      </c>
    </row>
    <row r="1030" spans="1:9" ht="15" hidden="1" customHeight="1" x14ac:dyDescent="0.25">
      <c r="A1030">
        <v>19622</v>
      </c>
      <c r="B1030" t="s">
        <v>10</v>
      </c>
      <c r="C1030" t="s">
        <v>4983</v>
      </c>
      <c r="D1030" t="str">
        <f t="shared" si="69"/>
        <v/>
      </c>
      <c r="E1030" t="s">
        <v>4984</v>
      </c>
      <c r="F1030" t="str">
        <f t="shared" si="71"/>
        <v>4120004</v>
      </c>
    </row>
    <row r="1031" spans="1:9" ht="15" hidden="1" customHeight="1" x14ac:dyDescent="0.25">
      <c r="A1031">
        <v>19623</v>
      </c>
      <c r="B1031" t="s">
        <v>10</v>
      </c>
      <c r="C1031" t="s">
        <v>4985</v>
      </c>
      <c r="D1031" t="str">
        <f t="shared" si="69"/>
        <v/>
      </c>
      <c r="E1031" t="s">
        <v>4986</v>
      </c>
      <c r="F1031" t="str">
        <f t="shared" si="71"/>
        <v>4120004</v>
      </c>
    </row>
    <row r="1032" spans="1:9" ht="15" customHeight="1" x14ac:dyDescent="0.25">
      <c r="A1032">
        <v>19013</v>
      </c>
      <c r="B1032" t="s">
        <v>7</v>
      </c>
      <c r="C1032" t="s">
        <v>4153</v>
      </c>
      <c r="D1032" t="str">
        <f t="shared" si="69"/>
        <v/>
      </c>
      <c r="E1032" t="s">
        <v>4154</v>
      </c>
      <c r="F1032" t="str">
        <f t="shared" si="71"/>
        <v>4120600</v>
      </c>
      <c r="H1032">
        <v>1</v>
      </c>
      <c r="I1032">
        <v>1</v>
      </c>
    </row>
    <row r="1033" spans="1:9" ht="15" hidden="1" customHeight="1" x14ac:dyDescent="0.25">
      <c r="A1033">
        <v>19014</v>
      </c>
      <c r="B1033" t="s">
        <v>10</v>
      </c>
      <c r="C1033" t="s">
        <v>4155</v>
      </c>
      <c r="D1033" t="str">
        <f t="shared" si="69"/>
        <v/>
      </c>
      <c r="E1033" t="s">
        <v>4156</v>
      </c>
      <c r="F1033" t="str">
        <f t="shared" si="71"/>
        <v>4120600</v>
      </c>
    </row>
    <row r="1034" spans="1:9" ht="15" hidden="1" customHeight="1" x14ac:dyDescent="0.25">
      <c r="A1034">
        <v>19015</v>
      </c>
      <c r="B1034" t="s">
        <v>10</v>
      </c>
      <c r="C1034" t="s">
        <v>4157</v>
      </c>
      <c r="D1034" t="str">
        <f t="shared" si="69"/>
        <v/>
      </c>
      <c r="E1034" t="s">
        <v>4158</v>
      </c>
      <c r="F1034" t="str">
        <f t="shared" si="71"/>
        <v>4120600</v>
      </c>
    </row>
    <row r="1035" spans="1:9" ht="15" hidden="1" customHeight="1" x14ac:dyDescent="0.25">
      <c r="A1035">
        <v>19016</v>
      </c>
      <c r="B1035" t="s">
        <v>10</v>
      </c>
      <c r="C1035" t="s">
        <v>4159</v>
      </c>
      <c r="D1035" t="str">
        <f t="shared" si="69"/>
        <v/>
      </c>
      <c r="E1035" t="s">
        <v>4160</v>
      </c>
      <c r="F1035" t="str">
        <f t="shared" si="71"/>
        <v>4120600</v>
      </c>
    </row>
    <row r="1036" spans="1:9" ht="15" hidden="1" customHeight="1" x14ac:dyDescent="0.25">
      <c r="A1036">
        <v>19017</v>
      </c>
      <c r="B1036" t="s">
        <v>10</v>
      </c>
      <c r="C1036" t="s">
        <v>4161</v>
      </c>
      <c r="D1036" t="str">
        <f t="shared" si="69"/>
        <v/>
      </c>
      <c r="E1036" t="s">
        <v>4162</v>
      </c>
      <c r="F1036" t="str">
        <f t="shared" si="71"/>
        <v>4120600</v>
      </c>
    </row>
    <row r="1037" spans="1:9" ht="15" hidden="1" customHeight="1" x14ac:dyDescent="0.25">
      <c r="A1037">
        <v>19018</v>
      </c>
      <c r="B1037" t="s">
        <v>10</v>
      </c>
      <c r="C1037" t="s">
        <v>4163</v>
      </c>
      <c r="D1037" t="str">
        <f t="shared" si="69"/>
        <v/>
      </c>
      <c r="E1037" t="s">
        <v>4164</v>
      </c>
      <c r="F1037" t="str">
        <f t="shared" si="71"/>
        <v>4120600</v>
      </c>
    </row>
    <row r="1038" spans="1:9" ht="15" hidden="1" customHeight="1" x14ac:dyDescent="0.25">
      <c r="A1038">
        <v>19019</v>
      </c>
      <c r="B1038" t="s">
        <v>10</v>
      </c>
      <c r="C1038" t="s">
        <v>4165</v>
      </c>
      <c r="D1038" t="str">
        <f t="shared" si="69"/>
        <v/>
      </c>
      <c r="E1038" t="s">
        <v>4166</v>
      </c>
      <c r="F1038" t="str">
        <f t="shared" si="71"/>
        <v>4120600</v>
      </c>
    </row>
    <row r="1039" spans="1:9" ht="15" customHeight="1" x14ac:dyDescent="0.25">
      <c r="A1039">
        <v>19020</v>
      </c>
      <c r="B1039" t="s">
        <v>7</v>
      </c>
      <c r="C1039" t="s">
        <v>4167</v>
      </c>
      <c r="D1039" t="str">
        <f t="shared" si="69"/>
        <v/>
      </c>
      <c r="E1039" t="s">
        <v>4168</v>
      </c>
      <c r="F1039" t="s">
        <v>6887</v>
      </c>
      <c r="H1039">
        <v>1</v>
      </c>
      <c r="I1039">
        <v>1</v>
      </c>
    </row>
    <row r="1040" spans="1:9" ht="15" hidden="1" customHeight="1" x14ac:dyDescent="0.25">
      <c r="A1040">
        <v>19021</v>
      </c>
      <c r="B1040" t="s">
        <v>10</v>
      </c>
      <c r="C1040" t="s">
        <v>4169</v>
      </c>
      <c r="D1040" t="str">
        <f t="shared" si="69"/>
        <v/>
      </c>
      <c r="E1040" t="s">
        <v>4170</v>
      </c>
      <c r="F1040" t="str">
        <f t="shared" ref="F1040:F1049" si="72">LEFT(C1040,7)</f>
        <v>4120601</v>
      </c>
    </row>
    <row r="1041" spans="1:9" ht="15" hidden="1" customHeight="1" x14ac:dyDescent="0.25">
      <c r="A1041">
        <v>19022</v>
      </c>
      <c r="B1041" t="s">
        <v>10</v>
      </c>
      <c r="C1041" t="s">
        <v>4171</v>
      </c>
      <c r="D1041" t="str">
        <f t="shared" si="69"/>
        <v/>
      </c>
      <c r="E1041" t="s">
        <v>4172</v>
      </c>
      <c r="F1041" t="str">
        <f t="shared" si="72"/>
        <v>4120601</v>
      </c>
    </row>
    <row r="1042" spans="1:9" ht="15" hidden="1" customHeight="1" x14ac:dyDescent="0.25">
      <c r="A1042">
        <v>19023</v>
      </c>
      <c r="B1042" t="s">
        <v>10</v>
      </c>
      <c r="C1042" t="s">
        <v>4173</v>
      </c>
      <c r="D1042" t="str">
        <f t="shared" si="69"/>
        <v/>
      </c>
      <c r="E1042" t="s">
        <v>4174</v>
      </c>
      <c r="F1042" t="str">
        <f t="shared" si="72"/>
        <v>4120601</v>
      </c>
    </row>
    <row r="1043" spans="1:9" ht="15" customHeight="1" x14ac:dyDescent="0.25">
      <c r="A1043">
        <v>19046</v>
      </c>
      <c r="B1043" t="s">
        <v>7</v>
      </c>
      <c r="C1043" t="s">
        <v>4219</v>
      </c>
      <c r="D1043" t="str">
        <f t="shared" si="69"/>
        <v/>
      </c>
      <c r="E1043" t="s">
        <v>4220</v>
      </c>
      <c r="F1043" t="str">
        <f t="shared" si="72"/>
        <v>4120860</v>
      </c>
      <c r="H1043">
        <v>1</v>
      </c>
      <c r="I1043">
        <v>1</v>
      </c>
    </row>
    <row r="1044" spans="1:9" ht="15" hidden="1" customHeight="1" x14ac:dyDescent="0.25">
      <c r="A1044">
        <v>19047</v>
      </c>
      <c r="B1044" t="s">
        <v>10</v>
      </c>
      <c r="C1044" t="s">
        <v>4221</v>
      </c>
      <c r="D1044" t="str">
        <f t="shared" si="69"/>
        <v/>
      </c>
      <c r="E1044" t="s">
        <v>4222</v>
      </c>
      <c r="F1044" t="str">
        <f t="shared" si="72"/>
        <v>4120860</v>
      </c>
    </row>
    <row r="1045" spans="1:9" ht="15" hidden="1" customHeight="1" x14ac:dyDescent="0.25">
      <c r="A1045">
        <v>19048</v>
      </c>
      <c r="B1045" t="s">
        <v>10</v>
      </c>
      <c r="C1045" t="s">
        <v>4223</v>
      </c>
      <c r="D1045" t="str">
        <f t="shared" si="69"/>
        <v/>
      </c>
      <c r="E1045" t="s">
        <v>4224</v>
      </c>
      <c r="F1045" t="str">
        <f t="shared" si="72"/>
        <v>4120860</v>
      </c>
    </row>
    <row r="1046" spans="1:9" ht="15" hidden="1" customHeight="1" x14ac:dyDescent="0.25">
      <c r="A1046">
        <v>19049</v>
      </c>
      <c r="B1046" t="s">
        <v>10</v>
      </c>
      <c r="C1046" t="s">
        <v>4225</v>
      </c>
      <c r="D1046" t="str">
        <f t="shared" si="69"/>
        <v/>
      </c>
      <c r="E1046" t="s">
        <v>4226</v>
      </c>
      <c r="F1046" t="str">
        <f t="shared" si="72"/>
        <v>4120860</v>
      </c>
    </row>
    <row r="1047" spans="1:9" ht="15" hidden="1" customHeight="1" x14ac:dyDescent="0.25">
      <c r="A1047">
        <v>19050</v>
      </c>
      <c r="B1047" t="s">
        <v>10</v>
      </c>
      <c r="C1047" t="s">
        <v>4227</v>
      </c>
      <c r="D1047" t="str">
        <f t="shared" si="69"/>
        <v/>
      </c>
      <c r="E1047" t="s">
        <v>4228</v>
      </c>
      <c r="F1047" t="str">
        <f t="shared" si="72"/>
        <v>4120860</v>
      </c>
    </row>
    <row r="1048" spans="1:9" ht="15" hidden="1" customHeight="1" x14ac:dyDescent="0.25">
      <c r="A1048">
        <v>19051</v>
      </c>
      <c r="B1048" t="s">
        <v>10</v>
      </c>
      <c r="C1048" t="s">
        <v>4229</v>
      </c>
      <c r="D1048" t="str">
        <f t="shared" si="69"/>
        <v/>
      </c>
      <c r="E1048" t="s">
        <v>4230</v>
      </c>
      <c r="F1048" t="str">
        <f t="shared" si="72"/>
        <v>4120860</v>
      </c>
    </row>
    <row r="1049" spans="1:9" ht="15" hidden="1" customHeight="1" x14ac:dyDescent="0.25">
      <c r="A1049">
        <v>19052</v>
      </c>
      <c r="B1049" t="s">
        <v>10</v>
      </c>
      <c r="C1049" t="s">
        <v>4231</v>
      </c>
      <c r="D1049" t="str">
        <f t="shared" si="69"/>
        <v/>
      </c>
      <c r="E1049" t="s">
        <v>4232</v>
      </c>
      <c r="F1049" t="str">
        <f t="shared" si="72"/>
        <v>4120860</v>
      </c>
    </row>
    <row r="1050" spans="1:9" ht="15" customHeight="1" x14ac:dyDescent="0.25">
      <c r="A1050">
        <v>19053</v>
      </c>
      <c r="B1050" t="s">
        <v>7</v>
      </c>
      <c r="C1050" t="s">
        <v>4233</v>
      </c>
      <c r="D1050" t="str">
        <f t="shared" si="69"/>
        <v/>
      </c>
      <c r="E1050" t="s">
        <v>4234</v>
      </c>
      <c r="F1050" t="s">
        <v>6888</v>
      </c>
      <c r="H1050">
        <v>1</v>
      </c>
      <c r="I1050">
        <v>1</v>
      </c>
    </row>
    <row r="1051" spans="1:9" ht="15" hidden="1" customHeight="1" x14ac:dyDescent="0.25">
      <c r="A1051">
        <v>19054</v>
      </c>
      <c r="B1051" t="s">
        <v>10</v>
      </c>
      <c r="C1051" t="s">
        <v>4235</v>
      </c>
      <c r="D1051" t="str">
        <f t="shared" si="69"/>
        <v/>
      </c>
      <c r="E1051" t="s">
        <v>4236</v>
      </c>
      <c r="F1051" t="str">
        <f t="shared" ref="F1051:F1060" si="73">LEFT(C1051,7)</f>
        <v>4120870</v>
      </c>
    </row>
    <row r="1052" spans="1:9" ht="15" hidden="1" customHeight="1" x14ac:dyDescent="0.25">
      <c r="A1052">
        <v>19055</v>
      </c>
      <c r="B1052" t="s">
        <v>10</v>
      </c>
      <c r="C1052" t="s">
        <v>4237</v>
      </c>
      <c r="D1052" t="str">
        <f t="shared" ref="D1052:D1075" si="74">IF(RIGHT(LEFT(C1052,9),2)="##","",RIGHT(LEFT(C1052,10),2))</f>
        <v/>
      </c>
      <c r="E1052" t="s">
        <v>4238</v>
      </c>
      <c r="F1052" t="str">
        <f t="shared" si="73"/>
        <v>4120870</v>
      </c>
    </row>
    <row r="1053" spans="1:9" ht="15" hidden="1" customHeight="1" x14ac:dyDescent="0.25">
      <c r="A1053">
        <v>19056</v>
      </c>
      <c r="B1053" t="s">
        <v>10</v>
      </c>
      <c r="C1053" t="s">
        <v>4239</v>
      </c>
      <c r="D1053" t="str">
        <f t="shared" si="74"/>
        <v/>
      </c>
      <c r="E1053" t="s">
        <v>4240</v>
      </c>
      <c r="F1053" t="str">
        <f t="shared" si="73"/>
        <v>4120870</v>
      </c>
    </row>
    <row r="1054" spans="1:9" ht="15" customHeight="1" x14ac:dyDescent="0.25">
      <c r="A1054">
        <v>19024</v>
      </c>
      <c r="B1054" t="s">
        <v>7</v>
      </c>
      <c r="C1054" t="s">
        <v>4175</v>
      </c>
      <c r="D1054" t="str">
        <f t="shared" si="74"/>
        <v/>
      </c>
      <c r="E1054" t="s">
        <v>4176</v>
      </c>
      <c r="F1054" t="str">
        <f t="shared" si="73"/>
        <v>4120670</v>
      </c>
      <c r="H1054">
        <v>1</v>
      </c>
      <c r="I1054">
        <v>1</v>
      </c>
    </row>
    <row r="1055" spans="1:9" ht="15" hidden="1" customHeight="1" x14ac:dyDescent="0.25">
      <c r="A1055">
        <v>19025</v>
      </c>
      <c r="B1055" t="s">
        <v>10</v>
      </c>
      <c r="C1055" t="s">
        <v>4177</v>
      </c>
      <c r="D1055" t="str">
        <f t="shared" si="74"/>
        <v/>
      </c>
      <c r="E1055" t="s">
        <v>4178</v>
      </c>
      <c r="F1055" t="str">
        <f t="shared" si="73"/>
        <v>4120670</v>
      </c>
    </row>
    <row r="1056" spans="1:9" ht="15" hidden="1" customHeight="1" x14ac:dyDescent="0.25">
      <c r="A1056">
        <v>19026</v>
      </c>
      <c r="B1056" t="s">
        <v>10</v>
      </c>
      <c r="C1056" t="s">
        <v>4179</v>
      </c>
      <c r="D1056" t="str">
        <f t="shared" si="74"/>
        <v/>
      </c>
      <c r="E1056" t="s">
        <v>4180</v>
      </c>
      <c r="F1056" t="str">
        <f t="shared" si="73"/>
        <v>4120670</v>
      </c>
    </row>
    <row r="1057" spans="1:9" ht="15" hidden="1" customHeight="1" x14ac:dyDescent="0.25">
      <c r="A1057">
        <v>19027</v>
      </c>
      <c r="B1057" t="s">
        <v>10</v>
      </c>
      <c r="C1057" t="s">
        <v>4181</v>
      </c>
      <c r="D1057" t="str">
        <f t="shared" si="74"/>
        <v/>
      </c>
      <c r="E1057" t="s">
        <v>4182</v>
      </c>
      <c r="F1057" t="str">
        <f t="shared" si="73"/>
        <v>4120670</v>
      </c>
    </row>
    <row r="1058" spans="1:9" ht="15" hidden="1" customHeight="1" x14ac:dyDescent="0.25">
      <c r="A1058">
        <v>19028</v>
      </c>
      <c r="B1058" t="s">
        <v>10</v>
      </c>
      <c r="C1058" t="s">
        <v>4183</v>
      </c>
      <c r="D1058" t="str">
        <f t="shared" si="74"/>
        <v/>
      </c>
      <c r="E1058" t="s">
        <v>4184</v>
      </c>
      <c r="F1058" t="str">
        <f t="shared" si="73"/>
        <v>4120670</v>
      </c>
    </row>
    <row r="1059" spans="1:9" ht="15" hidden="1" customHeight="1" x14ac:dyDescent="0.25">
      <c r="A1059">
        <v>19029</v>
      </c>
      <c r="B1059" t="s">
        <v>10</v>
      </c>
      <c r="C1059" t="s">
        <v>4185</v>
      </c>
      <c r="D1059" t="str">
        <f t="shared" si="74"/>
        <v/>
      </c>
      <c r="E1059" t="s">
        <v>4186</v>
      </c>
      <c r="F1059" t="str">
        <f t="shared" si="73"/>
        <v>4120670</v>
      </c>
    </row>
    <row r="1060" spans="1:9" ht="15" hidden="1" customHeight="1" x14ac:dyDescent="0.25">
      <c r="A1060">
        <v>19030</v>
      </c>
      <c r="B1060" t="s">
        <v>10</v>
      </c>
      <c r="C1060" t="s">
        <v>4187</v>
      </c>
      <c r="D1060" t="str">
        <f t="shared" si="74"/>
        <v/>
      </c>
      <c r="E1060" t="s">
        <v>4188</v>
      </c>
      <c r="F1060" t="str">
        <f t="shared" si="73"/>
        <v>4120670</v>
      </c>
    </row>
    <row r="1061" spans="1:9" ht="15" customHeight="1" x14ac:dyDescent="0.25">
      <c r="A1061">
        <v>19031</v>
      </c>
      <c r="B1061" t="s">
        <v>7</v>
      </c>
      <c r="C1061" t="s">
        <v>4189</v>
      </c>
      <c r="D1061" t="str">
        <f t="shared" si="74"/>
        <v/>
      </c>
      <c r="E1061" t="s">
        <v>4190</v>
      </c>
      <c r="F1061" t="s">
        <v>6889</v>
      </c>
      <c r="H1061">
        <v>1</v>
      </c>
      <c r="I1061">
        <v>1</v>
      </c>
    </row>
    <row r="1062" spans="1:9" ht="15" hidden="1" customHeight="1" x14ac:dyDescent="0.25">
      <c r="A1062">
        <v>19032</v>
      </c>
      <c r="B1062" t="s">
        <v>10</v>
      </c>
      <c r="C1062" t="s">
        <v>4191</v>
      </c>
      <c r="D1062" t="str">
        <f t="shared" si="74"/>
        <v/>
      </c>
      <c r="E1062" t="s">
        <v>4192</v>
      </c>
      <c r="F1062" t="str">
        <f>LEFT(C1062,7)</f>
        <v>4120672</v>
      </c>
    </row>
    <row r="1063" spans="1:9" ht="15" hidden="1" customHeight="1" x14ac:dyDescent="0.25">
      <c r="A1063">
        <v>19033</v>
      </c>
      <c r="B1063" t="s">
        <v>10</v>
      </c>
      <c r="C1063" t="s">
        <v>4193</v>
      </c>
      <c r="D1063" t="str">
        <f t="shared" si="74"/>
        <v/>
      </c>
      <c r="E1063" t="s">
        <v>4194</v>
      </c>
      <c r="F1063" t="str">
        <f>LEFT(C1063,7)</f>
        <v>4120672</v>
      </c>
    </row>
    <row r="1064" spans="1:9" ht="15" hidden="1" customHeight="1" x14ac:dyDescent="0.25">
      <c r="A1064">
        <v>19034</v>
      </c>
      <c r="B1064" t="s">
        <v>10</v>
      </c>
      <c r="C1064" t="s">
        <v>4195</v>
      </c>
      <c r="D1064" t="str">
        <f t="shared" si="74"/>
        <v/>
      </c>
      <c r="E1064" t="s">
        <v>4196</v>
      </c>
      <c r="F1064" t="str">
        <f>LEFT(C1064,7)</f>
        <v>4120672</v>
      </c>
    </row>
    <row r="1065" spans="1:9" ht="15" customHeight="1" x14ac:dyDescent="0.25">
      <c r="A1065">
        <v>19035</v>
      </c>
      <c r="B1065" t="s">
        <v>7</v>
      </c>
      <c r="C1065" t="s">
        <v>4197</v>
      </c>
      <c r="D1065" t="str">
        <f t="shared" si="74"/>
        <v/>
      </c>
      <c r="E1065" t="s">
        <v>4198</v>
      </c>
      <c r="F1065" t="s">
        <v>6890</v>
      </c>
      <c r="H1065">
        <v>1</v>
      </c>
      <c r="I1065">
        <v>1</v>
      </c>
    </row>
    <row r="1066" spans="1:9" ht="15" hidden="1" customHeight="1" x14ac:dyDescent="0.25">
      <c r="A1066">
        <v>19036</v>
      </c>
      <c r="B1066" t="s">
        <v>10</v>
      </c>
      <c r="C1066" t="s">
        <v>4199</v>
      </c>
      <c r="D1066" t="str">
        <f t="shared" si="74"/>
        <v/>
      </c>
      <c r="E1066" t="s">
        <v>4200</v>
      </c>
      <c r="F1066" t="str">
        <f t="shared" ref="F1066:F1071" si="75">LEFT(C1066,7)</f>
        <v>4120700</v>
      </c>
    </row>
    <row r="1067" spans="1:9" ht="15" hidden="1" customHeight="1" x14ac:dyDescent="0.25">
      <c r="A1067">
        <v>19037</v>
      </c>
      <c r="B1067" t="s">
        <v>10</v>
      </c>
      <c r="C1067" t="s">
        <v>4201</v>
      </c>
      <c r="D1067" t="str">
        <f t="shared" si="74"/>
        <v/>
      </c>
      <c r="E1067" t="s">
        <v>4202</v>
      </c>
      <c r="F1067" t="str">
        <f t="shared" si="75"/>
        <v>4120700</v>
      </c>
    </row>
    <row r="1068" spans="1:9" ht="15" hidden="1" customHeight="1" x14ac:dyDescent="0.25">
      <c r="A1068">
        <v>19038</v>
      </c>
      <c r="B1068" t="s">
        <v>10</v>
      </c>
      <c r="C1068" t="s">
        <v>4203</v>
      </c>
      <c r="D1068" t="str">
        <f t="shared" si="74"/>
        <v/>
      </c>
      <c r="E1068" t="s">
        <v>4204</v>
      </c>
      <c r="F1068" t="str">
        <f t="shared" si="75"/>
        <v>4120700</v>
      </c>
    </row>
    <row r="1069" spans="1:9" ht="15" hidden="1" customHeight="1" x14ac:dyDescent="0.25">
      <c r="A1069">
        <v>19039</v>
      </c>
      <c r="B1069" t="s">
        <v>10</v>
      </c>
      <c r="C1069" t="s">
        <v>4205</v>
      </c>
      <c r="D1069" t="str">
        <f t="shared" si="74"/>
        <v/>
      </c>
      <c r="E1069" t="s">
        <v>4206</v>
      </c>
      <c r="F1069" t="str">
        <f t="shared" si="75"/>
        <v>4120700</v>
      </c>
    </row>
    <row r="1070" spans="1:9" ht="15" hidden="1" customHeight="1" x14ac:dyDescent="0.25">
      <c r="A1070">
        <v>19040</v>
      </c>
      <c r="B1070" t="s">
        <v>10</v>
      </c>
      <c r="C1070" t="s">
        <v>4207</v>
      </c>
      <c r="D1070" t="str">
        <f t="shared" si="74"/>
        <v/>
      </c>
      <c r="E1070" t="s">
        <v>4208</v>
      </c>
      <c r="F1070" t="str">
        <f t="shared" si="75"/>
        <v>4120700</v>
      </c>
    </row>
    <row r="1071" spans="1:9" ht="15" hidden="1" customHeight="1" x14ac:dyDescent="0.25">
      <c r="A1071">
        <v>19041</v>
      </c>
      <c r="B1071" t="s">
        <v>10</v>
      </c>
      <c r="C1071" t="s">
        <v>4209</v>
      </c>
      <c r="D1071" t="str">
        <f t="shared" si="74"/>
        <v/>
      </c>
      <c r="E1071" t="s">
        <v>4210</v>
      </c>
      <c r="F1071" t="str">
        <f t="shared" si="75"/>
        <v>4120700</v>
      </c>
    </row>
    <row r="1072" spans="1:9" ht="15" customHeight="1" x14ac:dyDescent="0.25">
      <c r="A1072">
        <v>19042</v>
      </c>
      <c r="B1072" t="s">
        <v>7</v>
      </c>
      <c r="C1072" t="s">
        <v>4211</v>
      </c>
      <c r="D1072" t="str">
        <f t="shared" si="74"/>
        <v/>
      </c>
      <c r="E1072" t="s">
        <v>4212</v>
      </c>
      <c r="F1072" t="s">
        <v>6890</v>
      </c>
      <c r="H1072">
        <v>1</v>
      </c>
      <c r="I1072">
        <v>1</v>
      </c>
    </row>
    <row r="1073" spans="1:9" ht="15" hidden="1" customHeight="1" x14ac:dyDescent="0.25">
      <c r="A1073">
        <v>19043</v>
      </c>
      <c r="B1073" t="s">
        <v>10</v>
      </c>
      <c r="C1073" t="s">
        <v>4213</v>
      </c>
      <c r="D1073" t="str">
        <f t="shared" si="74"/>
        <v/>
      </c>
      <c r="E1073" t="s">
        <v>4214</v>
      </c>
      <c r="F1073" t="str">
        <f t="shared" ref="F1073:F1083" si="76">LEFT(C1073,7)</f>
        <v>4120701</v>
      </c>
    </row>
    <row r="1074" spans="1:9" ht="15" hidden="1" customHeight="1" x14ac:dyDescent="0.25">
      <c r="A1074">
        <v>19044</v>
      </c>
      <c r="B1074" t="s">
        <v>10</v>
      </c>
      <c r="C1074" t="s">
        <v>4215</v>
      </c>
      <c r="D1074" t="str">
        <f t="shared" si="74"/>
        <v/>
      </c>
      <c r="E1074" t="s">
        <v>4216</v>
      </c>
      <c r="F1074" t="str">
        <f t="shared" si="76"/>
        <v>4120701</v>
      </c>
    </row>
    <row r="1075" spans="1:9" ht="15" hidden="1" customHeight="1" x14ac:dyDescent="0.25">
      <c r="A1075">
        <v>19045</v>
      </c>
      <c r="B1075" t="s">
        <v>10</v>
      </c>
      <c r="C1075" t="s">
        <v>4217</v>
      </c>
      <c r="D1075" t="str">
        <f t="shared" si="74"/>
        <v/>
      </c>
      <c r="E1075" t="s">
        <v>4218</v>
      </c>
      <c r="F1075" t="str">
        <f t="shared" si="76"/>
        <v>4120701</v>
      </c>
    </row>
    <row r="1076" spans="1:9" ht="15" customHeight="1" x14ac:dyDescent="0.25">
      <c r="A1076">
        <v>16504</v>
      </c>
      <c r="B1076" t="s">
        <v>7</v>
      </c>
      <c r="C1076" t="s">
        <v>7022</v>
      </c>
      <c r="E1076" t="s">
        <v>7023</v>
      </c>
      <c r="F1076" t="str">
        <f t="shared" si="76"/>
        <v>4120239</v>
      </c>
      <c r="H1076">
        <v>1</v>
      </c>
      <c r="I1076">
        <v>1</v>
      </c>
    </row>
    <row r="1077" spans="1:9" ht="15" customHeight="1" x14ac:dyDescent="0.25">
      <c r="A1077">
        <v>18012</v>
      </c>
      <c r="B1077" t="s">
        <v>7</v>
      </c>
      <c r="C1077" t="s">
        <v>2945</v>
      </c>
      <c r="D1077" t="str">
        <f t="shared" ref="D1077:D1140" si="77">IF(RIGHT(LEFT(C1077,9),2)="##","",RIGHT(LEFT(C1077,10),2))</f>
        <v/>
      </c>
      <c r="E1077" t="s">
        <v>2946</v>
      </c>
      <c r="F1077" t="str">
        <f t="shared" si="76"/>
        <v>4120854</v>
      </c>
      <c r="H1077" s="2">
        <v>6</v>
      </c>
      <c r="I1077">
        <v>1</v>
      </c>
    </row>
    <row r="1078" spans="1:9" ht="15" hidden="1" customHeight="1" x14ac:dyDescent="0.25">
      <c r="A1078">
        <v>18013</v>
      </c>
      <c r="B1078" t="s">
        <v>10</v>
      </c>
      <c r="C1078" t="s">
        <v>2947</v>
      </c>
      <c r="D1078" t="str">
        <f t="shared" si="77"/>
        <v/>
      </c>
      <c r="E1078" t="s">
        <v>2948</v>
      </c>
      <c r="F1078" t="str">
        <f t="shared" si="76"/>
        <v>4120854</v>
      </c>
    </row>
    <row r="1079" spans="1:9" ht="15" hidden="1" customHeight="1" x14ac:dyDescent="0.25">
      <c r="A1079">
        <v>18016</v>
      </c>
      <c r="B1079" t="s">
        <v>10</v>
      </c>
      <c r="C1079" t="s">
        <v>2949</v>
      </c>
      <c r="D1079" t="str">
        <f t="shared" si="77"/>
        <v/>
      </c>
      <c r="E1079" t="s">
        <v>2950</v>
      </c>
      <c r="F1079" t="str">
        <f t="shared" si="76"/>
        <v>4120854</v>
      </c>
    </row>
    <row r="1080" spans="1:9" ht="15" hidden="1" customHeight="1" x14ac:dyDescent="0.25">
      <c r="A1080">
        <v>18017</v>
      </c>
      <c r="B1080" t="s">
        <v>10</v>
      </c>
      <c r="C1080" t="s">
        <v>2951</v>
      </c>
      <c r="D1080" t="str">
        <f t="shared" si="77"/>
        <v/>
      </c>
      <c r="E1080" t="s">
        <v>2952</v>
      </c>
      <c r="F1080" t="str">
        <f t="shared" si="76"/>
        <v>4120854</v>
      </c>
    </row>
    <row r="1081" spans="1:9" ht="15" hidden="1" customHeight="1" x14ac:dyDescent="0.25">
      <c r="A1081">
        <v>18018</v>
      </c>
      <c r="B1081" t="s">
        <v>10</v>
      </c>
      <c r="C1081" t="s">
        <v>2953</v>
      </c>
      <c r="D1081" t="str">
        <f t="shared" si="77"/>
        <v/>
      </c>
      <c r="E1081" t="s">
        <v>2954</v>
      </c>
      <c r="F1081" t="str">
        <f t="shared" si="76"/>
        <v>4120854</v>
      </c>
    </row>
    <row r="1082" spans="1:9" ht="15" hidden="1" customHeight="1" x14ac:dyDescent="0.25">
      <c r="A1082">
        <v>18019</v>
      </c>
      <c r="B1082" t="s">
        <v>10</v>
      </c>
      <c r="C1082" t="s">
        <v>2955</v>
      </c>
      <c r="D1082" t="str">
        <f t="shared" si="77"/>
        <v/>
      </c>
      <c r="E1082" t="s">
        <v>2956</v>
      </c>
      <c r="F1082" t="str">
        <f t="shared" si="76"/>
        <v>4120854</v>
      </c>
    </row>
    <row r="1083" spans="1:9" ht="15" hidden="1" customHeight="1" x14ac:dyDescent="0.25">
      <c r="A1083">
        <v>18020</v>
      </c>
      <c r="B1083" t="s">
        <v>10</v>
      </c>
      <c r="C1083" t="s">
        <v>2957</v>
      </c>
      <c r="D1083" t="str">
        <f t="shared" si="77"/>
        <v/>
      </c>
      <c r="E1083" t="s">
        <v>2958</v>
      </c>
      <c r="F1083" t="str">
        <f t="shared" si="76"/>
        <v>4120854</v>
      </c>
    </row>
    <row r="1084" spans="1:9" ht="15" customHeight="1" x14ac:dyDescent="0.25">
      <c r="A1084">
        <v>18021</v>
      </c>
      <c r="B1084" t="s">
        <v>7</v>
      </c>
      <c r="C1084" t="s">
        <v>2959</v>
      </c>
      <c r="D1084" t="str">
        <f t="shared" si="77"/>
        <v/>
      </c>
      <c r="E1084" t="s">
        <v>2960</v>
      </c>
      <c r="F1084" t="s">
        <v>6891</v>
      </c>
      <c r="H1084" s="2">
        <v>6</v>
      </c>
      <c r="I1084">
        <v>1</v>
      </c>
    </row>
    <row r="1085" spans="1:9" ht="15" hidden="1" customHeight="1" x14ac:dyDescent="0.25">
      <c r="A1085">
        <v>18022</v>
      </c>
      <c r="B1085" t="s">
        <v>10</v>
      </c>
      <c r="C1085" t="s">
        <v>2961</v>
      </c>
      <c r="D1085" t="str">
        <f t="shared" si="77"/>
        <v/>
      </c>
      <c r="E1085" t="s">
        <v>2962</v>
      </c>
      <c r="F1085" t="str">
        <f>LEFT(C1085,7)</f>
        <v>4120334</v>
      </c>
    </row>
    <row r="1086" spans="1:9" ht="15" hidden="1" customHeight="1" x14ac:dyDescent="0.25">
      <c r="A1086">
        <v>18023</v>
      </c>
      <c r="B1086" t="s">
        <v>10</v>
      </c>
      <c r="C1086" t="s">
        <v>2963</v>
      </c>
      <c r="D1086" t="str">
        <f t="shared" si="77"/>
        <v/>
      </c>
      <c r="E1086" t="s">
        <v>2964</v>
      </c>
      <c r="F1086" t="str">
        <f>LEFT(C1086,7)</f>
        <v>4120334</v>
      </c>
    </row>
    <row r="1087" spans="1:9" ht="15" hidden="1" customHeight="1" x14ac:dyDescent="0.25">
      <c r="A1087">
        <v>18024</v>
      </c>
      <c r="B1087" t="s">
        <v>10</v>
      </c>
      <c r="C1087" t="s">
        <v>2965</v>
      </c>
      <c r="D1087" t="str">
        <f t="shared" si="77"/>
        <v/>
      </c>
      <c r="E1087" t="s">
        <v>2966</v>
      </c>
      <c r="F1087" t="str">
        <f>LEFT(C1087,7)</f>
        <v>4120334</v>
      </c>
    </row>
    <row r="1088" spans="1:9" ht="15" customHeight="1" x14ac:dyDescent="0.25">
      <c r="A1088">
        <v>18025</v>
      </c>
      <c r="B1088" t="s">
        <v>7</v>
      </c>
      <c r="C1088" t="s">
        <v>2967</v>
      </c>
      <c r="D1088" t="str">
        <f t="shared" si="77"/>
        <v/>
      </c>
      <c r="E1088" t="s">
        <v>2968</v>
      </c>
      <c r="F1088" t="s">
        <v>6891</v>
      </c>
      <c r="H1088" s="2">
        <v>6</v>
      </c>
      <c r="I1088">
        <v>1</v>
      </c>
    </row>
    <row r="1089" spans="1:9" ht="15" hidden="1" customHeight="1" x14ac:dyDescent="0.25">
      <c r="A1089">
        <v>18026</v>
      </c>
      <c r="B1089" t="s">
        <v>10</v>
      </c>
      <c r="C1089" t="s">
        <v>2969</v>
      </c>
      <c r="D1089" t="str">
        <f t="shared" si="77"/>
        <v/>
      </c>
      <c r="E1089" t="s">
        <v>2970</v>
      </c>
      <c r="F1089" t="str">
        <f t="shared" ref="F1089:F1098" si="78">LEFT(C1089,7)</f>
        <v>4120335</v>
      </c>
    </row>
    <row r="1090" spans="1:9" ht="15" hidden="1" customHeight="1" x14ac:dyDescent="0.25">
      <c r="A1090">
        <v>18027</v>
      </c>
      <c r="B1090" t="s">
        <v>10</v>
      </c>
      <c r="C1090" t="s">
        <v>2971</v>
      </c>
      <c r="D1090" t="str">
        <f t="shared" si="77"/>
        <v/>
      </c>
      <c r="E1090" t="s">
        <v>2972</v>
      </c>
      <c r="F1090" t="str">
        <f t="shared" si="78"/>
        <v>4120335</v>
      </c>
    </row>
    <row r="1091" spans="1:9" ht="15" hidden="1" customHeight="1" x14ac:dyDescent="0.25">
      <c r="A1091">
        <v>18028</v>
      </c>
      <c r="B1091" t="s">
        <v>10</v>
      </c>
      <c r="C1091" t="s">
        <v>2973</v>
      </c>
      <c r="D1091" t="str">
        <f t="shared" si="77"/>
        <v/>
      </c>
      <c r="E1091" t="s">
        <v>2974</v>
      </c>
      <c r="F1091" t="str">
        <f t="shared" si="78"/>
        <v>4120335</v>
      </c>
    </row>
    <row r="1092" spans="1:9" ht="15" customHeight="1" x14ac:dyDescent="0.25">
      <c r="A1092">
        <v>18076</v>
      </c>
      <c r="B1092" t="s">
        <v>7</v>
      </c>
      <c r="C1092" t="s">
        <v>3053</v>
      </c>
      <c r="D1092" t="str">
        <f t="shared" si="77"/>
        <v/>
      </c>
      <c r="E1092" t="s">
        <v>3054</v>
      </c>
      <c r="F1092" t="str">
        <f t="shared" si="78"/>
        <v>4130777</v>
      </c>
      <c r="H1092">
        <v>6</v>
      </c>
      <c r="I1092">
        <v>1</v>
      </c>
    </row>
    <row r="1093" spans="1:9" ht="15" hidden="1" customHeight="1" x14ac:dyDescent="0.25">
      <c r="A1093">
        <v>18077</v>
      </c>
      <c r="B1093" t="s">
        <v>10</v>
      </c>
      <c r="C1093" t="s">
        <v>3055</v>
      </c>
      <c r="D1093" t="str">
        <f t="shared" si="77"/>
        <v/>
      </c>
      <c r="E1093" t="s">
        <v>3056</v>
      </c>
      <c r="F1093" t="str">
        <f t="shared" si="78"/>
        <v>4130777</v>
      </c>
    </row>
    <row r="1094" spans="1:9" ht="15" hidden="1" customHeight="1" x14ac:dyDescent="0.25">
      <c r="A1094">
        <v>18080</v>
      </c>
      <c r="B1094" t="s">
        <v>10</v>
      </c>
      <c r="C1094" t="s">
        <v>3057</v>
      </c>
      <c r="D1094" t="str">
        <f t="shared" si="77"/>
        <v/>
      </c>
      <c r="E1094" t="s">
        <v>3058</v>
      </c>
      <c r="F1094" t="str">
        <f t="shared" si="78"/>
        <v>4130777</v>
      </c>
    </row>
    <row r="1095" spans="1:9" ht="15" hidden="1" customHeight="1" x14ac:dyDescent="0.25">
      <c r="A1095">
        <v>18081</v>
      </c>
      <c r="B1095" t="s">
        <v>10</v>
      </c>
      <c r="C1095" t="s">
        <v>3059</v>
      </c>
      <c r="D1095" t="str">
        <f t="shared" si="77"/>
        <v/>
      </c>
      <c r="E1095" t="s">
        <v>3060</v>
      </c>
      <c r="F1095" t="str">
        <f t="shared" si="78"/>
        <v>4130777</v>
      </c>
    </row>
    <row r="1096" spans="1:9" ht="15" hidden="1" customHeight="1" x14ac:dyDescent="0.25">
      <c r="A1096">
        <v>18082</v>
      </c>
      <c r="B1096" t="s">
        <v>10</v>
      </c>
      <c r="C1096" t="s">
        <v>3061</v>
      </c>
      <c r="D1096" t="str">
        <f t="shared" si="77"/>
        <v/>
      </c>
      <c r="E1096" t="s">
        <v>3062</v>
      </c>
      <c r="F1096" t="str">
        <f t="shared" si="78"/>
        <v>4130777</v>
      </c>
    </row>
    <row r="1097" spans="1:9" ht="15" hidden="1" customHeight="1" x14ac:dyDescent="0.25">
      <c r="A1097">
        <v>18083</v>
      </c>
      <c r="B1097" t="s">
        <v>10</v>
      </c>
      <c r="C1097" t="s">
        <v>3063</v>
      </c>
      <c r="D1097" t="str">
        <f t="shared" si="77"/>
        <v/>
      </c>
      <c r="E1097" t="s">
        <v>3064</v>
      </c>
      <c r="F1097" t="str">
        <f t="shared" si="78"/>
        <v>4130777</v>
      </c>
    </row>
    <row r="1098" spans="1:9" ht="15" hidden="1" customHeight="1" x14ac:dyDescent="0.25">
      <c r="A1098">
        <v>18084</v>
      </c>
      <c r="B1098" t="s">
        <v>10</v>
      </c>
      <c r="C1098" t="s">
        <v>3065</v>
      </c>
      <c r="D1098" t="str">
        <f t="shared" si="77"/>
        <v/>
      </c>
      <c r="E1098" t="s">
        <v>3066</v>
      </c>
      <c r="F1098" t="str">
        <f t="shared" si="78"/>
        <v>4130777</v>
      </c>
    </row>
    <row r="1099" spans="1:9" ht="15" customHeight="1" x14ac:dyDescent="0.25">
      <c r="A1099">
        <v>18085</v>
      </c>
      <c r="B1099" t="s">
        <v>7</v>
      </c>
      <c r="C1099" t="s">
        <v>3067</v>
      </c>
      <c r="D1099" t="str">
        <f t="shared" si="77"/>
        <v/>
      </c>
      <c r="E1099" t="s">
        <v>3068</v>
      </c>
      <c r="F1099" t="s">
        <v>6892</v>
      </c>
      <c r="H1099">
        <v>6</v>
      </c>
      <c r="I1099">
        <v>1</v>
      </c>
    </row>
    <row r="1100" spans="1:9" ht="15" hidden="1" customHeight="1" x14ac:dyDescent="0.25">
      <c r="A1100">
        <v>18086</v>
      </c>
      <c r="B1100" t="s">
        <v>10</v>
      </c>
      <c r="C1100" t="s">
        <v>3069</v>
      </c>
      <c r="D1100" t="str">
        <f t="shared" si="77"/>
        <v/>
      </c>
      <c r="E1100" t="s">
        <v>3070</v>
      </c>
      <c r="F1100" t="str">
        <f t="shared" ref="F1100:F1110" si="79">LEFT(C1100,7)</f>
        <v>4130150</v>
      </c>
    </row>
    <row r="1101" spans="1:9" ht="15" hidden="1" customHeight="1" x14ac:dyDescent="0.25">
      <c r="A1101">
        <v>18087</v>
      </c>
      <c r="B1101" t="s">
        <v>10</v>
      </c>
      <c r="C1101" t="s">
        <v>3071</v>
      </c>
      <c r="D1101" t="str">
        <f t="shared" si="77"/>
        <v/>
      </c>
      <c r="E1101" t="s">
        <v>3072</v>
      </c>
      <c r="F1101" t="str">
        <f t="shared" si="79"/>
        <v>4130150</v>
      </c>
    </row>
    <row r="1102" spans="1:9" ht="15" hidden="1" customHeight="1" x14ac:dyDescent="0.25">
      <c r="A1102">
        <v>18088</v>
      </c>
      <c r="B1102" t="s">
        <v>10</v>
      </c>
      <c r="C1102" t="s">
        <v>3073</v>
      </c>
      <c r="D1102" t="str">
        <f t="shared" si="77"/>
        <v/>
      </c>
      <c r="E1102" t="s">
        <v>3074</v>
      </c>
      <c r="F1102" t="str">
        <f t="shared" si="79"/>
        <v>4130150</v>
      </c>
    </row>
    <row r="1103" spans="1:9" ht="15" customHeight="1" x14ac:dyDescent="0.25">
      <c r="A1103">
        <v>18064</v>
      </c>
      <c r="B1103" t="s">
        <v>7</v>
      </c>
      <c r="C1103" t="s">
        <v>3029</v>
      </c>
      <c r="D1103" t="str">
        <f t="shared" si="77"/>
        <v/>
      </c>
      <c r="E1103" t="s">
        <v>3030</v>
      </c>
      <c r="F1103" t="str">
        <f t="shared" si="79"/>
        <v>4120110</v>
      </c>
      <c r="H1103">
        <v>6</v>
      </c>
      <c r="I1103">
        <v>1</v>
      </c>
    </row>
    <row r="1104" spans="1:9" ht="15" hidden="1" customHeight="1" x14ac:dyDescent="0.25">
      <c r="A1104">
        <v>18065</v>
      </c>
      <c r="B1104" t="s">
        <v>10</v>
      </c>
      <c r="C1104" t="s">
        <v>3031</v>
      </c>
      <c r="D1104" t="str">
        <f t="shared" si="77"/>
        <v/>
      </c>
      <c r="E1104" t="s">
        <v>3032</v>
      </c>
      <c r="F1104" t="str">
        <f t="shared" si="79"/>
        <v>4120110</v>
      </c>
    </row>
    <row r="1105" spans="1:9" ht="15" hidden="1" customHeight="1" x14ac:dyDescent="0.25">
      <c r="A1105">
        <v>18066</v>
      </c>
      <c r="B1105" t="s">
        <v>10</v>
      </c>
      <c r="C1105" t="s">
        <v>3033</v>
      </c>
      <c r="D1105" t="str">
        <f t="shared" si="77"/>
        <v/>
      </c>
      <c r="E1105" t="s">
        <v>3034</v>
      </c>
      <c r="F1105" t="str">
        <f t="shared" si="79"/>
        <v>4120110</v>
      </c>
    </row>
    <row r="1106" spans="1:9" ht="15" hidden="1" customHeight="1" x14ac:dyDescent="0.25">
      <c r="A1106">
        <v>18067</v>
      </c>
      <c r="B1106" t="s">
        <v>10</v>
      </c>
      <c r="C1106" t="s">
        <v>3035</v>
      </c>
      <c r="D1106" t="str">
        <f t="shared" si="77"/>
        <v/>
      </c>
      <c r="E1106" t="s">
        <v>3036</v>
      </c>
      <c r="F1106" t="str">
        <f t="shared" si="79"/>
        <v>4120110</v>
      </c>
    </row>
    <row r="1107" spans="1:9" ht="15" hidden="1" customHeight="1" x14ac:dyDescent="0.25">
      <c r="A1107">
        <v>18068</v>
      </c>
      <c r="B1107" t="s">
        <v>10</v>
      </c>
      <c r="C1107" t="s">
        <v>3037</v>
      </c>
      <c r="D1107" t="str">
        <f t="shared" si="77"/>
        <v/>
      </c>
      <c r="E1107" t="s">
        <v>3038</v>
      </c>
      <c r="F1107" t="str">
        <f t="shared" si="79"/>
        <v>4120110</v>
      </c>
    </row>
    <row r="1108" spans="1:9" ht="15" hidden="1" customHeight="1" x14ac:dyDescent="0.25">
      <c r="A1108">
        <v>18069</v>
      </c>
      <c r="B1108" t="s">
        <v>10</v>
      </c>
      <c r="C1108" t="s">
        <v>3039</v>
      </c>
      <c r="D1108" t="str">
        <f t="shared" si="77"/>
        <v/>
      </c>
      <c r="E1108" t="s">
        <v>3040</v>
      </c>
      <c r="F1108" t="str">
        <f t="shared" si="79"/>
        <v>4120110</v>
      </c>
    </row>
    <row r="1109" spans="1:9" ht="15" hidden="1" customHeight="1" x14ac:dyDescent="0.25">
      <c r="A1109">
        <v>18070</v>
      </c>
      <c r="B1109" t="s">
        <v>10</v>
      </c>
      <c r="C1109" t="s">
        <v>3041</v>
      </c>
      <c r="D1109" t="str">
        <f t="shared" si="77"/>
        <v/>
      </c>
      <c r="E1109" t="s">
        <v>3042</v>
      </c>
      <c r="F1109" t="str">
        <f t="shared" si="79"/>
        <v>4120110</v>
      </c>
    </row>
    <row r="1110" spans="1:9" ht="15" hidden="1" customHeight="1" x14ac:dyDescent="0.25">
      <c r="A1110">
        <v>18071</v>
      </c>
      <c r="B1110" t="s">
        <v>10</v>
      </c>
      <c r="C1110" t="s">
        <v>3043</v>
      </c>
      <c r="D1110" t="str">
        <f t="shared" si="77"/>
        <v/>
      </c>
      <c r="E1110" t="s">
        <v>3044</v>
      </c>
      <c r="F1110" t="str">
        <f t="shared" si="79"/>
        <v>4120110</v>
      </c>
    </row>
    <row r="1111" spans="1:9" ht="15" customHeight="1" x14ac:dyDescent="0.25">
      <c r="A1111">
        <v>18072</v>
      </c>
      <c r="B1111" t="s">
        <v>7</v>
      </c>
      <c r="C1111" t="s">
        <v>3045</v>
      </c>
      <c r="D1111" t="str">
        <f t="shared" si="77"/>
        <v/>
      </c>
      <c r="E1111" t="s">
        <v>3046</v>
      </c>
      <c r="F1111" t="s">
        <v>6893</v>
      </c>
      <c r="H1111">
        <v>6</v>
      </c>
      <c r="I1111">
        <v>1</v>
      </c>
    </row>
    <row r="1112" spans="1:9" ht="15" hidden="1" customHeight="1" x14ac:dyDescent="0.25">
      <c r="A1112">
        <v>18073</v>
      </c>
      <c r="B1112" t="s">
        <v>10</v>
      </c>
      <c r="C1112" t="s">
        <v>3047</v>
      </c>
      <c r="D1112" t="str">
        <f t="shared" si="77"/>
        <v/>
      </c>
      <c r="E1112" t="s">
        <v>3048</v>
      </c>
      <c r="F1112" t="str">
        <f t="shared" ref="F1112:F1121" si="80">LEFT(C1112,7)</f>
        <v>4120115</v>
      </c>
    </row>
    <row r="1113" spans="1:9" ht="15" hidden="1" customHeight="1" x14ac:dyDescent="0.25">
      <c r="A1113">
        <v>18074</v>
      </c>
      <c r="B1113" t="s">
        <v>10</v>
      </c>
      <c r="C1113" t="s">
        <v>3049</v>
      </c>
      <c r="D1113" t="str">
        <f t="shared" si="77"/>
        <v/>
      </c>
      <c r="E1113" t="s">
        <v>3050</v>
      </c>
      <c r="F1113" t="str">
        <f t="shared" si="80"/>
        <v>4120115</v>
      </c>
    </row>
    <row r="1114" spans="1:9" ht="15" hidden="1" customHeight="1" x14ac:dyDescent="0.25">
      <c r="A1114">
        <v>18075</v>
      </c>
      <c r="B1114" t="s">
        <v>10</v>
      </c>
      <c r="C1114" t="s">
        <v>3051</v>
      </c>
      <c r="D1114" t="str">
        <f t="shared" si="77"/>
        <v/>
      </c>
      <c r="E1114" t="s">
        <v>3052</v>
      </c>
      <c r="F1114" t="str">
        <f t="shared" si="80"/>
        <v>4120115</v>
      </c>
    </row>
    <row r="1115" spans="1:9" ht="15" customHeight="1" x14ac:dyDescent="0.25">
      <c r="A1115">
        <v>15172</v>
      </c>
      <c r="B1115" t="s">
        <v>7</v>
      </c>
      <c r="C1115" t="s">
        <v>611</v>
      </c>
      <c r="D1115" t="str">
        <f t="shared" si="77"/>
        <v/>
      </c>
      <c r="E1115" t="s">
        <v>612</v>
      </c>
      <c r="F1115" t="str">
        <f t="shared" si="80"/>
        <v>4120800</v>
      </c>
      <c r="H1115">
        <v>6</v>
      </c>
      <c r="I1115">
        <v>1</v>
      </c>
    </row>
    <row r="1116" spans="1:9" ht="15" hidden="1" customHeight="1" x14ac:dyDescent="0.25">
      <c r="A1116">
        <v>15173</v>
      </c>
      <c r="B1116" t="s">
        <v>10</v>
      </c>
      <c r="C1116" t="s">
        <v>613</v>
      </c>
      <c r="D1116" t="str">
        <f t="shared" si="77"/>
        <v/>
      </c>
      <c r="E1116" t="s">
        <v>614</v>
      </c>
      <c r="F1116" t="str">
        <f t="shared" si="80"/>
        <v>4120800</v>
      </c>
    </row>
    <row r="1117" spans="1:9" ht="15" hidden="1" customHeight="1" x14ac:dyDescent="0.25">
      <c r="A1117">
        <v>15177</v>
      </c>
      <c r="B1117" t="s">
        <v>10</v>
      </c>
      <c r="C1117" t="s">
        <v>615</v>
      </c>
      <c r="D1117" t="str">
        <f t="shared" si="77"/>
        <v/>
      </c>
      <c r="E1117" t="s">
        <v>616</v>
      </c>
      <c r="F1117" t="str">
        <f t="shared" si="80"/>
        <v>4120800</v>
      </c>
    </row>
    <row r="1118" spans="1:9" ht="15" hidden="1" customHeight="1" x14ac:dyDescent="0.25">
      <c r="A1118">
        <v>15178</v>
      </c>
      <c r="B1118" t="s">
        <v>10</v>
      </c>
      <c r="C1118" t="s">
        <v>617</v>
      </c>
      <c r="D1118" t="str">
        <f t="shared" si="77"/>
        <v/>
      </c>
      <c r="E1118" t="s">
        <v>618</v>
      </c>
      <c r="F1118" t="str">
        <f t="shared" si="80"/>
        <v>4120800</v>
      </c>
    </row>
    <row r="1119" spans="1:9" ht="15" hidden="1" customHeight="1" x14ac:dyDescent="0.25">
      <c r="A1119">
        <v>15179</v>
      </c>
      <c r="B1119" t="s">
        <v>10</v>
      </c>
      <c r="C1119" t="s">
        <v>619</v>
      </c>
      <c r="D1119" t="str">
        <f t="shared" si="77"/>
        <v/>
      </c>
      <c r="E1119" t="s">
        <v>620</v>
      </c>
      <c r="F1119" t="str">
        <f t="shared" si="80"/>
        <v>4120800</v>
      </c>
    </row>
    <row r="1120" spans="1:9" ht="15" hidden="1" customHeight="1" x14ac:dyDescent="0.25">
      <c r="A1120">
        <v>15180</v>
      </c>
      <c r="B1120" t="s">
        <v>10</v>
      </c>
      <c r="C1120" t="s">
        <v>621</v>
      </c>
      <c r="D1120" t="str">
        <f t="shared" si="77"/>
        <v/>
      </c>
      <c r="E1120" t="s">
        <v>622</v>
      </c>
      <c r="F1120" t="str">
        <f t="shared" si="80"/>
        <v>4120800</v>
      </c>
    </row>
    <row r="1121" spans="1:9" ht="15" hidden="1" customHeight="1" x14ac:dyDescent="0.25">
      <c r="A1121">
        <v>15181</v>
      </c>
      <c r="B1121" t="s">
        <v>10</v>
      </c>
      <c r="C1121" t="s">
        <v>623</v>
      </c>
      <c r="D1121" t="str">
        <f t="shared" si="77"/>
        <v/>
      </c>
      <c r="E1121" t="s">
        <v>624</v>
      </c>
      <c r="F1121" t="str">
        <f t="shared" si="80"/>
        <v>4120800</v>
      </c>
    </row>
    <row r="1122" spans="1:9" ht="15" customHeight="1" x14ac:dyDescent="0.25">
      <c r="A1122">
        <v>17338</v>
      </c>
      <c r="B1122" t="s">
        <v>7</v>
      </c>
      <c r="C1122" t="s">
        <v>2093</v>
      </c>
      <c r="D1122" t="str">
        <f t="shared" si="77"/>
        <v/>
      </c>
      <c r="E1122" t="s">
        <v>2094</v>
      </c>
      <c r="F1122" t="s">
        <v>6894</v>
      </c>
      <c r="H1122">
        <v>6</v>
      </c>
      <c r="I1122">
        <v>1</v>
      </c>
    </row>
    <row r="1123" spans="1:9" ht="15" hidden="1" customHeight="1" x14ac:dyDescent="0.25">
      <c r="A1123">
        <v>17339</v>
      </c>
      <c r="B1123" t="s">
        <v>10</v>
      </c>
      <c r="C1123" t="s">
        <v>2095</v>
      </c>
      <c r="D1123" t="str">
        <f t="shared" si="77"/>
        <v/>
      </c>
      <c r="E1123" t="s">
        <v>2096</v>
      </c>
      <c r="F1123" t="str">
        <f>LEFT(C1123,7)</f>
        <v>4120544</v>
      </c>
    </row>
    <row r="1124" spans="1:9" ht="15" hidden="1" customHeight="1" x14ac:dyDescent="0.25">
      <c r="A1124">
        <v>17340</v>
      </c>
      <c r="B1124" t="s">
        <v>10</v>
      </c>
      <c r="C1124" t="s">
        <v>2097</v>
      </c>
      <c r="D1124" t="str">
        <f t="shared" si="77"/>
        <v/>
      </c>
      <c r="E1124" t="s">
        <v>2098</v>
      </c>
      <c r="F1124" t="str">
        <f>LEFT(C1124,7)</f>
        <v>4120544</v>
      </c>
    </row>
    <row r="1125" spans="1:9" ht="15" hidden="1" customHeight="1" x14ac:dyDescent="0.25">
      <c r="A1125">
        <v>17341</v>
      </c>
      <c r="B1125" t="s">
        <v>10</v>
      </c>
      <c r="C1125" t="s">
        <v>2099</v>
      </c>
      <c r="D1125" t="str">
        <f t="shared" si="77"/>
        <v/>
      </c>
      <c r="E1125" t="s">
        <v>2100</v>
      </c>
      <c r="F1125" t="str">
        <f>LEFT(C1125,7)</f>
        <v>4120544</v>
      </c>
    </row>
    <row r="1126" spans="1:9" ht="15" customHeight="1" x14ac:dyDescent="0.25">
      <c r="A1126">
        <v>17342</v>
      </c>
      <c r="B1126" t="s">
        <v>7</v>
      </c>
      <c r="C1126" t="s">
        <v>2101</v>
      </c>
      <c r="D1126" t="str">
        <f t="shared" si="77"/>
        <v/>
      </c>
      <c r="E1126" t="s">
        <v>2102</v>
      </c>
      <c r="F1126" t="s">
        <v>6894</v>
      </c>
      <c r="H1126">
        <v>6</v>
      </c>
      <c r="I1126">
        <v>1</v>
      </c>
    </row>
    <row r="1127" spans="1:9" ht="15" hidden="1" customHeight="1" x14ac:dyDescent="0.25">
      <c r="A1127">
        <v>17343</v>
      </c>
      <c r="B1127" t="s">
        <v>10</v>
      </c>
      <c r="C1127" t="s">
        <v>2103</v>
      </c>
      <c r="D1127" t="str">
        <f t="shared" si="77"/>
        <v/>
      </c>
      <c r="E1127" t="s">
        <v>2104</v>
      </c>
      <c r="F1127" t="str">
        <f t="shared" ref="F1127:F1136" si="81">LEFT(C1127,7)</f>
        <v>4120778</v>
      </c>
    </row>
    <row r="1128" spans="1:9" ht="15" hidden="1" customHeight="1" x14ac:dyDescent="0.25">
      <c r="A1128">
        <v>17344</v>
      </c>
      <c r="B1128" t="s">
        <v>10</v>
      </c>
      <c r="C1128" t="s">
        <v>2105</v>
      </c>
      <c r="D1128" t="str">
        <f t="shared" si="77"/>
        <v/>
      </c>
      <c r="E1128" t="s">
        <v>2106</v>
      </c>
      <c r="F1128" t="str">
        <f t="shared" si="81"/>
        <v>4120778</v>
      </c>
    </row>
    <row r="1129" spans="1:9" ht="15" hidden="1" customHeight="1" x14ac:dyDescent="0.25">
      <c r="A1129">
        <v>17345</v>
      </c>
      <c r="B1129" t="s">
        <v>10</v>
      </c>
      <c r="C1129" t="s">
        <v>2107</v>
      </c>
      <c r="D1129" t="str">
        <f t="shared" si="77"/>
        <v/>
      </c>
      <c r="E1129" t="s">
        <v>2108</v>
      </c>
      <c r="F1129" t="str">
        <f t="shared" si="81"/>
        <v>4120778</v>
      </c>
    </row>
    <row r="1130" spans="1:9" ht="15" customHeight="1" x14ac:dyDescent="0.25">
      <c r="A1130">
        <v>18051</v>
      </c>
      <c r="B1130" t="s">
        <v>7</v>
      </c>
      <c r="C1130" t="s">
        <v>3007</v>
      </c>
      <c r="D1130" t="str">
        <f t="shared" si="77"/>
        <v/>
      </c>
      <c r="E1130" t="s">
        <v>3008</v>
      </c>
      <c r="F1130" t="str">
        <f t="shared" si="81"/>
        <v>4120567</v>
      </c>
      <c r="H1130">
        <v>6</v>
      </c>
      <c r="I1130">
        <v>1</v>
      </c>
    </row>
    <row r="1131" spans="1:9" ht="15" hidden="1" customHeight="1" x14ac:dyDescent="0.25">
      <c r="A1131">
        <v>18052</v>
      </c>
      <c r="B1131" t="s">
        <v>10</v>
      </c>
      <c r="C1131" t="s">
        <v>3009</v>
      </c>
      <c r="D1131" t="str">
        <f t="shared" si="77"/>
        <v/>
      </c>
      <c r="E1131" t="s">
        <v>3010</v>
      </c>
      <c r="F1131" t="str">
        <f t="shared" si="81"/>
        <v>4120567</v>
      </c>
    </row>
    <row r="1132" spans="1:9" ht="15" hidden="1" customHeight="1" x14ac:dyDescent="0.25">
      <c r="A1132">
        <v>18055</v>
      </c>
      <c r="B1132" t="s">
        <v>10</v>
      </c>
      <c r="C1132" t="s">
        <v>3011</v>
      </c>
      <c r="D1132" t="str">
        <f t="shared" si="77"/>
        <v/>
      </c>
      <c r="E1132" t="s">
        <v>3012</v>
      </c>
      <c r="F1132" t="str">
        <f t="shared" si="81"/>
        <v>4120567</v>
      </c>
    </row>
    <row r="1133" spans="1:9" ht="15" hidden="1" customHeight="1" x14ac:dyDescent="0.25">
      <c r="A1133">
        <v>18056</v>
      </c>
      <c r="B1133" t="s">
        <v>10</v>
      </c>
      <c r="C1133" t="s">
        <v>3013</v>
      </c>
      <c r="D1133" t="str">
        <f t="shared" si="77"/>
        <v/>
      </c>
      <c r="E1133" t="s">
        <v>3014</v>
      </c>
      <c r="F1133" t="str">
        <f t="shared" si="81"/>
        <v>4120567</v>
      </c>
    </row>
    <row r="1134" spans="1:9" ht="15" hidden="1" customHeight="1" x14ac:dyDescent="0.25">
      <c r="A1134">
        <v>18057</v>
      </c>
      <c r="B1134" t="s">
        <v>10</v>
      </c>
      <c r="C1134" t="s">
        <v>3015</v>
      </c>
      <c r="D1134" t="str">
        <f t="shared" si="77"/>
        <v/>
      </c>
      <c r="E1134" t="s">
        <v>3016</v>
      </c>
      <c r="F1134" t="str">
        <f t="shared" si="81"/>
        <v>4120567</v>
      </c>
    </row>
    <row r="1135" spans="1:9" ht="15" hidden="1" customHeight="1" x14ac:dyDescent="0.25">
      <c r="A1135">
        <v>18058</v>
      </c>
      <c r="B1135" t="s">
        <v>10</v>
      </c>
      <c r="C1135" t="s">
        <v>3017</v>
      </c>
      <c r="D1135" t="str">
        <f t="shared" si="77"/>
        <v/>
      </c>
      <c r="E1135" t="s">
        <v>3018</v>
      </c>
      <c r="F1135" t="str">
        <f t="shared" si="81"/>
        <v>4120567</v>
      </c>
    </row>
    <row r="1136" spans="1:9" ht="15" hidden="1" customHeight="1" x14ac:dyDescent="0.25">
      <c r="A1136">
        <v>18059</v>
      </c>
      <c r="B1136" t="s">
        <v>10</v>
      </c>
      <c r="C1136" t="s">
        <v>3019</v>
      </c>
      <c r="D1136" t="str">
        <f t="shared" si="77"/>
        <v/>
      </c>
      <c r="E1136" t="s">
        <v>3020</v>
      </c>
      <c r="F1136" t="str">
        <f t="shared" si="81"/>
        <v>4120567</v>
      </c>
    </row>
    <row r="1137" spans="1:9" ht="15" customHeight="1" x14ac:dyDescent="0.25">
      <c r="A1137">
        <v>18060</v>
      </c>
      <c r="B1137" t="s">
        <v>7</v>
      </c>
      <c r="C1137" t="s">
        <v>3021</v>
      </c>
      <c r="D1137" t="str">
        <f t="shared" si="77"/>
        <v/>
      </c>
      <c r="E1137" t="s">
        <v>3022</v>
      </c>
      <c r="F1137" t="s">
        <v>6895</v>
      </c>
      <c r="H1137">
        <v>6</v>
      </c>
      <c r="I1137">
        <v>1</v>
      </c>
    </row>
    <row r="1138" spans="1:9" ht="15" hidden="1" customHeight="1" x14ac:dyDescent="0.25">
      <c r="A1138">
        <v>18061</v>
      </c>
      <c r="B1138" t="s">
        <v>10</v>
      </c>
      <c r="C1138" t="s">
        <v>3023</v>
      </c>
      <c r="D1138" t="str">
        <f t="shared" si="77"/>
        <v/>
      </c>
      <c r="E1138" t="s">
        <v>3024</v>
      </c>
      <c r="F1138" t="str">
        <f>LEFT(C1138,7)</f>
        <v>4120568</v>
      </c>
    </row>
    <row r="1139" spans="1:9" ht="15" hidden="1" customHeight="1" x14ac:dyDescent="0.25">
      <c r="A1139">
        <v>18062</v>
      </c>
      <c r="B1139" t="s">
        <v>10</v>
      </c>
      <c r="C1139" t="s">
        <v>3025</v>
      </c>
      <c r="D1139" t="str">
        <f t="shared" si="77"/>
        <v/>
      </c>
      <c r="E1139" t="s">
        <v>3026</v>
      </c>
      <c r="F1139" t="str">
        <f>LEFT(C1139,7)</f>
        <v>4120568</v>
      </c>
    </row>
    <row r="1140" spans="1:9" ht="15" hidden="1" customHeight="1" x14ac:dyDescent="0.25">
      <c r="A1140">
        <v>18063</v>
      </c>
      <c r="B1140" t="s">
        <v>10</v>
      </c>
      <c r="C1140" t="s">
        <v>3027</v>
      </c>
      <c r="D1140" t="str">
        <f t="shared" si="77"/>
        <v/>
      </c>
      <c r="E1140" t="s">
        <v>3028</v>
      </c>
      <c r="F1140" t="str">
        <f>LEFT(C1140,7)</f>
        <v>4120568</v>
      </c>
    </row>
    <row r="1141" spans="1:9" ht="15" customHeight="1" x14ac:dyDescent="0.25">
      <c r="A1141">
        <v>19644</v>
      </c>
      <c r="B1141" t="s">
        <v>7</v>
      </c>
      <c r="C1141" t="s">
        <v>4999</v>
      </c>
      <c r="D1141" t="str">
        <f t="shared" ref="D1141:D1204" si="82">IF(RIGHT(LEFT(C1141,9),2)="##","",RIGHT(LEFT(C1141,10),2))</f>
        <v/>
      </c>
      <c r="E1141" t="s">
        <v>5000</v>
      </c>
      <c r="F1141" t="s">
        <v>6895</v>
      </c>
      <c r="H1141">
        <v>6</v>
      </c>
      <c r="I1141">
        <v>1</v>
      </c>
    </row>
    <row r="1142" spans="1:9" ht="15" hidden="1" customHeight="1" x14ac:dyDescent="0.25">
      <c r="A1142">
        <v>19645</v>
      </c>
      <c r="B1142" t="s">
        <v>10</v>
      </c>
      <c r="C1142" t="s">
        <v>5001</v>
      </c>
      <c r="D1142" t="str">
        <f t="shared" si="82"/>
        <v/>
      </c>
      <c r="E1142" t="s">
        <v>5002</v>
      </c>
      <c r="F1142" t="str">
        <f t="shared" ref="F1142:F1151" si="83">LEFT(C1142,7)</f>
        <v>4120569</v>
      </c>
    </row>
    <row r="1143" spans="1:9" ht="15" hidden="1" customHeight="1" x14ac:dyDescent="0.25">
      <c r="A1143">
        <v>19646</v>
      </c>
      <c r="B1143" t="s">
        <v>10</v>
      </c>
      <c r="C1143" t="s">
        <v>5003</v>
      </c>
      <c r="D1143" t="str">
        <f t="shared" si="82"/>
        <v/>
      </c>
      <c r="E1143" t="s">
        <v>5004</v>
      </c>
      <c r="F1143" t="str">
        <f t="shared" si="83"/>
        <v>4120569</v>
      </c>
    </row>
    <row r="1144" spans="1:9" ht="15" hidden="1" customHeight="1" x14ac:dyDescent="0.25">
      <c r="A1144">
        <v>19647</v>
      </c>
      <c r="B1144" t="s">
        <v>10</v>
      </c>
      <c r="C1144" t="s">
        <v>5005</v>
      </c>
      <c r="D1144" t="str">
        <f t="shared" si="82"/>
        <v/>
      </c>
      <c r="E1144" t="s">
        <v>5006</v>
      </c>
      <c r="F1144" t="str">
        <f t="shared" si="83"/>
        <v>4120569</v>
      </c>
    </row>
    <row r="1145" spans="1:9" ht="15" customHeight="1" x14ac:dyDescent="0.25">
      <c r="A1145">
        <v>19061</v>
      </c>
      <c r="B1145" t="s">
        <v>7</v>
      </c>
      <c r="C1145" t="s">
        <v>4249</v>
      </c>
      <c r="D1145" t="str">
        <f t="shared" si="82"/>
        <v/>
      </c>
      <c r="E1145" t="s">
        <v>6963</v>
      </c>
      <c r="F1145" t="str">
        <f t="shared" si="83"/>
        <v>4120042</v>
      </c>
      <c r="H1145">
        <v>6</v>
      </c>
      <c r="I1145">
        <v>1</v>
      </c>
    </row>
    <row r="1146" spans="1:9" ht="15" hidden="1" customHeight="1" x14ac:dyDescent="0.25">
      <c r="A1146">
        <v>19062</v>
      </c>
      <c r="B1146" t="s">
        <v>10</v>
      </c>
      <c r="C1146" t="s">
        <v>4250</v>
      </c>
      <c r="D1146" t="str">
        <f t="shared" si="82"/>
        <v/>
      </c>
      <c r="E1146" t="s">
        <v>6964</v>
      </c>
      <c r="F1146" t="str">
        <f t="shared" si="83"/>
        <v>4120042</v>
      </c>
    </row>
    <row r="1147" spans="1:9" ht="15" hidden="1" customHeight="1" x14ac:dyDescent="0.25">
      <c r="A1147">
        <v>19063</v>
      </c>
      <c r="B1147" t="s">
        <v>10</v>
      </c>
      <c r="C1147" t="s">
        <v>4251</v>
      </c>
      <c r="D1147" t="str">
        <f t="shared" si="82"/>
        <v/>
      </c>
      <c r="E1147" t="s">
        <v>6965</v>
      </c>
      <c r="F1147" t="str">
        <f t="shared" si="83"/>
        <v>4120042</v>
      </c>
    </row>
    <row r="1148" spans="1:9" ht="15" hidden="1" customHeight="1" x14ac:dyDescent="0.25">
      <c r="A1148">
        <v>19064</v>
      </c>
      <c r="B1148" t="s">
        <v>10</v>
      </c>
      <c r="C1148" t="s">
        <v>4252</v>
      </c>
      <c r="D1148" t="str">
        <f t="shared" si="82"/>
        <v/>
      </c>
      <c r="E1148" t="s">
        <v>6966</v>
      </c>
      <c r="F1148" t="str">
        <f t="shared" si="83"/>
        <v>4120042</v>
      </c>
    </row>
    <row r="1149" spans="1:9" ht="15" hidden="1" customHeight="1" x14ac:dyDescent="0.25">
      <c r="A1149">
        <v>19065</v>
      </c>
      <c r="B1149" t="s">
        <v>10</v>
      </c>
      <c r="C1149" t="s">
        <v>4253</v>
      </c>
      <c r="D1149" t="str">
        <f t="shared" si="82"/>
        <v/>
      </c>
      <c r="E1149" t="s">
        <v>6967</v>
      </c>
      <c r="F1149" t="str">
        <f t="shared" si="83"/>
        <v>4120042</v>
      </c>
    </row>
    <row r="1150" spans="1:9" ht="15" hidden="1" customHeight="1" x14ac:dyDescent="0.25">
      <c r="A1150">
        <v>19066</v>
      </c>
      <c r="B1150" t="s">
        <v>10</v>
      </c>
      <c r="C1150" t="s">
        <v>4254</v>
      </c>
      <c r="D1150" t="str">
        <f t="shared" si="82"/>
        <v/>
      </c>
      <c r="E1150" t="s">
        <v>6968</v>
      </c>
      <c r="F1150" t="str">
        <f t="shared" si="83"/>
        <v>4120042</v>
      </c>
    </row>
    <row r="1151" spans="1:9" ht="15" hidden="1" customHeight="1" x14ac:dyDescent="0.25">
      <c r="A1151">
        <v>19067</v>
      </c>
      <c r="B1151" t="s">
        <v>10</v>
      </c>
      <c r="C1151" t="s">
        <v>4255</v>
      </c>
      <c r="D1151" t="str">
        <f t="shared" si="82"/>
        <v/>
      </c>
      <c r="E1151" t="s">
        <v>6969</v>
      </c>
      <c r="F1151" t="str">
        <f t="shared" si="83"/>
        <v>4120042</v>
      </c>
    </row>
    <row r="1152" spans="1:9" ht="15" customHeight="1" x14ac:dyDescent="0.25">
      <c r="A1152">
        <v>19068</v>
      </c>
      <c r="B1152" t="s">
        <v>7</v>
      </c>
      <c r="C1152" t="s">
        <v>4256</v>
      </c>
      <c r="D1152" t="str">
        <f t="shared" si="82"/>
        <v/>
      </c>
      <c r="E1152" t="s">
        <v>6970</v>
      </c>
      <c r="F1152" t="s">
        <v>6885</v>
      </c>
      <c r="H1152">
        <v>6</v>
      </c>
      <c r="I1152">
        <v>1</v>
      </c>
    </row>
    <row r="1153" spans="1:9" ht="15" hidden="1" customHeight="1" x14ac:dyDescent="0.25">
      <c r="A1153">
        <v>19069</v>
      </c>
      <c r="B1153" t="s">
        <v>10</v>
      </c>
      <c r="C1153" t="s">
        <v>4257</v>
      </c>
      <c r="D1153" t="str">
        <f t="shared" si="82"/>
        <v/>
      </c>
      <c r="E1153" t="s">
        <v>6971</v>
      </c>
      <c r="F1153" t="str">
        <f t="shared" ref="F1153:F1162" si="84">LEFT(C1153,7)</f>
        <v>4120043</v>
      </c>
    </row>
    <row r="1154" spans="1:9" ht="15" hidden="1" customHeight="1" x14ac:dyDescent="0.25">
      <c r="A1154">
        <v>19070</v>
      </c>
      <c r="B1154" t="s">
        <v>10</v>
      </c>
      <c r="C1154" t="s">
        <v>4258</v>
      </c>
      <c r="D1154" t="str">
        <f t="shared" si="82"/>
        <v/>
      </c>
      <c r="E1154" t="s">
        <v>6972</v>
      </c>
      <c r="F1154" t="str">
        <f t="shared" si="84"/>
        <v>4120043</v>
      </c>
    </row>
    <row r="1155" spans="1:9" ht="15" hidden="1" customHeight="1" x14ac:dyDescent="0.25">
      <c r="A1155">
        <v>19071</v>
      </c>
      <c r="B1155" t="s">
        <v>10</v>
      </c>
      <c r="C1155" t="s">
        <v>4259</v>
      </c>
      <c r="D1155" t="str">
        <f t="shared" si="82"/>
        <v/>
      </c>
      <c r="E1155" t="s">
        <v>6973</v>
      </c>
      <c r="F1155" t="str">
        <f t="shared" si="84"/>
        <v>4120043</v>
      </c>
    </row>
    <row r="1156" spans="1:9" ht="15" customHeight="1" x14ac:dyDescent="0.25">
      <c r="A1156">
        <v>18036</v>
      </c>
      <c r="B1156" t="s">
        <v>7</v>
      </c>
      <c r="C1156" t="s">
        <v>2977</v>
      </c>
      <c r="D1156" t="str">
        <f t="shared" si="82"/>
        <v/>
      </c>
      <c r="E1156" t="s">
        <v>2978</v>
      </c>
      <c r="F1156" t="str">
        <f t="shared" si="84"/>
        <v>4120982</v>
      </c>
      <c r="H1156">
        <v>6</v>
      </c>
      <c r="I1156">
        <v>1</v>
      </c>
    </row>
    <row r="1157" spans="1:9" ht="15" hidden="1" customHeight="1" x14ac:dyDescent="0.25">
      <c r="A1157">
        <v>18037</v>
      </c>
      <c r="B1157" t="s">
        <v>10</v>
      </c>
      <c r="C1157" t="s">
        <v>2979</v>
      </c>
      <c r="D1157" t="str">
        <f t="shared" si="82"/>
        <v/>
      </c>
      <c r="E1157" t="s">
        <v>2980</v>
      </c>
      <c r="F1157" t="str">
        <f t="shared" si="84"/>
        <v>4120982</v>
      </c>
    </row>
    <row r="1158" spans="1:9" ht="15" hidden="1" customHeight="1" x14ac:dyDescent="0.25">
      <c r="A1158">
        <v>18038</v>
      </c>
      <c r="B1158" t="s">
        <v>10</v>
      </c>
      <c r="C1158" t="s">
        <v>2981</v>
      </c>
      <c r="D1158" t="str">
        <f t="shared" si="82"/>
        <v/>
      </c>
      <c r="E1158" t="s">
        <v>2982</v>
      </c>
      <c r="F1158" t="str">
        <f t="shared" si="84"/>
        <v>4120982</v>
      </c>
    </row>
    <row r="1159" spans="1:9" ht="15" hidden="1" customHeight="1" x14ac:dyDescent="0.25">
      <c r="A1159">
        <v>18039</v>
      </c>
      <c r="B1159" t="s">
        <v>10</v>
      </c>
      <c r="C1159" t="s">
        <v>2983</v>
      </c>
      <c r="D1159" t="str">
        <f t="shared" si="82"/>
        <v/>
      </c>
      <c r="E1159" t="s">
        <v>2984</v>
      </c>
      <c r="F1159" t="str">
        <f t="shared" si="84"/>
        <v>4120982</v>
      </c>
    </row>
    <row r="1160" spans="1:9" ht="15" hidden="1" customHeight="1" x14ac:dyDescent="0.25">
      <c r="A1160">
        <v>18040</v>
      </c>
      <c r="B1160" t="s">
        <v>10</v>
      </c>
      <c r="C1160" t="s">
        <v>2985</v>
      </c>
      <c r="D1160" t="str">
        <f t="shared" si="82"/>
        <v/>
      </c>
      <c r="E1160" t="s">
        <v>2986</v>
      </c>
      <c r="F1160" t="str">
        <f t="shared" si="84"/>
        <v>4120982</v>
      </c>
    </row>
    <row r="1161" spans="1:9" ht="15" hidden="1" customHeight="1" x14ac:dyDescent="0.25">
      <c r="A1161">
        <v>18041</v>
      </c>
      <c r="B1161" t="s">
        <v>10</v>
      </c>
      <c r="C1161" t="s">
        <v>2987</v>
      </c>
      <c r="D1161" t="str">
        <f t="shared" si="82"/>
        <v/>
      </c>
      <c r="E1161" t="s">
        <v>2988</v>
      </c>
      <c r="F1161" t="str">
        <f t="shared" si="84"/>
        <v>4120982</v>
      </c>
    </row>
    <row r="1162" spans="1:9" ht="15" hidden="1" customHeight="1" x14ac:dyDescent="0.25">
      <c r="A1162">
        <v>18042</v>
      </c>
      <c r="B1162" t="s">
        <v>10</v>
      </c>
      <c r="C1162" t="s">
        <v>2989</v>
      </c>
      <c r="D1162" t="str">
        <f t="shared" si="82"/>
        <v/>
      </c>
      <c r="E1162" t="s">
        <v>2990</v>
      </c>
      <c r="F1162" t="str">
        <f t="shared" si="84"/>
        <v>4120982</v>
      </c>
    </row>
    <row r="1163" spans="1:9" ht="15" customHeight="1" x14ac:dyDescent="0.25">
      <c r="A1163">
        <v>18043</v>
      </c>
      <c r="B1163" t="s">
        <v>7</v>
      </c>
      <c r="C1163" t="s">
        <v>2991</v>
      </c>
      <c r="D1163" t="str">
        <f t="shared" si="82"/>
        <v/>
      </c>
      <c r="E1163" t="s">
        <v>2992</v>
      </c>
      <c r="F1163" t="s">
        <v>6896</v>
      </c>
      <c r="H1163">
        <v>6</v>
      </c>
      <c r="I1163">
        <v>1</v>
      </c>
    </row>
    <row r="1164" spans="1:9" ht="15" hidden="1" customHeight="1" x14ac:dyDescent="0.25">
      <c r="A1164">
        <v>18044</v>
      </c>
      <c r="B1164" t="s">
        <v>10</v>
      </c>
      <c r="C1164" t="s">
        <v>2993</v>
      </c>
      <c r="D1164" t="str">
        <f t="shared" si="82"/>
        <v/>
      </c>
      <c r="E1164" t="s">
        <v>2994</v>
      </c>
      <c r="F1164" t="str">
        <f>LEFT(C1164,7)</f>
        <v>4120625</v>
      </c>
    </row>
    <row r="1165" spans="1:9" ht="15" hidden="1" customHeight="1" x14ac:dyDescent="0.25">
      <c r="A1165">
        <v>18045</v>
      </c>
      <c r="B1165" t="s">
        <v>10</v>
      </c>
      <c r="C1165" t="s">
        <v>2995</v>
      </c>
      <c r="D1165" t="str">
        <f t="shared" si="82"/>
        <v/>
      </c>
      <c r="E1165" t="s">
        <v>2996</v>
      </c>
      <c r="F1165" t="str">
        <f>LEFT(C1165,7)</f>
        <v>4120625</v>
      </c>
    </row>
    <row r="1166" spans="1:9" ht="15" hidden="1" customHeight="1" x14ac:dyDescent="0.25">
      <c r="A1166">
        <v>18046</v>
      </c>
      <c r="B1166" t="s">
        <v>10</v>
      </c>
      <c r="C1166" t="s">
        <v>2997</v>
      </c>
      <c r="D1166" t="str">
        <f t="shared" si="82"/>
        <v/>
      </c>
      <c r="E1166" t="s">
        <v>2998</v>
      </c>
      <c r="F1166" t="str">
        <f>LEFT(C1166,7)</f>
        <v>4120625</v>
      </c>
    </row>
    <row r="1167" spans="1:9" ht="15" customHeight="1" x14ac:dyDescent="0.25">
      <c r="A1167">
        <v>18047</v>
      </c>
      <c r="B1167" t="s">
        <v>7</v>
      </c>
      <c r="C1167" t="s">
        <v>2999</v>
      </c>
      <c r="D1167" t="str">
        <f t="shared" si="82"/>
        <v/>
      </c>
      <c r="E1167" t="s">
        <v>3000</v>
      </c>
      <c r="F1167" t="s">
        <v>6896</v>
      </c>
      <c r="H1167">
        <v>6</v>
      </c>
      <c r="I1167">
        <v>1</v>
      </c>
    </row>
    <row r="1168" spans="1:9" ht="15" hidden="1" customHeight="1" x14ac:dyDescent="0.25">
      <c r="A1168">
        <v>18048</v>
      </c>
      <c r="B1168" t="s">
        <v>10</v>
      </c>
      <c r="C1168" t="s">
        <v>3001</v>
      </c>
      <c r="D1168" t="str">
        <f t="shared" si="82"/>
        <v/>
      </c>
      <c r="E1168" t="s">
        <v>3002</v>
      </c>
      <c r="F1168" t="str">
        <f t="shared" ref="F1168:F1177" si="85">LEFT(C1168,7)</f>
        <v>4120627</v>
      </c>
    </row>
    <row r="1169" spans="1:9" ht="15" hidden="1" customHeight="1" x14ac:dyDescent="0.25">
      <c r="A1169">
        <v>18049</v>
      </c>
      <c r="B1169" t="s">
        <v>10</v>
      </c>
      <c r="C1169" t="s">
        <v>3003</v>
      </c>
      <c r="D1169" t="str">
        <f t="shared" si="82"/>
        <v/>
      </c>
      <c r="E1169" t="s">
        <v>3004</v>
      </c>
      <c r="F1169" t="str">
        <f t="shared" si="85"/>
        <v>4120627</v>
      </c>
    </row>
    <row r="1170" spans="1:9" ht="15" hidden="1" customHeight="1" x14ac:dyDescent="0.25">
      <c r="A1170">
        <v>18050</v>
      </c>
      <c r="B1170" t="s">
        <v>10</v>
      </c>
      <c r="C1170" t="s">
        <v>3005</v>
      </c>
      <c r="D1170" t="str">
        <f t="shared" si="82"/>
        <v/>
      </c>
      <c r="E1170" t="s">
        <v>3006</v>
      </c>
      <c r="F1170" t="str">
        <f t="shared" si="85"/>
        <v>4120627</v>
      </c>
    </row>
    <row r="1171" spans="1:9" ht="15" hidden="1" customHeight="1" x14ac:dyDescent="0.25">
      <c r="A1171">
        <v>18124</v>
      </c>
      <c r="B1171" t="s">
        <v>10</v>
      </c>
      <c r="C1171" t="s">
        <v>3136</v>
      </c>
      <c r="D1171" t="str">
        <f t="shared" si="82"/>
        <v/>
      </c>
      <c r="E1171" t="s">
        <v>3137</v>
      </c>
      <c r="F1171" t="str">
        <f t="shared" si="85"/>
        <v>4120853</v>
      </c>
    </row>
    <row r="1172" spans="1:9" ht="15" hidden="1" customHeight="1" x14ac:dyDescent="0.25">
      <c r="A1172">
        <v>18127</v>
      </c>
      <c r="B1172" t="s">
        <v>10</v>
      </c>
      <c r="C1172" t="s">
        <v>3138</v>
      </c>
      <c r="D1172" t="str">
        <f t="shared" si="82"/>
        <v/>
      </c>
      <c r="E1172" t="s">
        <v>3139</v>
      </c>
      <c r="F1172" t="str">
        <f t="shared" si="85"/>
        <v>4120853</v>
      </c>
    </row>
    <row r="1173" spans="1:9" ht="15" hidden="1" customHeight="1" x14ac:dyDescent="0.25">
      <c r="A1173">
        <v>18128</v>
      </c>
      <c r="B1173" t="s">
        <v>10</v>
      </c>
      <c r="C1173" t="s">
        <v>3140</v>
      </c>
      <c r="D1173" t="str">
        <f t="shared" si="82"/>
        <v/>
      </c>
      <c r="E1173" t="s">
        <v>3141</v>
      </c>
      <c r="F1173" t="str">
        <f t="shared" si="85"/>
        <v>4120853</v>
      </c>
    </row>
    <row r="1174" spans="1:9" ht="15" hidden="1" customHeight="1" x14ac:dyDescent="0.25">
      <c r="A1174">
        <v>18129</v>
      </c>
      <c r="B1174" t="s">
        <v>10</v>
      </c>
      <c r="C1174" t="s">
        <v>3142</v>
      </c>
      <c r="D1174" t="str">
        <f t="shared" si="82"/>
        <v/>
      </c>
      <c r="E1174" t="s">
        <v>3143</v>
      </c>
      <c r="F1174" t="str">
        <f t="shared" si="85"/>
        <v>4120853</v>
      </c>
    </row>
    <row r="1175" spans="1:9" ht="15" hidden="1" customHeight="1" x14ac:dyDescent="0.25">
      <c r="A1175">
        <v>18130</v>
      </c>
      <c r="B1175" t="s">
        <v>10</v>
      </c>
      <c r="C1175" t="s">
        <v>3144</v>
      </c>
      <c r="D1175" t="str">
        <f t="shared" si="82"/>
        <v/>
      </c>
      <c r="E1175" t="s">
        <v>3145</v>
      </c>
      <c r="F1175" t="str">
        <f t="shared" si="85"/>
        <v>4120853</v>
      </c>
    </row>
    <row r="1176" spans="1:9" ht="15" hidden="1" customHeight="1" x14ac:dyDescent="0.25">
      <c r="A1176">
        <v>18131</v>
      </c>
      <c r="B1176" t="s">
        <v>10</v>
      </c>
      <c r="C1176" t="s">
        <v>3146</v>
      </c>
      <c r="D1176" t="str">
        <f t="shared" si="82"/>
        <v/>
      </c>
      <c r="E1176" t="s">
        <v>3147</v>
      </c>
      <c r="F1176" t="str">
        <f t="shared" si="85"/>
        <v>4120853</v>
      </c>
    </row>
    <row r="1177" spans="1:9" ht="15" customHeight="1" x14ac:dyDescent="0.25">
      <c r="A1177">
        <v>18123</v>
      </c>
      <c r="B1177" t="s">
        <v>7</v>
      </c>
      <c r="C1177" t="s">
        <v>3135</v>
      </c>
      <c r="D1177" t="str">
        <f t="shared" si="82"/>
        <v/>
      </c>
      <c r="E1177" t="s">
        <v>6898</v>
      </c>
      <c r="F1177" t="str">
        <f t="shared" si="85"/>
        <v>4120853</v>
      </c>
      <c r="H1177">
        <v>3</v>
      </c>
      <c r="I1177">
        <v>1</v>
      </c>
    </row>
    <row r="1178" spans="1:9" ht="15" customHeight="1" x14ac:dyDescent="0.25">
      <c r="A1178">
        <v>18139</v>
      </c>
      <c r="B1178" t="s">
        <v>7</v>
      </c>
      <c r="C1178" t="s">
        <v>3153</v>
      </c>
      <c r="D1178" t="str">
        <f t="shared" si="82"/>
        <v/>
      </c>
      <c r="E1178" t="s">
        <v>3154</v>
      </c>
      <c r="F1178" t="s">
        <v>6897</v>
      </c>
      <c r="H1178">
        <v>3</v>
      </c>
      <c r="I1178">
        <v>1</v>
      </c>
    </row>
    <row r="1179" spans="1:9" ht="15" hidden="1" customHeight="1" x14ac:dyDescent="0.25">
      <c r="A1179">
        <v>18140</v>
      </c>
      <c r="B1179" t="s">
        <v>10</v>
      </c>
      <c r="C1179" t="s">
        <v>3155</v>
      </c>
      <c r="D1179" t="str">
        <f t="shared" si="82"/>
        <v/>
      </c>
      <c r="E1179" t="s">
        <v>3156</v>
      </c>
      <c r="F1179" t="str">
        <f>LEFT(C1179,7)</f>
        <v>4120855</v>
      </c>
    </row>
    <row r="1180" spans="1:9" ht="15" hidden="1" customHeight="1" x14ac:dyDescent="0.25">
      <c r="A1180">
        <v>18141</v>
      </c>
      <c r="B1180" t="s">
        <v>10</v>
      </c>
      <c r="C1180" t="s">
        <v>3157</v>
      </c>
      <c r="D1180" t="str">
        <f t="shared" si="82"/>
        <v/>
      </c>
      <c r="E1180" t="s">
        <v>3158</v>
      </c>
      <c r="F1180" t="str">
        <f>LEFT(C1180,7)</f>
        <v>4120855</v>
      </c>
    </row>
    <row r="1181" spans="1:9" ht="15" hidden="1" customHeight="1" x14ac:dyDescent="0.25">
      <c r="A1181">
        <v>18142</v>
      </c>
      <c r="B1181" t="s">
        <v>10</v>
      </c>
      <c r="C1181" t="s">
        <v>3159</v>
      </c>
      <c r="D1181" t="str">
        <f t="shared" si="82"/>
        <v/>
      </c>
      <c r="E1181" t="s">
        <v>3160</v>
      </c>
      <c r="F1181" t="str">
        <f>LEFT(C1181,7)</f>
        <v>4120855</v>
      </c>
    </row>
    <row r="1182" spans="1:9" ht="15" customHeight="1" x14ac:dyDescent="0.25">
      <c r="A1182">
        <v>18143</v>
      </c>
      <c r="B1182" t="s">
        <v>7</v>
      </c>
      <c r="C1182" t="s">
        <v>3161</v>
      </c>
      <c r="D1182" t="str">
        <f t="shared" si="82"/>
        <v/>
      </c>
      <c r="E1182" t="s">
        <v>6899</v>
      </c>
      <c r="F1182" t="s">
        <v>6897</v>
      </c>
      <c r="H1182">
        <v>3</v>
      </c>
      <c r="I1182">
        <v>1</v>
      </c>
    </row>
    <row r="1183" spans="1:9" ht="15" hidden="1" customHeight="1" x14ac:dyDescent="0.25">
      <c r="A1183">
        <v>18144</v>
      </c>
      <c r="B1183" t="s">
        <v>10</v>
      </c>
      <c r="C1183" t="s">
        <v>3162</v>
      </c>
      <c r="D1183" t="str">
        <f t="shared" si="82"/>
        <v/>
      </c>
      <c r="E1183" t="s">
        <v>3163</v>
      </c>
      <c r="F1183" t="str">
        <f t="shared" ref="F1183:F1199" si="86">LEFT(C1183,7)</f>
        <v>4120857</v>
      </c>
    </row>
    <row r="1184" spans="1:9" ht="15" hidden="1" customHeight="1" x14ac:dyDescent="0.25">
      <c r="A1184">
        <v>18145</v>
      </c>
      <c r="B1184" t="s">
        <v>10</v>
      </c>
      <c r="C1184" t="s">
        <v>3164</v>
      </c>
      <c r="D1184" t="str">
        <f t="shared" si="82"/>
        <v/>
      </c>
      <c r="E1184" t="s">
        <v>3165</v>
      </c>
      <c r="F1184" t="str">
        <f t="shared" si="86"/>
        <v>4120857</v>
      </c>
    </row>
    <row r="1185" spans="1:9" ht="15" hidden="1" customHeight="1" x14ac:dyDescent="0.25">
      <c r="A1185">
        <v>18146</v>
      </c>
      <c r="B1185" t="s">
        <v>10</v>
      </c>
      <c r="C1185" t="s">
        <v>3166</v>
      </c>
      <c r="D1185" t="str">
        <f t="shared" si="82"/>
        <v/>
      </c>
      <c r="E1185" t="s">
        <v>3167</v>
      </c>
      <c r="F1185" t="str">
        <f t="shared" si="86"/>
        <v>4120857</v>
      </c>
    </row>
    <row r="1186" spans="1:9" ht="15" customHeight="1" x14ac:dyDescent="0.25">
      <c r="A1186">
        <v>18147</v>
      </c>
      <c r="B1186" t="s">
        <v>7</v>
      </c>
      <c r="C1186" t="s">
        <v>3168</v>
      </c>
      <c r="D1186" t="str">
        <f t="shared" si="82"/>
        <v/>
      </c>
      <c r="E1186" t="s">
        <v>3169</v>
      </c>
      <c r="F1186" t="str">
        <f t="shared" si="86"/>
        <v>4130771</v>
      </c>
      <c r="H1186">
        <v>2</v>
      </c>
      <c r="I1186">
        <v>1</v>
      </c>
    </row>
    <row r="1187" spans="1:9" ht="15" hidden="1" customHeight="1" x14ac:dyDescent="0.25">
      <c r="A1187">
        <v>18148</v>
      </c>
      <c r="B1187" t="s">
        <v>10</v>
      </c>
      <c r="C1187" t="s">
        <v>3170</v>
      </c>
      <c r="D1187" t="str">
        <f t="shared" si="82"/>
        <v/>
      </c>
      <c r="E1187" t="s">
        <v>3171</v>
      </c>
      <c r="F1187" t="str">
        <f t="shared" si="86"/>
        <v>4130771</v>
      </c>
    </row>
    <row r="1188" spans="1:9" ht="15" hidden="1" customHeight="1" x14ac:dyDescent="0.25">
      <c r="A1188">
        <v>18151</v>
      </c>
      <c r="B1188" t="s">
        <v>10</v>
      </c>
      <c r="C1188" t="s">
        <v>3172</v>
      </c>
      <c r="D1188" t="str">
        <f t="shared" si="82"/>
        <v/>
      </c>
      <c r="E1188" t="s">
        <v>3173</v>
      </c>
      <c r="F1188" t="str">
        <f t="shared" si="86"/>
        <v>4130771</v>
      </c>
    </row>
    <row r="1189" spans="1:9" ht="15" hidden="1" customHeight="1" x14ac:dyDescent="0.25">
      <c r="A1189">
        <v>18152</v>
      </c>
      <c r="B1189" t="s">
        <v>10</v>
      </c>
      <c r="C1189" t="s">
        <v>3174</v>
      </c>
      <c r="D1189" t="str">
        <f t="shared" si="82"/>
        <v/>
      </c>
      <c r="E1189" t="s">
        <v>3175</v>
      </c>
      <c r="F1189" t="str">
        <f t="shared" si="86"/>
        <v>4130771</v>
      </c>
    </row>
    <row r="1190" spans="1:9" ht="15" hidden="1" customHeight="1" x14ac:dyDescent="0.25">
      <c r="A1190">
        <v>18153</v>
      </c>
      <c r="B1190" t="s">
        <v>10</v>
      </c>
      <c r="C1190" t="s">
        <v>3176</v>
      </c>
      <c r="D1190" t="str">
        <f t="shared" si="82"/>
        <v/>
      </c>
      <c r="E1190" t="s">
        <v>3177</v>
      </c>
      <c r="F1190" t="str">
        <f t="shared" si="86"/>
        <v>4130771</v>
      </c>
    </row>
    <row r="1191" spans="1:9" ht="15" hidden="1" customHeight="1" x14ac:dyDescent="0.25">
      <c r="A1191">
        <v>18154</v>
      </c>
      <c r="B1191" t="s">
        <v>10</v>
      </c>
      <c r="C1191" t="s">
        <v>3178</v>
      </c>
      <c r="D1191" t="str">
        <f t="shared" si="82"/>
        <v/>
      </c>
      <c r="E1191" t="s">
        <v>3179</v>
      </c>
      <c r="F1191" t="str">
        <f t="shared" si="86"/>
        <v>4130771</v>
      </c>
    </row>
    <row r="1192" spans="1:9" ht="15" hidden="1" customHeight="1" x14ac:dyDescent="0.25">
      <c r="A1192">
        <v>18155</v>
      </c>
      <c r="B1192" t="s">
        <v>10</v>
      </c>
      <c r="C1192" t="s">
        <v>3180</v>
      </c>
      <c r="D1192" t="str">
        <f t="shared" si="82"/>
        <v/>
      </c>
      <c r="E1192" t="s">
        <v>3181</v>
      </c>
      <c r="F1192" t="str">
        <f t="shared" si="86"/>
        <v>4130771</v>
      </c>
    </row>
    <row r="1193" spans="1:9" ht="15" hidden="1" customHeight="1" x14ac:dyDescent="0.25">
      <c r="A1193">
        <v>18349</v>
      </c>
      <c r="B1193" t="s">
        <v>10</v>
      </c>
      <c r="C1193" t="s">
        <v>3455</v>
      </c>
      <c r="D1193" t="str">
        <f t="shared" si="82"/>
        <v/>
      </c>
      <c r="E1193" t="s">
        <v>3456</v>
      </c>
      <c r="F1193" t="str">
        <f t="shared" si="86"/>
        <v>4120100</v>
      </c>
    </row>
    <row r="1194" spans="1:9" ht="15" hidden="1" customHeight="1" x14ac:dyDescent="0.25">
      <c r="A1194">
        <v>18350</v>
      </c>
      <c r="B1194" t="s">
        <v>10</v>
      </c>
      <c r="C1194" t="s">
        <v>3457</v>
      </c>
      <c r="D1194" t="str">
        <f t="shared" si="82"/>
        <v/>
      </c>
      <c r="E1194" t="s">
        <v>3458</v>
      </c>
      <c r="F1194" t="str">
        <f t="shared" si="86"/>
        <v>4120100</v>
      </c>
    </row>
    <row r="1195" spans="1:9" ht="15" hidden="1" customHeight="1" x14ac:dyDescent="0.25">
      <c r="A1195">
        <v>18351</v>
      </c>
      <c r="B1195" t="s">
        <v>10</v>
      </c>
      <c r="C1195" t="s">
        <v>3459</v>
      </c>
      <c r="D1195" t="str">
        <f t="shared" si="82"/>
        <v/>
      </c>
      <c r="E1195" t="s">
        <v>3460</v>
      </c>
      <c r="F1195" t="str">
        <f t="shared" si="86"/>
        <v>4120100</v>
      </c>
    </row>
    <row r="1196" spans="1:9" ht="15" hidden="1" customHeight="1" x14ac:dyDescent="0.25">
      <c r="A1196">
        <v>18352</v>
      </c>
      <c r="B1196" t="s">
        <v>10</v>
      </c>
      <c r="C1196" t="s">
        <v>3461</v>
      </c>
      <c r="D1196" t="str">
        <f t="shared" si="82"/>
        <v/>
      </c>
      <c r="E1196" t="s">
        <v>3462</v>
      </c>
      <c r="F1196" t="str">
        <f t="shared" si="86"/>
        <v>4120100</v>
      </c>
    </row>
    <row r="1197" spans="1:9" ht="15" hidden="1" customHeight="1" x14ac:dyDescent="0.25">
      <c r="A1197">
        <v>18353</v>
      </c>
      <c r="B1197" t="s">
        <v>10</v>
      </c>
      <c r="C1197" t="s">
        <v>3463</v>
      </c>
      <c r="D1197" t="str">
        <f t="shared" si="82"/>
        <v/>
      </c>
      <c r="E1197" t="s">
        <v>3464</v>
      </c>
      <c r="F1197" t="str">
        <f t="shared" si="86"/>
        <v>4120100</v>
      </c>
    </row>
    <row r="1198" spans="1:9" ht="15" hidden="1" customHeight="1" x14ac:dyDescent="0.25">
      <c r="A1198">
        <v>18354</v>
      </c>
      <c r="B1198" t="s">
        <v>10</v>
      </c>
      <c r="C1198" t="s">
        <v>3465</v>
      </c>
      <c r="D1198" t="str">
        <f t="shared" si="82"/>
        <v/>
      </c>
      <c r="E1198" t="s">
        <v>3466</v>
      </c>
      <c r="F1198" t="str">
        <f t="shared" si="86"/>
        <v>4120100</v>
      </c>
    </row>
    <row r="1199" spans="1:9" ht="15" customHeight="1" x14ac:dyDescent="0.25">
      <c r="A1199">
        <v>18348</v>
      </c>
      <c r="B1199" t="s">
        <v>7</v>
      </c>
      <c r="C1199" t="s">
        <v>3454</v>
      </c>
      <c r="D1199" t="str">
        <f t="shared" si="82"/>
        <v/>
      </c>
      <c r="E1199" t="s">
        <v>6900</v>
      </c>
      <c r="F1199" t="str">
        <f t="shared" si="86"/>
        <v>4120100</v>
      </c>
      <c r="H1199">
        <v>4</v>
      </c>
      <c r="I1199">
        <v>1</v>
      </c>
    </row>
    <row r="1200" spans="1:9" ht="15" customHeight="1" x14ac:dyDescent="0.25">
      <c r="A1200">
        <v>18355</v>
      </c>
      <c r="B1200" t="s">
        <v>7</v>
      </c>
      <c r="C1200" t="s">
        <v>3467</v>
      </c>
      <c r="D1200" t="str">
        <f t="shared" si="82"/>
        <v/>
      </c>
      <c r="E1200" t="s">
        <v>3468</v>
      </c>
      <c r="F1200" t="s">
        <v>6901</v>
      </c>
      <c r="H1200">
        <v>4</v>
      </c>
      <c r="I1200">
        <v>1</v>
      </c>
    </row>
    <row r="1201" spans="1:9" ht="15" hidden="1" customHeight="1" x14ac:dyDescent="0.25">
      <c r="A1201">
        <v>18356</v>
      </c>
      <c r="B1201" t="s">
        <v>10</v>
      </c>
      <c r="C1201" t="s">
        <v>3469</v>
      </c>
      <c r="D1201" t="str">
        <f t="shared" si="82"/>
        <v/>
      </c>
      <c r="E1201" t="s">
        <v>3470</v>
      </c>
      <c r="F1201" t="str">
        <f t="shared" ref="F1201:F1210" si="87">LEFT(C1201,7)</f>
        <v>4120101</v>
      </c>
    </row>
    <row r="1202" spans="1:9" ht="15" hidden="1" customHeight="1" x14ac:dyDescent="0.25">
      <c r="A1202">
        <v>18357</v>
      </c>
      <c r="B1202" t="s">
        <v>10</v>
      </c>
      <c r="C1202" t="s">
        <v>3471</v>
      </c>
      <c r="D1202" t="str">
        <f t="shared" si="82"/>
        <v/>
      </c>
      <c r="E1202" t="s">
        <v>3472</v>
      </c>
      <c r="F1202" t="str">
        <f t="shared" si="87"/>
        <v>4120101</v>
      </c>
    </row>
    <row r="1203" spans="1:9" ht="15" hidden="1" customHeight="1" x14ac:dyDescent="0.25">
      <c r="A1203">
        <v>18358</v>
      </c>
      <c r="B1203" t="s">
        <v>10</v>
      </c>
      <c r="C1203" t="s">
        <v>3473</v>
      </c>
      <c r="D1203" t="str">
        <f t="shared" si="82"/>
        <v/>
      </c>
      <c r="E1203" t="s">
        <v>3474</v>
      </c>
      <c r="F1203" t="str">
        <f t="shared" si="87"/>
        <v>4120101</v>
      </c>
    </row>
    <row r="1204" spans="1:9" ht="15" customHeight="1" x14ac:dyDescent="0.25">
      <c r="A1204">
        <v>18741</v>
      </c>
      <c r="B1204" t="s">
        <v>7</v>
      </c>
      <c r="C1204" t="s">
        <v>3942</v>
      </c>
      <c r="D1204" t="str">
        <f t="shared" si="82"/>
        <v/>
      </c>
      <c r="E1204" t="s">
        <v>3943</v>
      </c>
      <c r="F1204" t="str">
        <f t="shared" si="87"/>
        <v>4120003</v>
      </c>
      <c r="H1204">
        <v>2</v>
      </c>
      <c r="I1204">
        <v>1</v>
      </c>
    </row>
    <row r="1205" spans="1:9" ht="15" hidden="1" customHeight="1" x14ac:dyDescent="0.25">
      <c r="A1205">
        <v>18742</v>
      </c>
      <c r="B1205" t="s">
        <v>10</v>
      </c>
      <c r="C1205" t="s">
        <v>3944</v>
      </c>
      <c r="D1205" t="str">
        <f t="shared" ref="D1205:D1268" si="88">IF(RIGHT(LEFT(C1205,9),2)="##","",RIGHT(LEFT(C1205,10),2))</f>
        <v/>
      </c>
      <c r="E1205" t="s">
        <v>3945</v>
      </c>
      <c r="F1205" t="str">
        <f t="shared" si="87"/>
        <v>4120003</v>
      </c>
    </row>
    <row r="1206" spans="1:9" ht="15" hidden="1" customHeight="1" x14ac:dyDescent="0.25">
      <c r="A1206">
        <v>18743</v>
      </c>
      <c r="B1206" t="s">
        <v>10</v>
      </c>
      <c r="C1206" t="s">
        <v>3946</v>
      </c>
      <c r="D1206" t="str">
        <f t="shared" si="88"/>
        <v/>
      </c>
      <c r="E1206" t="s">
        <v>3947</v>
      </c>
      <c r="F1206" t="str">
        <f t="shared" si="87"/>
        <v>4120003</v>
      </c>
    </row>
    <row r="1207" spans="1:9" ht="15" hidden="1" customHeight="1" x14ac:dyDescent="0.25">
      <c r="A1207">
        <v>18744</v>
      </c>
      <c r="B1207" t="s">
        <v>10</v>
      </c>
      <c r="C1207" t="s">
        <v>3948</v>
      </c>
      <c r="D1207" t="str">
        <f t="shared" si="88"/>
        <v/>
      </c>
      <c r="E1207" t="s">
        <v>3949</v>
      </c>
      <c r="F1207" t="str">
        <f t="shared" si="87"/>
        <v>4120003</v>
      </c>
    </row>
    <row r="1208" spans="1:9" ht="15" hidden="1" customHeight="1" x14ac:dyDescent="0.25">
      <c r="A1208">
        <v>18745</v>
      </c>
      <c r="B1208" t="s">
        <v>10</v>
      </c>
      <c r="C1208" t="s">
        <v>3950</v>
      </c>
      <c r="D1208" t="str">
        <f t="shared" si="88"/>
        <v/>
      </c>
      <c r="E1208" t="s">
        <v>3951</v>
      </c>
      <c r="F1208" t="str">
        <f t="shared" si="87"/>
        <v>4120003</v>
      </c>
    </row>
    <row r="1209" spans="1:9" ht="15" hidden="1" customHeight="1" x14ac:dyDescent="0.25">
      <c r="A1209">
        <v>18746</v>
      </c>
      <c r="B1209" t="s">
        <v>10</v>
      </c>
      <c r="C1209" t="s">
        <v>3952</v>
      </c>
      <c r="D1209" t="str">
        <f t="shared" si="88"/>
        <v/>
      </c>
      <c r="E1209" t="s">
        <v>3953</v>
      </c>
      <c r="F1209" t="str">
        <f t="shared" si="87"/>
        <v>4120003</v>
      </c>
    </row>
    <row r="1210" spans="1:9" ht="15" hidden="1" customHeight="1" x14ac:dyDescent="0.25">
      <c r="A1210">
        <v>18747</v>
      </c>
      <c r="B1210" t="s">
        <v>10</v>
      </c>
      <c r="C1210" t="s">
        <v>3954</v>
      </c>
      <c r="D1210" t="str">
        <f t="shared" si="88"/>
        <v/>
      </c>
      <c r="E1210" t="s">
        <v>3955</v>
      </c>
      <c r="F1210" t="str">
        <f t="shared" si="87"/>
        <v>4120003</v>
      </c>
    </row>
    <row r="1211" spans="1:9" ht="15" customHeight="1" x14ac:dyDescent="0.25">
      <c r="A1211">
        <v>18735</v>
      </c>
      <c r="B1211" t="s">
        <v>7</v>
      </c>
      <c r="C1211" t="s">
        <v>3934</v>
      </c>
      <c r="D1211" t="str">
        <f t="shared" si="88"/>
        <v/>
      </c>
      <c r="E1211" t="s">
        <v>3935</v>
      </c>
      <c r="F1211" t="s">
        <v>6902</v>
      </c>
      <c r="H1211">
        <v>2</v>
      </c>
      <c r="I1211">
        <v>1</v>
      </c>
    </row>
    <row r="1212" spans="1:9" ht="15" hidden="1" customHeight="1" x14ac:dyDescent="0.25">
      <c r="A1212">
        <v>18736</v>
      </c>
      <c r="B1212" t="s">
        <v>10</v>
      </c>
      <c r="C1212" t="s">
        <v>3936</v>
      </c>
      <c r="D1212" t="str">
        <f t="shared" si="88"/>
        <v/>
      </c>
      <c r="E1212" t="s">
        <v>3937</v>
      </c>
      <c r="F1212" t="str">
        <f>LEFT(C1212,7)</f>
        <v>4120005</v>
      </c>
    </row>
    <row r="1213" spans="1:9" ht="15" hidden="1" customHeight="1" x14ac:dyDescent="0.25">
      <c r="A1213">
        <v>18739</v>
      </c>
      <c r="B1213" t="s">
        <v>10</v>
      </c>
      <c r="C1213" t="s">
        <v>3938</v>
      </c>
      <c r="D1213" t="str">
        <f t="shared" si="88"/>
        <v/>
      </c>
      <c r="E1213" t="s">
        <v>3939</v>
      </c>
      <c r="F1213" t="str">
        <f>LEFT(C1213,7)</f>
        <v>4120005</v>
      </c>
    </row>
    <row r="1214" spans="1:9" ht="15" hidden="1" customHeight="1" x14ac:dyDescent="0.25">
      <c r="A1214">
        <v>18740</v>
      </c>
      <c r="B1214" t="s">
        <v>10</v>
      </c>
      <c r="C1214" t="s">
        <v>3940</v>
      </c>
      <c r="D1214" t="str">
        <f t="shared" si="88"/>
        <v/>
      </c>
      <c r="E1214" t="s">
        <v>3941</v>
      </c>
      <c r="F1214" t="str">
        <f>LEFT(C1214,7)</f>
        <v>4120005</v>
      </c>
    </row>
    <row r="1215" spans="1:9" ht="15" customHeight="1" x14ac:dyDescent="0.25">
      <c r="A1215">
        <v>19057</v>
      </c>
      <c r="B1215" t="s">
        <v>7</v>
      </c>
      <c r="C1215" t="s">
        <v>4241</v>
      </c>
      <c r="D1215" t="str">
        <f t="shared" si="88"/>
        <v/>
      </c>
      <c r="E1215" t="s">
        <v>4242</v>
      </c>
      <c r="F1215" t="s">
        <v>6902</v>
      </c>
      <c r="H1215">
        <v>2</v>
      </c>
      <c r="I1215">
        <v>1</v>
      </c>
    </row>
    <row r="1216" spans="1:9" ht="15" hidden="1" customHeight="1" x14ac:dyDescent="0.25">
      <c r="A1216">
        <v>19058</v>
      </c>
      <c r="B1216" t="s">
        <v>10</v>
      </c>
      <c r="C1216" t="s">
        <v>4243</v>
      </c>
      <c r="D1216" t="str">
        <f t="shared" si="88"/>
        <v/>
      </c>
      <c r="E1216" t="s">
        <v>4244</v>
      </c>
      <c r="F1216" t="str">
        <f t="shared" ref="F1216:F1225" si="89">LEFT(C1216,7)</f>
        <v>4120006</v>
      </c>
    </row>
    <row r="1217" spans="1:9" ht="15" hidden="1" customHeight="1" x14ac:dyDescent="0.25">
      <c r="A1217">
        <v>19059</v>
      </c>
      <c r="B1217" t="s">
        <v>10</v>
      </c>
      <c r="C1217" t="s">
        <v>4245</v>
      </c>
      <c r="D1217" t="str">
        <f t="shared" si="88"/>
        <v/>
      </c>
      <c r="E1217" t="s">
        <v>4246</v>
      </c>
      <c r="F1217" t="str">
        <f t="shared" si="89"/>
        <v>4120006</v>
      </c>
    </row>
    <row r="1218" spans="1:9" ht="15" hidden="1" customHeight="1" x14ac:dyDescent="0.25">
      <c r="A1218">
        <v>19060</v>
      </c>
      <c r="B1218" t="s">
        <v>10</v>
      </c>
      <c r="C1218" t="s">
        <v>4247</v>
      </c>
      <c r="D1218" t="str">
        <f t="shared" si="88"/>
        <v/>
      </c>
      <c r="E1218" t="s">
        <v>4248</v>
      </c>
      <c r="F1218" t="str">
        <f t="shared" si="89"/>
        <v>4120006</v>
      </c>
    </row>
    <row r="1219" spans="1:9" ht="15" customHeight="1" x14ac:dyDescent="0.25">
      <c r="A1219">
        <v>18089</v>
      </c>
      <c r="B1219" t="s">
        <v>7</v>
      </c>
      <c r="C1219" t="s">
        <v>3075</v>
      </c>
      <c r="D1219" t="str">
        <f t="shared" si="88"/>
        <v/>
      </c>
      <c r="E1219" t="s">
        <v>3076</v>
      </c>
      <c r="F1219" t="str">
        <f t="shared" si="89"/>
        <v>4120850</v>
      </c>
      <c r="H1219">
        <v>3</v>
      </c>
      <c r="I1219">
        <v>1</v>
      </c>
    </row>
    <row r="1220" spans="1:9" ht="15" hidden="1" customHeight="1" x14ac:dyDescent="0.25">
      <c r="A1220">
        <v>18090</v>
      </c>
      <c r="B1220" t="s">
        <v>10</v>
      </c>
      <c r="C1220" t="s">
        <v>3077</v>
      </c>
      <c r="D1220" t="str">
        <f t="shared" si="88"/>
        <v/>
      </c>
      <c r="E1220" t="s">
        <v>3078</v>
      </c>
      <c r="F1220" t="str">
        <f t="shared" si="89"/>
        <v>4120850</v>
      </c>
    </row>
    <row r="1221" spans="1:9" ht="15" hidden="1" customHeight="1" x14ac:dyDescent="0.25">
      <c r="A1221">
        <v>18093</v>
      </c>
      <c r="B1221" t="s">
        <v>10</v>
      </c>
      <c r="C1221" t="s">
        <v>3079</v>
      </c>
      <c r="D1221" t="str">
        <f t="shared" si="88"/>
        <v/>
      </c>
      <c r="E1221" t="s">
        <v>3080</v>
      </c>
      <c r="F1221" t="str">
        <f t="shared" si="89"/>
        <v>4120850</v>
      </c>
    </row>
    <row r="1222" spans="1:9" ht="15" hidden="1" customHeight="1" x14ac:dyDescent="0.25">
      <c r="A1222">
        <v>18094</v>
      </c>
      <c r="B1222" t="s">
        <v>10</v>
      </c>
      <c r="C1222" t="s">
        <v>3081</v>
      </c>
      <c r="D1222" t="str">
        <f t="shared" si="88"/>
        <v/>
      </c>
      <c r="E1222" t="s">
        <v>3082</v>
      </c>
      <c r="F1222" t="str">
        <f t="shared" si="89"/>
        <v>4120850</v>
      </c>
    </row>
    <row r="1223" spans="1:9" ht="15" hidden="1" customHeight="1" x14ac:dyDescent="0.25">
      <c r="A1223">
        <v>18095</v>
      </c>
      <c r="B1223" t="s">
        <v>10</v>
      </c>
      <c r="C1223" t="s">
        <v>3083</v>
      </c>
      <c r="D1223" t="str">
        <f t="shared" si="88"/>
        <v/>
      </c>
      <c r="E1223" t="s">
        <v>3084</v>
      </c>
      <c r="F1223" t="str">
        <f t="shared" si="89"/>
        <v>4120850</v>
      </c>
    </row>
    <row r="1224" spans="1:9" ht="15" hidden="1" customHeight="1" x14ac:dyDescent="0.25">
      <c r="A1224">
        <v>18096</v>
      </c>
      <c r="B1224" t="s">
        <v>10</v>
      </c>
      <c r="C1224" t="s">
        <v>3085</v>
      </c>
      <c r="D1224" t="str">
        <f t="shared" si="88"/>
        <v/>
      </c>
      <c r="E1224" t="s">
        <v>3086</v>
      </c>
      <c r="F1224" t="str">
        <f t="shared" si="89"/>
        <v>4120850</v>
      </c>
    </row>
    <row r="1225" spans="1:9" ht="15" hidden="1" customHeight="1" x14ac:dyDescent="0.25">
      <c r="A1225">
        <v>18097</v>
      </c>
      <c r="B1225" t="s">
        <v>10</v>
      </c>
      <c r="C1225" t="s">
        <v>3087</v>
      </c>
      <c r="D1225" t="str">
        <f t="shared" si="88"/>
        <v/>
      </c>
      <c r="E1225" t="s">
        <v>3088</v>
      </c>
      <c r="F1225" t="str">
        <f t="shared" si="89"/>
        <v>4120850</v>
      </c>
    </row>
    <row r="1226" spans="1:9" ht="15" customHeight="1" x14ac:dyDescent="0.25">
      <c r="A1226">
        <v>18098</v>
      </c>
      <c r="B1226" t="s">
        <v>7</v>
      </c>
      <c r="C1226" t="s">
        <v>3089</v>
      </c>
      <c r="D1226" t="str">
        <f t="shared" si="88"/>
        <v/>
      </c>
      <c r="E1226" t="s">
        <v>3090</v>
      </c>
      <c r="F1226" t="s">
        <v>6903</v>
      </c>
      <c r="H1226">
        <v>3</v>
      </c>
      <c r="I1226">
        <v>1</v>
      </c>
    </row>
    <row r="1227" spans="1:9" ht="15" hidden="1" customHeight="1" x14ac:dyDescent="0.25">
      <c r="A1227">
        <v>18099</v>
      </c>
      <c r="B1227" t="s">
        <v>10</v>
      </c>
      <c r="C1227" t="s">
        <v>3091</v>
      </c>
      <c r="D1227" t="str">
        <f t="shared" si="88"/>
        <v/>
      </c>
      <c r="E1227" t="s">
        <v>3092</v>
      </c>
      <c r="F1227" t="str">
        <f>LEFT(C1227,7)</f>
        <v>4120852</v>
      </c>
    </row>
    <row r="1228" spans="1:9" ht="15" hidden="1" customHeight="1" x14ac:dyDescent="0.25">
      <c r="A1228">
        <v>18100</v>
      </c>
      <c r="B1228" t="s">
        <v>10</v>
      </c>
      <c r="C1228" t="s">
        <v>3093</v>
      </c>
      <c r="D1228" t="str">
        <f t="shared" si="88"/>
        <v/>
      </c>
      <c r="E1228" t="s">
        <v>3094</v>
      </c>
      <c r="F1228" t="str">
        <f>LEFT(C1228,7)</f>
        <v>4120852</v>
      </c>
    </row>
    <row r="1229" spans="1:9" ht="15" hidden="1" customHeight="1" x14ac:dyDescent="0.25">
      <c r="A1229">
        <v>18101</v>
      </c>
      <c r="B1229" t="s">
        <v>10</v>
      </c>
      <c r="C1229" t="s">
        <v>3095</v>
      </c>
      <c r="D1229" t="str">
        <f t="shared" si="88"/>
        <v/>
      </c>
      <c r="E1229" t="s">
        <v>3096</v>
      </c>
      <c r="F1229" t="str">
        <f>LEFT(C1229,7)</f>
        <v>4120852</v>
      </c>
    </row>
    <row r="1230" spans="1:9" ht="15" customHeight="1" x14ac:dyDescent="0.25">
      <c r="A1230">
        <v>18102</v>
      </c>
      <c r="B1230" t="s">
        <v>7</v>
      </c>
      <c r="C1230" t="s">
        <v>3097</v>
      </c>
      <c r="D1230" t="str">
        <f t="shared" si="88"/>
        <v/>
      </c>
      <c r="E1230" t="s">
        <v>3098</v>
      </c>
      <c r="F1230" t="s">
        <v>6903</v>
      </c>
      <c r="H1230">
        <v>3</v>
      </c>
      <c r="I1230">
        <v>1</v>
      </c>
    </row>
    <row r="1231" spans="1:9" ht="15" hidden="1" customHeight="1" x14ac:dyDescent="0.25">
      <c r="A1231">
        <v>18103</v>
      </c>
      <c r="B1231" t="s">
        <v>10</v>
      </c>
      <c r="C1231" t="s">
        <v>3099</v>
      </c>
      <c r="D1231" t="str">
        <f t="shared" si="88"/>
        <v/>
      </c>
      <c r="E1231" t="s">
        <v>3100</v>
      </c>
      <c r="F1231" t="str">
        <f>LEFT(C1231,7)</f>
        <v>4120753</v>
      </c>
    </row>
    <row r="1232" spans="1:9" ht="15" hidden="1" customHeight="1" x14ac:dyDescent="0.25">
      <c r="A1232">
        <v>18104</v>
      </c>
      <c r="B1232" t="s">
        <v>10</v>
      </c>
      <c r="C1232" t="s">
        <v>3101</v>
      </c>
      <c r="D1232" t="str">
        <f t="shared" si="88"/>
        <v/>
      </c>
      <c r="E1232" t="s">
        <v>3102</v>
      </c>
      <c r="F1232" t="str">
        <f>LEFT(C1232,7)</f>
        <v>4120753</v>
      </c>
    </row>
    <row r="1233" spans="1:9" ht="15" hidden="1" customHeight="1" x14ac:dyDescent="0.25">
      <c r="A1233">
        <v>18105</v>
      </c>
      <c r="B1233" t="s">
        <v>10</v>
      </c>
      <c r="C1233" t="s">
        <v>3103</v>
      </c>
      <c r="D1233" t="str">
        <f t="shared" si="88"/>
        <v/>
      </c>
      <c r="E1233" t="s">
        <v>3104</v>
      </c>
      <c r="F1233" t="str">
        <f>LEFT(C1233,7)</f>
        <v>4120753</v>
      </c>
    </row>
    <row r="1234" spans="1:9" ht="15" customHeight="1" x14ac:dyDescent="0.25">
      <c r="A1234">
        <v>19234</v>
      </c>
      <c r="B1234" t="s">
        <v>7</v>
      </c>
      <c r="C1234" t="s">
        <v>4468</v>
      </c>
      <c r="D1234" t="str">
        <f t="shared" si="88"/>
        <v/>
      </c>
      <c r="E1234" t="s">
        <v>4469</v>
      </c>
      <c r="F1234" t="s">
        <v>6903</v>
      </c>
      <c r="H1234">
        <v>3</v>
      </c>
      <c r="I1234">
        <v>1</v>
      </c>
    </row>
    <row r="1235" spans="1:9" ht="15" hidden="1" customHeight="1" x14ac:dyDescent="0.25">
      <c r="A1235">
        <v>19235</v>
      </c>
      <c r="B1235" t="s">
        <v>10</v>
      </c>
      <c r="C1235" t="s">
        <v>4470</v>
      </c>
      <c r="D1235" t="str">
        <f t="shared" si="88"/>
        <v/>
      </c>
      <c r="E1235" t="s">
        <v>4471</v>
      </c>
      <c r="F1235" t="str">
        <f t="shared" ref="F1235:F1242" si="90">LEFT(C1235,7)</f>
        <v>4120754</v>
      </c>
    </row>
    <row r="1236" spans="1:9" ht="15" hidden="1" customHeight="1" x14ac:dyDescent="0.25">
      <c r="A1236">
        <v>19236</v>
      </c>
      <c r="B1236" t="s">
        <v>10</v>
      </c>
      <c r="C1236" t="s">
        <v>4472</v>
      </c>
      <c r="D1236" t="str">
        <f t="shared" si="88"/>
        <v/>
      </c>
      <c r="E1236" t="s">
        <v>4473</v>
      </c>
      <c r="F1236" t="str">
        <f t="shared" si="90"/>
        <v>4120754</v>
      </c>
    </row>
    <row r="1237" spans="1:9" ht="15" hidden="1" customHeight="1" x14ac:dyDescent="0.25">
      <c r="A1237">
        <v>19237</v>
      </c>
      <c r="B1237" t="s">
        <v>10</v>
      </c>
      <c r="C1237" t="s">
        <v>4474</v>
      </c>
      <c r="D1237" t="str">
        <f t="shared" si="88"/>
        <v/>
      </c>
      <c r="E1237" t="s">
        <v>4475</v>
      </c>
      <c r="F1237" t="str">
        <f t="shared" si="90"/>
        <v>4120754</v>
      </c>
    </row>
    <row r="1238" spans="1:9" ht="15" customHeight="1" x14ac:dyDescent="0.25">
      <c r="A1238">
        <v>17596</v>
      </c>
      <c r="B1238" t="s">
        <v>7</v>
      </c>
      <c r="C1238" t="s">
        <v>2325</v>
      </c>
      <c r="D1238" t="str">
        <f t="shared" si="88"/>
        <v/>
      </c>
      <c r="E1238" t="s">
        <v>2326</v>
      </c>
      <c r="F1238" t="str">
        <f t="shared" si="90"/>
        <v>4120024</v>
      </c>
      <c r="H1238">
        <v>3</v>
      </c>
      <c r="I1238">
        <v>1</v>
      </c>
    </row>
    <row r="1239" spans="1:9" ht="15" hidden="1" customHeight="1" x14ac:dyDescent="0.25">
      <c r="A1239">
        <v>17597</v>
      </c>
      <c r="B1239" t="s">
        <v>10</v>
      </c>
      <c r="C1239" t="s">
        <v>2327</v>
      </c>
      <c r="D1239" t="str">
        <f t="shared" si="88"/>
        <v/>
      </c>
      <c r="E1239" t="s">
        <v>2328</v>
      </c>
      <c r="F1239" t="str">
        <f t="shared" si="90"/>
        <v>4120024</v>
      </c>
    </row>
    <row r="1240" spans="1:9" ht="15" hidden="1" customHeight="1" x14ac:dyDescent="0.25">
      <c r="A1240">
        <v>17600</v>
      </c>
      <c r="B1240" t="s">
        <v>10</v>
      </c>
      <c r="C1240" t="s">
        <v>2329</v>
      </c>
      <c r="D1240" t="str">
        <f t="shared" si="88"/>
        <v/>
      </c>
      <c r="E1240" t="s">
        <v>2330</v>
      </c>
      <c r="F1240" t="str">
        <f t="shared" si="90"/>
        <v>4120024</v>
      </c>
    </row>
    <row r="1241" spans="1:9" ht="15" hidden="1" customHeight="1" x14ac:dyDescent="0.25">
      <c r="A1241">
        <v>17601</v>
      </c>
      <c r="B1241" t="s">
        <v>10</v>
      </c>
      <c r="C1241" t="s">
        <v>2331</v>
      </c>
      <c r="D1241" t="str">
        <f t="shared" si="88"/>
        <v/>
      </c>
      <c r="E1241" t="s">
        <v>2332</v>
      </c>
      <c r="F1241" t="str">
        <f t="shared" si="90"/>
        <v>4120024</v>
      </c>
    </row>
    <row r="1242" spans="1:9" ht="15" hidden="1" customHeight="1" x14ac:dyDescent="0.25">
      <c r="A1242">
        <v>17602</v>
      </c>
      <c r="B1242" t="s">
        <v>10</v>
      </c>
      <c r="C1242" t="s">
        <v>2333</v>
      </c>
      <c r="D1242" t="str">
        <f t="shared" si="88"/>
        <v/>
      </c>
      <c r="E1242" t="s">
        <v>2334</v>
      </c>
      <c r="F1242" t="str">
        <f t="shared" si="90"/>
        <v>4120024</v>
      </c>
    </row>
    <row r="1243" spans="1:9" ht="15" customHeight="1" x14ac:dyDescent="0.25">
      <c r="A1243">
        <v>17658</v>
      </c>
      <c r="B1243" t="s">
        <v>7</v>
      </c>
      <c r="C1243" t="s">
        <v>2393</v>
      </c>
      <c r="D1243" t="str">
        <f t="shared" si="88"/>
        <v/>
      </c>
      <c r="E1243" t="s">
        <v>2394</v>
      </c>
      <c r="F1243" t="s">
        <v>6904</v>
      </c>
      <c r="H1243">
        <v>3</v>
      </c>
      <c r="I1243">
        <v>1</v>
      </c>
    </row>
    <row r="1244" spans="1:9" ht="15" hidden="1" customHeight="1" x14ac:dyDescent="0.25">
      <c r="A1244">
        <v>17659</v>
      </c>
      <c r="B1244" t="s">
        <v>10</v>
      </c>
      <c r="C1244" t="s">
        <v>2395</v>
      </c>
      <c r="D1244" t="str">
        <f t="shared" si="88"/>
        <v/>
      </c>
      <c r="E1244" t="s">
        <v>2396</v>
      </c>
      <c r="F1244" t="str">
        <f t="shared" ref="F1244:F1253" si="91">LEFT(C1244,7)</f>
        <v>4120025</v>
      </c>
    </row>
    <row r="1245" spans="1:9" ht="15" hidden="1" customHeight="1" x14ac:dyDescent="0.25">
      <c r="A1245">
        <v>17660</v>
      </c>
      <c r="B1245" t="s">
        <v>10</v>
      </c>
      <c r="C1245" t="s">
        <v>2397</v>
      </c>
      <c r="D1245" t="str">
        <f t="shared" si="88"/>
        <v/>
      </c>
      <c r="E1245" t="s">
        <v>2398</v>
      </c>
      <c r="F1245" t="str">
        <f t="shared" si="91"/>
        <v>4120025</v>
      </c>
    </row>
    <row r="1246" spans="1:9" ht="15" hidden="1" customHeight="1" x14ac:dyDescent="0.25">
      <c r="A1246">
        <v>17661</v>
      </c>
      <c r="B1246" t="s">
        <v>10</v>
      </c>
      <c r="C1246" t="s">
        <v>2399</v>
      </c>
      <c r="D1246" t="str">
        <f t="shared" si="88"/>
        <v/>
      </c>
      <c r="E1246" t="s">
        <v>2400</v>
      </c>
      <c r="F1246" t="str">
        <f t="shared" si="91"/>
        <v>4120025</v>
      </c>
    </row>
    <row r="1247" spans="1:9" ht="15" customHeight="1" x14ac:dyDescent="0.25">
      <c r="A1247">
        <v>21008</v>
      </c>
      <c r="B1247" t="s">
        <v>7</v>
      </c>
      <c r="C1247" t="s">
        <v>6399</v>
      </c>
      <c r="D1247" t="str">
        <f t="shared" si="88"/>
        <v/>
      </c>
      <c r="E1247" t="s">
        <v>6400</v>
      </c>
      <c r="F1247" t="str">
        <f t="shared" si="91"/>
        <v>4120913</v>
      </c>
      <c r="H1247">
        <v>4</v>
      </c>
      <c r="I1247">
        <v>1</v>
      </c>
    </row>
    <row r="1248" spans="1:9" ht="15" hidden="1" customHeight="1" x14ac:dyDescent="0.25">
      <c r="A1248">
        <v>21009</v>
      </c>
      <c r="B1248" t="s">
        <v>10</v>
      </c>
      <c r="C1248" t="s">
        <v>6401</v>
      </c>
      <c r="D1248" t="str">
        <f t="shared" si="88"/>
        <v/>
      </c>
      <c r="E1248" t="s">
        <v>6402</v>
      </c>
      <c r="F1248" t="str">
        <f t="shared" si="91"/>
        <v>4120913</v>
      </c>
    </row>
    <row r="1249" spans="1:9" ht="15" hidden="1" customHeight="1" x14ac:dyDescent="0.25">
      <c r="A1249">
        <v>21010</v>
      </c>
      <c r="B1249" t="s">
        <v>10</v>
      </c>
      <c r="C1249" t="s">
        <v>6403</v>
      </c>
      <c r="D1249" t="str">
        <f t="shared" si="88"/>
        <v/>
      </c>
      <c r="E1249" t="s">
        <v>6404</v>
      </c>
      <c r="F1249" t="str">
        <f t="shared" si="91"/>
        <v>4120913</v>
      </c>
    </row>
    <row r="1250" spans="1:9" ht="15" hidden="1" customHeight="1" x14ac:dyDescent="0.25">
      <c r="A1250">
        <v>21011</v>
      </c>
      <c r="B1250" t="s">
        <v>10</v>
      </c>
      <c r="C1250" t="s">
        <v>6405</v>
      </c>
      <c r="D1250" t="str">
        <f t="shared" si="88"/>
        <v/>
      </c>
      <c r="E1250" t="s">
        <v>6406</v>
      </c>
      <c r="F1250" t="str">
        <f t="shared" si="91"/>
        <v>4120913</v>
      </c>
    </row>
    <row r="1251" spans="1:9" ht="15" hidden="1" customHeight="1" x14ac:dyDescent="0.25">
      <c r="A1251">
        <v>21012</v>
      </c>
      <c r="B1251" t="s">
        <v>10</v>
      </c>
      <c r="C1251" t="s">
        <v>6407</v>
      </c>
      <c r="D1251" t="str">
        <f t="shared" si="88"/>
        <v/>
      </c>
      <c r="E1251" t="s">
        <v>6408</v>
      </c>
      <c r="F1251" t="str">
        <f t="shared" si="91"/>
        <v>4120913</v>
      </c>
    </row>
    <row r="1252" spans="1:9" ht="15" hidden="1" customHeight="1" x14ac:dyDescent="0.25">
      <c r="A1252">
        <v>21013</v>
      </c>
      <c r="B1252" t="s">
        <v>10</v>
      </c>
      <c r="C1252" t="s">
        <v>6409</v>
      </c>
      <c r="D1252" t="str">
        <f t="shared" si="88"/>
        <v/>
      </c>
      <c r="E1252" t="s">
        <v>6410</v>
      </c>
      <c r="F1252" t="str">
        <f t="shared" si="91"/>
        <v>4120913</v>
      </c>
    </row>
    <row r="1253" spans="1:9" ht="15" hidden="1" customHeight="1" x14ac:dyDescent="0.25">
      <c r="A1253">
        <v>21014</v>
      </c>
      <c r="B1253" t="s">
        <v>10</v>
      </c>
      <c r="C1253" t="s">
        <v>6411</v>
      </c>
      <c r="D1253" t="str">
        <f t="shared" si="88"/>
        <v/>
      </c>
      <c r="E1253" t="s">
        <v>6412</v>
      </c>
      <c r="F1253" t="str">
        <f t="shared" si="91"/>
        <v>4120913</v>
      </c>
    </row>
    <row r="1254" spans="1:9" ht="15" customHeight="1" x14ac:dyDescent="0.25">
      <c r="A1254">
        <v>21015</v>
      </c>
      <c r="B1254" t="s">
        <v>7</v>
      </c>
      <c r="C1254" t="s">
        <v>6413</v>
      </c>
      <c r="D1254" t="str">
        <f t="shared" si="88"/>
        <v/>
      </c>
      <c r="E1254" t="s">
        <v>6414</v>
      </c>
      <c r="F1254" t="s">
        <v>6905</v>
      </c>
      <c r="H1254">
        <v>4</v>
      </c>
      <c r="I1254">
        <v>1</v>
      </c>
    </row>
    <row r="1255" spans="1:9" ht="15" hidden="1" customHeight="1" x14ac:dyDescent="0.25">
      <c r="A1255">
        <v>21016</v>
      </c>
      <c r="B1255" t="s">
        <v>10</v>
      </c>
      <c r="C1255" t="s">
        <v>6415</v>
      </c>
      <c r="D1255" t="str">
        <f t="shared" si="88"/>
        <v/>
      </c>
      <c r="E1255" t="s">
        <v>6416</v>
      </c>
      <c r="F1255" t="str">
        <f>LEFT(C1255,7)</f>
        <v>4120914</v>
      </c>
    </row>
    <row r="1256" spans="1:9" ht="15" hidden="1" customHeight="1" x14ac:dyDescent="0.25">
      <c r="A1256">
        <v>21017</v>
      </c>
      <c r="B1256" t="s">
        <v>10</v>
      </c>
      <c r="C1256" t="s">
        <v>6417</v>
      </c>
      <c r="D1256" t="str">
        <f t="shared" si="88"/>
        <v/>
      </c>
      <c r="E1256" t="s">
        <v>6418</v>
      </c>
      <c r="F1256" t="str">
        <f>LEFT(C1256,7)</f>
        <v>4120914</v>
      </c>
    </row>
    <row r="1257" spans="1:9" ht="15" hidden="1" customHeight="1" x14ac:dyDescent="0.25">
      <c r="A1257">
        <v>21018</v>
      </c>
      <c r="B1257" t="s">
        <v>10</v>
      </c>
      <c r="C1257" t="s">
        <v>6419</v>
      </c>
      <c r="D1257" t="str">
        <f t="shared" si="88"/>
        <v/>
      </c>
      <c r="E1257" t="s">
        <v>6420</v>
      </c>
      <c r="F1257" t="str">
        <f>LEFT(C1257,7)</f>
        <v>4120914</v>
      </c>
    </row>
    <row r="1258" spans="1:9" ht="15" customHeight="1" x14ac:dyDescent="0.25">
      <c r="A1258">
        <v>21019</v>
      </c>
      <c r="B1258" t="s">
        <v>7</v>
      </c>
      <c r="C1258" t="s">
        <v>6421</v>
      </c>
      <c r="D1258" t="str">
        <f t="shared" si="88"/>
        <v/>
      </c>
      <c r="E1258" t="s">
        <v>6422</v>
      </c>
      <c r="F1258" t="s">
        <v>6905</v>
      </c>
      <c r="H1258">
        <v>4</v>
      </c>
      <c r="I1258">
        <v>1</v>
      </c>
    </row>
    <row r="1259" spans="1:9" ht="15" hidden="1" customHeight="1" x14ac:dyDescent="0.25">
      <c r="A1259">
        <v>21020</v>
      </c>
      <c r="B1259" t="s">
        <v>10</v>
      </c>
      <c r="C1259" t="s">
        <v>6423</v>
      </c>
      <c r="D1259" t="str">
        <f t="shared" si="88"/>
        <v/>
      </c>
      <c r="E1259" t="s">
        <v>6424</v>
      </c>
      <c r="F1259" t="str">
        <f t="shared" ref="F1259:F1268" si="92">LEFT(C1259,7)</f>
        <v>4120915</v>
      </c>
    </row>
    <row r="1260" spans="1:9" ht="15" hidden="1" customHeight="1" x14ac:dyDescent="0.25">
      <c r="A1260">
        <v>21021</v>
      </c>
      <c r="B1260" t="s">
        <v>10</v>
      </c>
      <c r="C1260" t="s">
        <v>6425</v>
      </c>
      <c r="D1260" t="str">
        <f t="shared" si="88"/>
        <v/>
      </c>
      <c r="E1260" t="s">
        <v>6426</v>
      </c>
      <c r="F1260" t="str">
        <f t="shared" si="92"/>
        <v>4120915</v>
      </c>
    </row>
    <row r="1261" spans="1:9" ht="15" hidden="1" customHeight="1" x14ac:dyDescent="0.25">
      <c r="A1261">
        <v>21022</v>
      </c>
      <c r="B1261" t="s">
        <v>10</v>
      </c>
      <c r="C1261" t="s">
        <v>6427</v>
      </c>
      <c r="D1261" t="str">
        <f t="shared" si="88"/>
        <v/>
      </c>
      <c r="E1261" t="s">
        <v>6428</v>
      </c>
      <c r="F1261" t="str">
        <f t="shared" si="92"/>
        <v>4120915</v>
      </c>
    </row>
    <row r="1262" spans="1:9" ht="15" customHeight="1" x14ac:dyDescent="0.25">
      <c r="A1262">
        <v>18106</v>
      </c>
      <c r="B1262" t="s">
        <v>7</v>
      </c>
      <c r="C1262" t="s">
        <v>3105</v>
      </c>
      <c r="D1262" t="str">
        <f t="shared" si="88"/>
        <v/>
      </c>
      <c r="E1262" t="s">
        <v>3106</v>
      </c>
      <c r="F1262" t="str">
        <f t="shared" si="92"/>
        <v>4120900</v>
      </c>
      <c r="H1262">
        <v>3</v>
      </c>
      <c r="I1262">
        <v>1</v>
      </c>
    </row>
    <row r="1263" spans="1:9" ht="15" hidden="1" customHeight="1" x14ac:dyDescent="0.25">
      <c r="A1263">
        <v>18107</v>
      </c>
      <c r="B1263" t="s">
        <v>10</v>
      </c>
      <c r="C1263" t="s">
        <v>3107</v>
      </c>
      <c r="D1263" t="str">
        <f t="shared" si="88"/>
        <v/>
      </c>
      <c r="E1263" t="s">
        <v>3108</v>
      </c>
      <c r="F1263" t="str">
        <f t="shared" si="92"/>
        <v>4120900</v>
      </c>
    </row>
    <row r="1264" spans="1:9" ht="15" hidden="1" customHeight="1" x14ac:dyDescent="0.25">
      <c r="A1264">
        <v>18110</v>
      </c>
      <c r="B1264" t="s">
        <v>10</v>
      </c>
      <c r="C1264" t="s">
        <v>3109</v>
      </c>
      <c r="D1264" t="str">
        <f t="shared" si="88"/>
        <v/>
      </c>
      <c r="E1264" t="s">
        <v>3110</v>
      </c>
      <c r="F1264" t="str">
        <f t="shared" si="92"/>
        <v>4120900</v>
      </c>
    </row>
    <row r="1265" spans="1:9" ht="15" hidden="1" customHeight="1" x14ac:dyDescent="0.25">
      <c r="A1265">
        <v>18111</v>
      </c>
      <c r="B1265" t="s">
        <v>10</v>
      </c>
      <c r="C1265" t="s">
        <v>3111</v>
      </c>
      <c r="D1265" t="str">
        <f t="shared" si="88"/>
        <v/>
      </c>
      <c r="E1265" t="s">
        <v>3112</v>
      </c>
      <c r="F1265" t="str">
        <f t="shared" si="92"/>
        <v>4120900</v>
      </c>
    </row>
    <row r="1266" spans="1:9" ht="15" hidden="1" customHeight="1" x14ac:dyDescent="0.25">
      <c r="A1266">
        <v>18112</v>
      </c>
      <c r="B1266" t="s">
        <v>10</v>
      </c>
      <c r="C1266" t="s">
        <v>3113</v>
      </c>
      <c r="D1266" t="str">
        <f t="shared" si="88"/>
        <v/>
      </c>
      <c r="E1266" t="s">
        <v>3114</v>
      </c>
      <c r="F1266" t="str">
        <f t="shared" si="92"/>
        <v>4120900</v>
      </c>
    </row>
    <row r="1267" spans="1:9" ht="15" hidden="1" customHeight="1" x14ac:dyDescent="0.25">
      <c r="A1267">
        <v>18113</v>
      </c>
      <c r="B1267" t="s">
        <v>10</v>
      </c>
      <c r="C1267" t="s">
        <v>3115</v>
      </c>
      <c r="D1267" t="str">
        <f t="shared" si="88"/>
        <v/>
      </c>
      <c r="E1267" t="s">
        <v>3116</v>
      </c>
      <c r="F1267" t="str">
        <f t="shared" si="92"/>
        <v>4120900</v>
      </c>
    </row>
    <row r="1268" spans="1:9" ht="15" hidden="1" customHeight="1" x14ac:dyDescent="0.25">
      <c r="A1268">
        <v>18114</v>
      </c>
      <c r="B1268" t="s">
        <v>10</v>
      </c>
      <c r="C1268" t="s">
        <v>3117</v>
      </c>
      <c r="D1268" t="str">
        <f t="shared" si="88"/>
        <v/>
      </c>
      <c r="E1268" t="s">
        <v>3118</v>
      </c>
      <c r="F1268" t="str">
        <f t="shared" si="92"/>
        <v>4120900</v>
      </c>
    </row>
    <row r="1269" spans="1:9" ht="15" customHeight="1" x14ac:dyDescent="0.25">
      <c r="A1269">
        <v>18115</v>
      </c>
      <c r="B1269" t="s">
        <v>7</v>
      </c>
      <c r="C1269" t="s">
        <v>3119</v>
      </c>
      <c r="D1269" t="str">
        <f t="shared" ref="D1269:D1332" si="93">IF(RIGHT(LEFT(C1269,9),2)="##","",RIGHT(LEFT(C1269,10),2))</f>
        <v/>
      </c>
      <c r="E1269" t="s">
        <v>3120</v>
      </c>
      <c r="F1269" t="s">
        <v>6906</v>
      </c>
      <c r="H1269">
        <v>3</v>
      </c>
      <c r="I1269">
        <v>1</v>
      </c>
    </row>
    <row r="1270" spans="1:9" ht="15" hidden="1" customHeight="1" x14ac:dyDescent="0.25">
      <c r="A1270">
        <v>18116</v>
      </c>
      <c r="B1270" t="s">
        <v>10</v>
      </c>
      <c r="C1270" t="s">
        <v>3121</v>
      </c>
      <c r="D1270" t="str">
        <f t="shared" si="93"/>
        <v/>
      </c>
      <c r="E1270" t="s">
        <v>3122</v>
      </c>
      <c r="F1270" t="str">
        <f>LEFT(C1270,7)</f>
        <v>4120901</v>
      </c>
    </row>
    <row r="1271" spans="1:9" ht="15" hidden="1" customHeight="1" x14ac:dyDescent="0.25">
      <c r="A1271">
        <v>18117</v>
      </c>
      <c r="B1271" t="s">
        <v>10</v>
      </c>
      <c r="C1271" t="s">
        <v>3123</v>
      </c>
      <c r="D1271" t="str">
        <f t="shared" si="93"/>
        <v/>
      </c>
      <c r="E1271" t="s">
        <v>3124</v>
      </c>
      <c r="F1271" t="str">
        <f>LEFT(C1271,7)</f>
        <v>4120901</v>
      </c>
    </row>
    <row r="1272" spans="1:9" ht="15" hidden="1" customHeight="1" x14ac:dyDescent="0.25">
      <c r="A1272">
        <v>18118</v>
      </c>
      <c r="B1272" t="s">
        <v>10</v>
      </c>
      <c r="C1272" t="s">
        <v>3125</v>
      </c>
      <c r="D1272" t="str">
        <f t="shared" si="93"/>
        <v/>
      </c>
      <c r="E1272" t="s">
        <v>3126</v>
      </c>
      <c r="F1272" t="str">
        <f>LEFT(C1272,7)</f>
        <v>4120901</v>
      </c>
    </row>
    <row r="1273" spans="1:9" ht="15" customHeight="1" x14ac:dyDescent="0.25">
      <c r="A1273">
        <v>18119</v>
      </c>
      <c r="B1273" t="s">
        <v>7</v>
      </c>
      <c r="C1273" t="s">
        <v>3127</v>
      </c>
      <c r="D1273" t="str">
        <f t="shared" si="93"/>
        <v/>
      </c>
      <c r="E1273" t="s">
        <v>3128</v>
      </c>
      <c r="F1273" t="s">
        <v>6906</v>
      </c>
      <c r="H1273">
        <v>3</v>
      </c>
      <c r="I1273">
        <v>1</v>
      </c>
    </row>
    <row r="1274" spans="1:9" ht="15" hidden="1" customHeight="1" x14ac:dyDescent="0.25">
      <c r="A1274">
        <v>18120</v>
      </c>
      <c r="B1274" t="s">
        <v>10</v>
      </c>
      <c r="C1274" t="s">
        <v>3129</v>
      </c>
      <c r="D1274" t="str">
        <f t="shared" si="93"/>
        <v/>
      </c>
      <c r="E1274" t="s">
        <v>3130</v>
      </c>
      <c r="F1274" t="str">
        <f t="shared" ref="F1274:F1283" si="94">LEFT(C1274,7)</f>
        <v>4120902</v>
      </c>
    </row>
    <row r="1275" spans="1:9" ht="15" hidden="1" customHeight="1" x14ac:dyDescent="0.25">
      <c r="A1275">
        <v>18121</v>
      </c>
      <c r="B1275" t="s">
        <v>10</v>
      </c>
      <c r="C1275" t="s">
        <v>3131</v>
      </c>
      <c r="D1275" t="str">
        <f t="shared" si="93"/>
        <v/>
      </c>
      <c r="E1275" t="s">
        <v>3132</v>
      </c>
      <c r="F1275" t="str">
        <f t="shared" si="94"/>
        <v>4120902</v>
      </c>
    </row>
    <row r="1276" spans="1:9" ht="15" hidden="1" customHeight="1" x14ac:dyDescent="0.25">
      <c r="A1276">
        <v>18122</v>
      </c>
      <c r="B1276" t="s">
        <v>10</v>
      </c>
      <c r="C1276" t="s">
        <v>3133</v>
      </c>
      <c r="D1276" t="str">
        <f t="shared" si="93"/>
        <v/>
      </c>
      <c r="E1276" t="s">
        <v>3134</v>
      </c>
      <c r="F1276" t="str">
        <f t="shared" si="94"/>
        <v>4120902</v>
      </c>
    </row>
    <row r="1277" spans="1:9" ht="15" customHeight="1" x14ac:dyDescent="0.25">
      <c r="A1277">
        <v>15150</v>
      </c>
      <c r="B1277" t="s">
        <v>7</v>
      </c>
      <c r="C1277" t="s">
        <v>589</v>
      </c>
      <c r="D1277" t="str">
        <f t="shared" si="93"/>
        <v/>
      </c>
      <c r="E1277" t="s">
        <v>590</v>
      </c>
      <c r="F1277" t="str">
        <f t="shared" si="94"/>
        <v>4120009</v>
      </c>
      <c r="H1277">
        <v>3</v>
      </c>
      <c r="I1277">
        <v>1</v>
      </c>
    </row>
    <row r="1278" spans="1:9" ht="15" hidden="1" customHeight="1" x14ac:dyDescent="0.25">
      <c r="A1278">
        <v>15151</v>
      </c>
      <c r="B1278" t="s">
        <v>10</v>
      </c>
      <c r="C1278" t="s">
        <v>591</v>
      </c>
      <c r="D1278" t="str">
        <f t="shared" si="93"/>
        <v/>
      </c>
      <c r="E1278" t="s">
        <v>592</v>
      </c>
      <c r="F1278" t="str">
        <f t="shared" si="94"/>
        <v>4120009</v>
      </c>
    </row>
    <row r="1279" spans="1:9" ht="15" hidden="1" customHeight="1" x14ac:dyDescent="0.25">
      <c r="A1279">
        <v>15153</v>
      </c>
      <c r="B1279" t="s">
        <v>10</v>
      </c>
      <c r="C1279" t="s">
        <v>593</v>
      </c>
      <c r="D1279" t="str">
        <f t="shared" si="93"/>
        <v/>
      </c>
      <c r="E1279" t="s">
        <v>594</v>
      </c>
      <c r="F1279" t="str">
        <f t="shared" si="94"/>
        <v>4120009</v>
      </c>
    </row>
    <row r="1280" spans="1:9" ht="15" hidden="1" customHeight="1" x14ac:dyDescent="0.25">
      <c r="A1280">
        <v>15154</v>
      </c>
      <c r="B1280" t="s">
        <v>10</v>
      </c>
      <c r="C1280" t="s">
        <v>595</v>
      </c>
      <c r="D1280" t="str">
        <f t="shared" si="93"/>
        <v/>
      </c>
      <c r="E1280" t="s">
        <v>596</v>
      </c>
      <c r="F1280" t="str">
        <f t="shared" si="94"/>
        <v>4120009</v>
      </c>
    </row>
    <row r="1281" spans="1:9" ht="15" hidden="1" customHeight="1" x14ac:dyDescent="0.25">
      <c r="A1281">
        <v>15155</v>
      </c>
      <c r="B1281" t="s">
        <v>10</v>
      </c>
      <c r="C1281" t="s">
        <v>597</v>
      </c>
      <c r="D1281" t="str">
        <f t="shared" si="93"/>
        <v/>
      </c>
      <c r="E1281" t="s">
        <v>598</v>
      </c>
      <c r="F1281" t="str">
        <f t="shared" si="94"/>
        <v>4120009</v>
      </c>
    </row>
    <row r="1282" spans="1:9" ht="15" hidden="1" customHeight="1" x14ac:dyDescent="0.25">
      <c r="A1282">
        <v>15156</v>
      </c>
      <c r="B1282" t="s">
        <v>10</v>
      </c>
      <c r="C1282" t="s">
        <v>599</v>
      </c>
      <c r="D1282" t="str">
        <f t="shared" si="93"/>
        <v/>
      </c>
      <c r="E1282" t="s">
        <v>600</v>
      </c>
      <c r="F1282" t="str">
        <f t="shared" si="94"/>
        <v>4120009</v>
      </c>
    </row>
    <row r="1283" spans="1:9" ht="15" hidden="1" customHeight="1" x14ac:dyDescent="0.25">
      <c r="A1283">
        <v>15157</v>
      </c>
      <c r="B1283" t="s">
        <v>10</v>
      </c>
      <c r="C1283" t="s">
        <v>601</v>
      </c>
      <c r="D1283" t="str">
        <f t="shared" si="93"/>
        <v/>
      </c>
      <c r="E1283" t="s">
        <v>602</v>
      </c>
      <c r="F1283" t="str">
        <f t="shared" si="94"/>
        <v>4120009</v>
      </c>
    </row>
    <row r="1284" spans="1:9" ht="15" customHeight="1" x14ac:dyDescent="0.25">
      <c r="A1284">
        <v>19300</v>
      </c>
      <c r="B1284" t="s">
        <v>7</v>
      </c>
      <c r="C1284" t="s">
        <v>4561</v>
      </c>
      <c r="D1284" t="str">
        <f t="shared" si="93"/>
        <v/>
      </c>
      <c r="E1284" t="s">
        <v>4562</v>
      </c>
      <c r="F1284" t="s">
        <v>6907</v>
      </c>
      <c r="H1284">
        <v>3</v>
      </c>
      <c r="I1284">
        <v>1</v>
      </c>
    </row>
    <row r="1285" spans="1:9" ht="15" hidden="1" customHeight="1" x14ac:dyDescent="0.25">
      <c r="A1285">
        <v>19301</v>
      </c>
      <c r="B1285" t="s">
        <v>10</v>
      </c>
      <c r="C1285" t="s">
        <v>4563</v>
      </c>
      <c r="D1285" t="str">
        <f t="shared" si="93"/>
        <v/>
      </c>
      <c r="E1285" t="s">
        <v>4564</v>
      </c>
      <c r="F1285" t="str">
        <f t="shared" ref="F1285:F1316" si="95">LEFT(C1285,7)</f>
        <v>4120010</v>
      </c>
    </row>
    <row r="1286" spans="1:9" ht="15" hidden="1" customHeight="1" x14ac:dyDescent="0.25">
      <c r="A1286">
        <v>19302</v>
      </c>
      <c r="B1286" t="s">
        <v>10</v>
      </c>
      <c r="C1286" t="s">
        <v>4565</v>
      </c>
      <c r="D1286" t="str">
        <f t="shared" si="93"/>
        <v/>
      </c>
      <c r="E1286" t="s">
        <v>4566</v>
      </c>
      <c r="F1286" t="str">
        <f t="shared" si="95"/>
        <v>4120010</v>
      </c>
    </row>
    <row r="1287" spans="1:9" ht="15" hidden="1" customHeight="1" x14ac:dyDescent="0.25">
      <c r="A1287">
        <v>19303</v>
      </c>
      <c r="B1287" t="s">
        <v>10</v>
      </c>
      <c r="C1287" t="s">
        <v>4567</v>
      </c>
      <c r="D1287" t="str">
        <f t="shared" si="93"/>
        <v/>
      </c>
      <c r="E1287" t="s">
        <v>4568</v>
      </c>
      <c r="F1287" t="str">
        <f t="shared" si="95"/>
        <v>4120010</v>
      </c>
    </row>
    <row r="1288" spans="1:9" ht="15" customHeight="1" x14ac:dyDescent="0.25">
      <c r="A1288">
        <v>19697</v>
      </c>
      <c r="B1288" t="s">
        <v>7</v>
      </c>
      <c r="C1288" t="s">
        <v>5087</v>
      </c>
      <c r="D1288" t="str">
        <f t="shared" si="93"/>
        <v/>
      </c>
      <c r="E1288" t="s">
        <v>5088</v>
      </c>
      <c r="F1288" t="str">
        <f t="shared" si="95"/>
        <v>4120496</v>
      </c>
      <c r="H1288">
        <v>3</v>
      </c>
      <c r="I1288">
        <v>1</v>
      </c>
    </row>
    <row r="1289" spans="1:9" ht="15" hidden="1" customHeight="1" x14ac:dyDescent="0.25">
      <c r="A1289">
        <v>19698</v>
      </c>
      <c r="B1289" t="s">
        <v>10</v>
      </c>
      <c r="C1289" t="s">
        <v>5089</v>
      </c>
      <c r="D1289" t="str">
        <f t="shared" si="93"/>
        <v/>
      </c>
      <c r="E1289" t="s">
        <v>5090</v>
      </c>
      <c r="F1289" t="str">
        <f t="shared" si="95"/>
        <v>4120496</v>
      </c>
    </row>
    <row r="1290" spans="1:9" ht="15" hidden="1" customHeight="1" x14ac:dyDescent="0.25">
      <c r="A1290">
        <v>19699</v>
      </c>
      <c r="B1290" t="s">
        <v>10</v>
      </c>
      <c r="C1290" t="s">
        <v>5091</v>
      </c>
      <c r="D1290" t="str">
        <f t="shared" si="93"/>
        <v/>
      </c>
      <c r="E1290" t="s">
        <v>5092</v>
      </c>
      <c r="F1290" t="str">
        <f t="shared" si="95"/>
        <v>4120496</v>
      </c>
    </row>
    <row r="1291" spans="1:9" ht="15" hidden="1" customHeight="1" x14ac:dyDescent="0.25">
      <c r="A1291">
        <v>19700</v>
      </c>
      <c r="B1291" t="s">
        <v>10</v>
      </c>
      <c r="C1291" t="s">
        <v>5093</v>
      </c>
      <c r="D1291" t="str">
        <f t="shared" si="93"/>
        <v/>
      </c>
      <c r="E1291" t="s">
        <v>5094</v>
      </c>
      <c r="F1291" t="str">
        <f t="shared" si="95"/>
        <v>4120496</v>
      </c>
    </row>
    <row r="1292" spans="1:9" ht="15" customHeight="1" x14ac:dyDescent="0.25">
      <c r="A1292">
        <v>16959</v>
      </c>
      <c r="B1292" t="s">
        <v>7</v>
      </c>
      <c r="C1292" t="s">
        <v>1856</v>
      </c>
      <c r="D1292" t="str">
        <f t="shared" si="93"/>
        <v/>
      </c>
      <c r="E1292" t="s">
        <v>1857</v>
      </c>
      <c r="F1292" t="str">
        <f t="shared" si="95"/>
        <v>5101221</v>
      </c>
      <c r="H1292">
        <v>2</v>
      </c>
      <c r="I1292">
        <v>1</v>
      </c>
    </row>
    <row r="1293" spans="1:9" ht="15" customHeight="1" x14ac:dyDescent="0.25">
      <c r="A1293">
        <v>16983</v>
      </c>
      <c r="B1293" t="s">
        <v>7</v>
      </c>
      <c r="C1293" t="s">
        <v>1882</v>
      </c>
      <c r="D1293" t="str">
        <f t="shared" si="93"/>
        <v/>
      </c>
      <c r="E1293" t="s">
        <v>1883</v>
      </c>
      <c r="F1293" t="str">
        <f t="shared" si="95"/>
        <v>5101342</v>
      </c>
      <c r="H1293">
        <v>1</v>
      </c>
      <c r="I1293">
        <v>1</v>
      </c>
    </row>
    <row r="1294" spans="1:9" ht="15" hidden="1" customHeight="1" x14ac:dyDescent="0.25">
      <c r="A1294">
        <v>16990</v>
      </c>
      <c r="B1294" t="s">
        <v>10</v>
      </c>
      <c r="C1294" t="s">
        <v>1892</v>
      </c>
      <c r="D1294" t="str">
        <f t="shared" si="93"/>
        <v/>
      </c>
      <c r="E1294" t="s">
        <v>1893</v>
      </c>
      <c r="F1294" t="str">
        <f t="shared" si="95"/>
        <v>5101342</v>
      </c>
    </row>
    <row r="1295" spans="1:9" ht="15" hidden="1" customHeight="1" x14ac:dyDescent="0.25">
      <c r="A1295">
        <v>16987</v>
      </c>
      <c r="B1295" t="s">
        <v>10</v>
      </c>
      <c r="C1295" t="s">
        <v>1886</v>
      </c>
      <c r="D1295" t="str">
        <f t="shared" si="93"/>
        <v/>
      </c>
      <c r="E1295" t="s">
        <v>1887</v>
      </c>
      <c r="F1295" t="str">
        <f t="shared" si="95"/>
        <v>5101342</v>
      </c>
    </row>
    <row r="1296" spans="1:9" ht="15" hidden="1" customHeight="1" x14ac:dyDescent="0.25">
      <c r="A1296">
        <v>16984</v>
      </c>
      <c r="B1296" t="s">
        <v>10</v>
      </c>
      <c r="C1296" t="s">
        <v>1884</v>
      </c>
      <c r="D1296" t="str">
        <f t="shared" si="93"/>
        <v/>
      </c>
      <c r="E1296" t="s">
        <v>1885</v>
      </c>
      <c r="F1296" t="str">
        <f t="shared" si="95"/>
        <v>5101342</v>
      </c>
    </row>
    <row r="1297" spans="1:9" ht="15" hidden="1" customHeight="1" x14ac:dyDescent="0.25">
      <c r="A1297">
        <v>16988</v>
      </c>
      <c r="B1297" t="s">
        <v>10</v>
      </c>
      <c r="C1297" t="s">
        <v>1888</v>
      </c>
      <c r="D1297" t="str">
        <f t="shared" si="93"/>
        <v/>
      </c>
      <c r="E1297" t="s">
        <v>1889</v>
      </c>
      <c r="F1297" t="str">
        <f t="shared" si="95"/>
        <v>5101342</v>
      </c>
    </row>
    <row r="1298" spans="1:9" ht="15" hidden="1" customHeight="1" x14ac:dyDescent="0.25">
      <c r="A1298">
        <v>16989</v>
      </c>
      <c r="B1298" t="s">
        <v>10</v>
      </c>
      <c r="C1298" t="s">
        <v>1890</v>
      </c>
      <c r="D1298" t="str">
        <f t="shared" si="93"/>
        <v/>
      </c>
      <c r="E1298" t="s">
        <v>1891</v>
      </c>
      <c r="F1298" t="str">
        <f t="shared" si="95"/>
        <v>5101342</v>
      </c>
    </row>
    <row r="1299" spans="1:9" ht="15" customHeight="1" x14ac:dyDescent="0.25">
      <c r="A1299">
        <v>16998</v>
      </c>
      <c r="B1299" t="s">
        <v>7</v>
      </c>
      <c r="C1299" t="s">
        <v>1896</v>
      </c>
      <c r="D1299" t="str">
        <f t="shared" si="93"/>
        <v/>
      </c>
      <c r="E1299" t="s">
        <v>1897</v>
      </c>
      <c r="F1299" t="str">
        <f t="shared" si="95"/>
        <v>5101220</v>
      </c>
      <c r="H1299">
        <v>3</v>
      </c>
      <c r="I1299">
        <v>1</v>
      </c>
    </row>
    <row r="1300" spans="1:9" ht="15" hidden="1" customHeight="1" x14ac:dyDescent="0.25">
      <c r="A1300">
        <v>17004</v>
      </c>
      <c r="B1300" t="s">
        <v>10</v>
      </c>
      <c r="C1300" t="s">
        <v>1900</v>
      </c>
      <c r="D1300" t="str">
        <f t="shared" si="93"/>
        <v/>
      </c>
      <c r="E1300" t="s">
        <v>1901</v>
      </c>
      <c r="F1300" t="str">
        <f t="shared" si="95"/>
        <v>5101220</v>
      </c>
    </row>
    <row r="1301" spans="1:9" ht="15" hidden="1" customHeight="1" x14ac:dyDescent="0.25">
      <c r="A1301">
        <v>16999</v>
      </c>
      <c r="B1301" t="s">
        <v>10</v>
      </c>
      <c r="C1301" t="s">
        <v>1898</v>
      </c>
      <c r="D1301" t="str">
        <f t="shared" si="93"/>
        <v/>
      </c>
      <c r="E1301" t="s">
        <v>1899</v>
      </c>
      <c r="F1301" t="str">
        <f t="shared" si="95"/>
        <v>5101220</v>
      </c>
    </row>
    <row r="1302" spans="1:9" ht="15" hidden="1" customHeight="1" x14ac:dyDescent="0.25">
      <c r="A1302">
        <v>17005</v>
      </c>
      <c r="B1302" t="s">
        <v>10</v>
      </c>
      <c r="C1302" t="s">
        <v>1902</v>
      </c>
      <c r="D1302" t="str">
        <f t="shared" si="93"/>
        <v/>
      </c>
      <c r="E1302" t="s">
        <v>1903</v>
      </c>
      <c r="F1302" t="str">
        <f t="shared" si="95"/>
        <v>5101220</v>
      </c>
    </row>
    <row r="1303" spans="1:9" ht="15" customHeight="1" x14ac:dyDescent="0.25">
      <c r="A1303">
        <v>16964</v>
      </c>
      <c r="B1303" t="s">
        <v>7</v>
      </c>
      <c r="C1303" t="s">
        <v>1858</v>
      </c>
      <c r="D1303" t="str">
        <f t="shared" si="93"/>
        <v/>
      </c>
      <c r="E1303" t="s">
        <v>1859</v>
      </c>
      <c r="F1303" t="str">
        <f t="shared" si="95"/>
        <v>5101391</v>
      </c>
      <c r="H1303">
        <v>1</v>
      </c>
      <c r="I1303">
        <v>1</v>
      </c>
    </row>
    <row r="1304" spans="1:9" ht="15" hidden="1" customHeight="1" x14ac:dyDescent="0.25">
      <c r="A1304">
        <v>16969</v>
      </c>
      <c r="B1304" t="s">
        <v>10</v>
      </c>
      <c r="C1304" t="s">
        <v>1862</v>
      </c>
      <c r="D1304" t="str">
        <f t="shared" si="93"/>
        <v/>
      </c>
      <c r="E1304" t="s">
        <v>1863</v>
      </c>
      <c r="F1304" t="str">
        <f t="shared" si="95"/>
        <v>5101391</v>
      </c>
    </row>
    <row r="1305" spans="1:9" ht="15" hidden="1" customHeight="1" x14ac:dyDescent="0.25">
      <c r="A1305">
        <v>16965</v>
      </c>
      <c r="B1305" t="s">
        <v>10</v>
      </c>
      <c r="C1305" t="s">
        <v>1860</v>
      </c>
      <c r="D1305" t="str">
        <f t="shared" si="93"/>
        <v/>
      </c>
      <c r="E1305" t="s">
        <v>1861</v>
      </c>
      <c r="F1305" t="str">
        <f t="shared" si="95"/>
        <v>5101391</v>
      </c>
    </row>
    <row r="1306" spans="1:9" ht="15" hidden="1" customHeight="1" x14ac:dyDescent="0.25">
      <c r="A1306">
        <v>16970</v>
      </c>
      <c r="B1306" t="s">
        <v>10</v>
      </c>
      <c r="C1306" t="s">
        <v>1864</v>
      </c>
      <c r="D1306" t="str">
        <f t="shared" si="93"/>
        <v/>
      </c>
      <c r="E1306" t="s">
        <v>1865</v>
      </c>
      <c r="F1306" t="str">
        <f t="shared" si="95"/>
        <v>5101391</v>
      </c>
    </row>
    <row r="1307" spans="1:9" ht="15" customHeight="1" x14ac:dyDescent="0.25">
      <c r="A1307">
        <v>16978</v>
      </c>
      <c r="B1307" t="s">
        <v>7</v>
      </c>
      <c r="C1307" t="s">
        <v>1876</v>
      </c>
      <c r="D1307" t="str">
        <f t="shared" si="93"/>
        <v/>
      </c>
      <c r="E1307" t="s">
        <v>1877</v>
      </c>
      <c r="F1307" t="str">
        <f t="shared" si="95"/>
        <v>5101210</v>
      </c>
      <c r="H1307">
        <v>4</v>
      </c>
      <c r="I1307">
        <v>1</v>
      </c>
    </row>
    <row r="1308" spans="1:9" ht="15" hidden="1" customHeight="1" x14ac:dyDescent="0.25">
      <c r="A1308">
        <v>16982</v>
      </c>
      <c r="B1308" t="s">
        <v>10</v>
      </c>
      <c r="C1308" t="s">
        <v>1880</v>
      </c>
      <c r="D1308" t="str">
        <f t="shared" si="93"/>
        <v/>
      </c>
      <c r="E1308" t="s">
        <v>1881</v>
      </c>
      <c r="F1308" t="str">
        <f t="shared" si="95"/>
        <v>5101210</v>
      </c>
    </row>
    <row r="1309" spans="1:9" ht="15" hidden="1" customHeight="1" x14ac:dyDescent="0.25">
      <c r="A1309">
        <v>16979</v>
      </c>
      <c r="B1309" t="s">
        <v>10</v>
      </c>
      <c r="C1309" t="s">
        <v>1878</v>
      </c>
      <c r="D1309" t="str">
        <f t="shared" si="93"/>
        <v/>
      </c>
      <c r="E1309" t="s">
        <v>1879</v>
      </c>
      <c r="F1309" t="str">
        <f t="shared" si="95"/>
        <v>5101210</v>
      </c>
    </row>
    <row r="1310" spans="1:9" ht="15" customHeight="1" x14ac:dyDescent="0.25">
      <c r="A1310">
        <v>16971</v>
      </c>
      <c r="B1310" t="s">
        <v>7</v>
      </c>
      <c r="C1310" t="s">
        <v>1866</v>
      </c>
      <c r="D1310" t="str">
        <f t="shared" si="93"/>
        <v/>
      </c>
      <c r="E1310" t="s">
        <v>1867</v>
      </c>
      <c r="F1310" t="str">
        <f t="shared" si="95"/>
        <v>5101445</v>
      </c>
      <c r="I1310">
        <v>1</v>
      </c>
    </row>
    <row r="1311" spans="1:9" ht="15" hidden="1" customHeight="1" x14ac:dyDescent="0.25">
      <c r="A1311">
        <v>16975</v>
      </c>
      <c r="B1311" t="s">
        <v>10</v>
      </c>
      <c r="C1311" t="s">
        <v>1870</v>
      </c>
      <c r="D1311" t="str">
        <f t="shared" si="93"/>
        <v/>
      </c>
      <c r="E1311" t="s">
        <v>1871</v>
      </c>
      <c r="F1311" t="str">
        <f t="shared" si="95"/>
        <v>5101445</v>
      </c>
    </row>
    <row r="1312" spans="1:9" ht="15" hidden="1" customHeight="1" x14ac:dyDescent="0.25">
      <c r="A1312">
        <v>16972</v>
      </c>
      <c r="B1312" t="s">
        <v>10</v>
      </c>
      <c r="C1312" t="s">
        <v>1868</v>
      </c>
      <c r="D1312" t="str">
        <f t="shared" si="93"/>
        <v/>
      </c>
      <c r="E1312" t="s">
        <v>1869</v>
      </c>
      <c r="F1312" t="str">
        <f t="shared" si="95"/>
        <v>5101445</v>
      </c>
    </row>
    <row r="1313" spans="1:9" ht="15" hidden="1" customHeight="1" x14ac:dyDescent="0.25">
      <c r="A1313">
        <v>16976</v>
      </c>
      <c r="B1313" t="s">
        <v>10</v>
      </c>
      <c r="C1313" t="s">
        <v>1872</v>
      </c>
      <c r="D1313" t="str">
        <f t="shared" si="93"/>
        <v/>
      </c>
      <c r="E1313" t="s">
        <v>1873</v>
      </c>
      <c r="F1313" t="str">
        <f t="shared" si="95"/>
        <v>5101445</v>
      </c>
    </row>
    <row r="1314" spans="1:9" ht="15" hidden="1" customHeight="1" x14ac:dyDescent="0.25">
      <c r="A1314">
        <v>16977</v>
      </c>
      <c r="B1314" t="s">
        <v>10</v>
      </c>
      <c r="C1314" t="s">
        <v>1874</v>
      </c>
      <c r="D1314" t="str">
        <f t="shared" si="93"/>
        <v/>
      </c>
      <c r="E1314" t="s">
        <v>1875</v>
      </c>
      <c r="F1314" t="str">
        <f t="shared" si="95"/>
        <v>5101445</v>
      </c>
    </row>
    <row r="1315" spans="1:9" ht="15" customHeight="1" x14ac:dyDescent="0.25">
      <c r="A1315">
        <v>16991</v>
      </c>
      <c r="B1315" t="s">
        <v>7</v>
      </c>
      <c r="C1315" t="s">
        <v>1894</v>
      </c>
      <c r="D1315" t="str">
        <f t="shared" si="93"/>
        <v/>
      </c>
      <c r="E1315" t="s">
        <v>1895</v>
      </c>
      <c r="F1315" t="str">
        <f t="shared" si="95"/>
        <v>5101443</v>
      </c>
      <c r="H1315">
        <v>4</v>
      </c>
      <c r="I1315">
        <v>1</v>
      </c>
    </row>
    <row r="1316" spans="1:9" ht="15" customHeight="1" x14ac:dyDescent="0.25">
      <c r="A1316">
        <v>20635</v>
      </c>
      <c r="B1316" t="s">
        <v>7</v>
      </c>
      <c r="C1316" t="s">
        <v>6009</v>
      </c>
      <c r="D1316" t="str">
        <f t="shared" si="93"/>
        <v/>
      </c>
      <c r="E1316" t="s">
        <v>6010</v>
      </c>
      <c r="F1316" t="str">
        <f t="shared" si="95"/>
        <v>5101104</v>
      </c>
      <c r="H1316">
        <v>3</v>
      </c>
    </row>
    <row r="1317" spans="1:9" ht="15" hidden="1" customHeight="1" x14ac:dyDescent="0.25">
      <c r="A1317">
        <v>20643</v>
      </c>
      <c r="B1317" t="s">
        <v>10</v>
      </c>
      <c r="C1317" t="s">
        <v>6019</v>
      </c>
      <c r="D1317" t="str">
        <f t="shared" si="93"/>
        <v/>
      </c>
      <c r="E1317" t="s">
        <v>6020</v>
      </c>
      <c r="F1317" t="str">
        <f t="shared" ref="F1317:F1348" si="96">LEFT(C1317,7)</f>
        <v>5101104</v>
      </c>
    </row>
    <row r="1318" spans="1:9" ht="15" hidden="1" customHeight="1" x14ac:dyDescent="0.25">
      <c r="A1318">
        <v>20642</v>
      </c>
      <c r="B1318" t="s">
        <v>10</v>
      </c>
      <c r="C1318" t="s">
        <v>6017</v>
      </c>
      <c r="D1318" t="str">
        <f t="shared" si="93"/>
        <v/>
      </c>
      <c r="E1318" t="s">
        <v>6018</v>
      </c>
      <c r="F1318" t="str">
        <f t="shared" si="96"/>
        <v>5101104</v>
      </c>
    </row>
    <row r="1319" spans="1:9" ht="15" hidden="1" customHeight="1" x14ac:dyDescent="0.25">
      <c r="A1319">
        <v>20641</v>
      </c>
      <c r="B1319" t="s">
        <v>10</v>
      </c>
      <c r="C1319" t="s">
        <v>6015</v>
      </c>
      <c r="D1319" t="str">
        <f t="shared" si="93"/>
        <v/>
      </c>
      <c r="E1319" t="s">
        <v>6016</v>
      </c>
      <c r="F1319" t="str">
        <f t="shared" si="96"/>
        <v>5101104</v>
      </c>
    </row>
    <row r="1320" spans="1:9" ht="15" hidden="1" customHeight="1" x14ac:dyDescent="0.25">
      <c r="A1320">
        <v>20644</v>
      </c>
      <c r="B1320" t="s">
        <v>10</v>
      </c>
      <c r="C1320" t="s">
        <v>6021</v>
      </c>
      <c r="D1320" t="str">
        <f t="shared" si="93"/>
        <v/>
      </c>
      <c r="E1320" t="s">
        <v>6022</v>
      </c>
      <c r="F1320" t="str">
        <f t="shared" si="96"/>
        <v>5101104</v>
      </c>
    </row>
    <row r="1321" spans="1:9" ht="15" hidden="1" customHeight="1" x14ac:dyDescent="0.25">
      <c r="A1321">
        <v>20640</v>
      </c>
      <c r="B1321" t="s">
        <v>10</v>
      </c>
      <c r="C1321" t="s">
        <v>6013</v>
      </c>
      <c r="D1321" t="str">
        <f t="shared" si="93"/>
        <v/>
      </c>
      <c r="E1321" t="s">
        <v>6014</v>
      </c>
      <c r="F1321" t="str">
        <f t="shared" si="96"/>
        <v>5101104</v>
      </c>
    </row>
    <row r="1322" spans="1:9" ht="15" hidden="1" customHeight="1" x14ac:dyDescent="0.25">
      <c r="A1322">
        <v>20645</v>
      </c>
      <c r="B1322" t="s">
        <v>10</v>
      </c>
      <c r="C1322" t="s">
        <v>6023</v>
      </c>
      <c r="D1322" t="str">
        <f t="shared" si="93"/>
        <v/>
      </c>
      <c r="E1322" t="s">
        <v>6024</v>
      </c>
      <c r="F1322" t="str">
        <f t="shared" si="96"/>
        <v>5101104</v>
      </c>
    </row>
    <row r="1323" spans="1:9" ht="15" hidden="1" customHeight="1" x14ac:dyDescent="0.25">
      <c r="A1323">
        <v>20636</v>
      </c>
      <c r="B1323" t="s">
        <v>10</v>
      </c>
      <c r="C1323" t="s">
        <v>6011</v>
      </c>
      <c r="D1323" t="str">
        <f t="shared" si="93"/>
        <v/>
      </c>
      <c r="E1323" t="s">
        <v>6012</v>
      </c>
      <c r="F1323" t="str">
        <f t="shared" si="96"/>
        <v>5101104</v>
      </c>
    </row>
    <row r="1324" spans="1:9" ht="15" customHeight="1" x14ac:dyDescent="0.25">
      <c r="A1324">
        <v>19241</v>
      </c>
      <c r="B1324" t="s">
        <v>7</v>
      </c>
      <c r="C1324" t="s">
        <v>4481</v>
      </c>
      <c r="D1324" t="str">
        <f t="shared" si="93"/>
        <v/>
      </c>
      <c r="E1324" t="s">
        <v>4482</v>
      </c>
      <c r="F1324" t="str">
        <f t="shared" si="96"/>
        <v>5101009</v>
      </c>
      <c r="H1324">
        <v>7</v>
      </c>
      <c r="I1324">
        <v>1</v>
      </c>
    </row>
    <row r="1325" spans="1:9" ht="15" hidden="1" customHeight="1" x14ac:dyDescent="0.25">
      <c r="A1325">
        <v>19249</v>
      </c>
      <c r="B1325" t="s">
        <v>10</v>
      </c>
      <c r="C1325" t="s">
        <v>4497</v>
      </c>
      <c r="D1325" t="str">
        <f t="shared" si="93"/>
        <v/>
      </c>
      <c r="E1325" t="s">
        <v>4498</v>
      </c>
      <c r="F1325" t="str">
        <f t="shared" si="96"/>
        <v>5101009</v>
      </c>
    </row>
    <row r="1326" spans="1:9" ht="15" hidden="1" customHeight="1" x14ac:dyDescent="0.25">
      <c r="A1326">
        <v>19252</v>
      </c>
      <c r="B1326" t="s">
        <v>10</v>
      </c>
      <c r="C1326" t="s">
        <v>4503</v>
      </c>
      <c r="D1326" t="str">
        <f t="shared" si="93"/>
        <v/>
      </c>
      <c r="E1326" t="s">
        <v>4504</v>
      </c>
      <c r="F1326" t="str">
        <f t="shared" si="96"/>
        <v>5101009</v>
      </c>
    </row>
    <row r="1327" spans="1:9" ht="15" hidden="1" customHeight="1" x14ac:dyDescent="0.25">
      <c r="A1327">
        <v>19250</v>
      </c>
      <c r="B1327" t="s">
        <v>10</v>
      </c>
      <c r="C1327" t="s">
        <v>4499</v>
      </c>
      <c r="D1327" t="str">
        <f t="shared" si="93"/>
        <v/>
      </c>
      <c r="E1327" t="s">
        <v>4500</v>
      </c>
      <c r="F1327" t="str">
        <f t="shared" si="96"/>
        <v>5101009</v>
      </c>
    </row>
    <row r="1328" spans="1:9" ht="15" hidden="1" customHeight="1" x14ac:dyDescent="0.25">
      <c r="A1328">
        <v>19251</v>
      </c>
      <c r="B1328" t="s">
        <v>10</v>
      </c>
      <c r="C1328" t="s">
        <v>4501</v>
      </c>
      <c r="D1328" t="str">
        <f t="shared" si="93"/>
        <v/>
      </c>
      <c r="E1328" t="s">
        <v>4502</v>
      </c>
      <c r="F1328" t="str">
        <f t="shared" si="96"/>
        <v>5101009</v>
      </c>
    </row>
    <row r="1329" spans="1:9" ht="15" hidden="1" customHeight="1" x14ac:dyDescent="0.25">
      <c r="A1329">
        <v>19246</v>
      </c>
      <c r="B1329" t="s">
        <v>10</v>
      </c>
      <c r="C1329" t="s">
        <v>4491</v>
      </c>
      <c r="D1329" t="str">
        <f t="shared" si="93"/>
        <v/>
      </c>
      <c r="E1329" t="s">
        <v>4492</v>
      </c>
      <c r="F1329" t="str">
        <f t="shared" si="96"/>
        <v>5101009</v>
      </c>
    </row>
    <row r="1330" spans="1:9" ht="15" hidden="1" customHeight="1" x14ac:dyDescent="0.25">
      <c r="A1330">
        <v>19245</v>
      </c>
      <c r="B1330" t="s">
        <v>10</v>
      </c>
      <c r="C1330" t="s">
        <v>4489</v>
      </c>
      <c r="D1330" t="str">
        <f t="shared" si="93"/>
        <v/>
      </c>
      <c r="E1330" t="s">
        <v>4490</v>
      </c>
      <c r="F1330" t="str">
        <f t="shared" si="96"/>
        <v>5101009</v>
      </c>
    </row>
    <row r="1331" spans="1:9" ht="15" hidden="1" customHeight="1" x14ac:dyDescent="0.25">
      <c r="A1331">
        <v>19244</v>
      </c>
      <c r="B1331" t="s">
        <v>10</v>
      </c>
      <c r="C1331" t="s">
        <v>4487</v>
      </c>
      <c r="D1331" t="str">
        <f t="shared" si="93"/>
        <v/>
      </c>
      <c r="E1331" t="s">
        <v>4488</v>
      </c>
      <c r="F1331" t="str">
        <f t="shared" si="96"/>
        <v>5101009</v>
      </c>
    </row>
    <row r="1332" spans="1:9" ht="15" hidden="1" customHeight="1" x14ac:dyDescent="0.25">
      <c r="A1332">
        <v>19247</v>
      </c>
      <c r="B1332" t="s">
        <v>10</v>
      </c>
      <c r="C1332" t="s">
        <v>4493</v>
      </c>
      <c r="D1332" t="str">
        <f t="shared" si="93"/>
        <v/>
      </c>
      <c r="E1332" t="s">
        <v>4494</v>
      </c>
      <c r="F1332" t="str">
        <f t="shared" si="96"/>
        <v>5101009</v>
      </c>
    </row>
    <row r="1333" spans="1:9" ht="15" hidden="1" customHeight="1" x14ac:dyDescent="0.25">
      <c r="A1333">
        <v>19243</v>
      </c>
      <c r="B1333" t="s">
        <v>10</v>
      </c>
      <c r="C1333" t="s">
        <v>4485</v>
      </c>
      <c r="D1333" t="str">
        <f t="shared" ref="D1333:D1396" si="97">IF(RIGHT(LEFT(C1333,9),2)="##","",RIGHT(LEFT(C1333,10),2))</f>
        <v/>
      </c>
      <c r="E1333" t="s">
        <v>4486</v>
      </c>
      <c r="F1333" t="str">
        <f t="shared" si="96"/>
        <v>5101009</v>
      </c>
    </row>
    <row r="1334" spans="1:9" ht="15" hidden="1" customHeight="1" x14ac:dyDescent="0.25">
      <c r="A1334">
        <v>19248</v>
      </c>
      <c r="B1334" t="s">
        <v>10</v>
      </c>
      <c r="C1334" t="s">
        <v>4495</v>
      </c>
      <c r="D1334" t="str">
        <f t="shared" si="97"/>
        <v/>
      </c>
      <c r="E1334" t="s">
        <v>4496</v>
      </c>
      <c r="F1334" t="str">
        <f t="shared" si="96"/>
        <v>5101009</v>
      </c>
    </row>
    <row r="1335" spans="1:9" ht="15" hidden="1" customHeight="1" x14ac:dyDescent="0.25">
      <c r="A1335">
        <v>19242</v>
      </c>
      <c r="B1335" t="s">
        <v>10</v>
      </c>
      <c r="C1335" t="s">
        <v>4483</v>
      </c>
      <c r="D1335" t="str">
        <f t="shared" si="97"/>
        <v/>
      </c>
      <c r="E1335" t="s">
        <v>4484</v>
      </c>
      <c r="F1335" t="str">
        <f t="shared" si="96"/>
        <v>5101009</v>
      </c>
    </row>
    <row r="1336" spans="1:9" ht="15" customHeight="1" x14ac:dyDescent="0.25">
      <c r="A1336">
        <v>18263</v>
      </c>
      <c r="B1336" t="s">
        <v>7</v>
      </c>
      <c r="C1336" t="s">
        <v>6948</v>
      </c>
      <c r="D1336" t="str">
        <f t="shared" si="97"/>
        <v/>
      </c>
      <c r="E1336" t="s">
        <v>6947</v>
      </c>
      <c r="F1336" t="str">
        <f t="shared" si="96"/>
        <v>5101750</v>
      </c>
      <c r="H1336">
        <v>7</v>
      </c>
      <c r="I1336">
        <v>1</v>
      </c>
    </row>
    <row r="1337" spans="1:9" ht="15" customHeight="1" x14ac:dyDescent="0.25">
      <c r="A1337">
        <v>14773</v>
      </c>
      <c r="B1337" t="s">
        <v>7</v>
      </c>
      <c r="C1337" t="s">
        <v>181</v>
      </c>
      <c r="D1337" t="str">
        <f t="shared" si="97"/>
        <v/>
      </c>
      <c r="E1337" t="s">
        <v>182</v>
      </c>
      <c r="F1337" t="str">
        <f t="shared" si="96"/>
        <v>5101011</v>
      </c>
      <c r="H1337">
        <v>7</v>
      </c>
      <c r="I1337">
        <v>1</v>
      </c>
    </row>
    <row r="1338" spans="1:9" ht="15" hidden="1" customHeight="1" x14ac:dyDescent="0.25">
      <c r="A1338">
        <v>14799</v>
      </c>
      <c r="B1338" t="s">
        <v>10</v>
      </c>
      <c r="C1338" t="s">
        <v>197</v>
      </c>
      <c r="D1338" t="str">
        <f t="shared" si="97"/>
        <v/>
      </c>
      <c r="E1338" t="s">
        <v>198</v>
      </c>
      <c r="F1338" t="str">
        <f t="shared" si="96"/>
        <v>5101011</v>
      </c>
    </row>
    <row r="1339" spans="1:9" ht="15" hidden="1" customHeight="1" x14ac:dyDescent="0.25">
      <c r="A1339">
        <v>14805</v>
      </c>
      <c r="B1339" t="s">
        <v>10</v>
      </c>
      <c r="C1339" t="s">
        <v>203</v>
      </c>
      <c r="D1339" t="str">
        <f t="shared" si="97"/>
        <v/>
      </c>
      <c r="E1339" t="s">
        <v>204</v>
      </c>
      <c r="F1339" t="str">
        <f t="shared" si="96"/>
        <v>5101011</v>
      </c>
    </row>
    <row r="1340" spans="1:9" ht="15" hidden="1" customHeight="1" x14ac:dyDescent="0.25">
      <c r="A1340">
        <v>14803</v>
      </c>
      <c r="B1340" t="s">
        <v>10</v>
      </c>
      <c r="C1340" t="s">
        <v>199</v>
      </c>
      <c r="D1340" t="str">
        <f t="shared" si="97"/>
        <v/>
      </c>
      <c r="E1340" t="s">
        <v>200</v>
      </c>
      <c r="F1340" t="str">
        <f t="shared" si="96"/>
        <v>5101011</v>
      </c>
    </row>
    <row r="1341" spans="1:9" ht="15" hidden="1" customHeight="1" x14ac:dyDescent="0.25">
      <c r="A1341">
        <v>14804</v>
      </c>
      <c r="B1341" t="s">
        <v>10</v>
      </c>
      <c r="C1341" t="s">
        <v>201</v>
      </c>
      <c r="D1341" t="str">
        <f t="shared" si="97"/>
        <v/>
      </c>
      <c r="E1341" t="s">
        <v>202</v>
      </c>
      <c r="F1341" t="str">
        <f t="shared" si="96"/>
        <v>5101011</v>
      </c>
    </row>
    <row r="1342" spans="1:9" ht="15" hidden="1" customHeight="1" x14ac:dyDescent="0.25">
      <c r="A1342">
        <v>14774</v>
      </c>
      <c r="B1342" t="s">
        <v>10</v>
      </c>
      <c r="C1342" t="s">
        <v>183</v>
      </c>
      <c r="D1342" t="str">
        <f t="shared" si="97"/>
        <v/>
      </c>
      <c r="E1342" t="s">
        <v>184</v>
      </c>
      <c r="F1342" t="str">
        <f t="shared" si="96"/>
        <v>5101011</v>
      </c>
    </row>
    <row r="1343" spans="1:9" ht="15" hidden="1" customHeight="1" x14ac:dyDescent="0.25">
      <c r="A1343">
        <v>14798</v>
      </c>
      <c r="B1343" t="s">
        <v>10</v>
      </c>
      <c r="C1343" t="s">
        <v>195</v>
      </c>
      <c r="D1343" t="str">
        <f t="shared" si="97"/>
        <v/>
      </c>
      <c r="E1343" t="s">
        <v>196</v>
      </c>
      <c r="F1343" t="str">
        <f t="shared" si="96"/>
        <v>5101011</v>
      </c>
    </row>
    <row r="1344" spans="1:9" ht="15" hidden="1" customHeight="1" x14ac:dyDescent="0.25">
      <c r="A1344">
        <v>14793</v>
      </c>
      <c r="B1344" t="s">
        <v>10</v>
      </c>
      <c r="C1344" t="s">
        <v>193</v>
      </c>
      <c r="D1344" t="str">
        <f t="shared" si="97"/>
        <v/>
      </c>
      <c r="E1344" t="s">
        <v>194</v>
      </c>
      <c r="F1344" t="str">
        <f t="shared" si="96"/>
        <v>5101011</v>
      </c>
    </row>
    <row r="1345" spans="1:8" ht="15" hidden="1" customHeight="1" x14ac:dyDescent="0.25">
      <c r="A1345">
        <v>14786</v>
      </c>
      <c r="B1345" t="s">
        <v>10</v>
      </c>
      <c r="C1345" t="s">
        <v>189</v>
      </c>
      <c r="D1345" t="str">
        <f t="shared" si="97"/>
        <v/>
      </c>
      <c r="E1345" t="s">
        <v>190</v>
      </c>
      <c r="F1345" t="str">
        <f t="shared" si="96"/>
        <v>5101011</v>
      </c>
    </row>
    <row r="1346" spans="1:8" ht="15" hidden="1" customHeight="1" x14ac:dyDescent="0.25">
      <c r="A1346">
        <v>14785</v>
      </c>
      <c r="B1346" t="s">
        <v>10</v>
      </c>
      <c r="C1346" t="s">
        <v>187</v>
      </c>
      <c r="D1346" t="str">
        <f t="shared" si="97"/>
        <v/>
      </c>
      <c r="E1346" t="s">
        <v>188</v>
      </c>
      <c r="F1346" t="str">
        <f t="shared" si="96"/>
        <v>5101011</v>
      </c>
    </row>
    <row r="1347" spans="1:8" ht="15" hidden="1" customHeight="1" x14ac:dyDescent="0.25">
      <c r="A1347">
        <v>14792</v>
      </c>
      <c r="B1347" t="s">
        <v>10</v>
      </c>
      <c r="C1347" t="s">
        <v>191</v>
      </c>
      <c r="D1347" t="str">
        <f t="shared" si="97"/>
        <v/>
      </c>
      <c r="E1347" t="s">
        <v>192</v>
      </c>
      <c r="F1347" t="str">
        <f t="shared" si="96"/>
        <v>5101011</v>
      </c>
    </row>
    <row r="1348" spans="1:8" ht="15" hidden="1" customHeight="1" x14ac:dyDescent="0.25">
      <c r="A1348">
        <v>14780</v>
      </c>
      <c r="B1348" t="s">
        <v>10</v>
      </c>
      <c r="C1348" t="s">
        <v>185</v>
      </c>
      <c r="D1348" t="str">
        <f t="shared" si="97"/>
        <v/>
      </c>
      <c r="E1348" t="s">
        <v>186</v>
      </c>
      <c r="F1348" t="str">
        <f t="shared" si="96"/>
        <v>5101011</v>
      </c>
    </row>
    <row r="1349" spans="1:8" ht="15" customHeight="1" x14ac:dyDescent="0.25">
      <c r="A1349">
        <v>17530</v>
      </c>
      <c r="B1349" t="s">
        <v>7</v>
      </c>
      <c r="C1349" t="s">
        <v>2237</v>
      </c>
      <c r="D1349" t="str">
        <f t="shared" si="97"/>
        <v/>
      </c>
      <c r="E1349" t="s">
        <v>2238</v>
      </c>
      <c r="F1349" t="str">
        <f t="shared" ref="F1349:F1381" si="98">LEFT(C1349,7)</f>
        <v>5101125</v>
      </c>
      <c r="H1349">
        <v>5</v>
      </c>
    </row>
    <row r="1350" spans="1:8" ht="15" hidden="1" customHeight="1" x14ac:dyDescent="0.25">
      <c r="A1350">
        <v>17540</v>
      </c>
      <c r="B1350" t="s">
        <v>10</v>
      </c>
      <c r="C1350" t="s">
        <v>2247</v>
      </c>
      <c r="D1350" t="str">
        <f t="shared" si="97"/>
        <v/>
      </c>
      <c r="E1350" t="s">
        <v>2248</v>
      </c>
      <c r="F1350" t="str">
        <f t="shared" si="98"/>
        <v>5101125</v>
      </c>
    </row>
    <row r="1351" spans="1:8" ht="15" hidden="1" customHeight="1" x14ac:dyDescent="0.25">
      <c r="A1351">
        <v>17539</v>
      </c>
      <c r="B1351" t="s">
        <v>10</v>
      </c>
      <c r="C1351" t="s">
        <v>2245</v>
      </c>
      <c r="D1351" t="str">
        <f t="shared" si="97"/>
        <v/>
      </c>
      <c r="E1351" t="s">
        <v>2246</v>
      </c>
      <c r="F1351" t="str">
        <f t="shared" si="98"/>
        <v>5101125</v>
      </c>
    </row>
    <row r="1352" spans="1:8" ht="15" hidden="1" customHeight="1" x14ac:dyDescent="0.25">
      <c r="A1352">
        <v>17538</v>
      </c>
      <c r="B1352" t="s">
        <v>10</v>
      </c>
      <c r="C1352" t="s">
        <v>2243</v>
      </c>
      <c r="D1352" t="str">
        <f t="shared" si="97"/>
        <v/>
      </c>
      <c r="E1352" t="s">
        <v>2244</v>
      </c>
      <c r="F1352" t="str">
        <f t="shared" si="98"/>
        <v>5101125</v>
      </c>
    </row>
    <row r="1353" spans="1:8" ht="15" hidden="1" customHeight="1" x14ac:dyDescent="0.25">
      <c r="A1353">
        <v>17541</v>
      </c>
      <c r="B1353" t="s">
        <v>10</v>
      </c>
      <c r="C1353" t="s">
        <v>2249</v>
      </c>
      <c r="D1353" t="str">
        <f t="shared" si="97"/>
        <v/>
      </c>
      <c r="E1353" t="s">
        <v>2250</v>
      </c>
      <c r="F1353" t="str">
        <f t="shared" si="98"/>
        <v>5101125</v>
      </c>
    </row>
    <row r="1354" spans="1:8" ht="15" hidden="1" customHeight="1" x14ac:dyDescent="0.25">
      <c r="A1354">
        <v>17537</v>
      </c>
      <c r="B1354" t="s">
        <v>10</v>
      </c>
      <c r="C1354" t="s">
        <v>2241</v>
      </c>
      <c r="D1354" t="str">
        <f t="shared" si="97"/>
        <v/>
      </c>
      <c r="E1354" t="s">
        <v>2242</v>
      </c>
      <c r="F1354" t="str">
        <f t="shared" si="98"/>
        <v>5101125</v>
      </c>
    </row>
    <row r="1355" spans="1:8" ht="15" hidden="1" customHeight="1" x14ac:dyDescent="0.25">
      <c r="A1355">
        <v>17542</v>
      </c>
      <c r="B1355" t="s">
        <v>10</v>
      </c>
      <c r="C1355" t="s">
        <v>2251</v>
      </c>
      <c r="D1355" t="str">
        <f t="shared" si="97"/>
        <v/>
      </c>
      <c r="E1355" t="s">
        <v>2252</v>
      </c>
      <c r="F1355" t="str">
        <f t="shared" si="98"/>
        <v>5101125</v>
      </c>
    </row>
    <row r="1356" spans="1:8" ht="15" hidden="1" customHeight="1" x14ac:dyDescent="0.25">
      <c r="A1356">
        <v>17531</v>
      </c>
      <c r="B1356" t="s">
        <v>10</v>
      </c>
      <c r="C1356" t="s">
        <v>2239</v>
      </c>
      <c r="D1356" t="str">
        <f t="shared" si="97"/>
        <v/>
      </c>
      <c r="E1356" t="s">
        <v>2240</v>
      </c>
      <c r="F1356" t="str">
        <f t="shared" si="98"/>
        <v>5101125</v>
      </c>
    </row>
    <row r="1357" spans="1:8" ht="15" customHeight="1" x14ac:dyDescent="0.25">
      <c r="A1357">
        <v>17726</v>
      </c>
      <c r="B1357" t="s">
        <v>7</v>
      </c>
      <c r="C1357" t="s">
        <v>2501</v>
      </c>
      <c r="D1357" t="str">
        <f t="shared" si="97"/>
        <v/>
      </c>
      <c r="E1357" t="s">
        <v>2502</v>
      </c>
      <c r="F1357" t="str">
        <f t="shared" si="98"/>
        <v>5101106</v>
      </c>
      <c r="H1357">
        <v>9</v>
      </c>
    </row>
    <row r="1358" spans="1:8" ht="15" hidden="1" customHeight="1" x14ac:dyDescent="0.25">
      <c r="A1358">
        <v>17738</v>
      </c>
      <c r="B1358" t="s">
        <v>10</v>
      </c>
      <c r="C1358" t="s">
        <v>2507</v>
      </c>
      <c r="D1358" t="str">
        <f t="shared" si="97"/>
        <v/>
      </c>
      <c r="E1358" t="s">
        <v>2508</v>
      </c>
      <c r="F1358" t="str">
        <f t="shared" si="98"/>
        <v>5101106</v>
      </c>
    </row>
    <row r="1359" spans="1:8" ht="15" hidden="1" customHeight="1" x14ac:dyDescent="0.25">
      <c r="A1359">
        <v>17737</v>
      </c>
      <c r="B1359" t="s">
        <v>10</v>
      </c>
      <c r="C1359" t="s">
        <v>2505</v>
      </c>
      <c r="D1359" t="str">
        <f t="shared" si="97"/>
        <v/>
      </c>
      <c r="E1359" t="s">
        <v>2506</v>
      </c>
      <c r="F1359" t="str">
        <f t="shared" si="98"/>
        <v>5101106</v>
      </c>
    </row>
    <row r="1360" spans="1:8" ht="15" hidden="1" customHeight="1" x14ac:dyDescent="0.25">
      <c r="A1360">
        <v>17727</v>
      </c>
      <c r="B1360" t="s">
        <v>10</v>
      </c>
      <c r="C1360" t="s">
        <v>2503</v>
      </c>
      <c r="D1360" t="str">
        <f t="shared" si="97"/>
        <v/>
      </c>
      <c r="E1360" t="s">
        <v>2504</v>
      </c>
      <c r="F1360" t="str">
        <f t="shared" si="98"/>
        <v>5101106</v>
      </c>
    </row>
    <row r="1361" spans="1:8" ht="15" hidden="1" customHeight="1" x14ac:dyDescent="0.25">
      <c r="A1361">
        <v>17739</v>
      </c>
      <c r="B1361" t="s">
        <v>10</v>
      </c>
      <c r="C1361" t="s">
        <v>2509</v>
      </c>
      <c r="D1361" t="str">
        <f t="shared" si="97"/>
        <v/>
      </c>
      <c r="E1361" t="s">
        <v>2510</v>
      </c>
      <c r="F1361" t="str">
        <f t="shared" si="98"/>
        <v>5101106</v>
      </c>
    </row>
    <row r="1362" spans="1:8" ht="15" hidden="1" customHeight="1" x14ac:dyDescent="0.25">
      <c r="A1362">
        <v>17740</v>
      </c>
      <c r="B1362" t="s">
        <v>10</v>
      </c>
      <c r="C1362" t="s">
        <v>2511</v>
      </c>
      <c r="D1362" t="str">
        <f t="shared" si="97"/>
        <v/>
      </c>
      <c r="E1362" t="s">
        <v>2512</v>
      </c>
      <c r="F1362" t="str">
        <f t="shared" si="98"/>
        <v>5101106</v>
      </c>
    </row>
    <row r="1363" spans="1:8" ht="15" customHeight="1" x14ac:dyDescent="0.25">
      <c r="A1363">
        <v>18484</v>
      </c>
      <c r="B1363" t="s">
        <v>7</v>
      </c>
      <c r="C1363" t="s">
        <v>3673</v>
      </c>
      <c r="D1363" t="str">
        <f t="shared" si="97"/>
        <v/>
      </c>
      <c r="E1363" t="s">
        <v>3674</v>
      </c>
      <c r="F1363" t="str">
        <f t="shared" si="98"/>
        <v>5101108</v>
      </c>
      <c r="H1363">
        <v>5</v>
      </c>
    </row>
    <row r="1364" spans="1:8" ht="15" hidden="1" customHeight="1" x14ac:dyDescent="0.25">
      <c r="A1364">
        <v>18485</v>
      </c>
      <c r="B1364" t="s">
        <v>10</v>
      </c>
      <c r="C1364" t="s">
        <v>3675</v>
      </c>
      <c r="D1364" t="str">
        <f t="shared" si="97"/>
        <v/>
      </c>
      <c r="E1364" t="s">
        <v>3676</v>
      </c>
      <c r="F1364" t="str">
        <f t="shared" si="98"/>
        <v>5101108</v>
      </c>
    </row>
    <row r="1365" spans="1:8" ht="15" hidden="1" customHeight="1" x14ac:dyDescent="0.25">
      <c r="A1365">
        <v>18486</v>
      </c>
      <c r="B1365" t="s">
        <v>10</v>
      </c>
      <c r="C1365" t="s">
        <v>3677</v>
      </c>
      <c r="D1365" t="str">
        <f t="shared" si="97"/>
        <v/>
      </c>
      <c r="E1365" t="s">
        <v>3678</v>
      </c>
      <c r="F1365" t="str">
        <f t="shared" si="98"/>
        <v>5101108</v>
      </c>
    </row>
    <row r="1366" spans="1:8" ht="15" customHeight="1" x14ac:dyDescent="0.25">
      <c r="A1366">
        <v>20627</v>
      </c>
      <c r="B1366" t="s">
        <v>7</v>
      </c>
      <c r="C1366" t="s">
        <v>5993</v>
      </c>
      <c r="D1366" t="str">
        <f t="shared" si="97"/>
        <v/>
      </c>
      <c r="E1366" t="s">
        <v>5994</v>
      </c>
      <c r="F1366" t="str">
        <f t="shared" si="98"/>
        <v>5101109</v>
      </c>
      <c r="H1366">
        <v>5</v>
      </c>
    </row>
    <row r="1367" spans="1:8" ht="15" hidden="1" customHeight="1" x14ac:dyDescent="0.25">
      <c r="A1367">
        <v>20632</v>
      </c>
      <c r="B1367" t="s">
        <v>10</v>
      </c>
      <c r="C1367" t="s">
        <v>6003</v>
      </c>
      <c r="D1367" t="str">
        <f t="shared" si="97"/>
        <v/>
      </c>
      <c r="E1367" t="s">
        <v>6004</v>
      </c>
      <c r="F1367" t="str">
        <f t="shared" si="98"/>
        <v>5101109</v>
      </c>
    </row>
    <row r="1368" spans="1:8" ht="15" hidden="1" customHeight="1" x14ac:dyDescent="0.25">
      <c r="A1368">
        <v>20631</v>
      </c>
      <c r="B1368" t="s">
        <v>10</v>
      </c>
      <c r="C1368" t="s">
        <v>6001</v>
      </c>
      <c r="D1368" t="str">
        <f t="shared" si="97"/>
        <v/>
      </c>
      <c r="E1368" t="s">
        <v>6002</v>
      </c>
      <c r="F1368" t="str">
        <f t="shared" si="98"/>
        <v>5101109</v>
      </c>
    </row>
    <row r="1369" spans="1:8" ht="15" hidden="1" customHeight="1" x14ac:dyDescent="0.25">
      <c r="A1369">
        <v>20630</v>
      </c>
      <c r="B1369" t="s">
        <v>10</v>
      </c>
      <c r="C1369" t="s">
        <v>5999</v>
      </c>
      <c r="D1369" t="str">
        <f t="shared" si="97"/>
        <v/>
      </c>
      <c r="E1369" t="s">
        <v>6000</v>
      </c>
      <c r="F1369" t="str">
        <f t="shared" si="98"/>
        <v>5101109</v>
      </c>
    </row>
    <row r="1370" spans="1:8" ht="15" hidden="1" customHeight="1" x14ac:dyDescent="0.25">
      <c r="A1370">
        <v>20633</v>
      </c>
      <c r="B1370" t="s">
        <v>10</v>
      </c>
      <c r="C1370" t="s">
        <v>6005</v>
      </c>
      <c r="D1370" t="str">
        <f t="shared" si="97"/>
        <v/>
      </c>
      <c r="E1370" t="s">
        <v>6006</v>
      </c>
      <c r="F1370" t="str">
        <f t="shared" si="98"/>
        <v>5101109</v>
      </c>
    </row>
    <row r="1371" spans="1:8" ht="15" hidden="1" customHeight="1" x14ac:dyDescent="0.25">
      <c r="A1371">
        <v>20629</v>
      </c>
      <c r="B1371" t="s">
        <v>10</v>
      </c>
      <c r="C1371" t="s">
        <v>5997</v>
      </c>
      <c r="D1371" t="str">
        <f t="shared" si="97"/>
        <v/>
      </c>
      <c r="E1371" t="s">
        <v>5998</v>
      </c>
      <c r="F1371" t="str">
        <f t="shared" si="98"/>
        <v>5101109</v>
      </c>
    </row>
    <row r="1372" spans="1:8" ht="15" hidden="1" customHeight="1" x14ac:dyDescent="0.25">
      <c r="A1372">
        <v>20634</v>
      </c>
      <c r="B1372" t="s">
        <v>10</v>
      </c>
      <c r="C1372" t="s">
        <v>6007</v>
      </c>
      <c r="D1372" t="str">
        <f t="shared" si="97"/>
        <v/>
      </c>
      <c r="E1372" t="s">
        <v>6008</v>
      </c>
      <c r="F1372" t="str">
        <f t="shared" si="98"/>
        <v>5101109</v>
      </c>
    </row>
    <row r="1373" spans="1:8" ht="15" hidden="1" customHeight="1" x14ac:dyDescent="0.25">
      <c r="A1373">
        <v>20628</v>
      </c>
      <c r="B1373" t="s">
        <v>10</v>
      </c>
      <c r="C1373" t="s">
        <v>5995</v>
      </c>
      <c r="D1373" t="str">
        <f t="shared" si="97"/>
        <v/>
      </c>
      <c r="E1373" t="s">
        <v>5996</v>
      </c>
      <c r="F1373" t="str">
        <f t="shared" si="98"/>
        <v>5101109</v>
      </c>
    </row>
    <row r="1374" spans="1:8" ht="15" customHeight="1" x14ac:dyDescent="0.25">
      <c r="A1374">
        <v>14661</v>
      </c>
      <c r="B1374" t="s">
        <v>7</v>
      </c>
      <c r="C1374" t="s">
        <v>25</v>
      </c>
      <c r="D1374" t="str">
        <f t="shared" si="97"/>
        <v/>
      </c>
      <c r="E1374" t="s">
        <v>26</v>
      </c>
      <c r="F1374" t="str">
        <f t="shared" si="98"/>
        <v>5101190</v>
      </c>
      <c r="H1374">
        <v>4</v>
      </c>
    </row>
    <row r="1375" spans="1:8" ht="15" hidden="1" customHeight="1" x14ac:dyDescent="0.25">
      <c r="A1375">
        <v>14670</v>
      </c>
      <c r="B1375" t="s">
        <v>10</v>
      </c>
      <c r="C1375" t="s">
        <v>35</v>
      </c>
      <c r="D1375" t="str">
        <f t="shared" si="97"/>
        <v/>
      </c>
      <c r="E1375" t="s">
        <v>36</v>
      </c>
      <c r="F1375" t="str">
        <f t="shared" si="98"/>
        <v>5101190</v>
      </c>
    </row>
    <row r="1376" spans="1:8" ht="15" hidden="1" customHeight="1" x14ac:dyDescent="0.25">
      <c r="A1376">
        <v>14669</v>
      </c>
      <c r="B1376" t="s">
        <v>10</v>
      </c>
      <c r="C1376" t="s">
        <v>33</v>
      </c>
      <c r="D1376" t="str">
        <f t="shared" si="97"/>
        <v/>
      </c>
      <c r="E1376" t="s">
        <v>34</v>
      </c>
      <c r="F1376" t="str">
        <f t="shared" si="98"/>
        <v>5101190</v>
      </c>
    </row>
    <row r="1377" spans="1:8" ht="15" hidden="1" customHeight="1" x14ac:dyDescent="0.25">
      <c r="A1377">
        <v>14668</v>
      </c>
      <c r="B1377" t="s">
        <v>10</v>
      </c>
      <c r="C1377" t="s">
        <v>31</v>
      </c>
      <c r="D1377" t="str">
        <f t="shared" si="97"/>
        <v/>
      </c>
      <c r="E1377" t="s">
        <v>32</v>
      </c>
      <c r="F1377" t="str">
        <f t="shared" si="98"/>
        <v>5101190</v>
      </c>
    </row>
    <row r="1378" spans="1:8" ht="15" hidden="1" customHeight="1" x14ac:dyDescent="0.25">
      <c r="A1378">
        <v>14671</v>
      </c>
      <c r="B1378" t="s">
        <v>10</v>
      </c>
      <c r="C1378" t="s">
        <v>37</v>
      </c>
      <c r="D1378" t="str">
        <f t="shared" si="97"/>
        <v/>
      </c>
      <c r="E1378" t="s">
        <v>38</v>
      </c>
      <c r="F1378" t="str">
        <f t="shared" si="98"/>
        <v>5101190</v>
      </c>
    </row>
    <row r="1379" spans="1:8" ht="15" hidden="1" customHeight="1" x14ac:dyDescent="0.25">
      <c r="A1379">
        <v>14667</v>
      </c>
      <c r="B1379" t="s">
        <v>10</v>
      </c>
      <c r="C1379" t="s">
        <v>29</v>
      </c>
      <c r="D1379" t="str">
        <f t="shared" si="97"/>
        <v/>
      </c>
      <c r="E1379" t="s">
        <v>30</v>
      </c>
      <c r="F1379" t="str">
        <f t="shared" si="98"/>
        <v>5101190</v>
      </c>
    </row>
    <row r="1380" spans="1:8" ht="15" hidden="1" customHeight="1" x14ac:dyDescent="0.25">
      <c r="A1380">
        <v>14672</v>
      </c>
      <c r="B1380" t="s">
        <v>10</v>
      </c>
      <c r="C1380" t="s">
        <v>39</v>
      </c>
      <c r="D1380" t="str">
        <f t="shared" si="97"/>
        <v/>
      </c>
      <c r="E1380" t="s">
        <v>40</v>
      </c>
      <c r="F1380" t="str">
        <f t="shared" si="98"/>
        <v>5101190</v>
      </c>
    </row>
    <row r="1381" spans="1:8" ht="15" hidden="1" customHeight="1" x14ac:dyDescent="0.25">
      <c r="A1381">
        <v>14662</v>
      </c>
      <c r="B1381" t="s">
        <v>10</v>
      </c>
      <c r="C1381" t="s">
        <v>27</v>
      </c>
      <c r="D1381" t="str">
        <f t="shared" si="97"/>
        <v/>
      </c>
      <c r="E1381" t="s">
        <v>28</v>
      </c>
      <c r="F1381" t="str">
        <f t="shared" si="98"/>
        <v>5101190</v>
      </c>
    </row>
    <row r="1382" spans="1:8" ht="15" customHeight="1" x14ac:dyDescent="0.25">
      <c r="A1382">
        <v>17711</v>
      </c>
      <c r="B1382" t="s">
        <v>7</v>
      </c>
      <c r="C1382" t="s">
        <v>2481</v>
      </c>
      <c r="D1382" t="str">
        <f t="shared" si="97"/>
        <v/>
      </c>
      <c r="E1382" t="s">
        <v>2482</v>
      </c>
      <c r="F1382" t="s">
        <v>6950</v>
      </c>
      <c r="H1382">
        <v>4</v>
      </c>
    </row>
    <row r="1383" spans="1:8" ht="15" hidden="1" customHeight="1" x14ac:dyDescent="0.25">
      <c r="A1383">
        <v>17712</v>
      </c>
      <c r="B1383" t="s">
        <v>10</v>
      </c>
      <c r="C1383" t="s">
        <v>2483</v>
      </c>
      <c r="D1383" t="str">
        <f t="shared" si="97"/>
        <v/>
      </c>
      <c r="E1383" t="s">
        <v>2484</v>
      </c>
      <c r="F1383" t="str">
        <f>LEFT(C1383,7)</f>
        <v>5101191</v>
      </c>
    </row>
    <row r="1384" spans="1:8" ht="15" hidden="1" customHeight="1" x14ac:dyDescent="0.25">
      <c r="A1384">
        <v>17713</v>
      </c>
      <c r="B1384" t="s">
        <v>10</v>
      </c>
      <c r="C1384" t="s">
        <v>2485</v>
      </c>
      <c r="D1384" t="str">
        <f t="shared" si="97"/>
        <v/>
      </c>
      <c r="E1384" t="s">
        <v>2486</v>
      </c>
      <c r="F1384" t="str">
        <f>LEFT(C1384,7)</f>
        <v>5101191</v>
      </c>
    </row>
    <row r="1385" spans="1:8" ht="15" customHeight="1" x14ac:dyDescent="0.25">
      <c r="A1385">
        <v>17708</v>
      </c>
      <c r="B1385" t="s">
        <v>7</v>
      </c>
      <c r="C1385" t="s">
        <v>2475</v>
      </c>
      <c r="D1385" t="str">
        <f t="shared" si="97"/>
        <v/>
      </c>
      <c r="E1385" t="s">
        <v>2476</v>
      </c>
      <c r="F1385" t="str">
        <f>LEFT(C1385,7)</f>
        <v>5101195</v>
      </c>
      <c r="H1385">
        <v>4</v>
      </c>
    </row>
    <row r="1386" spans="1:8" ht="15" hidden="1" customHeight="1" x14ac:dyDescent="0.25">
      <c r="A1386">
        <v>17709</v>
      </c>
      <c r="B1386" t="s">
        <v>10</v>
      </c>
      <c r="C1386" t="s">
        <v>2477</v>
      </c>
      <c r="D1386" t="str">
        <f t="shared" si="97"/>
        <v/>
      </c>
      <c r="E1386" t="s">
        <v>2478</v>
      </c>
      <c r="F1386" t="str">
        <f>LEFT(C1386,7)</f>
        <v>5101195</v>
      </c>
    </row>
    <row r="1387" spans="1:8" ht="15" hidden="1" customHeight="1" x14ac:dyDescent="0.25">
      <c r="A1387">
        <v>17710</v>
      </c>
      <c r="B1387" t="s">
        <v>10</v>
      </c>
      <c r="C1387" t="s">
        <v>2479</v>
      </c>
      <c r="D1387" t="str">
        <f t="shared" si="97"/>
        <v/>
      </c>
      <c r="E1387" t="s">
        <v>2480</v>
      </c>
      <c r="F1387" t="str">
        <f>LEFT(C1387,7)</f>
        <v>5101195</v>
      </c>
    </row>
    <row r="1388" spans="1:8" x14ac:dyDescent="0.25">
      <c r="A1388">
        <v>17717</v>
      </c>
      <c r="B1388" t="s">
        <v>7</v>
      </c>
      <c r="C1388" t="s">
        <v>2493</v>
      </c>
      <c r="D1388" t="str">
        <f t="shared" si="97"/>
        <v/>
      </c>
      <c r="E1388" t="s">
        <v>2494</v>
      </c>
      <c r="F1388" t="s">
        <v>6951</v>
      </c>
      <c r="H1388">
        <v>4</v>
      </c>
    </row>
    <row r="1389" spans="1:8" ht="15" hidden="1" customHeight="1" x14ac:dyDescent="0.25">
      <c r="A1389">
        <v>17718</v>
      </c>
      <c r="B1389" t="s">
        <v>10</v>
      </c>
      <c r="C1389" t="s">
        <v>2495</v>
      </c>
      <c r="D1389" t="str">
        <f t="shared" si="97"/>
        <v/>
      </c>
      <c r="E1389" t="s">
        <v>2496</v>
      </c>
      <c r="F1389" t="str">
        <f>LEFT(C1389,7)</f>
        <v>5101196</v>
      </c>
    </row>
    <row r="1390" spans="1:8" ht="15" hidden="1" customHeight="1" x14ac:dyDescent="0.25">
      <c r="A1390">
        <v>17719</v>
      </c>
      <c r="B1390" t="s">
        <v>10</v>
      </c>
      <c r="C1390" t="s">
        <v>2497</v>
      </c>
      <c r="D1390" t="str">
        <f t="shared" si="97"/>
        <v/>
      </c>
      <c r="E1390" t="s">
        <v>2498</v>
      </c>
      <c r="F1390" t="str">
        <f>LEFT(C1390,7)</f>
        <v>5101196</v>
      </c>
    </row>
    <row r="1391" spans="1:8" ht="15" hidden="1" customHeight="1" x14ac:dyDescent="0.25">
      <c r="A1391">
        <v>17706</v>
      </c>
      <c r="B1391" t="s">
        <v>4</v>
      </c>
      <c r="C1391" t="s">
        <v>2473</v>
      </c>
      <c r="D1391" t="str">
        <f t="shared" si="97"/>
        <v/>
      </c>
      <c r="E1391" t="s">
        <v>2474</v>
      </c>
      <c r="F1391" t="str">
        <f>LEFT(C1391,7)</f>
        <v>5101185</v>
      </c>
      <c r="H1391">
        <v>4</v>
      </c>
    </row>
    <row r="1392" spans="1:8" ht="15" customHeight="1" x14ac:dyDescent="0.25">
      <c r="A1392">
        <v>17714</v>
      </c>
      <c r="B1392" t="s">
        <v>7</v>
      </c>
      <c r="C1392" t="s">
        <v>2487</v>
      </c>
      <c r="D1392" t="str">
        <f t="shared" si="97"/>
        <v/>
      </c>
      <c r="E1392" t="s">
        <v>2488</v>
      </c>
      <c r="F1392" t="s">
        <v>6981</v>
      </c>
      <c r="H1392">
        <v>4</v>
      </c>
    </row>
    <row r="1393" spans="1:8" ht="15" hidden="1" customHeight="1" x14ac:dyDescent="0.25">
      <c r="A1393">
        <v>17715</v>
      </c>
      <c r="B1393" t="s">
        <v>10</v>
      </c>
      <c r="C1393" t="s">
        <v>2489</v>
      </c>
      <c r="D1393" t="str">
        <f t="shared" si="97"/>
        <v/>
      </c>
      <c r="E1393" t="s">
        <v>2490</v>
      </c>
      <c r="F1393" t="s">
        <v>6981</v>
      </c>
    </row>
    <row r="1394" spans="1:8" ht="15" hidden="1" customHeight="1" x14ac:dyDescent="0.25">
      <c r="A1394">
        <v>17716</v>
      </c>
      <c r="B1394" t="s">
        <v>10</v>
      </c>
      <c r="C1394" t="s">
        <v>2491</v>
      </c>
      <c r="D1394" t="str">
        <f t="shared" si="97"/>
        <v/>
      </c>
      <c r="E1394" t="s">
        <v>2492</v>
      </c>
      <c r="F1394" t="s">
        <v>6981</v>
      </c>
    </row>
    <row r="1395" spans="1:8" ht="15" customHeight="1" x14ac:dyDescent="0.25">
      <c r="A1395">
        <v>20967</v>
      </c>
      <c r="B1395" t="s">
        <v>7</v>
      </c>
      <c r="C1395" t="s">
        <v>6351</v>
      </c>
      <c r="D1395" t="str">
        <f t="shared" si="97"/>
        <v/>
      </c>
      <c r="E1395" t="s">
        <v>6352</v>
      </c>
      <c r="F1395" t="str">
        <f t="shared" ref="F1395:F1410" si="99">LEFT(C1395,7)</f>
        <v>5101090</v>
      </c>
      <c r="H1395">
        <v>7</v>
      </c>
    </row>
    <row r="1396" spans="1:8" ht="15" hidden="1" customHeight="1" x14ac:dyDescent="0.25">
      <c r="A1396">
        <v>20972</v>
      </c>
      <c r="B1396" t="s">
        <v>10</v>
      </c>
      <c r="C1396" t="s">
        <v>6361</v>
      </c>
      <c r="D1396" t="str">
        <f t="shared" si="97"/>
        <v/>
      </c>
      <c r="E1396" t="s">
        <v>6362</v>
      </c>
      <c r="F1396" t="str">
        <f t="shared" si="99"/>
        <v>5101090</v>
      </c>
    </row>
    <row r="1397" spans="1:8" ht="15" hidden="1" customHeight="1" x14ac:dyDescent="0.25">
      <c r="A1397">
        <v>20971</v>
      </c>
      <c r="B1397" t="s">
        <v>10</v>
      </c>
      <c r="C1397" t="s">
        <v>6359</v>
      </c>
      <c r="D1397" t="str">
        <f t="shared" ref="D1397:D1460" si="100">IF(RIGHT(LEFT(C1397,9),2)="##","",RIGHT(LEFT(C1397,10),2))</f>
        <v/>
      </c>
      <c r="E1397" t="s">
        <v>6360</v>
      </c>
      <c r="F1397" t="str">
        <f t="shared" si="99"/>
        <v>5101090</v>
      </c>
    </row>
    <row r="1398" spans="1:8" ht="15" hidden="1" customHeight="1" x14ac:dyDescent="0.25">
      <c r="A1398">
        <v>20970</v>
      </c>
      <c r="B1398" t="s">
        <v>10</v>
      </c>
      <c r="C1398" t="s">
        <v>6357</v>
      </c>
      <c r="D1398" t="str">
        <f t="shared" si="100"/>
        <v/>
      </c>
      <c r="E1398" t="s">
        <v>6358</v>
      </c>
      <c r="F1398" t="str">
        <f t="shared" si="99"/>
        <v>5101090</v>
      </c>
    </row>
    <row r="1399" spans="1:8" ht="15" hidden="1" customHeight="1" x14ac:dyDescent="0.25">
      <c r="A1399">
        <v>20973</v>
      </c>
      <c r="B1399" t="s">
        <v>10</v>
      </c>
      <c r="C1399" t="s">
        <v>6363</v>
      </c>
      <c r="D1399" t="str">
        <f t="shared" si="100"/>
        <v/>
      </c>
      <c r="E1399" t="s">
        <v>6364</v>
      </c>
      <c r="F1399" t="str">
        <f t="shared" si="99"/>
        <v>5101090</v>
      </c>
    </row>
    <row r="1400" spans="1:8" ht="15" hidden="1" customHeight="1" x14ac:dyDescent="0.25">
      <c r="A1400">
        <v>20969</v>
      </c>
      <c r="B1400" t="s">
        <v>10</v>
      </c>
      <c r="C1400" t="s">
        <v>6355</v>
      </c>
      <c r="D1400" t="str">
        <f t="shared" si="100"/>
        <v/>
      </c>
      <c r="E1400" t="s">
        <v>6356</v>
      </c>
      <c r="F1400" t="str">
        <f t="shared" si="99"/>
        <v>5101090</v>
      </c>
    </row>
    <row r="1401" spans="1:8" ht="15" hidden="1" customHeight="1" x14ac:dyDescent="0.25">
      <c r="A1401">
        <v>20974</v>
      </c>
      <c r="B1401" t="s">
        <v>10</v>
      </c>
      <c r="C1401" t="s">
        <v>6365</v>
      </c>
      <c r="D1401" t="str">
        <f t="shared" si="100"/>
        <v/>
      </c>
      <c r="E1401" t="s">
        <v>6366</v>
      </c>
      <c r="F1401" t="str">
        <f t="shared" si="99"/>
        <v>5101090</v>
      </c>
    </row>
    <row r="1402" spans="1:8" ht="15" hidden="1" customHeight="1" x14ac:dyDescent="0.25">
      <c r="A1402">
        <v>20968</v>
      </c>
      <c r="B1402" t="s">
        <v>10</v>
      </c>
      <c r="C1402" t="s">
        <v>6353</v>
      </c>
      <c r="D1402" t="str">
        <f t="shared" si="100"/>
        <v/>
      </c>
      <c r="E1402" t="s">
        <v>6354</v>
      </c>
      <c r="F1402" t="str">
        <f t="shared" si="99"/>
        <v>5101090</v>
      </c>
    </row>
    <row r="1403" spans="1:8" ht="15" customHeight="1" x14ac:dyDescent="0.25">
      <c r="A1403">
        <v>20975</v>
      </c>
      <c r="B1403" t="s">
        <v>7</v>
      </c>
      <c r="C1403" t="s">
        <v>6367</v>
      </c>
      <c r="D1403" t="str">
        <f t="shared" si="100"/>
        <v/>
      </c>
      <c r="E1403" t="s">
        <v>6368</v>
      </c>
      <c r="F1403" t="str">
        <f t="shared" si="99"/>
        <v>5101093</v>
      </c>
      <c r="H1403">
        <v>7</v>
      </c>
    </row>
    <row r="1404" spans="1:8" ht="15" hidden="1" customHeight="1" x14ac:dyDescent="0.25">
      <c r="A1404">
        <v>20980</v>
      </c>
      <c r="B1404" t="s">
        <v>10</v>
      </c>
      <c r="C1404" t="s">
        <v>6377</v>
      </c>
      <c r="D1404" t="str">
        <f t="shared" si="100"/>
        <v/>
      </c>
      <c r="E1404" t="s">
        <v>6378</v>
      </c>
      <c r="F1404" t="str">
        <f t="shared" si="99"/>
        <v>5101093</v>
      </c>
    </row>
    <row r="1405" spans="1:8" ht="15" hidden="1" customHeight="1" x14ac:dyDescent="0.25">
      <c r="A1405">
        <v>20979</v>
      </c>
      <c r="B1405" t="s">
        <v>10</v>
      </c>
      <c r="C1405" t="s">
        <v>6375</v>
      </c>
      <c r="D1405" t="str">
        <f t="shared" si="100"/>
        <v/>
      </c>
      <c r="E1405" t="s">
        <v>6376</v>
      </c>
      <c r="F1405" t="str">
        <f t="shared" si="99"/>
        <v>5101093</v>
      </c>
    </row>
    <row r="1406" spans="1:8" ht="15" hidden="1" customHeight="1" x14ac:dyDescent="0.25">
      <c r="A1406">
        <v>20976</v>
      </c>
      <c r="B1406" t="s">
        <v>10</v>
      </c>
      <c r="C1406" t="s">
        <v>6369</v>
      </c>
      <c r="D1406" t="str">
        <f t="shared" si="100"/>
        <v/>
      </c>
      <c r="E1406" t="s">
        <v>6370</v>
      </c>
      <c r="F1406" t="str">
        <f t="shared" si="99"/>
        <v>5101093</v>
      </c>
    </row>
    <row r="1407" spans="1:8" ht="15" hidden="1" customHeight="1" x14ac:dyDescent="0.25">
      <c r="A1407">
        <v>20981</v>
      </c>
      <c r="B1407" t="s">
        <v>10</v>
      </c>
      <c r="C1407" t="s">
        <v>6379</v>
      </c>
      <c r="D1407" t="str">
        <f t="shared" si="100"/>
        <v/>
      </c>
      <c r="E1407" t="s">
        <v>6380</v>
      </c>
      <c r="F1407" t="str">
        <f t="shared" si="99"/>
        <v>5101093</v>
      </c>
    </row>
    <row r="1408" spans="1:8" ht="15" hidden="1" customHeight="1" x14ac:dyDescent="0.25">
      <c r="A1408">
        <v>20978</v>
      </c>
      <c r="B1408" t="s">
        <v>10</v>
      </c>
      <c r="C1408" t="s">
        <v>6373</v>
      </c>
      <c r="D1408" t="str">
        <f t="shared" si="100"/>
        <v/>
      </c>
      <c r="E1408" t="s">
        <v>6374</v>
      </c>
      <c r="F1408" t="str">
        <f t="shared" si="99"/>
        <v>5101093</v>
      </c>
    </row>
    <row r="1409" spans="1:9" ht="15" hidden="1" customHeight="1" x14ac:dyDescent="0.25">
      <c r="A1409">
        <v>20982</v>
      </c>
      <c r="B1409" t="s">
        <v>10</v>
      </c>
      <c r="C1409" t="s">
        <v>6381</v>
      </c>
      <c r="D1409" t="str">
        <f t="shared" si="100"/>
        <v/>
      </c>
      <c r="E1409" t="s">
        <v>6382</v>
      </c>
      <c r="F1409" t="str">
        <f t="shared" si="99"/>
        <v>5101093</v>
      </c>
    </row>
    <row r="1410" spans="1:9" ht="15" hidden="1" customHeight="1" x14ac:dyDescent="0.25">
      <c r="A1410">
        <v>20977</v>
      </c>
      <c r="B1410" t="s">
        <v>10</v>
      </c>
      <c r="C1410" t="s">
        <v>6371</v>
      </c>
      <c r="D1410" t="str">
        <f t="shared" si="100"/>
        <v/>
      </c>
      <c r="E1410" t="s">
        <v>6372</v>
      </c>
      <c r="F1410" t="str">
        <f t="shared" si="99"/>
        <v>5101093</v>
      </c>
    </row>
    <row r="1411" spans="1:9" ht="15" customHeight="1" x14ac:dyDescent="0.25">
      <c r="A1411">
        <v>17157</v>
      </c>
      <c r="B1411" t="s">
        <v>7</v>
      </c>
      <c r="C1411" t="s">
        <v>1993</v>
      </c>
      <c r="D1411" t="str">
        <f t="shared" si="100"/>
        <v/>
      </c>
      <c r="E1411" t="s">
        <v>1994</v>
      </c>
      <c r="F1411" t="s">
        <v>6908</v>
      </c>
      <c r="H1411">
        <v>10</v>
      </c>
      <c r="I1411">
        <v>1</v>
      </c>
    </row>
    <row r="1412" spans="1:9" ht="15" hidden="1" customHeight="1" x14ac:dyDescent="0.25">
      <c r="A1412">
        <v>17158</v>
      </c>
      <c r="B1412" t="s">
        <v>10</v>
      </c>
      <c r="C1412" t="s">
        <v>1995</v>
      </c>
      <c r="D1412" t="str">
        <f t="shared" si="100"/>
        <v/>
      </c>
      <c r="E1412" t="s">
        <v>1996</v>
      </c>
      <c r="F1412" t="str">
        <f t="shared" ref="F1412:F1423" si="101">LEFT(C1412,7)</f>
        <v>5101998</v>
      </c>
    </row>
    <row r="1413" spans="1:9" ht="15" hidden="1" customHeight="1" x14ac:dyDescent="0.25">
      <c r="A1413">
        <v>17159</v>
      </c>
      <c r="B1413" t="s">
        <v>10</v>
      </c>
      <c r="C1413" t="s">
        <v>1997</v>
      </c>
      <c r="D1413" t="str">
        <f t="shared" si="100"/>
        <v/>
      </c>
      <c r="E1413" t="s">
        <v>1998</v>
      </c>
      <c r="F1413" t="str">
        <f t="shared" si="101"/>
        <v>5101998</v>
      </c>
    </row>
    <row r="1414" spans="1:9" ht="15" hidden="1" customHeight="1" x14ac:dyDescent="0.25">
      <c r="A1414">
        <v>17160</v>
      </c>
      <c r="B1414" t="s">
        <v>10</v>
      </c>
      <c r="C1414" t="s">
        <v>1999</v>
      </c>
      <c r="D1414" t="str">
        <f t="shared" si="100"/>
        <v/>
      </c>
      <c r="E1414" t="s">
        <v>2000</v>
      </c>
      <c r="F1414" t="str">
        <f t="shared" si="101"/>
        <v>5101998</v>
      </c>
    </row>
    <row r="1415" spans="1:9" ht="15" customHeight="1" x14ac:dyDescent="0.25">
      <c r="A1415">
        <v>14806</v>
      </c>
      <c r="B1415" t="s">
        <v>7</v>
      </c>
      <c r="C1415" t="s">
        <v>205</v>
      </c>
      <c r="D1415" t="str">
        <f t="shared" si="100"/>
        <v/>
      </c>
      <c r="E1415" t="s">
        <v>206</v>
      </c>
      <c r="F1415" t="str">
        <f t="shared" si="101"/>
        <v>5101999</v>
      </c>
      <c r="H1415">
        <v>10</v>
      </c>
      <c r="I1415">
        <v>1</v>
      </c>
    </row>
    <row r="1416" spans="1:9" ht="15" hidden="1" customHeight="1" x14ac:dyDescent="0.25">
      <c r="A1416">
        <v>14824</v>
      </c>
      <c r="B1416" t="s">
        <v>10</v>
      </c>
      <c r="C1416" t="s">
        <v>219</v>
      </c>
      <c r="D1416" t="str">
        <f t="shared" si="100"/>
        <v/>
      </c>
      <c r="E1416" t="s">
        <v>220</v>
      </c>
      <c r="F1416" t="str">
        <f t="shared" si="101"/>
        <v>5101999</v>
      </c>
    </row>
    <row r="1417" spans="1:9" ht="15" hidden="1" customHeight="1" x14ac:dyDescent="0.25">
      <c r="A1417">
        <v>14814</v>
      </c>
      <c r="B1417" t="s">
        <v>10</v>
      </c>
      <c r="C1417" t="s">
        <v>213</v>
      </c>
      <c r="D1417" t="str">
        <f t="shared" si="100"/>
        <v/>
      </c>
      <c r="E1417" t="s">
        <v>214</v>
      </c>
      <c r="F1417" t="str">
        <f t="shared" si="101"/>
        <v>5101999</v>
      </c>
    </row>
    <row r="1418" spans="1:9" ht="15" hidden="1" customHeight="1" x14ac:dyDescent="0.25">
      <c r="A1418">
        <v>14813</v>
      </c>
      <c r="B1418" t="s">
        <v>10</v>
      </c>
      <c r="C1418" t="s">
        <v>211</v>
      </c>
      <c r="D1418" t="str">
        <f t="shared" si="100"/>
        <v/>
      </c>
      <c r="E1418" t="s">
        <v>212</v>
      </c>
      <c r="F1418" t="str">
        <f t="shared" si="101"/>
        <v>5101999</v>
      </c>
    </row>
    <row r="1419" spans="1:9" ht="15" hidden="1" customHeight="1" x14ac:dyDescent="0.25">
      <c r="A1419">
        <v>14812</v>
      </c>
      <c r="B1419" t="s">
        <v>10</v>
      </c>
      <c r="C1419" t="s">
        <v>209</v>
      </c>
      <c r="D1419" t="str">
        <f t="shared" si="100"/>
        <v/>
      </c>
      <c r="E1419" t="s">
        <v>210</v>
      </c>
      <c r="F1419" t="str">
        <f t="shared" si="101"/>
        <v>5101999</v>
      </c>
    </row>
    <row r="1420" spans="1:9" ht="15" hidden="1" customHeight="1" x14ac:dyDescent="0.25">
      <c r="A1420">
        <v>14815</v>
      </c>
      <c r="B1420" t="s">
        <v>10</v>
      </c>
      <c r="C1420" t="s">
        <v>215</v>
      </c>
      <c r="D1420" t="str">
        <f t="shared" si="100"/>
        <v/>
      </c>
      <c r="E1420" t="s">
        <v>216</v>
      </c>
      <c r="F1420" t="str">
        <f t="shared" si="101"/>
        <v>5101999</v>
      </c>
    </row>
    <row r="1421" spans="1:9" ht="15" hidden="1" customHeight="1" x14ac:dyDescent="0.25">
      <c r="A1421">
        <v>14807</v>
      </c>
      <c r="B1421" t="s">
        <v>10</v>
      </c>
      <c r="C1421" t="s">
        <v>207</v>
      </c>
      <c r="D1421" t="str">
        <f t="shared" si="100"/>
        <v/>
      </c>
      <c r="E1421" t="s">
        <v>208</v>
      </c>
      <c r="F1421" t="str">
        <f t="shared" si="101"/>
        <v>5101999</v>
      </c>
    </row>
    <row r="1422" spans="1:9" ht="15" hidden="1" customHeight="1" x14ac:dyDescent="0.25">
      <c r="A1422">
        <v>14816</v>
      </c>
      <c r="B1422" t="s">
        <v>10</v>
      </c>
      <c r="C1422" t="s">
        <v>217</v>
      </c>
      <c r="D1422" t="str">
        <f t="shared" si="100"/>
        <v/>
      </c>
      <c r="E1422" t="s">
        <v>218</v>
      </c>
      <c r="F1422" t="str">
        <f t="shared" si="101"/>
        <v>5101999</v>
      </c>
    </row>
    <row r="1423" spans="1:9" ht="15" hidden="1" customHeight="1" x14ac:dyDescent="0.25">
      <c r="A1423">
        <v>14825</v>
      </c>
      <c r="B1423" t="s">
        <v>10</v>
      </c>
      <c r="C1423" t="s">
        <v>221</v>
      </c>
      <c r="D1423" t="str">
        <f t="shared" si="100"/>
        <v/>
      </c>
      <c r="E1423" t="s">
        <v>222</v>
      </c>
      <c r="F1423" t="str">
        <f t="shared" si="101"/>
        <v>5101999</v>
      </c>
    </row>
    <row r="1424" spans="1:9" ht="15" customHeight="1" x14ac:dyDescent="0.25">
      <c r="A1424">
        <v>17983</v>
      </c>
      <c r="B1424" t="s">
        <v>7</v>
      </c>
      <c r="C1424" t="s">
        <v>2907</v>
      </c>
      <c r="D1424" t="str">
        <f t="shared" si="100"/>
        <v/>
      </c>
      <c r="E1424" t="s">
        <v>2908</v>
      </c>
      <c r="F1424" t="s">
        <v>6909</v>
      </c>
      <c r="H1424">
        <v>8</v>
      </c>
      <c r="I1424">
        <v>1</v>
      </c>
    </row>
    <row r="1425" spans="1:9" ht="15" hidden="1" customHeight="1" x14ac:dyDescent="0.25">
      <c r="A1425">
        <v>17984</v>
      </c>
      <c r="B1425" t="s">
        <v>10</v>
      </c>
      <c r="C1425" t="s">
        <v>2909</v>
      </c>
      <c r="D1425" t="str">
        <f t="shared" si="100"/>
        <v/>
      </c>
      <c r="E1425" t="s">
        <v>2910</v>
      </c>
      <c r="F1425" t="str">
        <f t="shared" ref="F1425:F1436" si="102">LEFT(C1425,7)</f>
        <v>5101778</v>
      </c>
    </row>
    <row r="1426" spans="1:9" ht="15" hidden="1" customHeight="1" x14ac:dyDescent="0.25">
      <c r="A1426">
        <v>17985</v>
      </c>
      <c r="B1426" t="s">
        <v>10</v>
      </c>
      <c r="C1426" t="s">
        <v>2911</v>
      </c>
      <c r="D1426" t="str">
        <f t="shared" si="100"/>
        <v/>
      </c>
      <c r="E1426" t="s">
        <v>2912</v>
      </c>
      <c r="F1426" t="str">
        <f t="shared" si="102"/>
        <v>5101778</v>
      </c>
    </row>
    <row r="1427" spans="1:9" ht="15" hidden="1" customHeight="1" x14ac:dyDescent="0.25">
      <c r="A1427">
        <v>17986</v>
      </c>
      <c r="B1427" t="s">
        <v>10</v>
      </c>
      <c r="C1427" t="s">
        <v>2913</v>
      </c>
      <c r="D1427" t="str">
        <f t="shared" si="100"/>
        <v/>
      </c>
      <c r="E1427" t="s">
        <v>2914</v>
      </c>
      <c r="F1427" t="str">
        <f t="shared" si="102"/>
        <v>5101778</v>
      </c>
    </row>
    <row r="1428" spans="1:9" ht="15" customHeight="1" x14ac:dyDescent="0.25">
      <c r="A1428">
        <v>17970</v>
      </c>
      <c r="B1428" t="s">
        <v>7</v>
      </c>
      <c r="C1428" t="s">
        <v>2881</v>
      </c>
      <c r="D1428" t="str">
        <f t="shared" si="100"/>
        <v/>
      </c>
      <c r="E1428" t="s">
        <v>2882</v>
      </c>
      <c r="F1428" t="str">
        <f t="shared" si="102"/>
        <v>5101777</v>
      </c>
      <c r="H1428">
        <v>8</v>
      </c>
      <c r="I1428">
        <v>1</v>
      </c>
    </row>
    <row r="1429" spans="1:9" ht="15" hidden="1" customHeight="1" x14ac:dyDescent="0.25">
      <c r="A1429">
        <v>17978</v>
      </c>
      <c r="B1429" t="s">
        <v>10</v>
      </c>
      <c r="C1429" t="s">
        <v>2897</v>
      </c>
      <c r="D1429" t="str">
        <f t="shared" si="100"/>
        <v/>
      </c>
      <c r="E1429" t="s">
        <v>2898</v>
      </c>
      <c r="F1429" t="str">
        <f t="shared" si="102"/>
        <v>5101777</v>
      </c>
    </row>
    <row r="1430" spans="1:9" ht="15" hidden="1" customHeight="1" x14ac:dyDescent="0.25">
      <c r="A1430">
        <v>17975</v>
      </c>
      <c r="B1430" t="s">
        <v>10</v>
      </c>
      <c r="C1430" t="s">
        <v>2891</v>
      </c>
      <c r="D1430" t="str">
        <f t="shared" si="100"/>
        <v/>
      </c>
      <c r="E1430" t="s">
        <v>2892</v>
      </c>
      <c r="F1430" t="str">
        <f t="shared" si="102"/>
        <v>5101777</v>
      </c>
    </row>
    <row r="1431" spans="1:9" ht="15" hidden="1" customHeight="1" x14ac:dyDescent="0.25">
      <c r="A1431">
        <v>17974</v>
      </c>
      <c r="B1431" t="s">
        <v>10</v>
      </c>
      <c r="C1431" t="s">
        <v>2889</v>
      </c>
      <c r="D1431" t="str">
        <f t="shared" si="100"/>
        <v/>
      </c>
      <c r="E1431" t="s">
        <v>2890</v>
      </c>
      <c r="F1431" t="str">
        <f t="shared" si="102"/>
        <v>5101777</v>
      </c>
    </row>
    <row r="1432" spans="1:9" ht="15" hidden="1" customHeight="1" x14ac:dyDescent="0.25">
      <c r="A1432">
        <v>17973</v>
      </c>
      <c r="B1432" t="s">
        <v>10</v>
      </c>
      <c r="C1432" t="s">
        <v>2887</v>
      </c>
      <c r="D1432" t="str">
        <f t="shared" si="100"/>
        <v/>
      </c>
      <c r="E1432" t="s">
        <v>2888</v>
      </c>
      <c r="F1432" t="str">
        <f t="shared" si="102"/>
        <v>5101777</v>
      </c>
    </row>
    <row r="1433" spans="1:9" ht="15" hidden="1" customHeight="1" x14ac:dyDescent="0.25">
      <c r="A1433">
        <v>17976</v>
      </c>
      <c r="B1433" t="s">
        <v>10</v>
      </c>
      <c r="C1433" t="s">
        <v>2893</v>
      </c>
      <c r="D1433" t="str">
        <f t="shared" si="100"/>
        <v/>
      </c>
      <c r="E1433" t="s">
        <v>2894</v>
      </c>
      <c r="F1433" t="str">
        <f t="shared" si="102"/>
        <v>5101777</v>
      </c>
    </row>
    <row r="1434" spans="1:9" ht="15" hidden="1" customHeight="1" x14ac:dyDescent="0.25">
      <c r="A1434">
        <v>17972</v>
      </c>
      <c r="B1434" t="s">
        <v>10</v>
      </c>
      <c r="C1434" t="s">
        <v>2885</v>
      </c>
      <c r="D1434" t="str">
        <f t="shared" si="100"/>
        <v/>
      </c>
      <c r="E1434" t="s">
        <v>2886</v>
      </c>
      <c r="F1434" t="str">
        <f t="shared" si="102"/>
        <v>5101777</v>
      </c>
    </row>
    <row r="1435" spans="1:9" ht="15" hidden="1" customHeight="1" x14ac:dyDescent="0.25">
      <c r="A1435">
        <v>17977</v>
      </c>
      <c r="B1435" t="s">
        <v>10</v>
      </c>
      <c r="C1435" t="s">
        <v>2895</v>
      </c>
      <c r="D1435" t="str">
        <f t="shared" si="100"/>
        <v/>
      </c>
      <c r="E1435" t="s">
        <v>2896</v>
      </c>
      <c r="F1435" t="str">
        <f t="shared" si="102"/>
        <v>5101777</v>
      </c>
    </row>
    <row r="1436" spans="1:9" ht="15" hidden="1" customHeight="1" x14ac:dyDescent="0.25">
      <c r="A1436">
        <v>17971</v>
      </c>
      <c r="B1436" t="s">
        <v>10</v>
      </c>
      <c r="C1436" t="s">
        <v>2883</v>
      </c>
      <c r="D1436" t="str">
        <f t="shared" si="100"/>
        <v/>
      </c>
      <c r="E1436" t="s">
        <v>2884</v>
      </c>
      <c r="F1436" t="str">
        <f t="shared" si="102"/>
        <v>5101777</v>
      </c>
    </row>
    <row r="1437" spans="1:9" ht="15" customHeight="1" x14ac:dyDescent="0.25">
      <c r="A1437">
        <v>17979</v>
      </c>
      <c r="B1437" t="s">
        <v>7</v>
      </c>
      <c r="C1437" t="s">
        <v>2899</v>
      </c>
      <c r="D1437" t="str">
        <f t="shared" si="100"/>
        <v/>
      </c>
      <c r="E1437" t="s">
        <v>2900</v>
      </c>
      <c r="F1437" t="s">
        <v>6910</v>
      </c>
      <c r="H1437">
        <v>9</v>
      </c>
      <c r="I1437">
        <v>1</v>
      </c>
    </row>
    <row r="1438" spans="1:9" ht="15" hidden="1" customHeight="1" x14ac:dyDescent="0.25">
      <c r="A1438">
        <v>17980</v>
      </c>
      <c r="B1438" t="s">
        <v>10</v>
      </c>
      <c r="C1438" t="s">
        <v>2901</v>
      </c>
      <c r="D1438" t="str">
        <f t="shared" si="100"/>
        <v/>
      </c>
      <c r="E1438" t="s">
        <v>2902</v>
      </c>
      <c r="F1438" t="str">
        <f t="shared" ref="F1438:F1469" si="103">LEFT(C1438,7)</f>
        <v>5101889</v>
      </c>
    </row>
    <row r="1439" spans="1:9" ht="15" hidden="1" customHeight="1" x14ac:dyDescent="0.25">
      <c r="A1439">
        <v>17981</v>
      </c>
      <c r="B1439" t="s">
        <v>10</v>
      </c>
      <c r="C1439" t="s">
        <v>2903</v>
      </c>
      <c r="D1439" t="str">
        <f t="shared" si="100"/>
        <v/>
      </c>
      <c r="E1439" t="s">
        <v>2904</v>
      </c>
      <c r="F1439" t="str">
        <f t="shared" si="103"/>
        <v>5101889</v>
      </c>
    </row>
    <row r="1440" spans="1:9" ht="15" hidden="1" customHeight="1" x14ac:dyDescent="0.25">
      <c r="A1440">
        <v>17982</v>
      </c>
      <c r="B1440" t="s">
        <v>10</v>
      </c>
      <c r="C1440" t="s">
        <v>2905</v>
      </c>
      <c r="D1440" t="str">
        <f t="shared" si="100"/>
        <v/>
      </c>
      <c r="E1440" t="s">
        <v>2906</v>
      </c>
      <c r="F1440" t="str">
        <f t="shared" si="103"/>
        <v>5101889</v>
      </c>
    </row>
    <row r="1441" spans="1:9" ht="15" customHeight="1" x14ac:dyDescent="0.25">
      <c r="A1441">
        <v>17954</v>
      </c>
      <c r="B1441" t="s">
        <v>7</v>
      </c>
      <c r="C1441" t="s">
        <v>2863</v>
      </c>
      <c r="D1441" t="str">
        <f t="shared" si="100"/>
        <v/>
      </c>
      <c r="E1441" t="s">
        <v>2864</v>
      </c>
      <c r="F1441" t="str">
        <f t="shared" si="103"/>
        <v>5101888</v>
      </c>
      <c r="H1441">
        <v>9</v>
      </c>
      <c r="I1441">
        <v>1</v>
      </c>
    </row>
    <row r="1442" spans="1:9" ht="15" hidden="1" customHeight="1" x14ac:dyDescent="0.25">
      <c r="A1442">
        <v>17956</v>
      </c>
      <c r="B1442" t="s">
        <v>10</v>
      </c>
      <c r="C1442" t="s">
        <v>2867</v>
      </c>
      <c r="D1442" t="str">
        <f t="shared" si="100"/>
        <v/>
      </c>
      <c r="E1442" t="s">
        <v>2868</v>
      </c>
      <c r="F1442" t="str">
        <f t="shared" si="103"/>
        <v>5101888</v>
      </c>
    </row>
    <row r="1443" spans="1:9" ht="15" hidden="1" customHeight="1" x14ac:dyDescent="0.25">
      <c r="A1443">
        <v>17964</v>
      </c>
      <c r="B1443" t="s">
        <v>10</v>
      </c>
      <c r="C1443" t="s">
        <v>2875</v>
      </c>
      <c r="D1443" t="str">
        <f t="shared" si="100"/>
        <v/>
      </c>
      <c r="E1443" t="s">
        <v>2876</v>
      </c>
      <c r="F1443" t="str">
        <f t="shared" si="103"/>
        <v>5101888</v>
      </c>
    </row>
    <row r="1444" spans="1:9" ht="15" hidden="1" customHeight="1" x14ac:dyDescent="0.25">
      <c r="A1444">
        <v>17963</v>
      </c>
      <c r="B1444" t="s">
        <v>10</v>
      </c>
      <c r="C1444" t="s">
        <v>2873</v>
      </c>
      <c r="D1444" t="str">
        <f t="shared" si="100"/>
        <v/>
      </c>
      <c r="E1444" t="s">
        <v>2874</v>
      </c>
      <c r="F1444" t="str">
        <f t="shared" si="103"/>
        <v>5101888</v>
      </c>
    </row>
    <row r="1445" spans="1:9" ht="15" hidden="1" customHeight="1" x14ac:dyDescent="0.25">
      <c r="A1445">
        <v>17962</v>
      </c>
      <c r="B1445" t="s">
        <v>10</v>
      </c>
      <c r="C1445" t="s">
        <v>2871</v>
      </c>
      <c r="D1445" t="str">
        <f t="shared" si="100"/>
        <v/>
      </c>
      <c r="E1445" t="s">
        <v>2872</v>
      </c>
      <c r="F1445" t="str">
        <f t="shared" si="103"/>
        <v>5101888</v>
      </c>
    </row>
    <row r="1446" spans="1:9" ht="15" hidden="1" customHeight="1" x14ac:dyDescent="0.25">
      <c r="A1446">
        <v>17965</v>
      </c>
      <c r="B1446" t="s">
        <v>10</v>
      </c>
      <c r="C1446" t="s">
        <v>2877</v>
      </c>
      <c r="D1446" t="str">
        <f t="shared" si="100"/>
        <v/>
      </c>
      <c r="E1446" t="s">
        <v>2878</v>
      </c>
      <c r="F1446" t="str">
        <f t="shared" si="103"/>
        <v>5101888</v>
      </c>
    </row>
    <row r="1447" spans="1:9" ht="15" hidden="1" customHeight="1" x14ac:dyDescent="0.25">
      <c r="A1447">
        <v>17957</v>
      </c>
      <c r="B1447" t="s">
        <v>10</v>
      </c>
      <c r="C1447" t="s">
        <v>2869</v>
      </c>
      <c r="D1447" t="str">
        <f t="shared" si="100"/>
        <v/>
      </c>
      <c r="E1447" t="s">
        <v>2870</v>
      </c>
      <c r="F1447" t="str">
        <f t="shared" si="103"/>
        <v>5101888</v>
      </c>
    </row>
    <row r="1448" spans="1:9" ht="15" hidden="1" customHeight="1" x14ac:dyDescent="0.25">
      <c r="A1448">
        <v>17955</v>
      </c>
      <c r="B1448" t="s">
        <v>10</v>
      </c>
      <c r="C1448" t="s">
        <v>2865</v>
      </c>
      <c r="D1448" t="str">
        <f t="shared" si="100"/>
        <v/>
      </c>
      <c r="E1448" t="s">
        <v>2866</v>
      </c>
      <c r="F1448" t="str">
        <f t="shared" si="103"/>
        <v>5101888</v>
      </c>
    </row>
    <row r="1449" spans="1:9" ht="15" hidden="1" customHeight="1" x14ac:dyDescent="0.25">
      <c r="A1449">
        <v>17966</v>
      </c>
      <c r="B1449" t="s">
        <v>10</v>
      </c>
      <c r="C1449" t="s">
        <v>2879</v>
      </c>
      <c r="D1449" t="str">
        <f t="shared" si="100"/>
        <v/>
      </c>
      <c r="E1449" t="s">
        <v>2880</v>
      </c>
      <c r="F1449" t="str">
        <f t="shared" si="103"/>
        <v>5101888</v>
      </c>
    </row>
    <row r="1450" spans="1:9" ht="15" customHeight="1" x14ac:dyDescent="0.25">
      <c r="A1450">
        <v>21123</v>
      </c>
      <c r="B1450" t="s">
        <v>7</v>
      </c>
      <c r="C1450" t="s">
        <v>6535</v>
      </c>
      <c r="D1450" t="str">
        <f t="shared" si="100"/>
        <v/>
      </c>
      <c r="E1450" t="s">
        <v>6536</v>
      </c>
      <c r="F1450" t="str">
        <f t="shared" si="103"/>
        <v>5101666</v>
      </c>
      <c r="H1450">
        <v>3</v>
      </c>
      <c r="I1450">
        <v>1</v>
      </c>
    </row>
    <row r="1451" spans="1:9" ht="15" hidden="1" customHeight="1" x14ac:dyDescent="0.25">
      <c r="A1451">
        <v>21135</v>
      </c>
      <c r="B1451" t="s">
        <v>10</v>
      </c>
      <c r="C1451" t="s">
        <v>6551</v>
      </c>
      <c r="D1451" t="str">
        <f t="shared" si="100"/>
        <v/>
      </c>
      <c r="E1451" t="s">
        <v>6552</v>
      </c>
      <c r="F1451" t="str">
        <f t="shared" si="103"/>
        <v>5101666</v>
      </c>
    </row>
    <row r="1452" spans="1:9" ht="15" hidden="1" customHeight="1" x14ac:dyDescent="0.25">
      <c r="A1452">
        <v>21138</v>
      </c>
      <c r="B1452" t="s">
        <v>10</v>
      </c>
      <c r="C1452" t="s">
        <v>6557</v>
      </c>
      <c r="D1452" t="str">
        <f t="shared" si="100"/>
        <v/>
      </c>
      <c r="E1452" t="s">
        <v>6558</v>
      </c>
      <c r="F1452" t="str">
        <f t="shared" si="103"/>
        <v>5101666</v>
      </c>
    </row>
    <row r="1453" spans="1:9" ht="15" hidden="1" customHeight="1" x14ac:dyDescent="0.25">
      <c r="A1453">
        <v>21136</v>
      </c>
      <c r="B1453" t="s">
        <v>10</v>
      </c>
      <c r="C1453" t="s">
        <v>6553</v>
      </c>
      <c r="D1453" t="str">
        <f t="shared" si="100"/>
        <v/>
      </c>
      <c r="E1453" t="s">
        <v>6554</v>
      </c>
      <c r="F1453" t="str">
        <f t="shared" si="103"/>
        <v>5101666</v>
      </c>
    </row>
    <row r="1454" spans="1:9" ht="15" hidden="1" customHeight="1" x14ac:dyDescent="0.25">
      <c r="A1454">
        <v>21137</v>
      </c>
      <c r="B1454" t="s">
        <v>10</v>
      </c>
      <c r="C1454" t="s">
        <v>6555</v>
      </c>
      <c r="D1454" t="str">
        <f t="shared" si="100"/>
        <v/>
      </c>
      <c r="E1454" t="s">
        <v>6556</v>
      </c>
      <c r="F1454" t="str">
        <f t="shared" si="103"/>
        <v>5101666</v>
      </c>
    </row>
    <row r="1455" spans="1:9" ht="15" hidden="1" customHeight="1" x14ac:dyDescent="0.25">
      <c r="A1455">
        <v>21132</v>
      </c>
      <c r="B1455" t="s">
        <v>10</v>
      </c>
      <c r="C1455" t="s">
        <v>6545</v>
      </c>
      <c r="D1455" t="str">
        <f t="shared" si="100"/>
        <v/>
      </c>
      <c r="E1455" t="s">
        <v>6546</v>
      </c>
      <c r="F1455" t="str">
        <f t="shared" si="103"/>
        <v>5101666</v>
      </c>
    </row>
    <row r="1456" spans="1:9" ht="15" hidden="1" customHeight="1" x14ac:dyDescent="0.25">
      <c r="A1456">
        <v>21131</v>
      </c>
      <c r="B1456" t="s">
        <v>10</v>
      </c>
      <c r="C1456" t="s">
        <v>6543</v>
      </c>
      <c r="D1456" t="str">
        <f t="shared" si="100"/>
        <v/>
      </c>
      <c r="E1456" t="s">
        <v>6544</v>
      </c>
      <c r="F1456" t="str">
        <f t="shared" si="103"/>
        <v>5101666</v>
      </c>
    </row>
    <row r="1457" spans="1:9" ht="15" hidden="1" customHeight="1" x14ac:dyDescent="0.25">
      <c r="A1457">
        <v>21130</v>
      </c>
      <c r="B1457" t="s">
        <v>10</v>
      </c>
      <c r="C1457" t="s">
        <v>6541</v>
      </c>
      <c r="D1457" t="str">
        <f t="shared" si="100"/>
        <v/>
      </c>
      <c r="E1457" t="s">
        <v>6542</v>
      </c>
      <c r="F1457" t="str">
        <f t="shared" si="103"/>
        <v>5101666</v>
      </c>
    </row>
    <row r="1458" spans="1:9" ht="15" hidden="1" customHeight="1" x14ac:dyDescent="0.25">
      <c r="A1458">
        <v>21133</v>
      </c>
      <c r="B1458" t="s">
        <v>10</v>
      </c>
      <c r="C1458" t="s">
        <v>6547</v>
      </c>
      <c r="D1458" t="str">
        <f t="shared" si="100"/>
        <v/>
      </c>
      <c r="E1458" t="s">
        <v>6548</v>
      </c>
      <c r="F1458" t="str">
        <f t="shared" si="103"/>
        <v>5101666</v>
      </c>
    </row>
    <row r="1459" spans="1:9" ht="15" hidden="1" customHeight="1" x14ac:dyDescent="0.25">
      <c r="A1459">
        <v>21129</v>
      </c>
      <c r="B1459" t="s">
        <v>10</v>
      </c>
      <c r="C1459" t="s">
        <v>6539</v>
      </c>
      <c r="D1459" t="str">
        <f t="shared" si="100"/>
        <v/>
      </c>
      <c r="E1459" t="s">
        <v>6540</v>
      </c>
      <c r="F1459" t="str">
        <f t="shared" si="103"/>
        <v>5101666</v>
      </c>
    </row>
    <row r="1460" spans="1:9" ht="15" hidden="1" customHeight="1" x14ac:dyDescent="0.25">
      <c r="A1460">
        <v>21134</v>
      </c>
      <c r="B1460" t="s">
        <v>10</v>
      </c>
      <c r="C1460" t="s">
        <v>6549</v>
      </c>
      <c r="D1460" t="str">
        <f t="shared" si="100"/>
        <v/>
      </c>
      <c r="E1460" t="s">
        <v>6550</v>
      </c>
      <c r="F1460" t="str">
        <f t="shared" si="103"/>
        <v>5101666</v>
      </c>
    </row>
    <row r="1461" spans="1:9" ht="15" hidden="1" customHeight="1" x14ac:dyDescent="0.25">
      <c r="A1461">
        <v>21124</v>
      </c>
      <c r="B1461" t="s">
        <v>10</v>
      </c>
      <c r="C1461" t="s">
        <v>6537</v>
      </c>
      <c r="D1461" t="str">
        <f t="shared" ref="D1461:D1524" si="104">IF(RIGHT(LEFT(C1461,9),2)="##","",RIGHT(LEFT(C1461,10),2))</f>
        <v/>
      </c>
      <c r="E1461" t="s">
        <v>6538</v>
      </c>
      <c r="F1461" t="str">
        <f t="shared" si="103"/>
        <v>5101666</v>
      </c>
    </row>
    <row r="1462" spans="1:9" ht="15" customHeight="1" x14ac:dyDescent="0.25">
      <c r="A1462">
        <v>19007</v>
      </c>
      <c r="B1462" t="s">
        <v>7</v>
      </c>
      <c r="C1462" t="s">
        <v>4141</v>
      </c>
      <c r="D1462" t="str">
        <f t="shared" si="104"/>
        <v/>
      </c>
      <c r="E1462" t="s">
        <v>4142</v>
      </c>
      <c r="F1462" t="str">
        <f t="shared" si="103"/>
        <v>5101912</v>
      </c>
      <c r="H1462">
        <v>2</v>
      </c>
      <c r="I1462">
        <v>1</v>
      </c>
    </row>
    <row r="1463" spans="1:9" ht="15" hidden="1" customHeight="1" x14ac:dyDescent="0.25">
      <c r="A1463">
        <v>19010</v>
      </c>
      <c r="B1463" t="s">
        <v>10</v>
      </c>
      <c r="C1463" t="s">
        <v>4147</v>
      </c>
      <c r="D1463" t="str">
        <f t="shared" si="104"/>
        <v/>
      </c>
      <c r="E1463" t="s">
        <v>4148</v>
      </c>
      <c r="F1463" t="str">
        <f t="shared" si="103"/>
        <v>5101912</v>
      </c>
    </row>
    <row r="1464" spans="1:9" ht="15" hidden="1" customHeight="1" x14ac:dyDescent="0.25">
      <c r="A1464">
        <v>19009</v>
      </c>
      <c r="B1464" t="s">
        <v>10</v>
      </c>
      <c r="C1464" t="s">
        <v>4145</v>
      </c>
      <c r="D1464" t="str">
        <f t="shared" si="104"/>
        <v/>
      </c>
      <c r="E1464" t="s">
        <v>4146</v>
      </c>
      <c r="F1464" t="str">
        <f t="shared" si="103"/>
        <v>5101912</v>
      </c>
    </row>
    <row r="1465" spans="1:9" ht="15" hidden="1" customHeight="1" x14ac:dyDescent="0.25">
      <c r="A1465">
        <v>19008</v>
      </c>
      <c r="B1465" t="s">
        <v>10</v>
      </c>
      <c r="C1465" t="s">
        <v>4143</v>
      </c>
      <c r="D1465" t="str">
        <f t="shared" si="104"/>
        <v/>
      </c>
      <c r="E1465" t="s">
        <v>4144</v>
      </c>
      <c r="F1465" t="str">
        <f t="shared" si="103"/>
        <v>5101912</v>
      </c>
    </row>
    <row r="1466" spans="1:9" ht="15" hidden="1" customHeight="1" x14ac:dyDescent="0.25">
      <c r="A1466">
        <v>19011</v>
      </c>
      <c r="B1466" t="s">
        <v>10</v>
      </c>
      <c r="C1466" t="s">
        <v>4149</v>
      </c>
      <c r="D1466" t="str">
        <f t="shared" si="104"/>
        <v/>
      </c>
      <c r="E1466" t="s">
        <v>4150</v>
      </c>
      <c r="F1466" t="str">
        <f t="shared" si="103"/>
        <v>5101912</v>
      </c>
    </row>
    <row r="1467" spans="1:9" ht="15" hidden="1" customHeight="1" x14ac:dyDescent="0.25">
      <c r="A1467">
        <v>19012</v>
      </c>
      <c r="B1467" t="s">
        <v>10</v>
      </c>
      <c r="C1467" t="s">
        <v>4151</v>
      </c>
      <c r="D1467" t="str">
        <f t="shared" si="104"/>
        <v/>
      </c>
      <c r="E1467" t="s">
        <v>4152</v>
      </c>
      <c r="F1467" t="str">
        <f t="shared" si="103"/>
        <v>5101912</v>
      </c>
    </row>
    <row r="1468" spans="1:9" ht="15" customHeight="1" x14ac:dyDescent="0.25">
      <c r="A1468">
        <v>17555</v>
      </c>
      <c r="B1468" t="s">
        <v>7</v>
      </c>
      <c r="C1468" t="s">
        <v>2277</v>
      </c>
      <c r="D1468" t="str">
        <f t="shared" si="104"/>
        <v/>
      </c>
      <c r="E1468" t="s">
        <v>2278</v>
      </c>
      <c r="F1468" t="str">
        <f t="shared" si="103"/>
        <v>5101924</v>
      </c>
      <c r="H1468">
        <v>4</v>
      </c>
      <c r="I1468">
        <v>1</v>
      </c>
    </row>
    <row r="1469" spans="1:9" ht="15" hidden="1" customHeight="1" x14ac:dyDescent="0.25">
      <c r="A1469">
        <v>17556</v>
      </c>
      <c r="B1469" t="s">
        <v>10</v>
      </c>
      <c r="C1469" t="s">
        <v>2279</v>
      </c>
      <c r="D1469" t="str">
        <f t="shared" si="104"/>
        <v/>
      </c>
      <c r="E1469" t="s">
        <v>2280</v>
      </c>
      <c r="F1469" t="str">
        <f t="shared" si="103"/>
        <v>5101924</v>
      </c>
    </row>
    <row r="1470" spans="1:9" ht="15" hidden="1" customHeight="1" x14ac:dyDescent="0.25">
      <c r="A1470">
        <v>17561</v>
      </c>
      <c r="B1470" t="s">
        <v>10</v>
      </c>
      <c r="C1470" t="s">
        <v>2281</v>
      </c>
      <c r="D1470" t="str">
        <f t="shared" si="104"/>
        <v/>
      </c>
      <c r="E1470" t="s">
        <v>2282</v>
      </c>
      <c r="F1470" t="str">
        <f t="shared" ref="F1470:F1501" si="105">LEFT(C1470,7)</f>
        <v>5101924</v>
      </c>
    </row>
    <row r="1471" spans="1:9" ht="15" customHeight="1" x14ac:dyDescent="0.25">
      <c r="A1471">
        <v>19274</v>
      </c>
      <c r="B1471" t="s">
        <v>7</v>
      </c>
      <c r="C1471" t="s">
        <v>4527</v>
      </c>
      <c r="D1471" t="str">
        <f t="shared" si="104"/>
        <v/>
      </c>
      <c r="E1471" t="s">
        <v>4528</v>
      </c>
      <c r="F1471" t="str">
        <f t="shared" si="105"/>
        <v>5101917</v>
      </c>
      <c r="H1471">
        <v>5</v>
      </c>
      <c r="I1471">
        <v>1</v>
      </c>
    </row>
    <row r="1472" spans="1:9" ht="15" hidden="1" customHeight="1" x14ac:dyDescent="0.25">
      <c r="A1472">
        <v>19281</v>
      </c>
      <c r="B1472" t="s">
        <v>10</v>
      </c>
      <c r="C1472" t="s">
        <v>4531</v>
      </c>
      <c r="D1472" t="str">
        <f t="shared" si="104"/>
        <v/>
      </c>
      <c r="E1472" t="s">
        <v>4532</v>
      </c>
      <c r="F1472" t="str">
        <f t="shared" si="105"/>
        <v>5101917</v>
      </c>
    </row>
    <row r="1473" spans="1:9" ht="15" hidden="1" customHeight="1" x14ac:dyDescent="0.25">
      <c r="A1473">
        <v>19275</v>
      </c>
      <c r="B1473" t="s">
        <v>10</v>
      </c>
      <c r="C1473" t="s">
        <v>4529</v>
      </c>
      <c r="D1473" t="str">
        <f t="shared" si="104"/>
        <v/>
      </c>
      <c r="E1473" t="s">
        <v>4530</v>
      </c>
      <c r="F1473" t="str">
        <f t="shared" si="105"/>
        <v>5101917</v>
      </c>
    </row>
    <row r="1474" spans="1:9" ht="15" hidden="1" customHeight="1" x14ac:dyDescent="0.25">
      <c r="A1474">
        <v>19282</v>
      </c>
      <c r="B1474" t="s">
        <v>10</v>
      </c>
      <c r="C1474" t="s">
        <v>4533</v>
      </c>
      <c r="D1474" t="str">
        <f t="shared" si="104"/>
        <v/>
      </c>
      <c r="E1474" t="s">
        <v>4534</v>
      </c>
      <c r="F1474" t="str">
        <f t="shared" si="105"/>
        <v>5101917</v>
      </c>
    </row>
    <row r="1475" spans="1:9" ht="15" customHeight="1" x14ac:dyDescent="0.25">
      <c r="A1475">
        <v>19262</v>
      </c>
      <c r="B1475" t="s">
        <v>7</v>
      </c>
      <c r="C1475" t="s">
        <v>4513</v>
      </c>
      <c r="D1475" t="str">
        <f t="shared" si="104"/>
        <v/>
      </c>
      <c r="E1475" t="s">
        <v>4514</v>
      </c>
      <c r="F1475" t="str">
        <f t="shared" si="105"/>
        <v>5101902</v>
      </c>
      <c r="H1475">
        <v>5</v>
      </c>
      <c r="I1475">
        <v>1</v>
      </c>
    </row>
    <row r="1476" spans="1:9" ht="15" hidden="1" customHeight="1" x14ac:dyDescent="0.25">
      <c r="A1476">
        <v>19273</v>
      </c>
      <c r="B1476" t="s">
        <v>10</v>
      </c>
      <c r="C1476" t="s">
        <v>4525</v>
      </c>
      <c r="D1476" t="str">
        <f t="shared" si="104"/>
        <v/>
      </c>
      <c r="E1476" t="s">
        <v>4526</v>
      </c>
      <c r="F1476" t="str">
        <f t="shared" si="105"/>
        <v>5101902</v>
      </c>
    </row>
    <row r="1477" spans="1:9" ht="15" hidden="1" customHeight="1" x14ac:dyDescent="0.25">
      <c r="A1477">
        <v>19270</v>
      </c>
      <c r="B1477" t="s">
        <v>10</v>
      </c>
      <c r="C1477" t="s">
        <v>4519</v>
      </c>
      <c r="D1477" t="str">
        <f t="shared" si="104"/>
        <v/>
      </c>
      <c r="E1477" t="s">
        <v>4520</v>
      </c>
      <c r="F1477" t="str">
        <f t="shared" si="105"/>
        <v>5101902</v>
      </c>
    </row>
    <row r="1478" spans="1:9" ht="15" hidden="1" customHeight="1" x14ac:dyDescent="0.25">
      <c r="A1478">
        <v>19269</v>
      </c>
      <c r="B1478" t="s">
        <v>10</v>
      </c>
      <c r="C1478" t="s">
        <v>4517</v>
      </c>
      <c r="D1478" t="str">
        <f t="shared" si="104"/>
        <v/>
      </c>
      <c r="E1478" t="s">
        <v>4518</v>
      </c>
      <c r="F1478" t="str">
        <f t="shared" si="105"/>
        <v>5101902</v>
      </c>
    </row>
    <row r="1479" spans="1:9" ht="15" hidden="1" customHeight="1" x14ac:dyDescent="0.25">
      <c r="A1479">
        <v>19263</v>
      </c>
      <c r="B1479" t="s">
        <v>10</v>
      </c>
      <c r="C1479" t="s">
        <v>4515</v>
      </c>
      <c r="D1479" t="str">
        <f t="shared" si="104"/>
        <v/>
      </c>
      <c r="E1479" t="s">
        <v>4516</v>
      </c>
      <c r="F1479" t="str">
        <f t="shared" si="105"/>
        <v>5101902</v>
      </c>
    </row>
    <row r="1480" spans="1:9" ht="15" hidden="1" customHeight="1" x14ac:dyDescent="0.25">
      <c r="A1480">
        <v>19271</v>
      </c>
      <c r="B1480" t="s">
        <v>10</v>
      </c>
      <c r="C1480" t="s">
        <v>4521</v>
      </c>
      <c r="D1480" t="str">
        <f t="shared" si="104"/>
        <v/>
      </c>
      <c r="E1480" t="s">
        <v>4522</v>
      </c>
      <c r="F1480" t="str">
        <f t="shared" si="105"/>
        <v>5101902</v>
      </c>
    </row>
    <row r="1481" spans="1:9" ht="15" hidden="1" customHeight="1" x14ac:dyDescent="0.25">
      <c r="A1481">
        <v>19272</v>
      </c>
      <c r="B1481" t="s">
        <v>10</v>
      </c>
      <c r="C1481" t="s">
        <v>4523</v>
      </c>
      <c r="D1481" t="str">
        <f t="shared" si="104"/>
        <v/>
      </c>
      <c r="E1481" t="s">
        <v>4524</v>
      </c>
      <c r="F1481" t="str">
        <f t="shared" si="105"/>
        <v>5101902</v>
      </c>
    </row>
    <row r="1482" spans="1:9" ht="15" customHeight="1" x14ac:dyDescent="0.25">
      <c r="A1482">
        <v>19253</v>
      </c>
      <c r="B1482" t="s">
        <v>7</v>
      </c>
      <c r="C1482" t="s">
        <v>4505</v>
      </c>
      <c r="D1482" t="str">
        <f t="shared" si="104"/>
        <v/>
      </c>
      <c r="E1482" t="s">
        <v>4506</v>
      </c>
      <c r="F1482" t="str">
        <f t="shared" si="105"/>
        <v>5101915</v>
      </c>
      <c r="H1482">
        <v>5</v>
      </c>
      <c r="I1482">
        <v>1</v>
      </c>
    </row>
    <row r="1483" spans="1:9" ht="15" hidden="1" customHeight="1" x14ac:dyDescent="0.25">
      <c r="A1483">
        <v>19261</v>
      </c>
      <c r="B1483" t="s">
        <v>10</v>
      </c>
      <c r="C1483" t="s">
        <v>4511</v>
      </c>
      <c r="D1483" t="str">
        <f t="shared" si="104"/>
        <v/>
      </c>
      <c r="E1483" t="s">
        <v>4512</v>
      </c>
      <c r="F1483" t="str">
        <f t="shared" si="105"/>
        <v>5101915</v>
      </c>
    </row>
    <row r="1484" spans="1:9" ht="15" hidden="1" customHeight="1" x14ac:dyDescent="0.25">
      <c r="A1484">
        <v>19260</v>
      </c>
      <c r="B1484" t="s">
        <v>10</v>
      </c>
      <c r="C1484" t="s">
        <v>4509</v>
      </c>
      <c r="D1484" t="str">
        <f t="shared" si="104"/>
        <v/>
      </c>
      <c r="E1484" t="s">
        <v>4510</v>
      </c>
      <c r="F1484" t="str">
        <f t="shared" si="105"/>
        <v>5101915</v>
      </c>
    </row>
    <row r="1485" spans="1:9" ht="15" hidden="1" customHeight="1" x14ac:dyDescent="0.25">
      <c r="A1485">
        <v>19254</v>
      </c>
      <c r="B1485" t="s">
        <v>10</v>
      </c>
      <c r="C1485" t="s">
        <v>4507</v>
      </c>
      <c r="D1485" t="str">
        <f t="shared" si="104"/>
        <v/>
      </c>
      <c r="E1485" t="s">
        <v>4508</v>
      </c>
      <c r="F1485" t="str">
        <f t="shared" si="105"/>
        <v>5101915</v>
      </c>
    </row>
    <row r="1486" spans="1:9" ht="15" customHeight="1" x14ac:dyDescent="0.25">
      <c r="A1486">
        <v>17762</v>
      </c>
      <c r="B1486" t="s">
        <v>7</v>
      </c>
      <c r="C1486" t="s">
        <v>2555</v>
      </c>
      <c r="D1486" t="str">
        <f t="shared" si="104"/>
        <v/>
      </c>
      <c r="E1486" t="s">
        <v>2556</v>
      </c>
      <c r="F1486" t="str">
        <f t="shared" si="105"/>
        <v>5101850</v>
      </c>
      <c r="H1486">
        <v>6</v>
      </c>
      <c r="I1486">
        <v>1</v>
      </c>
    </row>
    <row r="1487" spans="1:9" ht="15" hidden="1" customHeight="1" x14ac:dyDescent="0.25">
      <c r="A1487">
        <v>17770</v>
      </c>
      <c r="B1487" t="s">
        <v>10</v>
      </c>
      <c r="C1487" t="s">
        <v>2571</v>
      </c>
      <c r="D1487" t="str">
        <f t="shared" si="104"/>
        <v/>
      </c>
      <c r="E1487" t="s">
        <v>2572</v>
      </c>
      <c r="F1487" t="str">
        <f t="shared" si="105"/>
        <v>5101850</v>
      </c>
    </row>
    <row r="1488" spans="1:9" ht="15" hidden="1" customHeight="1" x14ac:dyDescent="0.25">
      <c r="A1488">
        <v>17767</v>
      </c>
      <c r="B1488" t="s">
        <v>10</v>
      </c>
      <c r="C1488" t="s">
        <v>2565</v>
      </c>
      <c r="D1488" t="str">
        <f t="shared" si="104"/>
        <v/>
      </c>
      <c r="E1488" t="s">
        <v>2566</v>
      </c>
      <c r="F1488" t="str">
        <f t="shared" si="105"/>
        <v>5101850</v>
      </c>
    </row>
    <row r="1489" spans="1:9" ht="15" hidden="1" customHeight="1" x14ac:dyDescent="0.25">
      <c r="A1489">
        <v>17766</v>
      </c>
      <c r="B1489" t="s">
        <v>10</v>
      </c>
      <c r="C1489" t="s">
        <v>2563</v>
      </c>
      <c r="D1489" t="str">
        <f t="shared" si="104"/>
        <v/>
      </c>
      <c r="E1489" t="s">
        <v>2564</v>
      </c>
      <c r="F1489" t="str">
        <f t="shared" si="105"/>
        <v>5101850</v>
      </c>
    </row>
    <row r="1490" spans="1:9" ht="15" hidden="1" customHeight="1" x14ac:dyDescent="0.25">
      <c r="A1490">
        <v>17765</v>
      </c>
      <c r="B1490" t="s">
        <v>10</v>
      </c>
      <c r="C1490" t="s">
        <v>2561</v>
      </c>
      <c r="D1490" t="str">
        <f t="shared" si="104"/>
        <v/>
      </c>
      <c r="E1490" t="s">
        <v>2562</v>
      </c>
      <c r="F1490" t="str">
        <f t="shared" si="105"/>
        <v>5101850</v>
      </c>
    </row>
    <row r="1491" spans="1:9" ht="15" hidden="1" customHeight="1" x14ac:dyDescent="0.25">
      <c r="A1491">
        <v>17768</v>
      </c>
      <c r="B1491" t="s">
        <v>10</v>
      </c>
      <c r="C1491" t="s">
        <v>2567</v>
      </c>
      <c r="D1491" t="str">
        <f t="shared" si="104"/>
        <v/>
      </c>
      <c r="E1491" t="s">
        <v>2568</v>
      </c>
      <c r="F1491" t="str">
        <f t="shared" si="105"/>
        <v>5101850</v>
      </c>
    </row>
    <row r="1492" spans="1:9" ht="15" hidden="1" customHeight="1" x14ac:dyDescent="0.25">
      <c r="A1492">
        <v>17764</v>
      </c>
      <c r="B1492" t="s">
        <v>10</v>
      </c>
      <c r="C1492" t="s">
        <v>2559</v>
      </c>
      <c r="D1492" t="str">
        <f t="shared" si="104"/>
        <v/>
      </c>
      <c r="E1492" t="s">
        <v>2560</v>
      </c>
      <c r="F1492" t="str">
        <f t="shared" si="105"/>
        <v>5101850</v>
      </c>
    </row>
    <row r="1493" spans="1:9" ht="15" hidden="1" customHeight="1" x14ac:dyDescent="0.25">
      <c r="A1493">
        <v>17769</v>
      </c>
      <c r="B1493" t="s">
        <v>10</v>
      </c>
      <c r="C1493" t="s">
        <v>2569</v>
      </c>
      <c r="D1493" t="str">
        <f t="shared" si="104"/>
        <v/>
      </c>
      <c r="E1493" t="s">
        <v>2570</v>
      </c>
      <c r="F1493" t="str">
        <f t="shared" si="105"/>
        <v>5101850</v>
      </c>
    </row>
    <row r="1494" spans="1:9" ht="15" hidden="1" customHeight="1" x14ac:dyDescent="0.25">
      <c r="A1494">
        <v>17763</v>
      </c>
      <c r="B1494" t="s">
        <v>10</v>
      </c>
      <c r="C1494" t="s">
        <v>2557</v>
      </c>
      <c r="D1494" t="str">
        <f t="shared" si="104"/>
        <v/>
      </c>
      <c r="E1494" t="s">
        <v>2558</v>
      </c>
      <c r="F1494" t="str">
        <f t="shared" si="105"/>
        <v>5101850</v>
      </c>
    </row>
    <row r="1495" spans="1:9" ht="15" customHeight="1" x14ac:dyDescent="0.25">
      <c r="A1495">
        <v>14831</v>
      </c>
      <c r="B1495" t="s">
        <v>7</v>
      </c>
      <c r="C1495" t="s">
        <v>223</v>
      </c>
      <c r="D1495" t="str">
        <f t="shared" si="104"/>
        <v/>
      </c>
      <c r="E1495" t="s">
        <v>224</v>
      </c>
      <c r="F1495" t="str">
        <f t="shared" si="105"/>
        <v>5101171</v>
      </c>
      <c r="H1495">
        <v>6</v>
      </c>
      <c r="I1495">
        <v>1</v>
      </c>
    </row>
    <row r="1496" spans="1:9" ht="15" hidden="1" customHeight="1" x14ac:dyDescent="0.25">
      <c r="A1496">
        <v>14842</v>
      </c>
      <c r="B1496" t="s">
        <v>10</v>
      </c>
      <c r="C1496" t="s">
        <v>239</v>
      </c>
      <c r="D1496" t="str">
        <f t="shared" si="104"/>
        <v/>
      </c>
      <c r="E1496" t="s">
        <v>240</v>
      </c>
      <c r="F1496" t="str">
        <f t="shared" si="105"/>
        <v>5101171</v>
      </c>
    </row>
    <row r="1497" spans="1:9" ht="15" hidden="1" customHeight="1" x14ac:dyDescent="0.25">
      <c r="A1497">
        <v>14837</v>
      </c>
      <c r="B1497" t="s">
        <v>10</v>
      </c>
      <c r="C1497" t="s">
        <v>233</v>
      </c>
      <c r="D1497" t="str">
        <f t="shared" si="104"/>
        <v/>
      </c>
      <c r="E1497" t="s">
        <v>234</v>
      </c>
      <c r="F1497" t="str">
        <f t="shared" si="105"/>
        <v>5101171</v>
      </c>
    </row>
    <row r="1498" spans="1:9" ht="15" hidden="1" customHeight="1" x14ac:dyDescent="0.25">
      <c r="A1498">
        <v>14836</v>
      </c>
      <c r="B1498" t="s">
        <v>10</v>
      </c>
      <c r="C1498" t="s">
        <v>231</v>
      </c>
      <c r="D1498" t="str">
        <f t="shared" si="104"/>
        <v/>
      </c>
      <c r="E1498" t="s">
        <v>232</v>
      </c>
      <c r="F1498" t="str">
        <f t="shared" si="105"/>
        <v>5101171</v>
      </c>
    </row>
    <row r="1499" spans="1:9" ht="15" hidden="1" customHeight="1" x14ac:dyDescent="0.25">
      <c r="A1499">
        <v>14835</v>
      </c>
      <c r="B1499" t="s">
        <v>10</v>
      </c>
      <c r="C1499" t="s">
        <v>229</v>
      </c>
      <c r="D1499" t="str">
        <f t="shared" si="104"/>
        <v/>
      </c>
      <c r="E1499" t="s">
        <v>230</v>
      </c>
      <c r="F1499" t="str">
        <f t="shared" si="105"/>
        <v>5101171</v>
      </c>
    </row>
    <row r="1500" spans="1:9" ht="15" hidden="1" customHeight="1" x14ac:dyDescent="0.25">
      <c r="A1500">
        <v>14840</v>
      </c>
      <c r="B1500" t="s">
        <v>10</v>
      </c>
      <c r="C1500" t="s">
        <v>235</v>
      </c>
      <c r="D1500" t="str">
        <f t="shared" si="104"/>
        <v/>
      </c>
      <c r="E1500" t="s">
        <v>236</v>
      </c>
      <c r="F1500" t="str">
        <f t="shared" si="105"/>
        <v>5101171</v>
      </c>
    </row>
    <row r="1501" spans="1:9" ht="15" hidden="1" customHeight="1" x14ac:dyDescent="0.25">
      <c r="A1501">
        <v>14834</v>
      </c>
      <c r="B1501" t="s">
        <v>10</v>
      </c>
      <c r="C1501" t="s">
        <v>227</v>
      </c>
      <c r="D1501" t="str">
        <f t="shared" si="104"/>
        <v/>
      </c>
      <c r="E1501" t="s">
        <v>228</v>
      </c>
      <c r="F1501" t="str">
        <f t="shared" si="105"/>
        <v>5101171</v>
      </c>
    </row>
    <row r="1502" spans="1:9" ht="15" hidden="1" customHeight="1" x14ac:dyDescent="0.25">
      <c r="A1502">
        <v>14841</v>
      </c>
      <c r="B1502" t="s">
        <v>10</v>
      </c>
      <c r="C1502" t="s">
        <v>237</v>
      </c>
      <c r="D1502" t="str">
        <f t="shared" si="104"/>
        <v/>
      </c>
      <c r="E1502" t="s">
        <v>238</v>
      </c>
      <c r="F1502" t="str">
        <f t="shared" ref="F1502:F1528" si="106">LEFT(C1502,7)</f>
        <v>5101171</v>
      </c>
    </row>
    <row r="1503" spans="1:9" ht="15" hidden="1" customHeight="1" x14ac:dyDescent="0.25">
      <c r="A1503">
        <v>14832</v>
      </c>
      <c r="B1503" t="s">
        <v>10</v>
      </c>
      <c r="C1503" t="s">
        <v>225</v>
      </c>
      <c r="D1503" t="str">
        <f t="shared" si="104"/>
        <v/>
      </c>
      <c r="E1503" t="s">
        <v>226</v>
      </c>
      <c r="F1503" t="str">
        <f t="shared" si="106"/>
        <v>5101171</v>
      </c>
    </row>
    <row r="1504" spans="1:9" ht="15" customHeight="1" x14ac:dyDescent="0.25">
      <c r="A1504">
        <v>17753</v>
      </c>
      <c r="B1504" t="s">
        <v>7</v>
      </c>
      <c r="C1504" t="s">
        <v>2537</v>
      </c>
      <c r="D1504" t="str">
        <f t="shared" si="104"/>
        <v/>
      </c>
      <c r="E1504" t="s">
        <v>2538</v>
      </c>
      <c r="F1504" t="str">
        <f t="shared" si="106"/>
        <v>5101170</v>
      </c>
      <c r="H1504">
        <v>6</v>
      </c>
      <c r="I1504">
        <v>1</v>
      </c>
    </row>
    <row r="1505" spans="1:9" ht="15" hidden="1" customHeight="1" x14ac:dyDescent="0.25">
      <c r="A1505">
        <v>17761</v>
      </c>
      <c r="B1505" t="s">
        <v>10</v>
      </c>
      <c r="C1505" t="s">
        <v>2553</v>
      </c>
      <c r="D1505" t="str">
        <f t="shared" si="104"/>
        <v/>
      </c>
      <c r="E1505" t="s">
        <v>2554</v>
      </c>
      <c r="F1505" t="str">
        <f t="shared" si="106"/>
        <v>5101170</v>
      </c>
    </row>
    <row r="1506" spans="1:9" ht="15" hidden="1" customHeight="1" x14ac:dyDescent="0.25">
      <c r="A1506">
        <v>17758</v>
      </c>
      <c r="B1506" t="s">
        <v>10</v>
      </c>
      <c r="C1506" t="s">
        <v>2547</v>
      </c>
      <c r="D1506" t="str">
        <f t="shared" si="104"/>
        <v/>
      </c>
      <c r="E1506" t="s">
        <v>2548</v>
      </c>
      <c r="F1506" t="str">
        <f t="shared" si="106"/>
        <v>5101170</v>
      </c>
    </row>
    <row r="1507" spans="1:9" ht="15" hidden="1" customHeight="1" x14ac:dyDescent="0.25">
      <c r="A1507">
        <v>17757</v>
      </c>
      <c r="B1507" t="s">
        <v>10</v>
      </c>
      <c r="C1507" t="s">
        <v>2545</v>
      </c>
      <c r="D1507" t="str">
        <f t="shared" si="104"/>
        <v/>
      </c>
      <c r="E1507" t="s">
        <v>2546</v>
      </c>
      <c r="F1507" t="str">
        <f t="shared" si="106"/>
        <v>5101170</v>
      </c>
    </row>
    <row r="1508" spans="1:9" ht="15" hidden="1" customHeight="1" x14ac:dyDescent="0.25">
      <c r="A1508">
        <v>17756</v>
      </c>
      <c r="B1508" t="s">
        <v>10</v>
      </c>
      <c r="C1508" t="s">
        <v>2543</v>
      </c>
      <c r="D1508" t="str">
        <f t="shared" si="104"/>
        <v/>
      </c>
      <c r="E1508" t="s">
        <v>2544</v>
      </c>
      <c r="F1508" t="str">
        <f t="shared" si="106"/>
        <v>5101170</v>
      </c>
    </row>
    <row r="1509" spans="1:9" ht="15" hidden="1" customHeight="1" x14ac:dyDescent="0.25">
      <c r="A1509">
        <v>17759</v>
      </c>
      <c r="B1509" t="s">
        <v>10</v>
      </c>
      <c r="C1509" t="s">
        <v>2549</v>
      </c>
      <c r="D1509" t="str">
        <f t="shared" si="104"/>
        <v/>
      </c>
      <c r="E1509" t="s">
        <v>2550</v>
      </c>
      <c r="F1509" t="str">
        <f t="shared" si="106"/>
        <v>5101170</v>
      </c>
    </row>
    <row r="1510" spans="1:9" ht="15" hidden="1" customHeight="1" x14ac:dyDescent="0.25">
      <c r="A1510">
        <v>17755</v>
      </c>
      <c r="B1510" t="s">
        <v>10</v>
      </c>
      <c r="C1510" t="s">
        <v>2541</v>
      </c>
      <c r="D1510" t="str">
        <f t="shared" si="104"/>
        <v/>
      </c>
      <c r="E1510" t="s">
        <v>2542</v>
      </c>
      <c r="F1510" t="str">
        <f t="shared" si="106"/>
        <v>5101170</v>
      </c>
    </row>
    <row r="1511" spans="1:9" ht="15" hidden="1" customHeight="1" x14ac:dyDescent="0.25">
      <c r="A1511">
        <v>17760</v>
      </c>
      <c r="B1511" t="s">
        <v>10</v>
      </c>
      <c r="C1511" t="s">
        <v>2551</v>
      </c>
      <c r="D1511" t="str">
        <f t="shared" si="104"/>
        <v/>
      </c>
      <c r="E1511" t="s">
        <v>2552</v>
      </c>
      <c r="F1511" t="str">
        <f t="shared" si="106"/>
        <v>5101170</v>
      </c>
    </row>
    <row r="1512" spans="1:9" ht="15" hidden="1" customHeight="1" x14ac:dyDescent="0.25">
      <c r="A1512">
        <v>17754</v>
      </c>
      <c r="B1512" t="s">
        <v>10</v>
      </c>
      <c r="C1512" t="s">
        <v>2539</v>
      </c>
      <c r="D1512" t="str">
        <f t="shared" si="104"/>
        <v/>
      </c>
      <c r="E1512" t="s">
        <v>2540</v>
      </c>
      <c r="F1512" t="str">
        <f t="shared" si="106"/>
        <v>5101170</v>
      </c>
    </row>
    <row r="1513" spans="1:9" ht="15" customHeight="1" x14ac:dyDescent="0.25">
      <c r="A1513">
        <v>19574</v>
      </c>
      <c r="B1513" t="s">
        <v>7</v>
      </c>
      <c r="C1513" t="s">
        <v>4901</v>
      </c>
      <c r="D1513" t="str">
        <f t="shared" si="104"/>
        <v/>
      </c>
      <c r="E1513" t="s">
        <v>4902</v>
      </c>
      <c r="F1513" t="str">
        <f t="shared" si="106"/>
        <v>5101001</v>
      </c>
      <c r="H1513">
        <v>14</v>
      </c>
      <c r="I1513">
        <v>1</v>
      </c>
    </row>
    <row r="1514" spans="1:9" ht="15" hidden="1" customHeight="1" x14ac:dyDescent="0.25">
      <c r="A1514">
        <v>19579</v>
      </c>
      <c r="B1514" t="s">
        <v>10</v>
      </c>
      <c r="C1514" t="s">
        <v>4911</v>
      </c>
      <c r="D1514" t="str">
        <f t="shared" si="104"/>
        <v/>
      </c>
      <c r="E1514" t="s">
        <v>4912</v>
      </c>
      <c r="F1514" t="str">
        <f t="shared" si="106"/>
        <v>5101001</v>
      </c>
    </row>
    <row r="1515" spans="1:9" ht="15" hidden="1" customHeight="1" x14ac:dyDescent="0.25">
      <c r="A1515">
        <v>19578</v>
      </c>
      <c r="B1515" t="s">
        <v>10</v>
      </c>
      <c r="C1515" t="s">
        <v>4909</v>
      </c>
      <c r="D1515" t="str">
        <f t="shared" si="104"/>
        <v/>
      </c>
      <c r="E1515" t="s">
        <v>4910</v>
      </c>
      <c r="F1515" t="str">
        <f t="shared" si="106"/>
        <v>5101001</v>
      </c>
    </row>
    <row r="1516" spans="1:9" ht="15" hidden="1" customHeight="1" x14ac:dyDescent="0.25">
      <c r="A1516">
        <v>19577</v>
      </c>
      <c r="B1516" t="s">
        <v>10</v>
      </c>
      <c r="C1516" t="s">
        <v>4907</v>
      </c>
      <c r="D1516" t="str">
        <f t="shared" si="104"/>
        <v/>
      </c>
      <c r="E1516" t="s">
        <v>4908</v>
      </c>
      <c r="F1516" t="str">
        <f t="shared" si="106"/>
        <v>5101001</v>
      </c>
    </row>
    <row r="1517" spans="1:9" ht="15" hidden="1" customHeight="1" x14ac:dyDescent="0.25">
      <c r="A1517">
        <v>19580</v>
      </c>
      <c r="B1517" t="s">
        <v>10</v>
      </c>
      <c r="C1517" t="s">
        <v>4913</v>
      </c>
      <c r="D1517" t="str">
        <f t="shared" si="104"/>
        <v/>
      </c>
      <c r="E1517" t="s">
        <v>4914</v>
      </c>
      <c r="F1517" t="str">
        <f t="shared" si="106"/>
        <v>5101001</v>
      </c>
    </row>
    <row r="1518" spans="1:9" ht="15" hidden="1" customHeight="1" x14ac:dyDescent="0.25">
      <c r="A1518">
        <v>19576</v>
      </c>
      <c r="B1518" t="s">
        <v>10</v>
      </c>
      <c r="C1518" t="s">
        <v>4905</v>
      </c>
      <c r="D1518" t="str">
        <f t="shared" si="104"/>
        <v/>
      </c>
      <c r="E1518" t="s">
        <v>4906</v>
      </c>
      <c r="F1518" t="str">
        <f t="shared" si="106"/>
        <v>5101001</v>
      </c>
    </row>
    <row r="1519" spans="1:9" ht="15" hidden="1" customHeight="1" x14ac:dyDescent="0.25">
      <c r="A1519">
        <v>19575</v>
      </c>
      <c r="B1519" t="s">
        <v>10</v>
      </c>
      <c r="C1519" t="s">
        <v>4903</v>
      </c>
      <c r="D1519" t="str">
        <f t="shared" si="104"/>
        <v/>
      </c>
      <c r="E1519" t="s">
        <v>4904</v>
      </c>
      <c r="F1519" t="str">
        <f t="shared" si="106"/>
        <v>5101001</v>
      </c>
    </row>
    <row r="1520" spans="1:9" ht="15" customHeight="1" x14ac:dyDescent="0.25">
      <c r="A1520">
        <v>18657</v>
      </c>
      <c r="B1520" t="s">
        <v>7</v>
      </c>
      <c r="C1520" t="s">
        <v>3840</v>
      </c>
      <c r="D1520" t="str">
        <f t="shared" si="104"/>
        <v/>
      </c>
      <c r="E1520" t="s">
        <v>3841</v>
      </c>
      <c r="F1520" t="str">
        <f t="shared" si="106"/>
        <v>5101985</v>
      </c>
      <c r="H1520">
        <v>7</v>
      </c>
      <c r="I1520">
        <v>1</v>
      </c>
    </row>
    <row r="1521" spans="1:9" ht="15" hidden="1" customHeight="1" x14ac:dyDescent="0.25">
      <c r="A1521">
        <v>18668</v>
      </c>
      <c r="B1521" t="s">
        <v>10</v>
      </c>
      <c r="C1521" t="s">
        <v>3856</v>
      </c>
      <c r="D1521" t="str">
        <f t="shared" si="104"/>
        <v/>
      </c>
      <c r="E1521" t="s">
        <v>3857</v>
      </c>
      <c r="F1521" t="str">
        <f t="shared" si="106"/>
        <v>5101985</v>
      </c>
    </row>
    <row r="1522" spans="1:9" ht="15" hidden="1" customHeight="1" x14ac:dyDescent="0.25">
      <c r="A1522">
        <v>18665</v>
      </c>
      <c r="B1522" t="s">
        <v>10</v>
      </c>
      <c r="C1522" t="s">
        <v>3850</v>
      </c>
      <c r="D1522" t="str">
        <f t="shared" si="104"/>
        <v/>
      </c>
      <c r="E1522" t="s">
        <v>3851</v>
      </c>
      <c r="F1522" t="str">
        <f t="shared" si="106"/>
        <v>5101985</v>
      </c>
    </row>
    <row r="1523" spans="1:9" ht="15" hidden="1" customHeight="1" x14ac:dyDescent="0.25">
      <c r="A1523">
        <v>18664</v>
      </c>
      <c r="B1523" t="s">
        <v>10</v>
      </c>
      <c r="C1523" t="s">
        <v>3848</v>
      </c>
      <c r="D1523" t="str">
        <f t="shared" si="104"/>
        <v/>
      </c>
      <c r="E1523" t="s">
        <v>3849</v>
      </c>
      <c r="F1523" t="str">
        <f t="shared" si="106"/>
        <v>5101985</v>
      </c>
    </row>
    <row r="1524" spans="1:9" ht="15" hidden="1" customHeight="1" x14ac:dyDescent="0.25">
      <c r="A1524">
        <v>18663</v>
      </c>
      <c r="B1524" t="s">
        <v>10</v>
      </c>
      <c r="C1524" t="s">
        <v>3846</v>
      </c>
      <c r="D1524" t="str">
        <f t="shared" si="104"/>
        <v/>
      </c>
      <c r="E1524" t="s">
        <v>3847</v>
      </c>
      <c r="F1524" t="str">
        <f t="shared" si="106"/>
        <v>5101985</v>
      </c>
    </row>
    <row r="1525" spans="1:9" ht="15" hidden="1" customHeight="1" x14ac:dyDescent="0.25">
      <c r="A1525">
        <v>18666</v>
      </c>
      <c r="B1525" t="s">
        <v>10</v>
      </c>
      <c r="C1525" t="s">
        <v>3852</v>
      </c>
      <c r="D1525" t="str">
        <f t="shared" ref="D1525:D1588" si="107">IF(RIGHT(LEFT(C1525,9),2)="##","",RIGHT(LEFT(C1525,10),2))</f>
        <v/>
      </c>
      <c r="E1525" t="s">
        <v>3853</v>
      </c>
      <c r="F1525" t="str">
        <f t="shared" si="106"/>
        <v>5101985</v>
      </c>
    </row>
    <row r="1526" spans="1:9" ht="15" hidden="1" customHeight="1" x14ac:dyDescent="0.25">
      <c r="A1526">
        <v>18662</v>
      </c>
      <c r="B1526" t="s">
        <v>10</v>
      </c>
      <c r="C1526" t="s">
        <v>3844</v>
      </c>
      <c r="D1526" t="str">
        <f t="shared" si="107"/>
        <v/>
      </c>
      <c r="E1526" t="s">
        <v>3845</v>
      </c>
      <c r="F1526" t="str">
        <f t="shared" si="106"/>
        <v>5101985</v>
      </c>
    </row>
    <row r="1527" spans="1:9" ht="15" hidden="1" customHeight="1" x14ac:dyDescent="0.25">
      <c r="A1527">
        <v>18667</v>
      </c>
      <c r="B1527" t="s">
        <v>10</v>
      </c>
      <c r="C1527" t="s">
        <v>3854</v>
      </c>
      <c r="D1527" t="str">
        <f t="shared" si="107"/>
        <v/>
      </c>
      <c r="E1527" t="s">
        <v>3855</v>
      </c>
      <c r="F1527" t="str">
        <f t="shared" si="106"/>
        <v>5101985</v>
      </c>
    </row>
    <row r="1528" spans="1:9" ht="15" hidden="1" customHeight="1" x14ac:dyDescent="0.25">
      <c r="A1528">
        <v>18658</v>
      </c>
      <c r="B1528" t="s">
        <v>10</v>
      </c>
      <c r="C1528" t="s">
        <v>3842</v>
      </c>
      <c r="D1528" t="str">
        <f t="shared" si="107"/>
        <v/>
      </c>
      <c r="E1528" t="s">
        <v>3843</v>
      </c>
      <c r="F1528" t="str">
        <f t="shared" si="106"/>
        <v>5101985</v>
      </c>
    </row>
    <row r="1529" spans="1:9" ht="15" customHeight="1" x14ac:dyDescent="0.25">
      <c r="A1529">
        <v>18716</v>
      </c>
      <c r="B1529" t="s">
        <v>7</v>
      </c>
      <c r="C1529" t="s">
        <v>3902</v>
      </c>
      <c r="D1529" t="str">
        <f t="shared" si="107"/>
        <v/>
      </c>
      <c r="E1529" t="s">
        <v>3903</v>
      </c>
      <c r="F1529" t="s">
        <v>6911</v>
      </c>
      <c r="H1529">
        <v>7</v>
      </c>
      <c r="I1529">
        <v>1</v>
      </c>
    </row>
    <row r="1530" spans="1:9" ht="15" hidden="1" customHeight="1" x14ac:dyDescent="0.25">
      <c r="A1530">
        <v>18717</v>
      </c>
      <c r="B1530" t="s">
        <v>10</v>
      </c>
      <c r="C1530" t="s">
        <v>3904</v>
      </c>
      <c r="D1530" t="str">
        <f t="shared" si="107"/>
        <v/>
      </c>
      <c r="E1530" t="s">
        <v>3905</v>
      </c>
      <c r="F1530" t="str">
        <f t="shared" ref="F1530:F1553" si="108">LEFT(C1530,7)</f>
        <v>5101986</v>
      </c>
    </row>
    <row r="1531" spans="1:9" ht="15" hidden="1" customHeight="1" x14ac:dyDescent="0.25">
      <c r="A1531">
        <v>18718</v>
      </c>
      <c r="B1531" t="s">
        <v>10</v>
      </c>
      <c r="C1531" t="s">
        <v>3906</v>
      </c>
      <c r="D1531" t="str">
        <f t="shared" si="107"/>
        <v/>
      </c>
      <c r="E1531" t="s">
        <v>3907</v>
      </c>
      <c r="F1531" t="str">
        <f t="shared" si="108"/>
        <v>5101986</v>
      </c>
    </row>
    <row r="1532" spans="1:9" ht="15" hidden="1" customHeight="1" x14ac:dyDescent="0.25">
      <c r="A1532">
        <v>18719</v>
      </c>
      <c r="B1532" t="s">
        <v>10</v>
      </c>
      <c r="C1532" t="s">
        <v>3908</v>
      </c>
      <c r="D1532" t="str">
        <f t="shared" si="107"/>
        <v/>
      </c>
      <c r="E1532" t="s">
        <v>3909</v>
      </c>
      <c r="F1532" t="str">
        <f t="shared" si="108"/>
        <v>5101986</v>
      </c>
    </row>
    <row r="1533" spans="1:9" ht="15" customHeight="1" x14ac:dyDescent="0.25">
      <c r="A1533">
        <v>18720</v>
      </c>
      <c r="B1533" t="s">
        <v>7</v>
      </c>
      <c r="C1533" t="s">
        <v>3910</v>
      </c>
      <c r="D1533" t="str">
        <f t="shared" si="107"/>
        <v/>
      </c>
      <c r="E1533" t="s">
        <v>3911</v>
      </c>
      <c r="F1533" t="str">
        <f t="shared" si="108"/>
        <v>5101083</v>
      </c>
      <c r="H1533">
        <v>7</v>
      </c>
      <c r="I1533">
        <v>1</v>
      </c>
    </row>
    <row r="1534" spans="1:9" ht="15" hidden="1" customHeight="1" x14ac:dyDescent="0.25">
      <c r="A1534">
        <v>18731</v>
      </c>
      <c r="B1534" t="s">
        <v>10</v>
      </c>
      <c r="C1534" t="s">
        <v>3926</v>
      </c>
      <c r="D1534" t="str">
        <f t="shared" si="107"/>
        <v/>
      </c>
      <c r="E1534" t="s">
        <v>3927</v>
      </c>
      <c r="F1534" t="str">
        <f t="shared" si="108"/>
        <v>5101083</v>
      </c>
    </row>
    <row r="1535" spans="1:9" ht="15" hidden="1" customHeight="1" x14ac:dyDescent="0.25">
      <c r="A1535">
        <v>18734</v>
      </c>
      <c r="B1535" t="s">
        <v>10</v>
      </c>
      <c r="C1535" t="s">
        <v>3932</v>
      </c>
      <c r="D1535" t="str">
        <f t="shared" si="107"/>
        <v/>
      </c>
      <c r="E1535" t="s">
        <v>3933</v>
      </c>
      <c r="F1535" t="str">
        <f t="shared" si="108"/>
        <v>5101083</v>
      </c>
    </row>
    <row r="1536" spans="1:9" ht="15" hidden="1" customHeight="1" x14ac:dyDescent="0.25">
      <c r="A1536">
        <v>18732</v>
      </c>
      <c r="B1536" t="s">
        <v>10</v>
      </c>
      <c r="C1536" t="s">
        <v>3928</v>
      </c>
      <c r="D1536" t="str">
        <f t="shared" si="107"/>
        <v/>
      </c>
      <c r="E1536" t="s">
        <v>3929</v>
      </c>
      <c r="F1536" t="str">
        <f t="shared" si="108"/>
        <v>5101083</v>
      </c>
    </row>
    <row r="1537" spans="1:9" ht="15" hidden="1" customHeight="1" x14ac:dyDescent="0.25">
      <c r="A1537">
        <v>18733</v>
      </c>
      <c r="B1537" t="s">
        <v>10</v>
      </c>
      <c r="C1537" t="s">
        <v>3930</v>
      </c>
      <c r="D1537" t="str">
        <f t="shared" si="107"/>
        <v/>
      </c>
      <c r="E1537" t="s">
        <v>3931</v>
      </c>
      <c r="F1537" t="str">
        <f t="shared" si="108"/>
        <v>5101083</v>
      </c>
    </row>
    <row r="1538" spans="1:9" ht="15" hidden="1" customHeight="1" x14ac:dyDescent="0.25">
      <c r="A1538">
        <v>18728</v>
      </c>
      <c r="B1538" t="s">
        <v>10</v>
      </c>
      <c r="C1538" t="s">
        <v>3920</v>
      </c>
      <c r="D1538" t="str">
        <f t="shared" si="107"/>
        <v/>
      </c>
      <c r="E1538" t="s">
        <v>3921</v>
      </c>
      <c r="F1538" t="str">
        <f t="shared" si="108"/>
        <v>5101083</v>
      </c>
    </row>
    <row r="1539" spans="1:9" ht="15" hidden="1" customHeight="1" x14ac:dyDescent="0.25">
      <c r="A1539">
        <v>18727</v>
      </c>
      <c r="B1539" t="s">
        <v>10</v>
      </c>
      <c r="C1539" t="s">
        <v>3918</v>
      </c>
      <c r="D1539" t="str">
        <f t="shared" si="107"/>
        <v/>
      </c>
      <c r="E1539" t="s">
        <v>3919</v>
      </c>
      <c r="F1539" t="str">
        <f t="shared" si="108"/>
        <v>5101083</v>
      </c>
    </row>
    <row r="1540" spans="1:9" ht="15" hidden="1" customHeight="1" x14ac:dyDescent="0.25">
      <c r="A1540">
        <v>18726</v>
      </c>
      <c r="B1540" t="s">
        <v>10</v>
      </c>
      <c r="C1540" t="s">
        <v>3916</v>
      </c>
      <c r="D1540" t="str">
        <f t="shared" si="107"/>
        <v/>
      </c>
      <c r="E1540" t="s">
        <v>3917</v>
      </c>
      <c r="F1540" t="str">
        <f t="shared" si="108"/>
        <v>5101083</v>
      </c>
    </row>
    <row r="1541" spans="1:9" ht="15" hidden="1" customHeight="1" x14ac:dyDescent="0.25">
      <c r="A1541">
        <v>18729</v>
      </c>
      <c r="B1541" t="s">
        <v>10</v>
      </c>
      <c r="C1541" t="s">
        <v>3922</v>
      </c>
      <c r="D1541" t="str">
        <f t="shared" si="107"/>
        <v/>
      </c>
      <c r="E1541" t="s">
        <v>3923</v>
      </c>
      <c r="F1541" t="str">
        <f t="shared" si="108"/>
        <v>5101083</v>
      </c>
    </row>
    <row r="1542" spans="1:9" ht="15" hidden="1" customHeight="1" x14ac:dyDescent="0.25">
      <c r="A1542">
        <v>18725</v>
      </c>
      <c r="B1542" t="s">
        <v>10</v>
      </c>
      <c r="C1542" t="s">
        <v>3914</v>
      </c>
      <c r="D1542" t="str">
        <f t="shared" si="107"/>
        <v/>
      </c>
      <c r="E1542" t="s">
        <v>3915</v>
      </c>
      <c r="F1542" t="str">
        <f t="shared" si="108"/>
        <v>5101083</v>
      </c>
    </row>
    <row r="1543" spans="1:9" ht="15" hidden="1" customHeight="1" x14ac:dyDescent="0.25">
      <c r="A1543">
        <v>18730</v>
      </c>
      <c r="B1543" t="s">
        <v>10</v>
      </c>
      <c r="C1543" t="s">
        <v>3924</v>
      </c>
      <c r="D1543" t="str">
        <f t="shared" si="107"/>
        <v/>
      </c>
      <c r="E1543" t="s">
        <v>3925</v>
      </c>
      <c r="F1543" t="str">
        <f t="shared" si="108"/>
        <v>5101083</v>
      </c>
    </row>
    <row r="1544" spans="1:9" ht="15" hidden="1" customHeight="1" x14ac:dyDescent="0.25">
      <c r="A1544">
        <v>18721</v>
      </c>
      <c r="B1544" t="s">
        <v>10</v>
      </c>
      <c r="C1544" t="s">
        <v>3912</v>
      </c>
      <c r="D1544" t="str">
        <f t="shared" si="107"/>
        <v/>
      </c>
      <c r="E1544" t="s">
        <v>3913</v>
      </c>
      <c r="F1544" t="str">
        <f t="shared" si="108"/>
        <v>5101083</v>
      </c>
    </row>
    <row r="1545" spans="1:9" ht="15" customHeight="1" x14ac:dyDescent="0.25">
      <c r="A1545">
        <v>14863</v>
      </c>
      <c r="B1545" t="s">
        <v>7</v>
      </c>
      <c r="C1545" t="s">
        <v>249</v>
      </c>
      <c r="D1545" t="str">
        <f t="shared" si="107"/>
        <v/>
      </c>
      <c r="E1545" t="s">
        <v>250</v>
      </c>
      <c r="F1545" t="str">
        <f t="shared" si="108"/>
        <v>5101900</v>
      </c>
      <c r="H1545">
        <v>7</v>
      </c>
      <c r="I1545">
        <v>1</v>
      </c>
    </row>
    <row r="1546" spans="1:9" ht="15" hidden="1" customHeight="1" x14ac:dyDescent="0.25">
      <c r="A1546">
        <v>14864</v>
      </c>
      <c r="B1546" t="s">
        <v>10</v>
      </c>
      <c r="C1546" t="s">
        <v>251</v>
      </c>
      <c r="D1546" t="str">
        <f t="shared" si="107"/>
        <v/>
      </c>
      <c r="E1546" t="s">
        <v>252</v>
      </c>
      <c r="F1546" t="str">
        <f t="shared" si="108"/>
        <v>5101900</v>
      </c>
    </row>
    <row r="1547" spans="1:9" ht="15" hidden="1" customHeight="1" x14ac:dyDescent="0.25">
      <c r="A1547">
        <v>14873</v>
      </c>
      <c r="B1547" t="s">
        <v>10</v>
      </c>
      <c r="C1547" t="s">
        <v>261</v>
      </c>
      <c r="D1547" t="str">
        <f t="shared" si="107"/>
        <v/>
      </c>
      <c r="E1547" t="s">
        <v>262</v>
      </c>
      <c r="F1547" t="str">
        <f t="shared" si="108"/>
        <v>5101900</v>
      </c>
    </row>
    <row r="1548" spans="1:9" ht="15" hidden="1" customHeight="1" x14ac:dyDescent="0.25">
      <c r="A1548">
        <v>14872</v>
      </c>
      <c r="B1548" t="s">
        <v>10</v>
      </c>
      <c r="C1548" t="s">
        <v>259</v>
      </c>
      <c r="D1548" t="str">
        <f t="shared" si="107"/>
        <v/>
      </c>
      <c r="E1548" t="s">
        <v>260</v>
      </c>
      <c r="F1548" t="str">
        <f t="shared" si="108"/>
        <v>5101900</v>
      </c>
    </row>
    <row r="1549" spans="1:9" ht="15" hidden="1" customHeight="1" x14ac:dyDescent="0.25">
      <c r="A1549">
        <v>14871</v>
      </c>
      <c r="B1549" t="s">
        <v>10</v>
      </c>
      <c r="C1549" t="s">
        <v>257</v>
      </c>
      <c r="D1549" t="str">
        <f t="shared" si="107"/>
        <v/>
      </c>
      <c r="E1549" t="s">
        <v>258</v>
      </c>
      <c r="F1549" t="str">
        <f t="shared" si="108"/>
        <v>5101900</v>
      </c>
    </row>
    <row r="1550" spans="1:9" ht="15" hidden="1" customHeight="1" x14ac:dyDescent="0.25">
      <c r="A1550">
        <v>14874</v>
      </c>
      <c r="B1550" t="s">
        <v>10</v>
      </c>
      <c r="C1550" t="s">
        <v>263</v>
      </c>
      <c r="D1550" t="str">
        <f t="shared" si="107"/>
        <v/>
      </c>
      <c r="E1550" t="s">
        <v>264</v>
      </c>
      <c r="F1550" t="str">
        <f t="shared" si="108"/>
        <v>5101900</v>
      </c>
    </row>
    <row r="1551" spans="1:9" ht="15" hidden="1" customHeight="1" x14ac:dyDescent="0.25">
      <c r="A1551">
        <v>14870</v>
      </c>
      <c r="B1551" t="s">
        <v>10</v>
      </c>
      <c r="C1551" t="s">
        <v>255</v>
      </c>
      <c r="D1551" t="str">
        <f t="shared" si="107"/>
        <v/>
      </c>
      <c r="E1551" t="s">
        <v>256</v>
      </c>
      <c r="F1551" t="str">
        <f t="shared" si="108"/>
        <v>5101900</v>
      </c>
    </row>
    <row r="1552" spans="1:9" ht="15" hidden="1" customHeight="1" x14ac:dyDescent="0.25">
      <c r="A1552">
        <v>14875</v>
      </c>
      <c r="B1552" t="s">
        <v>10</v>
      </c>
      <c r="C1552" t="s">
        <v>265</v>
      </c>
      <c r="D1552" t="str">
        <f t="shared" si="107"/>
        <v/>
      </c>
      <c r="E1552" t="s">
        <v>266</v>
      </c>
      <c r="F1552" t="str">
        <f t="shared" si="108"/>
        <v>5101900</v>
      </c>
    </row>
    <row r="1553" spans="1:9" ht="15" hidden="1" customHeight="1" x14ac:dyDescent="0.25">
      <c r="A1553">
        <v>14869</v>
      </c>
      <c r="B1553" t="s">
        <v>10</v>
      </c>
      <c r="C1553" t="s">
        <v>253</v>
      </c>
      <c r="D1553" t="str">
        <f t="shared" si="107"/>
        <v/>
      </c>
      <c r="E1553" t="s">
        <v>254</v>
      </c>
      <c r="F1553" t="str">
        <f t="shared" si="108"/>
        <v>5101900</v>
      </c>
    </row>
    <row r="1554" spans="1:9" ht="15" customHeight="1" x14ac:dyDescent="0.25">
      <c r="A1554">
        <v>17148</v>
      </c>
      <c r="B1554" t="s">
        <v>7</v>
      </c>
      <c r="C1554" t="s">
        <v>1985</v>
      </c>
      <c r="D1554" t="str">
        <f t="shared" si="107"/>
        <v/>
      </c>
      <c r="E1554" t="s">
        <v>1986</v>
      </c>
      <c r="F1554" t="s">
        <v>6912</v>
      </c>
      <c r="H1554">
        <v>7</v>
      </c>
      <c r="I1554">
        <v>1</v>
      </c>
    </row>
    <row r="1555" spans="1:9" ht="15" hidden="1" customHeight="1" x14ac:dyDescent="0.25">
      <c r="A1555">
        <v>17149</v>
      </c>
      <c r="B1555" t="s">
        <v>10</v>
      </c>
      <c r="C1555" t="s">
        <v>1987</v>
      </c>
      <c r="D1555" t="str">
        <f t="shared" si="107"/>
        <v/>
      </c>
      <c r="E1555" t="s">
        <v>1988</v>
      </c>
      <c r="F1555" t="str">
        <f>LEFT(C1555,7)</f>
        <v>5101901</v>
      </c>
    </row>
    <row r="1556" spans="1:9" ht="15" hidden="1" customHeight="1" x14ac:dyDescent="0.25">
      <c r="A1556">
        <v>17155</v>
      </c>
      <c r="B1556" t="s">
        <v>10</v>
      </c>
      <c r="C1556" t="s">
        <v>1989</v>
      </c>
      <c r="D1556" t="str">
        <f t="shared" si="107"/>
        <v/>
      </c>
      <c r="E1556" t="s">
        <v>1990</v>
      </c>
      <c r="F1556" t="str">
        <f>LEFT(C1556,7)</f>
        <v>5101901</v>
      </c>
    </row>
    <row r="1557" spans="1:9" ht="15" hidden="1" customHeight="1" x14ac:dyDescent="0.25">
      <c r="A1557">
        <v>17156</v>
      </c>
      <c r="B1557" t="s">
        <v>10</v>
      </c>
      <c r="C1557" t="s">
        <v>1991</v>
      </c>
      <c r="D1557" t="str">
        <f t="shared" si="107"/>
        <v/>
      </c>
      <c r="E1557" t="s">
        <v>1992</v>
      </c>
      <c r="F1557" t="str">
        <f>LEFT(C1557,7)</f>
        <v>5101901</v>
      </c>
    </row>
    <row r="1558" spans="1:9" ht="15" customHeight="1" x14ac:dyDescent="0.25">
      <c r="A1558">
        <v>17720</v>
      </c>
      <c r="B1558" t="s">
        <v>7</v>
      </c>
      <c r="C1558" t="s">
        <v>2499</v>
      </c>
      <c r="D1558" t="str">
        <f t="shared" si="107"/>
        <v/>
      </c>
      <c r="E1558" t="s">
        <v>2500</v>
      </c>
      <c r="F1558" s="3" t="s">
        <v>6982</v>
      </c>
      <c r="H1558">
        <v>4</v>
      </c>
    </row>
    <row r="1559" spans="1:9" ht="15" customHeight="1" x14ac:dyDescent="0.25">
      <c r="A1559">
        <v>17603</v>
      </c>
      <c r="B1559" t="s">
        <v>7</v>
      </c>
      <c r="C1559" t="s">
        <v>2335</v>
      </c>
      <c r="D1559" t="str">
        <f t="shared" si="107"/>
        <v/>
      </c>
      <c r="E1559" t="s">
        <v>2336</v>
      </c>
      <c r="F1559" t="str">
        <f t="shared" ref="F1559:F1566" si="109">LEFT(C1559,7)</f>
        <v>5101192</v>
      </c>
      <c r="H1559">
        <v>6</v>
      </c>
    </row>
    <row r="1560" spans="1:9" ht="15" hidden="1" customHeight="1" x14ac:dyDescent="0.25">
      <c r="A1560">
        <v>17608</v>
      </c>
      <c r="B1560" t="s">
        <v>10</v>
      </c>
      <c r="C1560" t="s">
        <v>2339</v>
      </c>
      <c r="D1560" t="str">
        <f t="shared" si="107"/>
        <v/>
      </c>
      <c r="E1560" t="s">
        <v>2340</v>
      </c>
      <c r="F1560" t="str">
        <f t="shared" si="109"/>
        <v>5101192</v>
      </c>
    </row>
    <row r="1561" spans="1:9" ht="15" hidden="1" customHeight="1" x14ac:dyDescent="0.25">
      <c r="A1561">
        <v>17604</v>
      </c>
      <c r="B1561" t="s">
        <v>10</v>
      </c>
      <c r="C1561" t="s">
        <v>2337</v>
      </c>
      <c r="D1561" t="str">
        <f t="shared" si="107"/>
        <v/>
      </c>
      <c r="E1561" t="s">
        <v>2338</v>
      </c>
      <c r="F1561" t="str">
        <f t="shared" si="109"/>
        <v>5101192</v>
      </c>
    </row>
    <row r="1562" spans="1:9" ht="15" hidden="1" customHeight="1" x14ac:dyDescent="0.25">
      <c r="A1562">
        <v>17616</v>
      </c>
      <c r="B1562" t="s">
        <v>10</v>
      </c>
      <c r="C1562" t="s">
        <v>2349</v>
      </c>
      <c r="D1562" t="str">
        <f t="shared" si="107"/>
        <v/>
      </c>
      <c r="E1562" t="s">
        <v>2350</v>
      </c>
      <c r="F1562" t="str">
        <f t="shared" si="109"/>
        <v>5101192</v>
      </c>
    </row>
    <row r="1563" spans="1:9" ht="15" hidden="1" customHeight="1" x14ac:dyDescent="0.25">
      <c r="A1563">
        <v>17609</v>
      </c>
      <c r="B1563" t="s">
        <v>10</v>
      </c>
      <c r="C1563" t="s">
        <v>2341</v>
      </c>
      <c r="D1563" t="str">
        <f t="shared" si="107"/>
        <v/>
      </c>
      <c r="E1563" t="s">
        <v>2342</v>
      </c>
      <c r="F1563" t="str">
        <f t="shared" si="109"/>
        <v>5101192</v>
      </c>
    </row>
    <row r="1564" spans="1:9" ht="15" hidden="1" customHeight="1" x14ac:dyDescent="0.25">
      <c r="A1564">
        <v>17615</v>
      </c>
      <c r="B1564" t="s">
        <v>10</v>
      </c>
      <c r="C1564" t="s">
        <v>2347</v>
      </c>
      <c r="D1564" t="str">
        <f t="shared" si="107"/>
        <v/>
      </c>
      <c r="E1564" t="s">
        <v>2348</v>
      </c>
      <c r="F1564" t="str">
        <f t="shared" si="109"/>
        <v>5101192</v>
      </c>
    </row>
    <row r="1565" spans="1:9" ht="15" hidden="1" customHeight="1" x14ac:dyDescent="0.25">
      <c r="A1565">
        <v>17610</v>
      </c>
      <c r="B1565" t="s">
        <v>10</v>
      </c>
      <c r="C1565" t="s">
        <v>2343</v>
      </c>
      <c r="D1565" t="str">
        <f t="shared" si="107"/>
        <v/>
      </c>
      <c r="E1565" t="s">
        <v>2344</v>
      </c>
      <c r="F1565" t="str">
        <f t="shared" si="109"/>
        <v>5101192</v>
      </c>
    </row>
    <row r="1566" spans="1:9" ht="15" hidden="1" customHeight="1" x14ac:dyDescent="0.25">
      <c r="A1566">
        <v>17611</v>
      </c>
      <c r="B1566" t="s">
        <v>10</v>
      </c>
      <c r="C1566" t="s">
        <v>2345</v>
      </c>
      <c r="D1566" t="str">
        <f t="shared" si="107"/>
        <v/>
      </c>
      <c r="E1566" t="s">
        <v>2346</v>
      </c>
      <c r="F1566" t="str">
        <f t="shared" si="109"/>
        <v>5101192</v>
      </c>
    </row>
    <row r="1567" spans="1:9" ht="15" customHeight="1" x14ac:dyDescent="0.25">
      <c r="A1567">
        <v>17620</v>
      </c>
      <c r="B1567" t="s">
        <v>7</v>
      </c>
      <c r="C1567" t="s">
        <v>2351</v>
      </c>
      <c r="D1567" t="str">
        <f t="shared" si="107"/>
        <v/>
      </c>
      <c r="E1567" t="s">
        <v>2352</v>
      </c>
      <c r="F1567" t="s">
        <v>6913</v>
      </c>
      <c r="H1567">
        <v>6</v>
      </c>
    </row>
    <row r="1568" spans="1:9" ht="15" hidden="1" customHeight="1" x14ac:dyDescent="0.25">
      <c r="A1568">
        <v>17621</v>
      </c>
      <c r="B1568" t="s">
        <v>10</v>
      </c>
      <c r="C1568" t="s">
        <v>2353</v>
      </c>
      <c r="D1568" t="str">
        <f t="shared" si="107"/>
        <v/>
      </c>
      <c r="E1568" t="s">
        <v>2354</v>
      </c>
      <c r="F1568" t="str">
        <f t="shared" ref="F1568:F1577" si="110">LEFT(C1568,7)</f>
        <v>5101193</v>
      </c>
    </row>
    <row r="1569" spans="1:8" ht="15" hidden="1" customHeight="1" x14ac:dyDescent="0.25">
      <c r="A1569">
        <v>17622</v>
      </c>
      <c r="B1569" t="s">
        <v>10</v>
      </c>
      <c r="C1569" t="s">
        <v>2355</v>
      </c>
      <c r="D1569" t="str">
        <f t="shared" si="107"/>
        <v/>
      </c>
      <c r="E1569" t="s">
        <v>2356</v>
      </c>
      <c r="F1569" t="str">
        <f t="shared" si="110"/>
        <v>5101193</v>
      </c>
    </row>
    <row r="1570" spans="1:8" ht="15" customHeight="1" x14ac:dyDescent="0.25">
      <c r="A1570">
        <v>17623</v>
      </c>
      <c r="B1570" t="s">
        <v>7</v>
      </c>
      <c r="C1570" t="s">
        <v>2357</v>
      </c>
      <c r="D1570" t="str">
        <f t="shared" si="107"/>
        <v/>
      </c>
      <c r="E1570" t="s">
        <v>2358</v>
      </c>
      <c r="F1570" t="str">
        <f t="shared" si="110"/>
        <v>5101187</v>
      </c>
      <c r="H1570">
        <v>6</v>
      </c>
    </row>
    <row r="1571" spans="1:8" ht="15" hidden="1" customHeight="1" x14ac:dyDescent="0.25">
      <c r="A1571">
        <v>17633</v>
      </c>
      <c r="B1571" t="s">
        <v>10</v>
      </c>
      <c r="C1571" t="s">
        <v>2371</v>
      </c>
      <c r="D1571" t="str">
        <f t="shared" si="107"/>
        <v/>
      </c>
      <c r="E1571" t="s">
        <v>2372</v>
      </c>
      <c r="F1571" t="str">
        <f t="shared" si="110"/>
        <v>5101187</v>
      </c>
    </row>
    <row r="1572" spans="1:8" ht="15" hidden="1" customHeight="1" x14ac:dyDescent="0.25">
      <c r="A1572">
        <v>17632</v>
      </c>
      <c r="B1572" t="s">
        <v>10</v>
      </c>
      <c r="C1572" t="s">
        <v>2369</v>
      </c>
      <c r="D1572" t="str">
        <f t="shared" si="107"/>
        <v/>
      </c>
      <c r="E1572" t="s">
        <v>2370</v>
      </c>
      <c r="F1572" t="str">
        <f t="shared" si="110"/>
        <v>5101187</v>
      </c>
    </row>
    <row r="1573" spans="1:8" ht="15" hidden="1" customHeight="1" x14ac:dyDescent="0.25">
      <c r="A1573">
        <v>17628</v>
      </c>
      <c r="B1573" t="s">
        <v>10</v>
      </c>
      <c r="C1573" t="s">
        <v>2367</v>
      </c>
      <c r="D1573" t="str">
        <f t="shared" si="107"/>
        <v/>
      </c>
      <c r="E1573" t="s">
        <v>2368</v>
      </c>
      <c r="F1573" t="str">
        <f t="shared" si="110"/>
        <v>5101187</v>
      </c>
    </row>
    <row r="1574" spans="1:8" ht="15" hidden="1" customHeight="1" x14ac:dyDescent="0.25">
      <c r="A1574">
        <v>17624</v>
      </c>
      <c r="B1574" t="s">
        <v>10</v>
      </c>
      <c r="C1574" t="s">
        <v>2359</v>
      </c>
      <c r="D1574" t="str">
        <f t="shared" si="107"/>
        <v/>
      </c>
      <c r="E1574" t="s">
        <v>2360</v>
      </c>
      <c r="F1574" t="str">
        <f t="shared" si="110"/>
        <v>5101187</v>
      </c>
    </row>
    <row r="1575" spans="1:8" ht="15" hidden="1" customHeight="1" x14ac:dyDescent="0.25">
      <c r="A1575">
        <v>17627</v>
      </c>
      <c r="B1575" t="s">
        <v>10</v>
      </c>
      <c r="C1575" t="s">
        <v>2365</v>
      </c>
      <c r="D1575" t="str">
        <f t="shared" si="107"/>
        <v/>
      </c>
      <c r="E1575" t="s">
        <v>2366</v>
      </c>
      <c r="F1575" t="str">
        <f t="shared" si="110"/>
        <v>5101187</v>
      </c>
    </row>
    <row r="1576" spans="1:8" ht="15" hidden="1" customHeight="1" x14ac:dyDescent="0.25">
      <c r="A1576">
        <v>17625</v>
      </c>
      <c r="B1576" t="s">
        <v>10</v>
      </c>
      <c r="C1576" t="s">
        <v>2361</v>
      </c>
      <c r="D1576" t="str">
        <f t="shared" si="107"/>
        <v/>
      </c>
      <c r="E1576" t="s">
        <v>2362</v>
      </c>
      <c r="F1576" t="str">
        <f t="shared" si="110"/>
        <v>5101187</v>
      </c>
    </row>
    <row r="1577" spans="1:8" ht="15" hidden="1" customHeight="1" x14ac:dyDescent="0.25">
      <c r="A1577">
        <v>17626</v>
      </c>
      <c r="B1577" t="s">
        <v>10</v>
      </c>
      <c r="C1577" t="s">
        <v>2363</v>
      </c>
      <c r="D1577" t="str">
        <f t="shared" si="107"/>
        <v/>
      </c>
      <c r="E1577" t="s">
        <v>2364</v>
      </c>
      <c r="F1577" t="str">
        <f t="shared" si="110"/>
        <v>5101187</v>
      </c>
    </row>
    <row r="1578" spans="1:8" ht="15" customHeight="1" x14ac:dyDescent="0.25">
      <c r="A1578">
        <v>17634</v>
      </c>
      <c r="B1578" t="s">
        <v>7</v>
      </c>
      <c r="C1578" t="s">
        <v>2373</v>
      </c>
      <c r="D1578" t="str">
        <f t="shared" si="107"/>
        <v/>
      </c>
      <c r="E1578" t="s">
        <v>2374</v>
      </c>
      <c r="F1578" t="s">
        <v>6914</v>
      </c>
      <c r="H1578">
        <v>6</v>
      </c>
    </row>
    <row r="1579" spans="1:8" ht="15" hidden="1" customHeight="1" x14ac:dyDescent="0.25">
      <c r="A1579">
        <v>17635</v>
      </c>
      <c r="B1579" t="s">
        <v>10</v>
      </c>
      <c r="C1579" t="s">
        <v>2375</v>
      </c>
      <c r="D1579" t="str">
        <f t="shared" si="107"/>
        <v/>
      </c>
      <c r="E1579" t="s">
        <v>2376</v>
      </c>
      <c r="F1579" t="str">
        <f t="shared" ref="F1579:F1621" si="111">LEFT(C1579,7)</f>
        <v>5101188</v>
      </c>
    </row>
    <row r="1580" spans="1:8" ht="15" hidden="1" customHeight="1" x14ac:dyDescent="0.25">
      <c r="A1580">
        <v>17636</v>
      </c>
      <c r="B1580" t="s">
        <v>10</v>
      </c>
      <c r="C1580" t="s">
        <v>2377</v>
      </c>
      <c r="D1580" t="str">
        <f t="shared" si="107"/>
        <v/>
      </c>
      <c r="E1580" t="s">
        <v>2378</v>
      </c>
      <c r="F1580" t="str">
        <f t="shared" si="111"/>
        <v>5101188</v>
      </c>
    </row>
    <row r="1581" spans="1:8" ht="15" customHeight="1" x14ac:dyDescent="0.25">
      <c r="A1581">
        <v>17586</v>
      </c>
      <c r="B1581" t="s">
        <v>7</v>
      </c>
      <c r="C1581" t="s">
        <v>2317</v>
      </c>
      <c r="D1581" t="str">
        <f t="shared" si="107"/>
        <v/>
      </c>
      <c r="E1581" t="s">
        <v>2318</v>
      </c>
      <c r="F1581" t="str">
        <f t="shared" si="111"/>
        <v>5101105</v>
      </c>
      <c r="H1581">
        <v>6</v>
      </c>
    </row>
    <row r="1582" spans="1:8" ht="15" hidden="1" customHeight="1" x14ac:dyDescent="0.25">
      <c r="A1582">
        <v>17587</v>
      </c>
      <c r="B1582" t="s">
        <v>10</v>
      </c>
      <c r="C1582" t="s">
        <v>2319</v>
      </c>
      <c r="D1582" t="str">
        <f t="shared" si="107"/>
        <v/>
      </c>
      <c r="E1582" t="s">
        <v>2320</v>
      </c>
      <c r="F1582" t="str">
        <f t="shared" si="111"/>
        <v>5101105</v>
      </c>
    </row>
    <row r="1583" spans="1:8" ht="15" hidden="1" customHeight="1" x14ac:dyDescent="0.25">
      <c r="A1583">
        <v>17594</v>
      </c>
      <c r="B1583" t="s">
        <v>10</v>
      </c>
      <c r="C1583" t="s">
        <v>2321</v>
      </c>
      <c r="D1583" t="str">
        <f t="shared" si="107"/>
        <v/>
      </c>
      <c r="E1583" t="s">
        <v>2322</v>
      </c>
      <c r="F1583" t="str">
        <f t="shared" si="111"/>
        <v>5101105</v>
      </c>
    </row>
    <row r="1584" spans="1:8" ht="15" hidden="1" customHeight="1" x14ac:dyDescent="0.25">
      <c r="A1584">
        <v>17595</v>
      </c>
      <c r="B1584" t="s">
        <v>10</v>
      </c>
      <c r="C1584" t="s">
        <v>2323</v>
      </c>
      <c r="D1584" t="str">
        <f t="shared" si="107"/>
        <v/>
      </c>
      <c r="E1584" t="s">
        <v>2324</v>
      </c>
      <c r="F1584" t="str">
        <f t="shared" si="111"/>
        <v>5101105</v>
      </c>
    </row>
    <row r="1585" spans="1:9" ht="15" customHeight="1" x14ac:dyDescent="0.25">
      <c r="A1585">
        <v>20821</v>
      </c>
      <c r="B1585" t="s">
        <v>7</v>
      </c>
      <c r="C1585" t="s">
        <v>6153</v>
      </c>
      <c r="D1585" t="str">
        <f t="shared" si="107"/>
        <v/>
      </c>
      <c r="E1585" t="s">
        <v>6154</v>
      </c>
      <c r="F1585" t="str">
        <f t="shared" si="111"/>
        <v>5101563</v>
      </c>
      <c r="H1585">
        <v>3</v>
      </c>
      <c r="I1585">
        <v>1</v>
      </c>
    </row>
    <row r="1586" spans="1:9" ht="15" hidden="1" customHeight="1" x14ac:dyDescent="0.25">
      <c r="A1586">
        <v>20830</v>
      </c>
      <c r="B1586" t="s">
        <v>10</v>
      </c>
      <c r="C1586" t="s">
        <v>6165</v>
      </c>
      <c r="D1586" t="str">
        <f t="shared" si="107"/>
        <v/>
      </c>
      <c r="E1586" t="s">
        <v>6166</v>
      </c>
      <c r="F1586" t="str">
        <f t="shared" si="111"/>
        <v>5101563</v>
      </c>
    </row>
    <row r="1587" spans="1:9" ht="15" hidden="1" customHeight="1" x14ac:dyDescent="0.25">
      <c r="A1587">
        <v>20827</v>
      </c>
      <c r="B1587" t="s">
        <v>10</v>
      </c>
      <c r="C1587" t="s">
        <v>6159</v>
      </c>
      <c r="D1587" t="str">
        <f t="shared" si="107"/>
        <v/>
      </c>
      <c r="E1587" t="s">
        <v>6160</v>
      </c>
      <c r="F1587" t="str">
        <f t="shared" si="111"/>
        <v>5101563</v>
      </c>
    </row>
    <row r="1588" spans="1:9" ht="15" hidden="1" customHeight="1" x14ac:dyDescent="0.25">
      <c r="A1588">
        <v>20826</v>
      </c>
      <c r="B1588" t="s">
        <v>10</v>
      </c>
      <c r="C1588" t="s">
        <v>6157</v>
      </c>
      <c r="D1588" t="str">
        <f t="shared" si="107"/>
        <v/>
      </c>
      <c r="E1588" t="s">
        <v>6158</v>
      </c>
      <c r="F1588" t="str">
        <f t="shared" si="111"/>
        <v>5101563</v>
      </c>
    </row>
    <row r="1589" spans="1:9" ht="15" hidden="1" customHeight="1" x14ac:dyDescent="0.25">
      <c r="A1589">
        <v>20822</v>
      </c>
      <c r="B1589" t="s">
        <v>10</v>
      </c>
      <c r="C1589" t="s">
        <v>6155</v>
      </c>
      <c r="D1589" t="str">
        <f t="shared" ref="D1589:D1652" si="112">IF(RIGHT(LEFT(C1589,9),2)="##","",RIGHT(LEFT(C1589,10),2))</f>
        <v/>
      </c>
      <c r="E1589" t="s">
        <v>6156</v>
      </c>
      <c r="F1589" t="str">
        <f t="shared" si="111"/>
        <v>5101563</v>
      </c>
    </row>
    <row r="1590" spans="1:9" ht="15" hidden="1" customHeight="1" x14ac:dyDescent="0.25">
      <c r="A1590">
        <v>20828</v>
      </c>
      <c r="B1590" t="s">
        <v>10</v>
      </c>
      <c r="C1590" t="s">
        <v>6161</v>
      </c>
      <c r="D1590" t="str">
        <f t="shared" si="112"/>
        <v/>
      </c>
      <c r="E1590" t="s">
        <v>6162</v>
      </c>
      <c r="F1590" t="str">
        <f t="shared" si="111"/>
        <v>5101563</v>
      </c>
    </row>
    <row r="1591" spans="1:9" ht="15" hidden="1" customHeight="1" x14ac:dyDescent="0.25">
      <c r="A1591">
        <v>20829</v>
      </c>
      <c r="B1591" t="s">
        <v>10</v>
      </c>
      <c r="C1591" t="s">
        <v>6163</v>
      </c>
      <c r="D1591" t="str">
        <f t="shared" si="112"/>
        <v/>
      </c>
      <c r="E1591" t="s">
        <v>6164</v>
      </c>
      <c r="F1591" t="str">
        <f t="shared" si="111"/>
        <v>5101563</v>
      </c>
    </row>
    <row r="1592" spans="1:9" ht="15" customHeight="1" x14ac:dyDescent="0.25">
      <c r="A1592">
        <v>20754</v>
      </c>
      <c r="B1592" t="s">
        <v>7</v>
      </c>
      <c r="C1592" t="s">
        <v>6069</v>
      </c>
      <c r="D1592" t="str">
        <f t="shared" si="112"/>
        <v/>
      </c>
      <c r="E1592" t="s">
        <v>6070</v>
      </c>
      <c r="F1592" t="str">
        <f t="shared" si="111"/>
        <v>5101565</v>
      </c>
      <c r="H1592">
        <v>4</v>
      </c>
      <c r="I1592">
        <v>1</v>
      </c>
    </row>
    <row r="1593" spans="1:9" ht="15" hidden="1" customHeight="1" x14ac:dyDescent="0.25">
      <c r="A1593">
        <v>20765</v>
      </c>
      <c r="B1593" t="s">
        <v>10</v>
      </c>
      <c r="C1593" t="s">
        <v>6083</v>
      </c>
      <c r="D1593" t="str">
        <f t="shared" si="112"/>
        <v/>
      </c>
      <c r="E1593" t="s">
        <v>6084</v>
      </c>
      <c r="F1593" t="str">
        <f t="shared" si="111"/>
        <v>5101565</v>
      </c>
    </row>
    <row r="1594" spans="1:9" ht="15" hidden="1" customHeight="1" x14ac:dyDescent="0.25">
      <c r="A1594">
        <v>20766</v>
      </c>
      <c r="B1594" t="s">
        <v>10</v>
      </c>
      <c r="C1594" t="s">
        <v>6085</v>
      </c>
      <c r="D1594" t="str">
        <f t="shared" si="112"/>
        <v/>
      </c>
      <c r="E1594" t="s">
        <v>6086</v>
      </c>
      <c r="F1594" t="str">
        <f t="shared" si="111"/>
        <v>5101565</v>
      </c>
    </row>
    <row r="1595" spans="1:9" ht="15" hidden="1" customHeight="1" x14ac:dyDescent="0.25">
      <c r="A1595">
        <v>20767</v>
      </c>
      <c r="B1595" t="s">
        <v>10</v>
      </c>
      <c r="C1595" t="s">
        <v>6087</v>
      </c>
      <c r="D1595" t="str">
        <f t="shared" si="112"/>
        <v/>
      </c>
      <c r="E1595" t="s">
        <v>6088</v>
      </c>
      <c r="F1595" t="str">
        <f t="shared" si="111"/>
        <v>5101565</v>
      </c>
    </row>
    <row r="1596" spans="1:9" ht="15" hidden="1" customHeight="1" x14ac:dyDescent="0.25">
      <c r="A1596">
        <v>20762</v>
      </c>
      <c r="B1596" t="s">
        <v>10</v>
      </c>
      <c r="C1596" t="s">
        <v>6077</v>
      </c>
      <c r="D1596" t="str">
        <f t="shared" si="112"/>
        <v/>
      </c>
      <c r="E1596" t="s">
        <v>6078</v>
      </c>
      <c r="F1596" t="str">
        <f t="shared" si="111"/>
        <v>5101565</v>
      </c>
    </row>
    <row r="1597" spans="1:9" ht="15" hidden="1" customHeight="1" x14ac:dyDescent="0.25">
      <c r="A1597">
        <v>20761</v>
      </c>
      <c r="B1597" t="s">
        <v>10</v>
      </c>
      <c r="C1597" t="s">
        <v>6075</v>
      </c>
      <c r="D1597" t="str">
        <f t="shared" si="112"/>
        <v/>
      </c>
      <c r="E1597" t="s">
        <v>6076</v>
      </c>
      <c r="F1597" t="str">
        <f t="shared" si="111"/>
        <v>5101565</v>
      </c>
    </row>
    <row r="1598" spans="1:9" ht="15" hidden="1" customHeight="1" x14ac:dyDescent="0.25">
      <c r="A1598">
        <v>20760</v>
      </c>
      <c r="B1598" t="s">
        <v>10</v>
      </c>
      <c r="C1598" t="s">
        <v>6073</v>
      </c>
      <c r="D1598" t="str">
        <f t="shared" si="112"/>
        <v/>
      </c>
      <c r="E1598" t="s">
        <v>6074</v>
      </c>
      <c r="F1598" t="str">
        <f t="shared" si="111"/>
        <v>5101565</v>
      </c>
    </row>
    <row r="1599" spans="1:9" ht="15" hidden="1" customHeight="1" x14ac:dyDescent="0.25">
      <c r="A1599">
        <v>20763</v>
      </c>
      <c r="B1599" t="s">
        <v>10</v>
      </c>
      <c r="C1599" t="s">
        <v>6079</v>
      </c>
      <c r="D1599" t="str">
        <f t="shared" si="112"/>
        <v/>
      </c>
      <c r="E1599" t="s">
        <v>6080</v>
      </c>
      <c r="F1599" t="str">
        <f t="shared" si="111"/>
        <v>5101565</v>
      </c>
    </row>
    <row r="1600" spans="1:9" ht="15" hidden="1" customHeight="1" x14ac:dyDescent="0.25">
      <c r="A1600">
        <v>20755</v>
      </c>
      <c r="B1600" t="s">
        <v>10</v>
      </c>
      <c r="C1600" t="s">
        <v>6071</v>
      </c>
      <c r="D1600" t="str">
        <f t="shared" si="112"/>
        <v/>
      </c>
      <c r="E1600" t="s">
        <v>6072</v>
      </c>
      <c r="F1600" t="str">
        <f t="shared" si="111"/>
        <v>5101565</v>
      </c>
    </row>
    <row r="1601" spans="1:9" ht="15" hidden="1" customHeight="1" x14ac:dyDescent="0.25">
      <c r="A1601">
        <v>20764</v>
      </c>
      <c r="B1601" t="s">
        <v>10</v>
      </c>
      <c r="C1601" t="s">
        <v>6081</v>
      </c>
      <c r="D1601" t="str">
        <f t="shared" si="112"/>
        <v/>
      </c>
      <c r="E1601" t="s">
        <v>6082</v>
      </c>
      <c r="F1601" t="str">
        <f t="shared" si="111"/>
        <v>5101565</v>
      </c>
    </row>
    <row r="1602" spans="1:9" ht="15" customHeight="1" x14ac:dyDescent="0.25">
      <c r="A1602">
        <v>20768</v>
      </c>
      <c r="B1602" t="s">
        <v>7</v>
      </c>
      <c r="C1602" t="s">
        <v>6089</v>
      </c>
      <c r="D1602" t="str">
        <f t="shared" si="112"/>
        <v/>
      </c>
      <c r="E1602" t="s">
        <v>6090</v>
      </c>
      <c r="F1602" t="str">
        <f t="shared" si="111"/>
        <v>5101569</v>
      </c>
      <c r="H1602">
        <v>3</v>
      </c>
      <c r="I1602">
        <v>1</v>
      </c>
    </row>
    <row r="1603" spans="1:9" ht="15" hidden="1" customHeight="1" x14ac:dyDescent="0.25">
      <c r="A1603">
        <v>20779</v>
      </c>
      <c r="B1603" t="s">
        <v>10</v>
      </c>
      <c r="C1603" t="s">
        <v>6105</v>
      </c>
      <c r="D1603" t="str">
        <f t="shared" si="112"/>
        <v/>
      </c>
      <c r="E1603" t="s">
        <v>6106</v>
      </c>
      <c r="F1603" t="str">
        <f t="shared" si="111"/>
        <v>5101569</v>
      </c>
    </row>
    <row r="1604" spans="1:9" ht="15" hidden="1" customHeight="1" x14ac:dyDescent="0.25">
      <c r="A1604">
        <v>20780</v>
      </c>
      <c r="B1604" t="s">
        <v>10</v>
      </c>
      <c r="C1604" t="s">
        <v>6107</v>
      </c>
      <c r="D1604" t="str">
        <f t="shared" si="112"/>
        <v/>
      </c>
      <c r="E1604" t="s">
        <v>6108</v>
      </c>
      <c r="F1604" t="str">
        <f t="shared" si="111"/>
        <v>5101569</v>
      </c>
    </row>
    <row r="1605" spans="1:9" ht="15" hidden="1" customHeight="1" x14ac:dyDescent="0.25">
      <c r="A1605">
        <v>20781</v>
      </c>
      <c r="B1605" t="s">
        <v>10</v>
      </c>
      <c r="C1605" t="s">
        <v>6109</v>
      </c>
      <c r="D1605" t="str">
        <f t="shared" si="112"/>
        <v/>
      </c>
      <c r="E1605" t="s">
        <v>6110</v>
      </c>
      <c r="F1605" t="str">
        <f t="shared" si="111"/>
        <v>5101569</v>
      </c>
    </row>
    <row r="1606" spans="1:9" ht="15" hidden="1" customHeight="1" x14ac:dyDescent="0.25">
      <c r="A1606">
        <v>20776</v>
      </c>
      <c r="B1606" t="s">
        <v>10</v>
      </c>
      <c r="C1606" t="s">
        <v>6099</v>
      </c>
      <c r="D1606" t="str">
        <f t="shared" si="112"/>
        <v/>
      </c>
      <c r="E1606" t="s">
        <v>6100</v>
      </c>
      <c r="F1606" t="str">
        <f t="shared" si="111"/>
        <v>5101569</v>
      </c>
    </row>
    <row r="1607" spans="1:9" ht="15" hidden="1" customHeight="1" x14ac:dyDescent="0.25">
      <c r="A1607">
        <v>20775</v>
      </c>
      <c r="B1607" t="s">
        <v>10</v>
      </c>
      <c r="C1607" t="s">
        <v>6097</v>
      </c>
      <c r="D1607" t="str">
        <f t="shared" si="112"/>
        <v/>
      </c>
      <c r="E1607" t="s">
        <v>6098</v>
      </c>
      <c r="F1607" t="str">
        <f t="shared" si="111"/>
        <v>5101569</v>
      </c>
    </row>
    <row r="1608" spans="1:9" ht="15" hidden="1" customHeight="1" x14ac:dyDescent="0.25">
      <c r="A1608">
        <v>20774</v>
      </c>
      <c r="B1608" t="s">
        <v>10</v>
      </c>
      <c r="C1608" t="s">
        <v>6095</v>
      </c>
      <c r="D1608" t="str">
        <f t="shared" si="112"/>
        <v/>
      </c>
      <c r="E1608" t="s">
        <v>6096</v>
      </c>
      <c r="F1608" t="str">
        <f t="shared" si="111"/>
        <v>5101569</v>
      </c>
    </row>
    <row r="1609" spans="1:9" ht="15" hidden="1" customHeight="1" x14ac:dyDescent="0.25">
      <c r="A1609">
        <v>20777</v>
      </c>
      <c r="B1609" t="s">
        <v>10</v>
      </c>
      <c r="C1609" t="s">
        <v>6101</v>
      </c>
      <c r="D1609" t="str">
        <f t="shared" si="112"/>
        <v/>
      </c>
      <c r="E1609" t="s">
        <v>6102</v>
      </c>
      <c r="F1609" t="str">
        <f t="shared" si="111"/>
        <v>5101569</v>
      </c>
    </row>
    <row r="1610" spans="1:9" ht="15" hidden="1" customHeight="1" x14ac:dyDescent="0.25">
      <c r="A1610">
        <v>20773</v>
      </c>
      <c r="B1610" t="s">
        <v>10</v>
      </c>
      <c r="C1610" t="s">
        <v>6093</v>
      </c>
      <c r="D1610" t="str">
        <f t="shared" si="112"/>
        <v/>
      </c>
      <c r="E1610" t="s">
        <v>6094</v>
      </c>
      <c r="F1610" t="str">
        <f t="shared" si="111"/>
        <v>5101569</v>
      </c>
    </row>
    <row r="1611" spans="1:9" ht="15" hidden="1" customHeight="1" x14ac:dyDescent="0.25">
      <c r="A1611">
        <v>20778</v>
      </c>
      <c r="B1611" t="s">
        <v>10</v>
      </c>
      <c r="C1611" t="s">
        <v>6103</v>
      </c>
      <c r="D1611" t="str">
        <f t="shared" si="112"/>
        <v/>
      </c>
      <c r="E1611" t="s">
        <v>6104</v>
      </c>
      <c r="F1611" t="str">
        <f t="shared" si="111"/>
        <v>5101569</v>
      </c>
    </row>
    <row r="1612" spans="1:9" ht="15" hidden="1" customHeight="1" x14ac:dyDescent="0.25">
      <c r="A1612">
        <v>20769</v>
      </c>
      <c r="B1612" t="s">
        <v>10</v>
      </c>
      <c r="C1612" t="s">
        <v>6091</v>
      </c>
      <c r="D1612" t="str">
        <f t="shared" si="112"/>
        <v/>
      </c>
      <c r="E1612" t="s">
        <v>6092</v>
      </c>
      <c r="F1612" t="str">
        <f t="shared" si="111"/>
        <v>5101569</v>
      </c>
    </row>
    <row r="1613" spans="1:9" ht="15" customHeight="1" x14ac:dyDescent="0.25">
      <c r="A1613">
        <v>14843</v>
      </c>
      <c r="B1613" t="s">
        <v>7</v>
      </c>
      <c r="C1613" t="s">
        <v>241</v>
      </c>
      <c r="D1613" t="str">
        <f t="shared" si="112"/>
        <v/>
      </c>
      <c r="E1613" t="s">
        <v>242</v>
      </c>
      <c r="F1613" t="str">
        <f t="shared" si="111"/>
        <v>5101556</v>
      </c>
      <c r="H1613">
        <v>16</v>
      </c>
      <c r="I1613">
        <v>1</v>
      </c>
    </row>
    <row r="1614" spans="1:9" hidden="1" x14ac:dyDescent="0.25">
      <c r="A1614">
        <v>14861</v>
      </c>
      <c r="B1614" t="s">
        <v>10</v>
      </c>
      <c r="C1614" t="s">
        <v>245</v>
      </c>
      <c r="D1614" t="str">
        <f t="shared" si="112"/>
        <v/>
      </c>
      <c r="E1614" t="s">
        <v>246</v>
      </c>
      <c r="F1614" t="str">
        <f t="shared" si="111"/>
        <v>5101556</v>
      </c>
    </row>
    <row r="1615" spans="1:9" hidden="1" x14ac:dyDescent="0.25">
      <c r="A1615">
        <v>14844</v>
      </c>
      <c r="B1615" t="s">
        <v>10</v>
      </c>
      <c r="C1615" t="s">
        <v>243</v>
      </c>
      <c r="D1615" t="str">
        <f t="shared" si="112"/>
        <v/>
      </c>
      <c r="E1615" t="s">
        <v>244</v>
      </c>
      <c r="F1615" t="str">
        <f t="shared" si="111"/>
        <v>5101556</v>
      </c>
    </row>
    <row r="1616" spans="1:9" hidden="1" x14ac:dyDescent="0.25">
      <c r="A1616">
        <v>14862</v>
      </c>
      <c r="B1616" t="s">
        <v>10</v>
      </c>
      <c r="C1616" t="s">
        <v>247</v>
      </c>
      <c r="D1616" t="str">
        <f t="shared" si="112"/>
        <v/>
      </c>
      <c r="E1616" t="s">
        <v>248</v>
      </c>
      <c r="F1616" t="str">
        <f t="shared" si="111"/>
        <v>5101556</v>
      </c>
    </row>
    <row r="1617" spans="1:8" hidden="1" x14ac:dyDescent="0.25">
      <c r="A1617">
        <v>16041</v>
      </c>
      <c r="B1617" t="s">
        <v>4</v>
      </c>
      <c r="C1617" t="s">
        <v>1270</v>
      </c>
      <c r="D1617" t="str">
        <f t="shared" si="112"/>
        <v/>
      </c>
      <c r="E1617" t="s">
        <v>1271</v>
      </c>
      <c r="F1617" t="str">
        <f t="shared" si="111"/>
        <v>8702661</v>
      </c>
      <c r="H1617">
        <v>4</v>
      </c>
    </row>
    <row r="1618" spans="1:8" hidden="1" x14ac:dyDescent="0.25">
      <c r="A1618">
        <v>18992</v>
      </c>
      <c r="B1618" t="s">
        <v>4</v>
      </c>
      <c r="C1618" t="s">
        <v>4139</v>
      </c>
      <c r="D1618" t="str">
        <f t="shared" si="112"/>
        <v/>
      </c>
      <c r="E1618" t="s">
        <v>4140</v>
      </c>
      <c r="F1618" t="str">
        <f t="shared" si="111"/>
        <v>8708115</v>
      </c>
      <c r="H1618">
        <v>3</v>
      </c>
    </row>
    <row r="1619" spans="1:8" hidden="1" x14ac:dyDescent="0.25">
      <c r="A1619">
        <v>14650</v>
      </c>
      <c r="B1619" t="s">
        <v>4</v>
      </c>
      <c r="C1619" t="s">
        <v>23</v>
      </c>
      <c r="D1619" t="str">
        <f t="shared" si="112"/>
        <v/>
      </c>
      <c r="E1619" t="s">
        <v>24</v>
      </c>
      <c r="F1619" t="str">
        <f t="shared" si="111"/>
        <v>5101013</v>
      </c>
      <c r="H1619">
        <v>9</v>
      </c>
    </row>
    <row r="1620" spans="1:8" hidden="1" x14ac:dyDescent="0.25">
      <c r="A1620">
        <v>19870</v>
      </c>
      <c r="B1620" t="s">
        <v>4</v>
      </c>
      <c r="C1620" t="s">
        <v>5297</v>
      </c>
      <c r="D1620" t="str">
        <f t="shared" si="112"/>
        <v/>
      </c>
      <c r="E1620" t="s">
        <v>5298</v>
      </c>
      <c r="F1620" t="str">
        <f t="shared" si="111"/>
        <v>8520100</v>
      </c>
      <c r="H1620">
        <v>1</v>
      </c>
    </row>
    <row r="1621" spans="1:8" hidden="1" x14ac:dyDescent="0.25">
      <c r="A1621">
        <v>18975</v>
      </c>
      <c r="B1621" t="s">
        <v>4</v>
      </c>
      <c r="C1621" t="s">
        <v>4131</v>
      </c>
      <c r="D1621" t="str">
        <f t="shared" si="112"/>
        <v/>
      </c>
      <c r="E1621" t="s">
        <v>4132</v>
      </c>
      <c r="F1621" t="str">
        <f t="shared" si="111"/>
        <v>8612793</v>
      </c>
      <c r="H1621">
        <v>2</v>
      </c>
    </row>
    <row r="1622" spans="1:8" hidden="1" x14ac:dyDescent="0.25">
      <c r="A1622">
        <v>18978</v>
      </c>
      <c r="B1622" t="s">
        <v>4</v>
      </c>
      <c r="C1622" t="s">
        <v>4133</v>
      </c>
      <c r="D1622" t="str">
        <f t="shared" si="112"/>
        <v/>
      </c>
      <c r="E1622" t="s">
        <v>4134</v>
      </c>
      <c r="F1622" s="3" t="s">
        <v>6983</v>
      </c>
      <c r="H1622">
        <v>2</v>
      </c>
    </row>
    <row r="1623" spans="1:8" hidden="1" x14ac:dyDescent="0.25">
      <c r="A1623">
        <v>16246</v>
      </c>
      <c r="B1623" t="s">
        <v>4</v>
      </c>
      <c r="C1623" t="s">
        <v>1376</v>
      </c>
      <c r="D1623" t="str">
        <f t="shared" si="112"/>
        <v/>
      </c>
      <c r="E1623" t="s">
        <v>1377</v>
      </c>
      <c r="F1623" t="str">
        <f>LEFT(C1623,7)</f>
        <v>8612052</v>
      </c>
      <c r="H1623">
        <v>2</v>
      </c>
    </row>
    <row r="1624" spans="1:8" hidden="1" x14ac:dyDescent="0.25">
      <c r="A1624">
        <v>16237</v>
      </c>
      <c r="B1624" t="s">
        <v>4</v>
      </c>
      <c r="C1624" t="s">
        <v>1372</v>
      </c>
      <c r="D1624" t="str">
        <f t="shared" si="112"/>
        <v/>
      </c>
      <c r="E1624" t="s">
        <v>1373</v>
      </c>
      <c r="F1624" t="str">
        <f>LEFT(C1624,7)</f>
        <v>8612053</v>
      </c>
      <c r="H1624">
        <v>3</v>
      </c>
    </row>
    <row r="1625" spans="1:8" hidden="1" x14ac:dyDescent="0.25">
      <c r="A1625">
        <v>15525</v>
      </c>
      <c r="B1625" t="s">
        <v>4</v>
      </c>
      <c r="C1625" t="s">
        <v>911</v>
      </c>
      <c r="D1625" t="str">
        <f t="shared" si="112"/>
        <v/>
      </c>
      <c r="E1625" t="s">
        <v>912</v>
      </c>
      <c r="F1625" t="str">
        <f>LEFT(C1625,7)</f>
        <v>8612054</v>
      </c>
      <c r="H1625">
        <v>3</v>
      </c>
    </row>
    <row r="1626" spans="1:8" hidden="1" x14ac:dyDescent="0.25">
      <c r="A1626">
        <v>16250</v>
      </c>
      <c r="B1626" t="s">
        <v>4</v>
      </c>
      <c r="C1626" t="s">
        <v>1378</v>
      </c>
      <c r="D1626" t="str">
        <f t="shared" si="112"/>
        <v/>
      </c>
      <c r="E1626" t="s">
        <v>1379</v>
      </c>
      <c r="F1626" t="str">
        <f>LEFT(C1626,7)</f>
        <v>8612055</v>
      </c>
      <c r="H1626">
        <v>9</v>
      </c>
    </row>
    <row r="1627" spans="1:8" hidden="1" x14ac:dyDescent="0.25">
      <c r="A1627">
        <v>18981</v>
      </c>
      <c r="B1627" t="s">
        <v>4</v>
      </c>
      <c r="C1627" t="s">
        <v>4135</v>
      </c>
      <c r="D1627" t="str">
        <f t="shared" si="112"/>
        <v/>
      </c>
      <c r="E1627" t="s">
        <v>4136</v>
      </c>
      <c r="F1627" t="str">
        <f>LEFT(C1627,7)</f>
        <v>8612523</v>
      </c>
      <c r="H1627">
        <v>3</v>
      </c>
    </row>
    <row r="1628" spans="1:8" ht="15" hidden="1" customHeight="1" x14ac:dyDescent="0.25">
      <c r="A1628">
        <v>18989</v>
      </c>
      <c r="B1628" t="s">
        <v>4</v>
      </c>
      <c r="C1628" t="s">
        <v>4137</v>
      </c>
      <c r="D1628" t="str">
        <f t="shared" si="112"/>
        <v/>
      </c>
      <c r="E1628" t="s">
        <v>4138</v>
      </c>
      <c r="F1628" t="s">
        <v>6984</v>
      </c>
      <c r="H1628">
        <v>3</v>
      </c>
    </row>
    <row r="1629" spans="1:8" ht="15" hidden="1" customHeight="1" x14ac:dyDescent="0.25">
      <c r="A1629">
        <v>15282</v>
      </c>
      <c r="B1629" t="s">
        <v>4</v>
      </c>
      <c r="C1629" t="s">
        <v>733</v>
      </c>
      <c r="D1629" t="str">
        <f t="shared" si="112"/>
        <v/>
      </c>
      <c r="E1629" t="s">
        <v>734</v>
      </c>
      <c r="F1629" t="str">
        <f t="shared" ref="F1629:F1660" si="113">LEFT(C1629,7)</f>
        <v>8612600</v>
      </c>
      <c r="H1629">
        <v>2</v>
      </c>
    </row>
    <row r="1630" spans="1:8" ht="15" hidden="1" customHeight="1" x14ac:dyDescent="0.25">
      <c r="A1630">
        <v>16242</v>
      </c>
      <c r="B1630" t="s">
        <v>4</v>
      </c>
      <c r="C1630" t="s">
        <v>1374</v>
      </c>
      <c r="D1630" t="str">
        <f t="shared" si="112"/>
        <v/>
      </c>
      <c r="E1630" t="s">
        <v>1375</v>
      </c>
      <c r="F1630" t="str">
        <f t="shared" si="113"/>
        <v>8612051</v>
      </c>
      <c r="H1630">
        <v>2</v>
      </c>
    </row>
    <row r="1631" spans="1:8" ht="15" customHeight="1" x14ac:dyDescent="0.25">
      <c r="A1631">
        <v>18520</v>
      </c>
      <c r="B1631" t="s">
        <v>7</v>
      </c>
      <c r="C1631" t="s">
        <v>3699</v>
      </c>
      <c r="D1631" t="str">
        <f t="shared" si="112"/>
        <v/>
      </c>
      <c r="E1631" t="s">
        <v>3700</v>
      </c>
      <c r="F1631" t="str">
        <f t="shared" si="113"/>
        <v>8303130</v>
      </c>
      <c r="H1631">
        <v>3</v>
      </c>
    </row>
    <row r="1632" spans="1:8" hidden="1" x14ac:dyDescent="0.25">
      <c r="A1632">
        <v>18521</v>
      </c>
      <c r="B1632" t="s">
        <v>10</v>
      </c>
      <c r="C1632" t="s">
        <v>3701</v>
      </c>
      <c r="D1632" t="str">
        <f t="shared" si="112"/>
        <v/>
      </c>
      <c r="E1632" t="s">
        <v>3702</v>
      </c>
      <c r="F1632" t="str">
        <f t="shared" si="113"/>
        <v>8303130</v>
      </c>
    </row>
    <row r="1633" spans="1:8" hidden="1" x14ac:dyDescent="0.25">
      <c r="A1633">
        <v>18522</v>
      </c>
      <c r="B1633" t="s">
        <v>10</v>
      </c>
      <c r="C1633" t="s">
        <v>3703</v>
      </c>
      <c r="D1633" t="str">
        <f t="shared" si="112"/>
        <v/>
      </c>
      <c r="E1633" t="s">
        <v>3704</v>
      </c>
      <c r="F1633" t="str">
        <f t="shared" si="113"/>
        <v>8303130</v>
      </c>
    </row>
    <row r="1634" spans="1:8" hidden="1" x14ac:dyDescent="0.25">
      <c r="A1634">
        <v>18523</v>
      </c>
      <c r="B1634" t="s">
        <v>10</v>
      </c>
      <c r="C1634" t="s">
        <v>3705</v>
      </c>
      <c r="D1634" t="str">
        <f t="shared" si="112"/>
        <v/>
      </c>
      <c r="E1634" t="s">
        <v>3706</v>
      </c>
      <c r="F1634" t="str">
        <f t="shared" si="113"/>
        <v>8303130</v>
      </c>
    </row>
    <row r="1635" spans="1:8" ht="15" hidden="1" customHeight="1" x14ac:dyDescent="0.25">
      <c r="A1635">
        <v>16806</v>
      </c>
      <c r="B1635" t="s">
        <v>4</v>
      </c>
      <c r="C1635" t="s">
        <v>1716</v>
      </c>
      <c r="D1635" t="str">
        <f t="shared" si="112"/>
        <v/>
      </c>
      <c r="E1635" t="s">
        <v>1717</v>
      </c>
      <c r="F1635" t="str">
        <f t="shared" si="113"/>
        <v>8303902</v>
      </c>
      <c r="H1635">
        <v>3</v>
      </c>
    </row>
    <row r="1636" spans="1:8" ht="15" hidden="1" customHeight="1" x14ac:dyDescent="0.25">
      <c r="A1636">
        <v>16929</v>
      </c>
      <c r="B1636" t="s">
        <v>4</v>
      </c>
      <c r="C1636" t="s">
        <v>1840</v>
      </c>
      <c r="D1636" t="str">
        <f t="shared" si="112"/>
        <v/>
      </c>
      <c r="E1636" t="s">
        <v>1841</v>
      </c>
      <c r="F1636" t="str">
        <f t="shared" si="113"/>
        <v>8203124</v>
      </c>
      <c r="H1636">
        <v>6</v>
      </c>
    </row>
    <row r="1637" spans="1:8" ht="15" hidden="1" customHeight="1" x14ac:dyDescent="0.25">
      <c r="A1637">
        <v>16801</v>
      </c>
      <c r="B1637" t="s">
        <v>4</v>
      </c>
      <c r="C1637" t="s">
        <v>1714</v>
      </c>
      <c r="D1637" t="str">
        <f t="shared" si="112"/>
        <v/>
      </c>
      <c r="E1637" t="s">
        <v>1715</v>
      </c>
      <c r="F1637" t="str">
        <f t="shared" si="113"/>
        <v>8303113</v>
      </c>
      <c r="H1637">
        <v>3</v>
      </c>
    </row>
    <row r="1638" spans="1:8" ht="15" customHeight="1" x14ac:dyDescent="0.25">
      <c r="A1638">
        <v>16845</v>
      </c>
      <c r="B1638" t="s">
        <v>7</v>
      </c>
      <c r="C1638" t="s">
        <v>1748</v>
      </c>
      <c r="D1638" t="str">
        <f t="shared" si="112"/>
        <v/>
      </c>
      <c r="E1638" t="s">
        <v>1749</v>
      </c>
      <c r="F1638" t="str">
        <f t="shared" si="113"/>
        <v>8303129</v>
      </c>
      <c r="H1638">
        <v>3</v>
      </c>
    </row>
    <row r="1639" spans="1:8" hidden="1" x14ac:dyDescent="0.25">
      <c r="A1639">
        <v>16846</v>
      </c>
      <c r="B1639" t="s">
        <v>10</v>
      </c>
      <c r="C1639" t="s">
        <v>1750</v>
      </c>
      <c r="D1639" t="str">
        <f t="shared" si="112"/>
        <v/>
      </c>
      <c r="E1639" t="s">
        <v>1751</v>
      </c>
      <c r="F1639" t="str">
        <f t="shared" si="113"/>
        <v>8303129</v>
      </c>
    </row>
    <row r="1640" spans="1:8" hidden="1" x14ac:dyDescent="0.25">
      <c r="A1640">
        <v>16847</v>
      </c>
      <c r="B1640" t="s">
        <v>10</v>
      </c>
      <c r="C1640" t="s">
        <v>1752</v>
      </c>
      <c r="D1640" t="str">
        <f t="shared" si="112"/>
        <v/>
      </c>
      <c r="E1640" t="s">
        <v>1753</v>
      </c>
      <c r="F1640" t="str">
        <f t="shared" si="113"/>
        <v>8303129</v>
      </c>
    </row>
    <row r="1641" spans="1:8" hidden="1" x14ac:dyDescent="0.25">
      <c r="A1641">
        <v>16848</v>
      </c>
      <c r="B1641" t="s">
        <v>10</v>
      </c>
      <c r="C1641" t="s">
        <v>1754</v>
      </c>
      <c r="D1641" t="str">
        <f t="shared" si="112"/>
        <v/>
      </c>
      <c r="E1641" t="s">
        <v>1755</v>
      </c>
      <c r="F1641" t="str">
        <f t="shared" si="113"/>
        <v>8303129</v>
      </c>
    </row>
    <row r="1642" spans="1:8" hidden="1" x14ac:dyDescent="0.25">
      <c r="A1642">
        <v>16849</v>
      </c>
      <c r="B1642" t="s">
        <v>4</v>
      </c>
      <c r="C1642" t="s">
        <v>1756</v>
      </c>
      <c r="D1642" t="str">
        <f t="shared" si="112"/>
        <v/>
      </c>
      <c r="E1642" t="s">
        <v>1757</v>
      </c>
      <c r="F1642" t="str">
        <f t="shared" si="113"/>
        <v>8303005</v>
      </c>
      <c r="H1642">
        <v>3</v>
      </c>
    </row>
    <row r="1643" spans="1:8" ht="15" hidden="1" customHeight="1" x14ac:dyDescent="0.25">
      <c r="A1643">
        <v>18514</v>
      </c>
      <c r="B1643" t="s">
        <v>4</v>
      </c>
      <c r="C1643" t="s">
        <v>3697</v>
      </c>
      <c r="D1643" t="str">
        <f t="shared" si="112"/>
        <v/>
      </c>
      <c r="E1643" t="s">
        <v>3698</v>
      </c>
      <c r="F1643" t="str">
        <f t="shared" si="113"/>
        <v>8303674</v>
      </c>
      <c r="H1643">
        <v>3</v>
      </c>
    </row>
    <row r="1644" spans="1:8" ht="15" hidden="1" customHeight="1" x14ac:dyDescent="0.25">
      <c r="A1644">
        <v>18511</v>
      </c>
      <c r="B1644" t="s">
        <v>4</v>
      </c>
      <c r="C1644" t="s">
        <v>3695</v>
      </c>
      <c r="D1644" t="str">
        <f t="shared" si="112"/>
        <v/>
      </c>
      <c r="E1644" t="s">
        <v>3696</v>
      </c>
      <c r="F1644" t="str">
        <f t="shared" si="113"/>
        <v>8303544</v>
      </c>
      <c r="H1644">
        <v>3</v>
      </c>
    </row>
    <row r="1645" spans="1:8" ht="15" hidden="1" customHeight="1" x14ac:dyDescent="0.25">
      <c r="A1645">
        <v>21088</v>
      </c>
      <c r="B1645" t="s">
        <v>4</v>
      </c>
      <c r="C1645" t="s">
        <v>6497</v>
      </c>
      <c r="D1645" t="str">
        <f t="shared" si="112"/>
        <v/>
      </c>
      <c r="E1645" t="s">
        <v>6498</v>
      </c>
      <c r="F1645" t="str">
        <f t="shared" si="113"/>
        <v>8303900</v>
      </c>
      <c r="H1645">
        <v>3</v>
      </c>
    </row>
    <row r="1646" spans="1:8" ht="15" customHeight="1" x14ac:dyDescent="0.25">
      <c r="A1646">
        <v>19072</v>
      </c>
      <c r="B1646" t="s">
        <v>7</v>
      </c>
      <c r="C1646" t="s">
        <v>4260</v>
      </c>
      <c r="D1646" t="str">
        <f t="shared" si="112"/>
        <v/>
      </c>
      <c r="E1646" t="s">
        <v>4261</v>
      </c>
      <c r="F1646" t="str">
        <f t="shared" si="113"/>
        <v>8303120</v>
      </c>
      <c r="H1646">
        <v>8</v>
      </c>
    </row>
    <row r="1647" spans="1:8" ht="15" hidden="1" customHeight="1" x14ac:dyDescent="0.25">
      <c r="A1647">
        <v>19073</v>
      </c>
      <c r="B1647" t="s">
        <v>10</v>
      </c>
      <c r="C1647" t="s">
        <v>4262</v>
      </c>
      <c r="D1647" t="str">
        <f t="shared" si="112"/>
        <v/>
      </c>
      <c r="E1647" t="s">
        <v>4263</v>
      </c>
      <c r="F1647" t="str">
        <f t="shared" si="113"/>
        <v>8303120</v>
      </c>
    </row>
    <row r="1648" spans="1:8" ht="15" hidden="1" customHeight="1" x14ac:dyDescent="0.25">
      <c r="A1648">
        <v>19074</v>
      </c>
      <c r="B1648" t="s">
        <v>10</v>
      </c>
      <c r="C1648" t="s">
        <v>4264</v>
      </c>
      <c r="D1648" t="str">
        <f t="shared" si="112"/>
        <v/>
      </c>
      <c r="E1648" t="s">
        <v>4265</v>
      </c>
      <c r="F1648" t="str">
        <f t="shared" si="113"/>
        <v>8303120</v>
      </c>
    </row>
    <row r="1649" spans="1:9" ht="15" hidden="1" customHeight="1" x14ac:dyDescent="0.25">
      <c r="A1649">
        <v>19075</v>
      </c>
      <c r="B1649" t="s">
        <v>10</v>
      </c>
      <c r="C1649" t="s">
        <v>4266</v>
      </c>
      <c r="D1649" t="str">
        <f t="shared" si="112"/>
        <v/>
      </c>
      <c r="E1649" t="s">
        <v>4267</v>
      </c>
      <c r="F1649" t="str">
        <f t="shared" si="113"/>
        <v>8303120</v>
      </c>
    </row>
    <row r="1650" spans="1:9" ht="15" customHeight="1" x14ac:dyDescent="0.25">
      <c r="A1650">
        <v>16811</v>
      </c>
      <c r="B1650" t="s">
        <v>7</v>
      </c>
      <c r="C1650" t="s">
        <v>1718</v>
      </c>
      <c r="D1650" t="str">
        <f t="shared" si="112"/>
        <v/>
      </c>
      <c r="E1650" t="s">
        <v>1719</v>
      </c>
      <c r="F1650" t="str">
        <f t="shared" si="113"/>
        <v>8303123</v>
      </c>
      <c r="H1650">
        <v>4</v>
      </c>
    </row>
    <row r="1651" spans="1:9" ht="15" hidden="1" customHeight="1" x14ac:dyDescent="0.25">
      <c r="A1651">
        <v>16812</v>
      </c>
      <c r="B1651" t="s">
        <v>10</v>
      </c>
      <c r="C1651" t="s">
        <v>1720</v>
      </c>
      <c r="D1651" t="str">
        <f t="shared" si="112"/>
        <v/>
      </c>
      <c r="E1651" t="s">
        <v>1721</v>
      </c>
      <c r="F1651" t="str">
        <f t="shared" si="113"/>
        <v>8303123</v>
      </c>
    </row>
    <row r="1652" spans="1:9" ht="15" hidden="1" customHeight="1" x14ac:dyDescent="0.25">
      <c r="A1652">
        <v>16813</v>
      </c>
      <c r="B1652" t="s">
        <v>10</v>
      </c>
      <c r="C1652" t="s">
        <v>1722</v>
      </c>
      <c r="D1652" t="str">
        <f t="shared" si="112"/>
        <v/>
      </c>
      <c r="E1652" t="s">
        <v>1723</v>
      </c>
      <c r="F1652" t="str">
        <f t="shared" si="113"/>
        <v>8303123</v>
      </c>
    </row>
    <row r="1653" spans="1:9" ht="15" hidden="1" customHeight="1" x14ac:dyDescent="0.25">
      <c r="A1653">
        <v>16814</v>
      </c>
      <c r="B1653" t="s">
        <v>10</v>
      </c>
      <c r="C1653" t="s">
        <v>1724</v>
      </c>
      <c r="D1653" t="str">
        <f t="shared" ref="D1653:D1716" si="114">IF(RIGHT(LEFT(C1653,9),2)="##","",RIGHT(LEFT(C1653,10),2))</f>
        <v/>
      </c>
      <c r="E1653" t="s">
        <v>1725</v>
      </c>
      <c r="F1653" t="str">
        <f t="shared" si="113"/>
        <v>8303123</v>
      </c>
    </row>
    <row r="1654" spans="1:9" ht="15" hidden="1" customHeight="1" x14ac:dyDescent="0.25">
      <c r="A1654">
        <v>16815</v>
      </c>
      <c r="B1654" t="s">
        <v>10</v>
      </c>
      <c r="C1654" t="s">
        <v>1726</v>
      </c>
      <c r="D1654" t="str">
        <f t="shared" si="114"/>
        <v/>
      </c>
      <c r="E1654" t="s">
        <v>1727</v>
      </c>
      <c r="F1654" t="str">
        <f t="shared" si="113"/>
        <v>8303123</v>
      </c>
    </row>
    <row r="1655" spans="1:9" hidden="1" x14ac:dyDescent="0.25">
      <c r="A1655">
        <v>16816</v>
      </c>
      <c r="B1655" t="s">
        <v>10</v>
      </c>
      <c r="C1655" t="s">
        <v>1728</v>
      </c>
      <c r="D1655" t="str">
        <f t="shared" si="114"/>
        <v/>
      </c>
      <c r="E1655" t="s">
        <v>1729</v>
      </c>
      <c r="F1655" t="str">
        <f t="shared" si="113"/>
        <v>8303123</v>
      </c>
    </row>
    <row r="1656" spans="1:9" ht="15" hidden="1" customHeight="1" x14ac:dyDescent="0.25">
      <c r="A1656">
        <v>16817</v>
      </c>
      <c r="B1656" t="s">
        <v>10</v>
      </c>
      <c r="C1656" t="s">
        <v>1730</v>
      </c>
      <c r="D1656" t="str">
        <f t="shared" si="114"/>
        <v/>
      </c>
      <c r="E1656" t="s">
        <v>1731</v>
      </c>
      <c r="F1656" t="str">
        <f t="shared" si="113"/>
        <v>8303123</v>
      </c>
    </row>
    <row r="1657" spans="1:9" ht="15" hidden="1" customHeight="1" x14ac:dyDescent="0.25">
      <c r="A1657">
        <v>16818</v>
      </c>
      <c r="B1657" t="s">
        <v>10</v>
      </c>
      <c r="C1657" t="s">
        <v>1732</v>
      </c>
      <c r="D1657" t="str">
        <f t="shared" si="114"/>
        <v/>
      </c>
      <c r="E1657" t="s">
        <v>1733</v>
      </c>
      <c r="F1657" t="str">
        <f t="shared" si="113"/>
        <v>8303123</v>
      </c>
    </row>
    <row r="1658" spans="1:9" ht="15" hidden="1" customHeight="1" x14ac:dyDescent="0.25">
      <c r="A1658">
        <v>17006</v>
      </c>
      <c r="B1658" t="s">
        <v>4</v>
      </c>
      <c r="C1658" t="s">
        <v>1904</v>
      </c>
      <c r="D1658" t="str">
        <f t="shared" si="114"/>
        <v/>
      </c>
      <c r="E1658" t="s">
        <v>1905</v>
      </c>
      <c r="F1658" t="str">
        <f t="shared" si="113"/>
        <v>5101625</v>
      </c>
      <c r="H1658">
        <v>2</v>
      </c>
      <c r="I1658">
        <v>1</v>
      </c>
    </row>
    <row r="1659" spans="1:9" ht="15" customHeight="1" x14ac:dyDescent="0.25">
      <c r="A1659">
        <v>19581</v>
      </c>
      <c r="B1659" t="s">
        <v>7</v>
      </c>
      <c r="C1659" t="s">
        <v>4915</v>
      </c>
      <c r="D1659" t="str">
        <f t="shared" si="114"/>
        <v/>
      </c>
      <c r="E1659" t="s">
        <v>4916</v>
      </c>
      <c r="F1659" t="str">
        <f t="shared" si="113"/>
        <v>5102001</v>
      </c>
      <c r="H1659">
        <v>3</v>
      </c>
    </row>
    <row r="1660" spans="1:9" ht="15" hidden="1" customHeight="1" x14ac:dyDescent="0.25">
      <c r="A1660">
        <v>19586</v>
      </c>
      <c r="B1660" t="s">
        <v>10</v>
      </c>
      <c r="C1660" t="s">
        <v>4925</v>
      </c>
      <c r="D1660" t="str">
        <f t="shared" si="114"/>
        <v/>
      </c>
      <c r="E1660" t="s">
        <v>4926</v>
      </c>
      <c r="F1660" t="str">
        <f t="shared" si="113"/>
        <v>5102001</v>
      </c>
    </row>
    <row r="1661" spans="1:9" ht="15" hidden="1" customHeight="1" x14ac:dyDescent="0.25">
      <c r="A1661">
        <v>19585</v>
      </c>
      <c r="B1661" t="s">
        <v>10</v>
      </c>
      <c r="C1661" t="s">
        <v>4923</v>
      </c>
      <c r="D1661" t="str">
        <f t="shared" si="114"/>
        <v/>
      </c>
      <c r="E1661" t="s">
        <v>4924</v>
      </c>
      <c r="F1661" t="str">
        <f t="shared" ref="F1661:F1692" si="115">LEFT(C1661,7)</f>
        <v>5102001</v>
      </c>
    </row>
    <row r="1662" spans="1:9" ht="15" hidden="1" customHeight="1" x14ac:dyDescent="0.25">
      <c r="A1662">
        <v>19584</v>
      </c>
      <c r="B1662" t="s">
        <v>10</v>
      </c>
      <c r="C1662" t="s">
        <v>4921</v>
      </c>
      <c r="D1662" t="str">
        <f t="shared" si="114"/>
        <v/>
      </c>
      <c r="E1662" t="s">
        <v>4922</v>
      </c>
      <c r="F1662" t="str">
        <f t="shared" si="115"/>
        <v>5102001</v>
      </c>
    </row>
    <row r="1663" spans="1:9" ht="15" hidden="1" customHeight="1" x14ac:dyDescent="0.25">
      <c r="A1663">
        <v>19587</v>
      </c>
      <c r="B1663" t="s">
        <v>10</v>
      </c>
      <c r="C1663" t="s">
        <v>4927</v>
      </c>
      <c r="D1663" t="str">
        <f t="shared" si="114"/>
        <v/>
      </c>
      <c r="E1663" t="s">
        <v>4928</v>
      </c>
      <c r="F1663" t="str">
        <f t="shared" si="115"/>
        <v>5102001</v>
      </c>
    </row>
    <row r="1664" spans="1:9" hidden="1" x14ac:dyDescent="0.25">
      <c r="A1664">
        <v>19583</v>
      </c>
      <c r="B1664" t="s">
        <v>10</v>
      </c>
      <c r="C1664" t="s">
        <v>4919</v>
      </c>
      <c r="D1664" t="str">
        <f t="shared" si="114"/>
        <v/>
      </c>
      <c r="E1664" t="s">
        <v>4920</v>
      </c>
      <c r="F1664" t="str">
        <f t="shared" si="115"/>
        <v>5102001</v>
      </c>
    </row>
    <row r="1665" spans="1:9" ht="15" hidden="1" customHeight="1" x14ac:dyDescent="0.25">
      <c r="A1665">
        <v>19588</v>
      </c>
      <c r="B1665" t="s">
        <v>10</v>
      </c>
      <c r="C1665" t="s">
        <v>4929</v>
      </c>
      <c r="D1665" t="str">
        <f t="shared" si="114"/>
        <v/>
      </c>
      <c r="E1665" t="s">
        <v>4930</v>
      </c>
      <c r="F1665" t="str">
        <f t="shared" si="115"/>
        <v>5102001</v>
      </c>
    </row>
    <row r="1666" spans="1:9" ht="15" hidden="1" customHeight="1" x14ac:dyDescent="0.25">
      <c r="A1666">
        <v>19582</v>
      </c>
      <c r="B1666" t="s">
        <v>10</v>
      </c>
      <c r="C1666" t="s">
        <v>4917</v>
      </c>
      <c r="D1666" t="str">
        <f t="shared" si="114"/>
        <v/>
      </c>
      <c r="E1666" t="s">
        <v>4918</v>
      </c>
      <c r="F1666" t="str">
        <f t="shared" si="115"/>
        <v>5102001</v>
      </c>
    </row>
    <row r="1667" spans="1:9" ht="15" hidden="1" customHeight="1" x14ac:dyDescent="0.25">
      <c r="A1667">
        <v>16675</v>
      </c>
      <c r="B1667" t="s">
        <v>4</v>
      </c>
      <c r="C1667" t="s">
        <v>1594</v>
      </c>
      <c r="D1667" t="str">
        <f t="shared" si="114"/>
        <v/>
      </c>
      <c r="E1667" t="s">
        <v>1595</v>
      </c>
      <c r="F1667" t="str">
        <f t="shared" si="115"/>
        <v>2401242</v>
      </c>
      <c r="H1667">
        <v>3</v>
      </c>
    </row>
    <row r="1668" spans="1:9" ht="15" customHeight="1" x14ac:dyDescent="0.25">
      <c r="A1668">
        <v>16190</v>
      </c>
      <c r="B1668" t="s">
        <v>7</v>
      </c>
      <c r="C1668" t="s">
        <v>1342</v>
      </c>
      <c r="D1668" t="str">
        <f t="shared" si="114"/>
        <v/>
      </c>
      <c r="E1668" t="s">
        <v>1343</v>
      </c>
      <c r="F1668" t="str">
        <f t="shared" si="115"/>
        <v>2401249</v>
      </c>
      <c r="H1668">
        <v>8</v>
      </c>
    </row>
    <row r="1669" spans="1:9" ht="15" hidden="1" customHeight="1" x14ac:dyDescent="0.25">
      <c r="A1669">
        <v>16191</v>
      </c>
      <c r="B1669" t="s">
        <v>10</v>
      </c>
      <c r="C1669" t="s">
        <v>1344</v>
      </c>
      <c r="D1669" t="str">
        <f t="shared" si="114"/>
        <v/>
      </c>
      <c r="E1669" t="s">
        <v>1345</v>
      </c>
      <c r="F1669" t="str">
        <f t="shared" si="115"/>
        <v>2401249</v>
      </c>
    </row>
    <row r="1670" spans="1:9" ht="15" hidden="1" customHeight="1" x14ac:dyDescent="0.25">
      <c r="A1670">
        <v>16197</v>
      </c>
      <c r="B1670" t="s">
        <v>10</v>
      </c>
      <c r="C1670" t="s">
        <v>1346</v>
      </c>
      <c r="D1670" t="str">
        <f t="shared" si="114"/>
        <v/>
      </c>
      <c r="E1670" t="s">
        <v>1347</v>
      </c>
      <c r="F1670" t="str">
        <f t="shared" si="115"/>
        <v>2401249</v>
      </c>
    </row>
    <row r="1671" spans="1:9" ht="15" customHeight="1" x14ac:dyDescent="0.25">
      <c r="A1671">
        <v>15226</v>
      </c>
      <c r="B1671" t="s">
        <v>7</v>
      </c>
      <c r="C1671" t="s">
        <v>681</v>
      </c>
      <c r="D1671" t="str">
        <f t="shared" si="114"/>
        <v/>
      </c>
      <c r="E1671" t="s">
        <v>682</v>
      </c>
      <c r="F1671" t="str">
        <f t="shared" si="115"/>
        <v>2401022</v>
      </c>
      <c r="H1671">
        <v>3</v>
      </c>
    </row>
    <row r="1672" spans="1:9" ht="15" hidden="1" customHeight="1" x14ac:dyDescent="0.25">
      <c r="A1672">
        <v>15232</v>
      </c>
      <c r="B1672" t="s">
        <v>10</v>
      </c>
      <c r="C1672" t="s">
        <v>687</v>
      </c>
      <c r="D1672" t="str">
        <f t="shared" si="114"/>
        <v/>
      </c>
      <c r="E1672" t="s">
        <v>688</v>
      </c>
      <c r="F1672" t="str">
        <f t="shared" si="115"/>
        <v>2401022</v>
      </c>
    </row>
    <row r="1673" spans="1:9" ht="15" hidden="1" customHeight="1" x14ac:dyDescent="0.25">
      <c r="A1673">
        <v>15231</v>
      </c>
      <c r="B1673" t="s">
        <v>10</v>
      </c>
      <c r="C1673" t="s">
        <v>685</v>
      </c>
      <c r="D1673" t="str">
        <f t="shared" si="114"/>
        <v/>
      </c>
      <c r="E1673" t="s">
        <v>686</v>
      </c>
      <c r="F1673" t="str">
        <f t="shared" si="115"/>
        <v>2401022</v>
      </c>
    </row>
    <row r="1674" spans="1:9" ht="15" hidden="1" customHeight="1" x14ac:dyDescent="0.25">
      <c r="A1674">
        <v>15227</v>
      </c>
      <c r="B1674" t="s">
        <v>10</v>
      </c>
      <c r="C1674" t="s">
        <v>683</v>
      </c>
      <c r="D1674" t="str">
        <f t="shared" si="114"/>
        <v/>
      </c>
      <c r="E1674" t="s">
        <v>684</v>
      </c>
      <c r="F1674" t="str">
        <f t="shared" si="115"/>
        <v>2401022</v>
      </c>
    </row>
    <row r="1675" spans="1:9" ht="15" hidden="1" customHeight="1" x14ac:dyDescent="0.25">
      <c r="A1675">
        <v>15233</v>
      </c>
      <c r="B1675" t="s">
        <v>10</v>
      </c>
      <c r="C1675" t="s">
        <v>689</v>
      </c>
      <c r="D1675" t="str">
        <f t="shared" si="114"/>
        <v/>
      </c>
      <c r="E1675" t="s">
        <v>690</v>
      </c>
      <c r="F1675" t="str">
        <f t="shared" si="115"/>
        <v>2401022</v>
      </c>
    </row>
    <row r="1676" spans="1:9" ht="15" hidden="1" customHeight="1" x14ac:dyDescent="0.25">
      <c r="A1676">
        <v>15234</v>
      </c>
      <c r="B1676" t="s">
        <v>10</v>
      </c>
      <c r="C1676" t="s">
        <v>691</v>
      </c>
      <c r="D1676" t="str">
        <f t="shared" si="114"/>
        <v/>
      </c>
      <c r="E1676" t="s">
        <v>692</v>
      </c>
      <c r="F1676" t="str">
        <f t="shared" si="115"/>
        <v>2401022</v>
      </c>
    </row>
    <row r="1677" spans="1:9" ht="15" customHeight="1" x14ac:dyDescent="0.25">
      <c r="A1677">
        <v>18563</v>
      </c>
      <c r="B1677" t="s">
        <v>7</v>
      </c>
      <c r="C1677" t="s">
        <v>3759</v>
      </c>
      <c r="D1677" t="str">
        <f t="shared" si="114"/>
        <v/>
      </c>
      <c r="E1677" t="s">
        <v>3760</v>
      </c>
      <c r="F1677" t="str">
        <f t="shared" si="115"/>
        <v>2401298</v>
      </c>
      <c r="H1677">
        <v>3</v>
      </c>
      <c r="I1677">
        <v>1</v>
      </c>
    </row>
    <row r="1678" spans="1:9" ht="15" hidden="1" customHeight="1" x14ac:dyDescent="0.25">
      <c r="A1678">
        <v>18566</v>
      </c>
      <c r="B1678" t="s">
        <v>10</v>
      </c>
      <c r="C1678" t="s">
        <v>3765</v>
      </c>
      <c r="D1678" t="str">
        <f t="shared" si="114"/>
        <v/>
      </c>
      <c r="E1678" t="s">
        <v>3766</v>
      </c>
      <c r="F1678" t="str">
        <f t="shared" si="115"/>
        <v>2401298</v>
      </c>
    </row>
    <row r="1679" spans="1:9" ht="15" hidden="1" customHeight="1" x14ac:dyDescent="0.25">
      <c r="A1679">
        <v>18567</v>
      </c>
      <c r="B1679" t="s">
        <v>10</v>
      </c>
      <c r="C1679" t="s">
        <v>3767</v>
      </c>
      <c r="D1679" t="str">
        <f t="shared" si="114"/>
        <v/>
      </c>
      <c r="E1679" t="s">
        <v>3768</v>
      </c>
      <c r="F1679" t="str">
        <f t="shared" si="115"/>
        <v>2401298</v>
      </c>
    </row>
    <row r="1680" spans="1:9" ht="15" hidden="1" customHeight="1" x14ac:dyDescent="0.25">
      <c r="A1680">
        <v>18575</v>
      </c>
      <c r="B1680" t="s">
        <v>10</v>
      </c>
      <c r="C1680" t="s">
        <v>3777</v>
      </c>
      <c r="D1680" t="str">
        <f t="shared" si="114"/>
        <v/>
      </c>
      <c r="E1680" t="s">
        <v>3778</v>
      </c>
      <c r="F1680" t="str">
        <f t="shared" si="115"/>
        <v>2401298</v>
      </c>
    </row>
    <row r="1681" spans="1:9" ht="15" hidden="1" customHeight="1" x14ac:dyDescent="0.25">
      <c r="A1681">
        <v>18574</v>
      </c>
      <c r="B1681" t="s">
        <v>10</v>
      </c>
      <c r="C1681" t="s">
        <v>3775</v>
      </c>
      <c r="D1681" t="str">
        <f t="shared" si="114"/>
        <v/>
      </c>
      <c r="E1681" t="s">
        <v>3776</v>
      </c>
      <c r="F1681" t="str">
        <f t="shared" si="115"/>
        <v>2401298</v>
      </c>
    </row>
    <row r="1682" spans="1:9" ht="15" hidden="1" customHeight="1" x14ac:dyDescent="0.25">
      <c r="A1682">
        <v>18570</v>
      </c>
      <c r="B1682" t="s">
        <v>10</v>
      </c>
      <c r="C1682" t="s">
        <v>3773</v>
      </c>
      <c r="D1682" t="str">
        <f t="shared" si="114"/>
        <v/>
      </c>
      <c r="E1682" t="s">
        <v>3774</v>
      </c>
      <c r="F1682" t="str">
        <f t="shared" si="115"/>
        <v>2401298</v>
      </c>
    </row>
    <row r="1683" spans="1:9" ht="15" hidden="1" customHeight="1" x14ac:dyDescent="0.25">
      <c r="A1683">
        <v>18564</v>
      </c>
      <c r="B1683" t="s">
        <v>10</v>
      </c>
      <c r="C1683" t="s">
        <v>3761</v>
      </c>
      <c r="D1683" t="str">
        <f t="shared" si="114"/>
        <v/>
      </c>
      <c r="E1683" t="s">
        <v>3762</v>
      </c>
      <c r="F1683" t="str">
        <f t="shared" si="115"/>
        <v>2401298</v>
      </c>
    </row>
    <row r="1684" spans="1:9" ht="15" hidden="1" customHeight="1" x14ac:dyDescent="0.25">
      <c r="A1684">
        <v>18569</v>
      </c>
      <c r="B1684" t="s">
        <v>10</v>
      </c>
      <c r="C1684" t="s">
        <v>3771</v>
      </c>
      <c r="D1684" t="str">
        <f t="shared" si="114"/>
        <v/>
      </c>
      <c r="E1684" t="s">
        <v>3772</v>
      </c>
      <c r="F1684" t="str">
        <f t="shared" si="115"/>
        <v>2401298</v>
      </c>
    </row>
    <row r="1685" spans="1:9" ht="15" hidden="1" customHeight="1" x14ac:dyDescent="0.25">
      <c r="A1685">
        <v>18565</v>
      </c>
      <c r="B1685" t="s">
        <v>10</v>
      </c>
      <c r="C1685" t="s">
        <v>3763</v>
      </c>
      <c r="D1685" t="str">
        <f t="shared" si="114"/>
        <v/>
      </c>
      <c r="E1685" t="s">
        <v>3764</v>
      </c>
      <c r="F1685" t="str">
        <f t="shared" si="115"/>
        <v>2401298</v>
      </c>
    </row>
    <row r="1686" spans="1:9" ht="15" hidden="1" customHeight="1" x14ac:dyDescent="0.25">
      <c r="A1686">
        <v>18568</v>
      </c>
      <c r="B1686" t="s">
        <v>10</v>
      </c>
      <c r="C1686" t="s">
        <v>3769</v>
      </c>
      <c r="D1686" t="str">
        <f t="shared" si="114"/>
        <v/>
      </c>
      <c r="E1686" t="s">
        <v>3770</v>
      </c>
      <c r="F1686" t="str">
        <f t="shared" si="115"/>
        <v>2401298</v>
      </c>
    </row>
    <row r="1687" spans="1:9" ht="15" customHeight="1" x14ac:dyDescent="0.25">
      <c r="A1687">
        <v>15695</v>
      </c>
      <c r="B1687" t="s">
        <v>7</v>
      </c>
      <c r="C1687" t="s">
        <v>1062</v>
      </c>
      <c r="D1687" t="str">
        <f t="shared" si="114"/>
        <v/>
      </c>
      <c r="E1687" t="s">
        <v>1063</v>
      </c>
      <c r="F1687" t="str">
        <f t="shared" si="115"/>
        <v>2401584</v>
      </c>
      <c r="H1687">
        <v>3</v>
      </c>
      <c r="I1687">
        <v>1</v>
      </c>
    </row>
    <row r="1688" spans="1:9" ht="15" hidden="1" customHeight="1" x14ac:dyDescent="0.25">
      <c r="A1688">
        <v>15703</v>
      </c>
      <c r="B1688" t="s">
        <v>10</v>
      </c>
      <c r="C1688" t="s">
        <v>1074</v>
      </c>
      <c r="D1688" t="str">
        <f t="shared" si="114"/>
        <v/>
      </c>
      <c r="E1688" t="s">
        <v>1075</v>
      </c>
      <c r="F1688" t="str">
        <f t="shared" si="115"/>
        <v>2401584</v>
      </c>
    </row>
    <row r="1689" spans="1:9" ht="15" hidden="1" customHeight="1" x14ac:dyDescent="0.25">
      <c r="A1689">
        <v>15704</v>
      </c>
      <c r="B1689" t="s">
        <v>10</v>
      </c>
      <c r="C1689" t="s">
        <v>1076</v>
      </c>
      <c r="D1689" t="str">
        <f t="shared" si="114"/>
        <v/>
      </c>
      <c r="E1689" t="s">
        <v>1077</v>
      </c>
      <c r="F1689" t="str">
        <f t="shared" si="115"/>
        <v>2401584</v>
      </c>
    </row>
    <row r="1690" spans="1:9" ht="15" hidden="1" customHeight="1" x14ac:dyDescent="0.25">
      <c r="A1690">
        <v>15700</v>
      </c>
      <c r="B1690" t="s">
        <v>10</v>
      </c>
      <c r="C1690" t="s">
        <v>1068</v>
      </c>
      <c r="D1690" t="str">
        <f t="shared" si="114"/>
        <v/>
      </c>
      <c r="E1690" t="s">
        <v>1069</v>
      </c>
      <c r="F1690" t="str">
        <f t="shared" si="115"/>
        <v>2401584</v>
      </c>
    </row>
    <row r="1691" spans="1:9" ht="15" hidden="1" customHeight="1" x14ac:dyDescent="0.25">
      <c r="A1691">
        <v>15721</v>
      </c>
      <c r="B1691" t="s">
        <v>10</v>
      </c>
      <c r="C1691" t="s">
        <v>1080</v>
      </c>
      <c r="D1691" t="str">
        <f t="shared" si="114"/>
        <v/>
      </c>
      <c r="E1691" t="s">
        <v>1081</v>
      </c>
      <c r="F1691" t="str">
        <f t="shared" si="115"/>
        <v>2401584</v>
      </c>
    </row>
    <row r="1692" spans="1:9" ht="15" hidden="1" customHeight="1" x14ac:dyDescent="0.25">
      <c r="A1692">
        <v>15705</v>
      </c>
      <c r="B1692" t="s">
        <v>10</v>
      </c>
      <c r="C1692" t="s">
        <v>1078</v>
      </c>
      <c r="D1692" t="str">
        <f t="shared" si="114"/>
        <v/>
      </c>
      <c r="E1692" t="s">
        <v>1079</v>
      </c>
      <c r="F1692" t="str">
        <f t="shared" si="115"/>
        <v>2401584</v>
      </c>
    </row>
    <row r="1693" spans="1:9" ht="15" hidden="1" customHeight="1" x14ac:dyDescent="0.25">
      <c r="A1693">
        <v>15701</v>
      </c>
      <c r="B1693" t="s">
        <v>10</v>
      </c>
      <c r="C1693" t="s">
        <v>1070</v>
      </c>
      <c r="D1693" t="str">
        <f t="shared" si="114"/>
        <v/>
      </c>
      <c r="E1693" t="s">
        <v>1071</v>
      </c>
      <c r="F1693" t="str">
        <f t="shared" ref="F1693:F1724" si="116">LEFT(C1693,7)</f>
        <v>2401584</v>
      </c>
    </row>
    <row r="1694" spans="1:9" ht="15" hidden="1" customHeight="1" x14ac:dyDescent="0.25">
      <c r="A1694">
        <v>15699</v>
      </c>
      <c r="B1694" t="s">
        <v>10</v>
      </c>
      <c r="C1694" t="s">
        <v>1066</v>
      </c>
      <c r="D1694" t="str">
        <f t="shared" si="114"/>
        <v/>
      </c>
      <c r="E1694" t="s">
        <v>1067</v>
      </c>
      <c r="F1694" t="str">
        <f t="shared" si="116"/>
        <v>2401584</v>
      </c>
    </row>
    <row r="1695" spans="1:9" ht="15" hidden="1" customHeight="1" x14ac:dyDescent="0.25">
      <c r="A1695">
        <v>15702</v>
      </c>
      <c r="B1695" t="s">
        <v>10</v>
      </c>
      <c r="C1695" t="s">
        <v>1072</v>
      </c>
      <c r="D1695" t="str">
        <f t="shared" si="114"/>
        <v/>
      </c>
      <c r="E1695" t="s">
        <v>1073</v>
      </c>
      <c r="F1695" t="str">
        <f t="shared" si="116"/>
        <v>2401584</v>
      </c>
    </row>
    <row r="1696" spans="1:9" ht="15" hidden="1" customHeight="1" x14ac:dyDescent="0.25">
      <c r="A1696">
        <v>15696</v>
      </c>
      <c r="B1696" t="s">
        <v>10</v>
      </c>
      <c r="C1696" t="s">
        <v>1064</v>
      </c>
      <c r="D1696" t="str">
        <f t="shared" si="114"/>
        <v/>
      </c>
      <c r="E1696" t="s">
        <v>1065</v>
      </c>
      <c r="F1696" t="str">
        <f t="shared" si="116"/>
        <v>2401584</v>
      </c>
    </row>
    <row r="1697" spans="1:9" ht="15" customHeight="1" x14ac:dyDescent="0.25">
      <c r="A1697">
        <v>16683</v>
      </c>
      <c r="B1697" t="s">
        <v>7</v>
      </c>
      <c r="C1697" t="s">
        <v>1596</v>
      </c>
      <c r="D1697" t="str">
        <f t="shared" si="114"/>
        <v/>
      </c>
      <c r="E1697" t="s">
        <v>1597</v>
      </c>
      <c r="F1697" t="str">
        <f t="shared" si="116"/>
        <v>8708116</v>
      </c>
      <c r="H1697">
        <v>6</v>
      </c>
      <c r="I1697">
        <v>1</v>
      </c>
    </row>
    <row r="1698" spans="1:9" ht="15" hidden="1" customHeight="1" x14ac:dyDescent="0.25">
      <c r="A1698">
        <v>16692</v>
      </c>
      <c r="B1698" t="s">
        <v>10</v>
      </c>
      <c r="C1698" t="s">
        <v>1602</v>
      </c>
      <c r="D1698" t="str">
        <f t="shared" si="114"/>
        <v/>
      </c>
      <c r="E1698" t="s">
        <v>1603</v>
      </c>
      <c r="F1698" t="str">
        <f t="shared" si="116"/>
        <v>8708116</v>
      </c>
    </row>
    <row r="1699" spans="1:9" ht="15" hidden="1" customHeight="1" x14ac:dyDescent="0.25">
      <c r="A1699">
        <v>16691</v>
      </c>
      <c r="B1699" t="s">
        <v>10</v>
      </c>
      <c r="C1699" t="s">
        <v>1600</v>
      </c>
      <c r="D1699" t="str">
        <f t="shared" si="114"/>
        <v/>
      </c>
      <c r="E1699" t="s">
        <v>1601</v>
      </c>
      <c r="F1699" t="str">
        <f t="shared" si="116"/>
        <v>8708116</v>
      </c>
    </row>
    <row r="1700" spans="1:9" ht="15" hidden="1" customHeight="1" x14ac:dyDescent="0.25">
      <c r="A1700">
        <v>16684</v>
      </c>
      <c r="B1700" t="s">
        <v>10</v>
      </c>
      <c r="C1700" t="s">
        <v>1598</v>
      </c>
      <c r="D1700" t="str">
        <f t="shared" si="114"/>
        <v/>
      </c>
      <c r="E1700" t="s">
        <v>1599</v>
      </c>
      <c r="F1700" t="str">
        <f t="shared" si="116"/>
        <v>8708116</v>
      </c>
    </row>
    <row r="1701" spans="1:9" ht="15" hidden="1" customHeight="1" x14ac:dyDescent="0.25">
      <c r="A1701">
        <v>16693</v>
      </c>
      <c r="B1701" t="s">
        <v>10</v>
      </c>
      <c r="C1701" t="s">
        <v>1604</v>
      </c>
      <c r="D1701" t="str">
        <f t="shared" si="114"/>
        <v/>
      </c>
      <c r="E1701" t="s">
        <v>1605</v>
      </c>
      <c r="F1701" t="str">
        <f t="shared" si="116"/>
        <v>8708116</v>
      </c>
    </row>
    <row r="1702" spans="1:9" ht="15" hidden="1" customHeight="1" x14ac:dyDescent="0.25">
      <c r="A1702">
        <v>16694</v>
      </c>
      <c r="B1702" t="s">
        <v>10</v>
      </c>
      <c r="C1702" t="s">
        <v>1606</v>
      </c>
      <c r="D1702" t="str">
        <f t="shared" si="114"/>
        <v/>
      </c>
      <c r="E1702" t="s">
        <v>1607</v>
      </c>
      <c r="F1702" t="str">
        <f t="shared" si="116"/>
        <v>8708116</v>
      </c>
    </row>
    <row r="1703" spans="1:9" ht="15" customHeight="1" x14ac:dyDescent="0.25">
      <c r="A1703">
        <v>16701</v>
      </c>
      <c r="B1703" t="s">
        <v>7</v>
      </c>
      <c r="C1703" t="s">
        <v>1620</v>
      </c>
      <c r="D1703" t="str">
        <f t="shared" si="114"/>
        <v/>
      </c>
      <c r="E1703" t="s">
        <v>1621</v>
      </c>
      <c r="F1703" t="str">
        <f t="shared" si="116"/>
        <v>8708113</v>
      </c>
      <c r="H1703">
        <v>4</v>
      </c>
      <c r="I1703">
        <v>1</v>
      </c>
    </row>
    <row r="1704" spans="1:9" ht="15" hidden="1" customHeight="1" x14ac:dyDescent="0.25">
      <c r="A1704">
        <v>16707</v>
      </c>
      <c r="B1704" t="s">
        <v>10</v>
      </c>
      <c r="C1704" t="s">
        <v>1632</v>
      </c>
      <c r="D1704" t="str">
        <f t="shared" si="114"/>
        <v/>
      </c>
      <c r="E1704" t="s">
        <v>1633</v>
      </c>
      <c r="F1704" t="str">
        <f t="shared" si="116"/>
        <v>8708113</v>
      </c>
    </row>
    <row r="1705" spans="1:9" ht="15" hidden="1" customHeight="1" x14ac:dyDescent="0.25">
      <c r="A1705">
        <v>16704</v>
      </c>
      <c r="B1705" t="s">
        <v>10</v>
      </c>
      <c r="C1705" t="s">
        <v>1626</v>
      </c>
      <c r="D1705" t="str">
        <f t="shared" si="114"/>
        <v/>
      </c>
      <c r="E1705" t="s">
        <v>1627</v>
      </c>
      <c r="F1705" t="str">
        <f t="shared" si="116"/>
        <v>8708113</v>
      </c>
    </row>
    <row r="1706" spans="1:9" ht="15" hidden="1" customHeight="1" x14ac:dyDescent="0.25">
      <c r="A1706">
        <v>16703</v>
      </c>
      <c r="B1706" t="s">
        <v>10</v>
      </c>
      <c r="C1706" t="s">
        <v>1624</v>
      </c>
      <c r="D1706" t="str">
        <f t="shared" si="114"/>
        <v/>
      </c>
      <c r="E1706" t="s">
        <v>1625</v>
      </c>
      <c r="F1706" t="str">
        <f t="shared" si="116"/>
        <v>8708113</v>
      </c>
    </row>
    <row r="1707" spans="1:9" ht="15" hidden="1" customHeight="1" x14ac:dyDescent="0.25">
      <c r="A1707">
        <v>16702</v>
      </c>
      <c r="B1707" t="s">
        <v>10</v>
      </c>
      <c r="C1707" t="s">
        <v>1622</v>
      </c>
      <c r="D1707" t="str">
        <f t="shared" si="114"/>
        <v/>
      </c>
      <c r="E1707" t="s">
        <v>1623</v>
      </c>
      <c r="F1707" t="str">
        <f t="shared" si="116"/>
        <v>8708113</v>
      </c>
    </row>
    <row r="1708" spans="1:9" ht="15" hidden="1" customHeight="1" x14ac:dyDescent="0.25">
      <c r="A1708">
        <v>16705</v>
      </c>
      <c r="B1708" t="s">
        <v>10</v>
      </c>
      <c r="C1708" t="s">
        <v>1628</v>
      </c>
      <c r="D1708" t="str">
        <f t="shared" si="114"/>
        <v/>
      </c>
      <c r="E1708" t="s">
        <v>1629</v>
      </c>
      <c r="F1708" t="str">
        <f t="shared" si="116"/>
        <v>8708113</v>
      </c>
    </row>
    <row r="1709" spans="1:9" ht="15" hidden="1" customHeight="1" x14ac:dyDescent="0.25">
      <c r="A1709">
        <v>16706</v>
      </c>
      <c r="B1709" t="s">
        <v>10</v>
      </c>
      <c r="C1709" t="s">
        <v>1630</v>
      </c>
      <c r="D1709" t="str">
        <f t="shared" si="114"/>
        <v/>
      </c>
      <c r="E1709" t="s">
        <v>1631</v>
      </c>
      <c r="F1709" t="str">
        <f t="shared" si="116"/>
        <v>8708113</v>
      </c>
    </row>
    <row r="1710" spans="1:9" ht="15" customHeight="1" x14ac:dyDescent="0.25">
      <c r="A1710">
        <v>16695</v>
      </c>
      <c r="B1710" t="s">
        <v>7</v>
      </c>
      <c r="C1710" t="s">
        <v>1608</v>
      </c>
      <c r="D1710" t="str">
        <f t="shared" si="114"/>
        <v/>
      </c>
      <c r="E1710" t="s">
        <v>1609</v>
      </c>
      <c r="F1710" t="str">
        <f t="shared" si="116"/>
        <v>8708111</v>
      </c>
      <c r="H1710">
        <v>4</v>
      </c>
    </row>
    <row r="1711" spans="1:9" ht="15" hidden="1" customHeight="1" x14ac:dyDescent="0.25">
      <c r="A1711">
        <v>16698</v>
      </c>
      <c r="B1711" t="s">
        <v>10</v>
      </c>
      <c r="C1711" t="s">
        <v>1614</v>
      </c>
      <c r="D1711" t="str">
        <f t="shared" si="114"/>
        <v/>
      </c>
      <c r="E1711" t="s">
        <v>1615</v>
      </c>
      <c r="F1711" t="str">
        <f t="shared" si="116"/>
        <v>8708111</v>
      </c>
    </row>
    <row r="1712" spans="1:9" ht="15" hidden="1" customHeight="1" x14ac:dyDescent="0.25">
      <c r="A1712">
        <v>16697</v>
      </c>
      <c r="B1712" t="s">
        <v>10</v>
      </c>
      <c r="C1712" t="s">
        <v>1612</v>
      </c>
      <c r="D1712" t="str">
        <f t="shared" si="114"/>
        <v/>
      </c>
      <c r="E1712" t="s">
        <v>1613</v>
      </c>
      <c r="F1712" t="str">
        <f t="shared" si="116"/>
        <v>8708111</v>
      </c>
    </row>
    <row r="1713" spans="1:9" ht="15" hidden="1" customHeight="1" x14ac:dyDescent="0.25">
      <c r="A1713">
        <v>16696</v>
      </c>
      <c r="B1713" t="s">
        <v>10</v>
      </c>
      <c r="C1713" t="s">
        <v>1610</v>
      </c>
      <c r="D1713" t="str">
        <f t="shared" si="114"/>
        <v/>
      </c>
      <c r="E1713" t="s">
        <v>1611</v>
      </c>
      <c r="F1713" t="str">
        <f t="shared" si="116"/>
        <v>8708111</v>
      </c>
    </row>
    <row r="1714" spans="1:9" ht="15" hidden="1" customHeight="1" x14ac:dyDescent="0.25">
      <c r="A1714">
        <v>16699</v>
      </c>
      <c r="B1714" t="s">
        <v>10</v>
      </c>
      <c r="C1714" t="s">
        <v>1616</v>
      </c>
      <c r="D1714" t="str">
        <f t="shared" si="114"/>
        <v/>
      </c>
      <c r="E1714" t="s">
        <v>1617</v>
      </c>
      <c r="F1714" t="str">
        <f t="shared" si="116"/>
        <v>8708111</v>
      </c>
    </row>
    <row r="1715" spans="1:9" ht="15" hidden="1" customHeight="1" x14ac:dyDescent="0.25">
      <c r="A1715">
        <v>16700</v>
      </c>
      <c r="B1715" t="s">
        <v>10</v>
      </c>
      <c r="C1715" t="s">
        <v>1618</v>
      </c>
      <c r="D1715" t="str">
        <f t="shared" si="114"/>
        <v/>
      </c>
      <c r="E1715" t="s">
        <v>1619</v>
      </c>
      <c r="F1715" t="str">
        <f t="shared" si="116"/>
        <v>8708111</v>
      </c>
    </row>
    <row r="1716" spans="1:9" ht="15" customHeight="1" x14ac:dyDescent="0.25">
      <c r="A1716">
        <v>15212</v>
      </c>
      <c r="B1716" t="s">
        <v>7</v>
      </c>
      <c r="C1716" t="s">
        <v>659</v>
      </c>
      <c r="D1716" t="str">
        <f t="shared" si="114"/>
        <v/>
      </c>
      <c r="E1716" t="s">
        <v>660</v>
      </c>
      <c r="F1716" t="str">
        <f t="shared" si="116"/>
        <v>8708112</v>
      </c>
      <c r="H1716">
        <v>7</v>
      </c>
    </row>
    <row r="1717" spans="1:9" ht="15" hidden="1" customHeight="1" x14ac:dyDescent="0.25">
      <c r="A1717">
        <v>15215</v>
      </c>
      <c r="B1717" t="s">
        <v>10</v>
      </c>
      <c r="C1717" t="s">
        <v>665</v>
      </c>
      <c r="D1717" t="str">
        <f t="shared" ref="D1717:D1780" si="117">IF(RIGHT(LEFT(C1717,9),2)="##","",RIGHT(LEFT(C1717,10),2))</f>
        <v/>
      </c>
      <c r="E1717" t="s">
        <v>666</v>
      </c>
      <c r="F1717" t="str">
        <f t="shared" si="116"/>
        <v>8708112</v>
      </c>
    </row>
    <row r="1718" spans="1:9" ht="15" hidden="1" customHeight="1" x14ac:dyDescent="0.25">
      <c r="A1718">
        <v>15214</v>
      </c>
      <c r="B1718" t="s">
        <v>10</v>
      </c>
      <c r="C1718" t="s">
        <v>663</v>
      </c>
      <c r="D1718" t="str">
        <f t="shared" si="117"/>
        <v/>
      </c>
      <c r="E1718" t="s">
        <v>664</v>
      </c>
      <c r="F1718" t="str">
        <f t="shared" si="116"/>
        <v>8708112</v>
      </c>
    </row>
    <row r="1719" spans="1:9" ht="15" hidden="1" customHeight="1" x14ac:dyDescent="0.25">
      <c r="A1719">
        <v>15213</v>
      </c>
      <c r="B1719" t="s">
        <v>10</v>
      </c>
      <c r="C1719" t="s">
        <v>661</v>
      </c>
      <c r="D1719" t="str">
        <f t="shared" si="117"/>
        <v/>
      </c>
      <c r="E1719" t="s">
        <v>662</v>
      </c>
      <c r="F1719" t="str">
        <f t="shared" si="116"/>
        <v>8708112</v>
      </c>
    </row>
    <row r="1720" spans="1:9" ht="15" hidden="1" customHeight="1" x14ac:dyDescent="0.25">
      <c r="A1720">
        <v>15216</v>
      </c>
      <c r="B1720" t="s">
        <v>10</v>
      </c>
      <c r="C1720" t="s">
        <v>667</v>
      </c>
      <c r="D1720" t="str">
        <f t="shared" si="117"/>
        <v/>
      </c>
      <c r="E1720" t="s">
        <v>668</v>
      </c>
      <c r="F1720" t="str">
        <f t="shared" si="116"/>
        <v>8708112</v>
      </c>
    </row>
    <row r="1721" spans="1:9" ht="15" hidden="1" customHeight="1" x14ac:dyDescent="0.25">
      <c r="A1721">
        <v>15217</v>
      </c>
      <c r="B1721" t="s">
        <v>10</v>
      </c>
      <c r="C1721" t="s">
        <v>669</v>
      </c>
      <c r="D1721" t="str">
        <f t="shared" si="117"/>
        <v/>
      </c>
      <c r="E1721" t="s">
        <v>670</v>
      </c>
      <c r="F1721" t="str">
        <f t="shared" si="116"/>
        <v>8708112</v>
      </c>
    </row>
    <row r="1722" spans="1:9" ht="15" customHeight="1" x14ac:dyDescent="0.25">
      <c r="A1722">
        <v>16198</v>
      </c>
      <c r="B1722" t="s">
        <v>7</v>
      </c>
      <c r="C1722" t="s">
        <v>1348</v>
      </c>
      <c r="D1722" t="str">
        <f t="shared" si="117"/>
        <v/>
      </c>
      <c r="E1722" t="s">
        <v>1349</v>
      </c>
      <c r="F1722" t="str">
        <f t="shared" si="116"/>
        <v>2401103</v>
      </c>
      <c r="H1722">
        <v>4</v>
      </c>
    </row>
    <row r="1723" spans="1:9" ht="15" hidden="1" customHeight="1" x14ac:dyDescent="0.25">
      <c r="A1723">
        <v>16205</v>
      </c>
      <c r="B1723" t="s">
        <v>10</v>
      </c>
      <c r="C1723" t="s">
        <v>1354</v>
      </c>
      <c r="D1723" t="str">
        <f t="shared" si="117"/>
        <v/>
      </c>
      <c r="E1723" t="s">
        <v>1355</v>
      </c>
      <c r="F1723" t="str">
        <f t="shared" si="116"/>
        <v>2401103</v>
      </c>
    </row>
    <row r="1724" spans="1:9" ht="15" hidden="1" customHeight="1" x14ac:dyDescent="0.25">
      <c r="A1724">
        <v>16204</v>
      </c>
      <c r="B1724" t="s">
        <v>10</v>
      </c>
      <c r="C1724" t="s">
        <v>1352</v>
      </c>
      <c r="D1724" t="str">
        <f t="shared" si="117"/>
        <v/>
      </c>
      <c r="E1724" t="s">
        <v>1353</v>
      </c>
      <c r="F1724" t="str">
        <f t="shared" si="116"/>
        <v>2401103</v>
      </c>
    </row>
    <row r="1725" spans="1:9" ht="15" hidden="1" customHeight="1" x14ac:dyDescent="0.25">
      <c r="A1725">
        <v>16199</v>
      </c>
      <c r="B1725" t="s">
        <v>10</v>
      </c>
      <c r="C1725" t="s">
        <v>1350</v>
      </c>
      <c r="D1725" t="str">
        <f t="shared" si="117"/>
        <v/>
      </c>
      <c r="E1725" t="s">
        <v>1351</v>
      </c>
      <c r="F1725" t="str">
        <f t="shared" ref="F1725:F1756" si="118">LEFT(C1725,7)</f>
        <v>2401103</v>
      </c>
    </row>
    <row r="1726" spans="1:9" ht="15" hidden="1" customHeight="1" x14ac:dyDescent="0.25">
      <c r="A1726">
        <v>16206</v>
      </c>
      <c r="B1726" t="s">
        <v>10</v>
      </c>
      <c r="C1726" t="s">
        <v>1356</v>
      </c>
      <c r="D1726" t="str">
        <f t="shared" si="117"/>
        <v/>
      </c>
      <c r="E1726" t="s">
        <v>1357</v>
      </c>
      <c r="F1726" t="str">
        <f t="shared" si="118"/>
        <v>2401103</v>
      </c>
    </row>
    <row r="1727" spans="1:9" ht="15" hidden="1" customHeight="1" x14ac:dyDescent="0.25">
      <c r="A1727">
        <v>16207</v>
      </c>
      <c r="B1727" t="s">
        <v>10</v>
      </c>
      <c r="C1727" t="s">
        <v>1358</v>
      </c>
      <c r="D1727" t="str">
        <f t="shared" si="117"/>
        <v/>
      </c>
      <c r="E1727" t="s">
        <v>1359</v>
      </c>
      <c r="F1727" t="str">
        <f t="shared" si="118"/>
        <v>2401103</v>
      </c>
    </row>
    <row r="1728" spans="1:9" ht="15" customHeight="1" x14ac:dyDescent="0.25">
      <c r="A1728">
        <v>19651</v>
      </c>
      <c r="B1728" t="s">
        <v>7</v>
      </c>
      <c r="C1728" t="s">
        <v>5013</v>
      </c>
      <c r="D1728" t="str">
        <f t="shared" si="117"/>
        <v/>
      </c>
      <c r="E1728" t="s">
        <v>5014</v>
      </c>
      <c r="F1728" t="str">
        <f t="shared" si="118"/>
        <v>8708300</v>
      </c>
      <c r="H1728">
        <v>3</v>
      </c>
      <c r="I1728">
        <v>1</v>
      </c>
    </row>
    <row r="1729" spans="1:9" ht="15" hidden="1" customHeight="1" x14ac:dyDescent="0.25">
      <c r="A1729">
        <v>19656</v>
      </c>
      <c r="B1729" t="s">
        <v>10</v>
      </c>
      <c r="C1729" t="s">
        <v>5023</v>
      </c>
      <c r="D1729" t="str">
        <f t="shared" si="117"/>
        <v/>
      </c>
      <c r="E1729" t="s">
        <v>5024</v>
      </c>
      <c r="F1729" t="str">
        <f t="shared" si="118"/>
        <v>8708300</v>
      </c>
    </row>
    <row r="1730" spans="1:9" ht="15" hidden="1" customHeight="1" x14ac:dyDescent="0.25">
      <c r="A1730">
        <v>19655</v>
      </c>
      <c r="B1730" t="s">
        <v>10</v>
      </c>
      <c r="C1730" t="s">
        <v>5021</v>
      </c>
      <c r="D1730" t="str">
        <f t="shared" si="117"/>
        <v/>
      </c>
      <c r="E1730" t="s">
        <v>5022</v>
      </c>
      <c r="F1730" t="str">
        <f t="shared" si="118"/>
        <v>8708300</v>
      </c>
    </row>
    <row r="1731" spans="1:9" ht="15" hidden="1" customHeight="1" x14ac:dyDescent="0.25">
      <c r="A1731">
        <v>19654</v>
      </c>
      <c r="B1731" t="s">
        <v>10</v>
      </c>
      <c r="C1731" t="s">
        <v>5019</v>
      </c>
      <c r="D1731" t="str">
        <f t="shared" si="117"/>
        <v/>
      </c>
      <c r="E1731" t="s">
        <v>5020</v>
      </c>
      <c r="F1731" t="str">
        <f t="shared" si="118"/>
        <v>8708300</v>
      </c>
    </row>
    <row r="1732" spans="1:9" ht="15" hidden="1" customHeight="1" x14ac:dyDescent="0.25">
      <c r="A1732">
        <v>19657</v>
      </c>
      <c r="B1732" t="s">
        <v>10</v>
      </c>
      <c r="C1732" t="s">
        <v>5025</v>
      </c>
      <c r="D1732" t="str">
        <f t="shared" si="117"/>
        <v/>
      </c>
      <c r="E1732" t="s">
        <v>5026</v>
      </c>
      <c r="F1732" t="str">
        <f t="shared" si="118"/>
        <v>8708300</v>
      </c>
    </row>
    <row r="1733" spans="1:9" hidden="1" x14ac:dyDescent="0.25">
      <c r="A1733">
        <v>19653</v>
      </c>
      <c r="B1733" t="s">
        <v>10</v>
      </c>
      <c r="C1733" t="s">
        <v>5017</v>
      </c>
      <c r="D1733" t="str">
        <f t="shared" si="117"/>
        <v/>
      </c>
      <c r="E1733" t="s">
        <v>5018</v>
      </c>
      <c r="F1733" t="str">
        <f t="shared" si="118"/>
        <v>8708300</v>
      </c>
    </row>
    <row r="1734" spans="1:9" hidden="1" x14ac:dyDescent="0.25">
      <c r="A1734">
        <v>19658</v>
      </c>
      <c r="B1734" t="s">
        <v>10</v>
      </c>
      <c r="C1734" t="s">
        <v>5027</v>
      </c>
      <c r="D1734" t="str">
        <f t="shared" si="117"/>
        <v/>
      </c>
      <c r="E1734" t="s">
        <v>5028</v>
      </c>
      <c r="F1734" t="str">
        <f t="shared" si="118"/>
        <v>8708300</v>
      </c>
    </row>
    <row r="1735" spans="1:9" ht="15" hidden="1" customHeight="1" x14ac:dyDescent="0.25">
      <c r="A1735">
        <v>19652</v>
      </c>
      <c r="B1735" t="s">
        <v>10</v>
      </c>
      <c r="C1735" t="s">
        <v>5015</v>
      </c>
      <c r="D1735" t="str">
        <f t="shared" si="117"/>
        <v/>
      </c>
      <c r="E1735" t="s">
        <v>5016</v>
      </c>
      <c r="F1735" t="str">
        <f t="shared" si="118"/>
        <v>8708300</v>
      </c>
    </row>
    <row r="1736" spans="1:9" ht="15" hidden="1" customHeight="1" x14ac:dyDescent="0.25">
      <c r="A1736">
        <v>17652</v>
      </c>
      <c r="B1736" t="s">
        <v>4</v>
      </c>
      <c r="C1736" t="s">
        <v>2391</v>
      </c>
      <c r="D1736" t="str">
        <f t="shared" si="117"/>
        <v/>
      </c>
      <c r="E1736" t="s">
        <v>2392</v>
      </c>
      <c r="F1736" t="str">
        <f t="shared" si="118"/>
        <v>8708888</v>
      </c>
      <c r="H1736">
        <v>6</v>
      </c>
    </row>
    <row r="1737" spans="1:9" ht="15" hidden="1" customHeight="1" x14ac:dyDescent="0.25">
      <c r="A1737">
        <v>15206</v>
      </c>
      <c r="B1737" t="s">
        <v>4</v>
      </c>
      <c r="C1737" t="s">
        <v>657</v>
      </c>
      <c r="D1737" t="str">
        <f t="shared" si="117"/>
        <v/>
      </c>
      <c r="E1737" t="s">
        <v>658</v>
      </c>
      <c r="F1737" t="str">
        <f t="shared" si="118"/>
        <v>2401806</v>
      </c>
      <c r="H1737">
        <v>4</v>
      </c>
    </row>
    <row r="1738" spans="1:9" ht="15" customHeight="1" x14ac:dyDescent="0.25">
      <c r="A1738">
        <v>19778</v>
      </c>
      <c r="B1738" t="s">
        <v>7</v>
      </c>
      <c r="C1738" t="s">
        <v>5187</v>
      </c>
      <c r="D1738" t="str">
        <f t="shared" si="117"/>
        <v/>
      </c>
      <c r="E1738" t="s">
        <v>5188</v>
      </c>
      <c r="F1738" t="str">
        <f t="shared" si="118"/>
        <v>8708301</v>
      </c>
      <c r="H1738">
        <v>4</v>
      </c>
      <c r="I1738">
        <v>1</v>
      </c>
    </row>
    <row r="1739" spans="1:9" ht="15" hidden="1" customHeight="1" x14ac:dyDescent="0.25">
      <c r="A1739">
        <v>19781</v>
      </c>
      <c r="B1739" t="s">
        <v>10</v>
      </c>
      <c r="C1739" t="s">
        <v>5193</v>
      </c>
      <c r="D1739" t="str">
        <f t="shared" si="117"/>
        <v/>
      </c>
      <c r="E1739" t="s">
        <v>5194</v>
      </c>
      <c r="F1739" t="str">
        <f t="shared" si="118"/>
        <v>8708301</v>
      </c>
    </row>
    <row r="1740" spans="1:9" ht="15" hidden="1" customHeight="1" x14ac:dyDescent="0.25">
      <c r="A1740">
        <v>19780</v>
      </c>
      <c r="B1740" t="s">
        <v>10</v>
      </c>
      <c r="C1740" t="s">
        <v>5191</v>
      </c>
      <c r="D1740" t="str">
        <f t="shared" si="117"/>
        <v/>
      </c>
      <c r="E1740" t="s">
        <v>5192</v>
      </c>
      <c r="F1740" t="str">
        <f t="shared" si="118"/>
        <v>8708301</v>
      </c>
    </row>
    <row r="1741" spans="1:9" ht="15" hidden="1" customHeight="1" x14ac:dyDescent="0.25">
      <c r="A1741">
        <v>19779</v>
      </c>
      <c r="B1741" t="s">
        <v>10</v>
      </c>
      <c r="C1741" t="s">
        <v>5189</v>
      </c>
      <c r="D1741" t="str">
        <f t="shared" si="117"/>
        <v/>
      </c>
      <c r="E1741" t="s">
        <v>5190</v>
      </c>
      <c r="F1741" t="str">
        <f t="shared" si="118"/>
        <v>8708301</v>
      </c>
    </row>
    <row r="1742" spans="1:9" ht="15" hidden="1" customHeight="1" x14ac:dyDescent="0.25">
      <c r="A1742">
        <v>19782</v>
      </c>
      <c r="B1742" t="s">
        <v>10</v>
      </c>
      <c r="C1742" t="s">
        <v>5195</v>
      </c>
      <c r="D1742" t="str">
        <f t="shared" si="117"/>
        <v/>
      </c>
      <c r="E1742" t="s">
        <v>5196</v>
      </c>
      <c r="F1742" t="str">
        <f t="shared" si="118"/>
        <v>8708301</v>
      </c>
    </row>
    <row r="1743" spans="1:9" ht="15" hidden="1" customHeight="1" x14ac:dyDescent="0.25">
      <c r="A1743">
        <v>19783</v>
      </c>
      <c r="B1743" t="s">
        <v>10</v>
      </c>
      <c r="C1743" t="s">
        <v>5197</v>
      </c>
      <c r="D1743" t="str">
        <f t="shared" si="117"/>
        <v/>
      </c>
      <c r="E1743" t="s">
        <v>5198</v>
      </c>
      <c r="F1743" t="str">
        <f t="shared" si="118"/>
        <v>8708301</v>
      </c>
    </row>
    <row r="1744" spans="1:9" ht="15" customHeight="1" x14ac:dyDescent="0.25">
      <c r="A1744">
        <v>15218</v>
      </c>
      <c r="B1744" t="s">
        <v>7</v>
      </c>
      <c r="C1744" t="s">
        <v>671</v>
      </c>
      <c r="D1744" t="str">
        <f t="shared" si="117"/>
        <v/>
      </c>
      <c r="E1744" t="s">
        <v>672</v>
      </c>
      <c r="F1744" t="str">
        <f t="shared" si="118"/>
        <v>2401100</v>
      </c>
      <c r="H1744">
        <v>3</v>
      </c>
    </row>
    <row r="1745" spans="1:9" ht="15" hidden="1" customHeight="1" x14ac:dyDescent="0.25">
      <c r="A1745">
        <v>15224</v>
      </c>
      <c r="B1745" t="s">
        <v>10</v>
      </c>
      <c r="C1745" t="s">
        <v>677</v>
      </c>
      <c r="D1745" t="str">
        <f t="shared" si="117"/>
        <v/>
      </c>
      <c r="E1745" t="s">
        <v>678</v>
      </c>
      <c r="F1745" t="str">
        <f t="shared" si="118"/>
        <v>2401100</v>
      </c>
    </row>
    <row r="1746" spans="1:9" hidden="1" x14ac:dyDescent="0.25">
      <c r="A1746">
        <v>15223</v>
      </c>
      <c r="B1746" t="s">
        <v>10</v>
      </c>
      <c r="C1746" t="s">
        <v>675</v>
      </c>
      <c r="D1746" t="str">
        <f t="shared" si="117"/>
        <v/>
      </c>
      <c r="E1746" t="s">
        <v>676</v>
      </c>
      <c r="F1746" t="str">
        <f t="shared" si="118"/>
        <v>2401100</v>
      </c>
    </row>
    <row r="1747" spans="1:9" ht="15" hidden="1" customHeight="1" x14ac:dyDescent="0.25">
      <c r="A1747">
        <v>15219</v>
      </c>
      <c r="B1747" t="s">
        <v>10</v>
      </c>
      <c r="C1747" t="s">
        <v>673</v>
      </c>
      <c r="D1747" t="str">
        <f t="shared" si="117"/>
        <v/>
      </c>
      <c r="E1747" t="s">
        <v>674</v>
      </c>
      <c r="F1747" t="str">
        <f t="shared" si="118"/>
        <v>2401100</v>
      </c>
    </row>
    <row r="1748" spans="1:9" ht="15" hidden="1" customHeight="1" x14ac:dyDescent="0.25">
      <c r="A1748">
        <v>15225</v>
      </c>
      <c r="B1748" t="s">
        <v>10</v>
      </c>
      <c r="C1748" t="s">
        <v>679</v>
      </c>
      <c r="D1748" t="str">
        <f t="shared" si="117"/>
        <v/>
      </c>
      <c r="E1748" t="s">
        <v>680</v>
      </c>
      <c r="F1748" t="str">
        <f t="shared" si="118"/>
        <v>2401100</v>
      </c>
    </row>
    <row r="1749" spans="1:9" ht="15" hidden="1" customHeight="1" x14ac:dyDescent="0.25">
      <c r="A1749">
        <v>16174</v>
      </c>
      <c r="B1749" t="s">
        <v>4</v>
      </c>
      <c r="C1749" t="s">
        <v>1336</v>
      </c>
      <c r="D1749" t="str">
        <f t="shared" si="117"/>
        <v/>
      </c>
      <c r="E1749" t="s">
        <v>1337</v>
      </c>
      <c r="F1749" t="str">
        <f t="shared" si="118"/>
        <v>2401550</v>
      </c>
      <c r="H1749">
        <v>4</v>
      </c>
    </row>
    <row r="1750" spans="1:9" ht="15" customHeight="1" x14ac:dyDescent="0.25">
      <c r="A1750">
        <v>18448</v>
      </c>
      <c r="B1750" t="s">
        <v>7</v>
      </c>
      <c r="C1750" t="s">
        <v>3621</v>
      </c>
      <c r="D1750" t="str">
        <f t="shared" si="117"/>
        <v/>
      </c>
      <c r="E1750" t="s">
        <v>3622</v>
      </c>
      <c r="F1750" t="str">
        <f t="shared" si="118"/>
        <v>8307810</v>
      </c>
      <c r="H1750">
        <v>5</v>
      </c>
    </row>
    <row r="1751" spans="1:9" ht="15" hidden="1" customHeight="1" x14ac:dyDescent="0.25">
      <c r="A1751">
        <v>18449</v>
      </c>
      <c r="B1751" t="s">
        <v>10</v>
      </c>
      <c r="C1751" t="s">
        <v>3623</v>
      </c>
      <c r="D1751" t="str">
        <f t="shared" si="117"/>
        <v/>
      </c>
      <c r="E1751" t="s">
        <v>3624</v>
      </c>
      <c r="F1751" t="str">
        <f t="shared" si="118"/>
        <v>8307810</v>
      </c>
    </row>
    <row r="1752" spans="1:9" ht="15" hidden="1" customHeight="1" x14ac:dyDescent="0.25">
      <c r="A1752">
        <v>18455</v>
      </c>
      <c r="B1752" t="s">
        <v>10</v>
      </c>
      <c r="C1752" t="s">
        <v>3625</v>
      </c>
      <c r="D1752" t="str">
        <f t="shared" si="117"/>
        <v/>
      </c>
      <c r="E1752" t="s">
        <v>3626</v>
      </c>
      <c r="F1752" t="str">
        <f t="shared" si="118"/>
        <v>8307810</v>
      </c>
    </row>
    <row r="1753" spans="1:9" ht="15" hidden="1" customHeight="1" x14ac:dyDescent="0.25">
      <c r="A1753">
        <v>18456</v>
      </c>
      <c r="B1753" t="s">
        <v>10</v>
      </c>
      <c r="C1753" t="s">
        <v>3627</v>
      </c>
      <c r="D1753" t="str">
        <f t="shared" si="117"/>
        <v/>
      </c>
      <c r="E1753" t="s">
        <v>3628</v>
      </c>
      <c r="F1753" t="str">
        <f t="shared" si="118"/>
        <v>8307810</v>
      </c>
    </row>
    <row r="1754" spans="1:9" hidden="1" x14ac:dyDescent="0.25">
      <c r="A1754">
        <v>18457</v>
      </c>
      <c r="B1754" t="s">
        <v>10</v>
      </c>
      <c r="C1754" t="s">
        <v>3629</v>
      </c>
      <c r="D1754" t="str">
        <f t="shared" si="117"/>
        <v/>
      </c>
      <c r="E1754" t="s">
        <v>3630</v>
      </c>
      <c r="F1754" t="str">
        <f t="shared" si="118"/>
        <v>8307810</v>
      </c>
    </row>
    <row r="1755" spans="1:9" ht="15" hidden="1" customHeight="1" x14ac:dyDescent="0.25">
      <c r="A1755">
        <v>18458</v>
      </c>
      <c r="B1755" t="s">
        <v>10</v>
      </c>
      <c r="C1755" t="s">
        <v>3631</v>
      </c>
      <c r="D1755" t="str">
        <f t="shared" si="117"/>
        <v/>
      </c>
      <c r="E1755" t="s">
        <v>3632</v>
      </c>
      <c r="F1755" t="str">
        <f t="shared" si="118"/>
        <v>8307810</v>
      </c>
    </row>
    <row r="1756" spans="1:9" ht="15" hidden="1" customHeight="1" x14ac:dyDescent="0.25">
      <c r="A1756">
        <v>18459</v>
      </c>
      <c r="B1756" t="s">
        <v>10</v>
      </c>
      <c r="C1756" t="s">
        <v>3633</v>
      </c>
      <c r="D1756" t="str">
        <f t="shared" si="117"/>
        <v/>
      </c>
      <c r="E1756" t="s">
        <v>3634</v>
      </c>
      <c r="F1756" t="str">
        <f t="shared" si="118"/>
        <v>8307810</v>
      </c>
    </row>
    <row r="1757" spans="1:9" ht="15" hidden="1" customHeight="1" x14ac:dyDescent="0.25">
      <c r="A1757">
        <v>16263</v>
      </c>
      <c r="B1757" t="s">
        <v>4</v>
      </c>
      <c r="C1757" t="s">
        <v>1384</v>
      </c>
      <c r="D1757" t="str">
        <f t="shared" si="117"/>
        <v/>
      </c>
      <c r="E1757" t="s">
        <v>1385</v>
      </c>
      <c r="F1757" t="str">
        <f t="shared" ref="F1757:F1777" si="119">LEFT(C1757,7)</f>
        <v>5320787</v>
      </c>
      <c r="H1757">
        <v>3</v>
      </c>
    </row>
    <row r="1758" spans="1:9" ht="15" customHeight="1" x14ac:dyDescent="0.25">
      <c r="A1758">
        <v>21048</v>
      </c>
      <c r="B1758" t="s">
        <v>7</v>
      </c>
      <c r="C1758" t="s">
        <v>6451</v>
      </c>
      <c r="D1758" t="str">
        <f t="shared" si="117"/>
        <v/>
      </c>
      <c r="E1758" t="s">
        <v>6452</v>
      </c>
      <c r="F1758" t="str">
        <f t="shared" si="119"/>
        <v>2103500</v>
      </c>
      <c r="H1758">
        <v>3</v>
      </c>
      <c r="I1758">
        <v>1</v>
      </c>
    </row>
    <row r="1759" spans="1:9" ht="15" hidden="1" customHeight="1" x14ac:dyDescent="0.25">
      <c r="A1759">
        <v>21060</v>
      </c>
      <c r="B1759" t="s">
        <v>10</v>
      </c>
      <c r="C1759" t="s">
        <v>6467</v>
      </c>
      <c r="D1759" t="str">
        <f t="shared" si="117"/>
        <v/>
      </c>
      <c r="E1759" t="s">
        <v>6468</v>
      </c>
      <c r="F1759" t="str">
        <f t="shared" si="119"/>
        <v>2103500</v>
      </c>
    </row>
    <row r="1760" spans="1:9" ht="15" hidden="1" customHeight="1" x14ac:dyDescent="0.25">
      <c r="A1760">
        <v>21063</v>
      </c>
      <c r="B1760" t="s">
        <v>10</v>
      </c>
      <c r="C1760" t="s">
        <v>6473</v>
      </c>
      <c r="D1760" t="str">
        <f t="shared" si="117"/>
        <v/>
      </c>
      <c r="E1760" t="s">
        <v>6474</v>
      </c>
      <c r="F1760" t="str">
        <f t="shared" si="119"/>
        <v>2103500</v>
      </c>
    </row>
    <row r="1761" spans="1:9" ht="15" hidden="1" customHeight="1" x14ac:dyDescent="0.25">
      <c r="A1761">
        <v>21061</v>
      </c>
      <c r="B1761" t="s">
        <v>10</v>
      </c>
      <c r="C1761" t="s">
        <v>6469</v>
      </c>
      <c r="D1761" t="str">
        <f t="shared" si="117"/>
        <v/>
      </c>
      <c r="E1761" t="s">
        <v>6470</v>
      </c>
      <c r="F1761" t="str">
        <f t="shared" si="119"/>
        <v>2103500</v>
      </c>
    </row>
    <row r="1762" spans="1:9" ht="15" hidden="1" customHeight="1" x14ac:dyDescent="0.25">
      <c r="A1762">
        <v>21062</v>
      </c>
      <c r="B1762" t="s">
        <v>10</v>
      </c>
      <c r="C1762" t="s">
        <v>6471</v>
      </c>
      <c r="D1762" t="str">
        <f t="shared" si="117"/>
        <v/>
      </c>
      <c r="E1762" t="s">
        <v>6472</v>
      </c>
      <c r="F1762" t="str">
        <f t="shared" si="119"/>
        <v>2103500</v>
      </c>
    </row>
    <row r="1763" spans="1:9" ht="15" hidden="1" customHeight="1" x14ac:dyDescent="0.25">
      <c r="A1763">
        <v>21057</v>
      </c>
      <c r="B1763" t="s">
        <v>10</v>
      </c>
      <c r="C1763" t="s">
        <v>6461</v>
      </c>
      <c r="D1763" t="str">
        <f t="shared" si="117"/>
        <v/>
      </c>
      <c r="E1763" t="s">
        <v>6462</v>
      </c>
      <c r="F1763" t="str">
        <f t="shared" si="119"/>
        <v>2103500</v>
      </c>
    </row>
    <row r="1764" spans="1:9" ht="15" hidden="1" customHeight="1" x14ac:dyDescent="0.25">
      <c r="A1764">
        <v>21056</v>
      </c>
      <c r="B1764" t="s">
        <v>10</v>
      </c>
      <c r="C1764" t="s">
        <v>6459</v>
      </c>
      <c r="D1764" t="str">
        <f t="shared" si="117"/>
        <v/>
      </c>
      <c r="E1764" t="s">
        <v>6460</v>
      </c>
      <c r="F1764" t="str">
        <f t="shared" si="119"/>
        <v>2103500</v>
      </c>
    </row>
    <row r="1765" spans="1:9" ht="15" hidden="1" customHeight="1" x14ac:dyDescent="0.25">
      <c r="A1765">
        <v>21055</v>
      </c>
      <c r="B1765" t="s">
        <v>10</v>
      </c>
      <c r="C1765" t="s">
        <v>6457</v>
      </c>
      <c r="D1765" t="str">
        <f t="shared" si="117"/>
        <v/>
      </c>
      <c r="E1765" t="s">
        <v>6458</v>
      </c>
      <c r="F1765" t="str">
        <f t="shared" si="119"/>
        <v>2103500</v>
      </c>
    </row>
    <row r="1766" spans="1:9" ht="15" hidden="1" customHeight="1" x14ac:dyDescent="0.25">
      <c r="A1766">
        <v>21058</v>
      </c>
      <c r="B1766" t="s">
        <v>10</v>
      </c>
      <c r="C1766" t="s">
        <v>6463</v>
      </c>
      <c r="D1766" t="str">
        <f t="shared" si="117"/>
        <v/>
      </c>
      <c r="E1766" t="s">
        <v>6464</v>
      </c>
      <c r="F1766" t="str">
        <f t="shared" si="119"/>
        <v>2103500</v>
      </c>
    </row>
    <row r="1767" spans="1:9" ht="15" hidden="1" customHeight="1" x14ac:dyDescent="0.25">
      <c r="A1767">
        <v>21054</v>
      </c>
      <c r="B1767" t="s">
        <v>10</v>
      </c>
      <c r="C1767" t="s">
        <v>6455</v>
      </c>
      <c r="D1767" t="str">
        <f t="shared" si="117"/>
        <v/>
      </c>
      <c r="E1767" t="s">
        <v>6456</v>
      </c>
      <c r="F1767" t="str">
        <f t="shared" si="119"/>
        <v>2103500</v>
      </c>
    </row>
    <row r="1768" spans="1:9" ht="15" hidden="1" customHeight="1" x14ac:dyDescent="0.25">
      <c r="A1768">
        <v>21059</v>
      </c>
      <c r="B1768" t="s">
        <v>10</v>
      </c>
      <c r="C1768" t="s">
        <v>6465</v>
      </c>
      <c r="D1768" t="str">
        <f t="shared" si="117"/>
        <v/>
      </c>
      <c r="E1768" t="s">
        <v>6466</v>
      </c>
      <c r="F1768" t="str">
        <f t="shared" si="119"/>
        <v>2103500</v>
      </c>
    </row>
    <row r="1769" spans="1:9" ht="15" hidden="1" customHeight="1" x14ac:dyDescent="0.25">
      <c r="A1769">
        <v>21049</v>
      </c>
      <c r="B1769" t="s">
        <v>10</v>
      </c>
      <c r="C1769" t="s">
        <v>6453</v>
      </c>
      <c r="D1769" t="str">
        <f t="shared" si="117"/>
        <v/>
      </c>
      <c r="E1769" t="s">
        <v>6454</v>
      </c>
      <c r="F1769" t="str">
        <f t="shared" si="119"/>
        <v>2103500</v>
      </c>
    </row>
    <row r="1770" spans="1:9" ht="15" customHeight="1" x14ac:dyDescent="0.25">
      <c r="A1770">
        <v>20831</v>
      </c>
      <c r="B1770" t="s">
        <v>7</v>
      </c>
      <c r="C1770" t="s">
        <v>6167</v>
      </c>
      <c r="D1770" t="str">
        <f t="shared" si="117"/>
        <v/>
      </c>
      <c r="E1770" t="s">
        <v>6168</v>
      </c>
      <c r="F1770" t="str">
        <f t="shared" si="119"/>
        <v>2101500</v>
      </c>
      <c r="H1770">
        <v>3</v>
      </c>
      <c r="I1770">
        <v>1</v>
      </c>
    </row>
    <row r="1771" spans="1:9" ht="15" hidden="1" customHeight="1" x14ac:dyDescent="0.25">
      <c r="A1771">
        <v>20839</v>
      </c>
      <c r="B1771" t="s">
        <v>10</v>
      </c>
      <c r="C1771" t="s">
        <v>6177</v>
      </c>
      <c r="D1771" t="str">
        <f t="shared" si="117"/>
        <v/>
      </c>
      <c r="E1771" t="s">
        <v>6178</v>
      </c>
      <c r="F1771" t="str">
        <f t="shared" si="119"/>
        <v>2101500</v>
      </c>
    </row>
    <row r="1772" spans="1:9" ht="15" hidden="1" customHeight="1" x14ac:dyDescent="0.25">
      <c r="A1772">
        <v>20838</v>
      </c>
      <c r="B1772" t="s">
        <v>10</v>
      </c>
      <c r="C1772" t="s">
        <v>6175</v>
      </c>
      <c r="D1772" t="str">
        <f t="shared" si="117"/>
        <v/>
      </c>
      <c r="E1772" t="s">
        <v>6176</v>
      </c>
      <c r="F1772" t="str">
        <f t="shared" si="119"/>
        <v>2101500</v>
      </c>
    </row>
    <row r="1773" spans="1:9" ht="15" hidden="1" customHeight="1" x14ac:dyDescent="0.25">
      <c r="A1773">
        <v>20837</v>
      </c>
      <c r="B1773" t="s">
        <v>10</v>
      </c>
      <c r="C1773" t="s">
        <v>6173</v>
      </c>
      <c r="D1773" t="str">
        <f t="shared" si="117"/>
        <v/>
      </c>
      <c r="E1773" t="s">
        <v>6174</v>
      </c>
      <c r="F1773" t="str">
        <f t="shared" si="119"/>
        <v>2101500</v>
      </c>
    </row>
    <row r="1774" spans="1:9" ht="15" hidden="1" customHeight="1" x14ac:dyDescent="0.25">
      <c r="A1774">
        <v>20840</v>
      </c>
      <c r="B1774" t="s">
        <v>10</v>
      </c>
      <c r="C1774" t="s">
        <v>6179</v>
      </c>
      <c r="D1774" t="str">
        <f t="shared" si="117"/>
        <v/>
      </c>
      <c r="E1774" t="s">
        <v>6180</v>
      </c>
      <c r="F1774" t="str">
        <f t="shared" si="119"/>
        <v>2101500</v>
      </c>
    </row>
    <row r="1775" spans="1:9" ht="15" hidden="1" customHeight="1" x14ac:dyDescent="0.25">
      <c r="A1775">
        <v>20836</v>
      </c>
      <c r="B1775" t="s">
        <v>10</v>
      </c>
      <c r="C1775" t="s">
        <v>6171</v>
      </c>
      <c r="D1775" t="str">
        <f t="shared" si="117"/>
        <v/>
      </c>
      <c r="E1775" t="s">
        <v>6172</v>
      </c>
      <c r="F1775" t="str">
        <f t="shared" si="119"/>
        <v>2101500</v>
      </c>
    </row>
    <row r="1776" spans="1:9" ht="15" hidden="1" customHeight="1" x14ac:dyDescent="0.25">
      <c r="A1776">
        <v>20841</v>
      </c>
      <c r="B1776" t="s">
        <v>10</v>
      </c>
      <c r="C1776" t="s">
        <v>6181</v>
      </c>
      <c r="D1776" t="str">
        <f t="shared" si="117"/>
        <v/>
      </c>
      <c r="E1776" t="s">
        <v>6182</v>
      </c>
      <c r="F1776" t="str">
        <f t="shared" si="119"/>
        <v>2101500</v>
      </c>
    </row>
    <row r="1777" spans="1:9" ht="15" hidden="1" customHeight="1" x14ac:dyDescent="0.25">
      <c r="A1777">
        <v>20832</v>
      </c>
      <c r="B1777" t="s">
        <v>10</v>
      </c>
      <c r="C1777" t="s">
        <v>6169</v>
      </c>
      <c r="D1777" t="str">
        <f t="shared" si="117"/>
        <v/>
      </c>
      <c r="E1777" t="s">
        <v>6170</v>
      </c>
      <c r="F1777" t="str">
        <f t="shared" si="119"/>
        <v>2101500</v>
      </c>
    </row>
    <row r="1778" spans="1:9" ht="15" customHeight="1" x14ac:dyDescent="0.25">
      <c r="A1778">
        <v>18712</v>
      </c>
      <c r="B1778" t="s">
        <v>7</v>
      </c>
      <c r="C1778" t="s">
        <v>3898</v>
      </c>
      <c r="D1778" t="str">
        <f t="shared" si="117"/>
        <v/>
      </c>
      <c r="E1778" t="s">
        <v>3899</v>
      </c>
      <c r="F1778" t="s">
        <v>6953</v>
      </c>
      <c r="H1778">
        <v>3</v>
      </c>
      <c r="I1778">
        <v>1</v>
      </c>
    </row>
    <row r="1779" spans="1:9" ht="15" customHeight="1" x14ac:dyDescent="0.25">
      <c r="A1779">
        <v>18676</v>
      </c>
      <c r="B1779" t="s">
        <v>7</v>
      </c>
      <c r="C1779" t="s">
        <v>3862</v>
      </c>
      <c r="D1779" t="str">
        <f t="shared" si="117"/>
        <v/>
      </c>
      <c r="E1779" t="s">
        <v>3863</v>
      </c>
      <c r="F1779" t="str">
        <f t="shared" ref="F1779:F1786" si="120">LEFT(C1779,7)</f>
        <v>2103068</v>
      </c>
      <c r="H1779">
        <v>3</v>
      </c>
      <c r="I1779">
        <v>1</v>
      </c>
    </row>
    <row r="1780" spans="1:9" ht="15" hidden="1" customHeight="1" x14ac:dyDescent="0.25">
      <c r="A1780">
        <v>18685</v>
      </c>
      <c r="B1780" t="s">
        <v>10</v>
      </c>
      <c r="C1780" t="s">
        <v>3872</v>
      </c>
      <c r="D1780" t="str">
        <f t="shared" si="117"/>
        <v/>
      </c>
      <c r="E1780" t="s">
        <v>3873</v>
      </c>
      <c r="F1780" t="str">
        <f t="shared" si="120"/>
        <v>2103068</v>
      </c>
    </row>
    <row r="1781" spans="1:9" ht="15" hidden="1" customHeight="1" x14ac:dyDescent="0.25">
      <c r="A1781">
        <v>18684</v>
      </c>
      <c r="B1781" t="s">
        <v>10</v>
      </c>
      <c r="C1781" t="s">
        <v>3870</v>
      </c>
      <c r="D1781" t="str">
        <f t="shared" ref="D1781:D1843" si="121">IF(RIGHT(LEFT(C1781,9),2)="##","",RIGHT(LEFT(C1781,10),2))</f>
        <v/>
      </c>
      <c r="E1781" t="s">
        <v>3871</v>
      </c>
      <c r="F1781" t="str">
        <f t="shared" si="120"/>
        <v>2103068</v>
      </c>
    </row>
    <row r="1782" spans="1:9" ht="15" hidden="1" customHeight="1" x14ac:dyDescent="0.25">
      <c r="A1782">
        <v>18683</v>
      </c>
      <c r="B1782" t="s">
        <v>10</v>
      </c>
      <c r="C1782" t="s">
        <v>3868</v>
      </c>
      <c r="D1782" t="str">
        <f t="shared" si="121"/>
        <v/>
      </c>
      <c r="E1782" t="s">
        <v>3869</v>
      </c>
      <c r="F1782" t="str">
        <f t="shared" si="120"/>
        <v>2103068</v>
      </c>
    </row>
    <row r="1783" spans="1:9" ht="15" hidden="1" customHeight="1" x14ac:dyDescent="0.25">
      <c r="A1783">
        <v>18686</v>
      </c>
      <c r="B1783" t="s">
        <v>10</v>
      </c>
      <c r="C1783" t="s">
        <v>3874</v>
      </c>
      <c r="D1783" t="str">
        <f t="shared" si="121"/>
        <v/>
      </c>
      <c r="E1783" t="s">
        <v>3875</v>
      </c>
      <c r="F1783" t="str">
        <f t="shared" si="120"/>
        <v>2103068</v>
      </c>
    </row>
    <row r="1784" spans="1:9" ht="15" hidden="1" customHeight="1" x14ac:dyDescent="0.25">
      <c r="A1784">
        <v>18682</v>
      </c>
      <c r="B1784" t="s">
        <v>10</v>
      </c>
      <c r="C1784" t="s">
        <v>3866</v>
      </c>
      <c r="D1784" t="str">
        <f t="shared" si="121"/>
        <v/>
      </c>
      <c r="E1784" t="s">
        <v>3867</v>
      </c>
      <c r="F1784" t="str">
        <f t="shared" si="120"/>
        <v>2103068</v>
      </c>
    </row>
    <row r="1785" spans="1:9" ht="15" hidden="1" customHeight="1" x14ac:dyDescent="0.25">
      <c r="A1785">
        <v>18687</v>
      </c>
      <c r="B1785" t="s">
        <v>10</v>
      </c>
      <c r="C1785" t="s">
        <v>3876</v>
      </c>
      <c r="D1785" t="str">
        <f t="shared" si="121"/>
        <v/>
      </c>
      <c r="E1785" t="s">
        <v>3877</v>
      </c>
      <c r="F1785" t="str">
        <f t="shared" si="120"/>
        <v>2103068</v>
      </c>
    </row>
    <row r="1786" spans="1:9" ht="15" hidden="1" customHeight="1" x14ac:dyDescent="0.25">
      <c r="A1786">
        <v>18677</v>
      </c>
      <c r="B1786" t="s">
        <v>10</v>
      </c>
      <c r="C1786" t="s">
        <v>3864</v>
      </c>
      <c r="D1786" t="str">
        <f t="shared" si="121"/>
        <v/>
      </c>
      <c r="E1786" t="s">
        <v>3865</v>
      </c>
      <c r="F1786" t="str">
        <f t="shared" si="120"/>
        <v>2103068</v>
      </c>
    </row>
    <row r="1787" spans="1:9" ht="15" customHeight="1" x14ac:dyDescent="0.25">
      <c r="A1787">
        <v>18700</v>
      </c>
      <c r="B1787" t="s">
        <v>7</v>
      </c>
      <c r="C1787" t="s">
        <v>3894</v>
      </c>
      <c r="D1787" t="str">
        <f t="shared" si="121"/>
        <v/>
      </c>
      <c r="E1787" t="s">
        <v>3895</v>
      </c>
      <c r="F1787" t="s">
        <v>6954</v>
      </c>
      <c r="H1787">
        <v>3</v>
      </c>
      <c r="I1787">
        <v>1</v>
      </c>
    </row>
    <row r="1788" spans="1:9" ht="15" customHeight="1" x14ac:dyDescent="0.25">
      <c r="A1788">
        <v>15195</v>
      </c>
      <c r="B1788" t="s">
        <v>7</v>
      </c>
      <c r="C1788" t="s">
        <v>641</v>
      </c>
      <c r="D1788" t="str">
        <f t="shared" si="121"/>
        <v/>
      </c>
      <c r="E1788" t="s">
        <v>642</v>
      </c>
      <c r="F1788" t="str">
        <f t="shared" ref="F1788:F1795" si="122">LEFT(C1788,7)</f>
        <v>2101202</v>
      </c>
      <c r="H1788">
        <v>3</v>
      </c>
      <c r="I1788">
        <v>1</v>
      </c>
    </row>
    <row r="1789" spans="1:9" ht="15" hidden="1" customHeight="1" x14ac:dyDescent="0.25">
      <c r="A1789">
        <v>15203</v>
      </c>
      <c r="B1789" t="s">
        <v>10</v>
      </c>
      <c r="C1789" t="s">
        <v>651</v>
      </c>
      <c r="D1789" t="str">
        <f t="shared" si="121"/>
        <v/>
      </c>
      <c r="E1789" t="s">
        <v>652</v>
      </c>
      <c r="F1789" t="str">
        <f t="shared" si="122"/>
        <v>2101202</v>
      </c>
    </row>
    <row r="1790" spans="1:9" ht="15" hidden="1" customHeight="1" x14ac:dyDescent="0.25">
      <c r="A1790">
        <v>15202</v>
      </c>
      <c r="B1790" t="s">
        <v>10</v>
      </c>
      <c r="C1790" t="s">
        <v>649</v>
      </c>
      <c r="D1790" t="str">
        <f t="shared" si="121"/>
        <v/>
      </c>
      <c r="E1790" t="s">
        <v>650</v>
      </c>
      <c r="F1790" t="str">
        <f t="shared" si="122"/>
        <v>2101202</v>
      </c>
    </row>
    <row r="1791" spans="1:9" ht="15" hidden="1" customHeight="1" x14ac:dyDescent="0.25">
      <c r="A1791">
        <v>15198</v>
      </c>
      <c r="B1791" t="s">
        <v>10</v>
      </c>
      <c r="C1791" t="s">
        <v>647</v>
      </c>
      <c r="D1791" t="str">
        <f t="shared" si="121"/>
        <v/>
      </c>
      <c r="E1791" t="s">
        <v>648</v>
      </c>
      <c r="F1791" t="str">
        <f t="shared" si="122"/>
        <v>2101202</v>
      </c>
    </row>
    <row r="1792" spans="1:9" ht="15" hidden="1" customHeight="1" x14ac:dyDescent="0.25">
      <c r="A1792">
        <v>15204</v>
      </c>
      <c r="B1792" t="s">
        <v>10</v>
      </c>
      <c r="C1792" t="s">
        <v>653</v>
      </c>
      <c r="D1792" t="str">
        <f t="shared" si="121"/>
        <v/>
      </c>
      <c r="E1792" t="s">
        <v>654</v>
      </c>
      <c r="F1792" t="str">
        <f t="shared" si="122"/>
        <v>2101202</v>
      </c>
    </row>
    <row r="1793" spans="1:9" ht="15" hidden="1" customHeight="1" x14ac:dyDescent="0.25">
      <c r="A1793">
        <v>15197</v>
      </c>
      <c r="B1793" t="s">
        <v>10</v>
      </c>
      <c r="C1793" t="s">
        <v>645</v>
      </c>
      <c r="D1793" t="str">
        <f t="shared" si="121"/>
        <v/>
      </c>
      <c r="E1793" t="s">
        <v>646</v>
      </c>
      <c r="F1793" t="str">
        <f t="shared" si="122"/>
        <v>2101202</v>
      </c>
    </row>
    <row r="1794" spans="1:9" ht="15" hidden="1" customHeight="1" x14ac:dyDescent="0.25">
      <c r="A1794">
        <v>15205</v>
      </c>
      <c r="B1794" t="s">
        <v>10</v>
      </c>
      <c r="C1794" t="s">
        <v>655</v>
      </c>
      <c r="D1794" t="str">
        <f t="shared" si="121"/>
        <v/>
      </c>
      <c r="E1794" t="s">
        <v>656</v>
      </c>
      <c r="F1794" t="str">
        <f t="shared" si="122"/>
        <v>2101202</v>
      </c>
    </row>
    <row r="1795" spans="1:9" ht="15" hidden="1" customHeight="1" x14ac:dyDescent="0.25">
      <c r="A1795">
        <v>15196</v>
      </c>
      <c r="B1795" t="s">
        <v>10</v>
      </c>
      <c r="C1795" t="s">
        <v>643</v>
      </c>
      <c r="D1795" t="str">
        <f t="shared" si="121"/>
        <v/>
      </c>
      <c r="E1795" t="s">
        <v>644</v>
      </c>
      <c r="F1795" t="str">
        <f t="shared" si="122"/>
        <v>2101202</v>
      </c>
    </row>
    <row r="1796" spans="1:9" ht="15" customHeight="1" x14ac:dyDescent="0.25">
      <c r="A1796">
        <v>18706</v>
      </c>
      <c r="B1796" t="s">
        <v>7</v>
      </c>
      <c r="C1796" t="s">
        <v>3896</v>
      </c>
      <c r="D1796" t="str">
        <f t="shared" si="121"/>
        <v/>
      </c>
      <c r="E1796" t="s">
        <v>3897</v>
      </c>
      <c r="F1796" t="s">
        <v>6955</v>
      </c>
      <c r="H1796">
        <v>3</v>
      </c>
      <c r="I1796">
        <v>1</v>
      </c>
    </row>
    <row r="1797" spans="1:9" ht="15" customHeight="1" x14ac:dyDescent="0.25">
      <c r="A1797">
        <v>17220</v>
      </c>
      <c r="B1797" t="s">
        <v>7</v>
      </c>
      <c r="C1797" t="s">
        <v>2039</v>
      </c>
      <c r="D1797" t="str">
        <f t="shared" si="121"/>
        <v/>
      </c>
      <c r="E1797" t="s">
        <v>2040</v>
      </c>
      <c r="F1797" t="str">
        <f t="shared" ref="F1797:F1804" si="123">LEFT(C1797,7)</f>
        <v>2103069</v>
      </c>
      <c r="H1797">
        <v>3</v>
      </c>
      <c r="I1797">
        <v>1</v>
      </c>
    </row>
    <row r="1798" spans="1:9" ht="15" hidden="1" customHeight="1" x14ac:dyDescent="0.25">
      <c r="A1798">
        <v>17232</v>
      </c>
      <c r="B1798" t="s">
        <v>10</v>
      </c>
      <c r="C1798" t="s">
        <v>2051</v>
      </c>
      <c r="D1798" t="str">
        <f t="shared" si="121"/>
        <v/>
      </c>
      <c r="E1798" t="s">
        <v>2052</v>
      </c>
      <c r="F1798" t="str">
        <f t="shared" si="123"/>
        <v>2103069</v>
      </c>
    </row>
    <row r="1799" spans="1:9" ht="15" hidden="1" customHeight="1" x14ac:dyDescent="0.25">
      <c r="A1799">
        <v>17228</v>
      </c>
      <c r="B1799" t="s">
        <v>10</v>
      </c>
      <c r="C1799" t="s">
        <v>2049</v>
      </c>
      <c r="D1799" t="str">
        <f t="shared" si="121"/>
        <v/>
      </c>
      <c r="E1799" t="s">
        <v>2050</v>
      </c>
      <c r="F1799" t="str">
        <f t="shared" si="123"/>
        <v>2103069</v>
      </c>
    </row>
    <row r="1800" spans="1:9" ht="15" hidden="1" customHeight="1" x14ac:dyDescent="0.25">
      <c r="A1800">
        <v>17227</v>
      </c>
      <c r="B1800" t="s">
        <v>10</v>
      </c>
      <c r="C1800" t="s">
        <v>2047</v>
      </c>
      <c r="D1800" t="str">
        <f t="shared" si="121"/>
        <v/>
      </c>
      <c r="E1800" t="s">
        <v>2048</v>
      </c>
      <c r="F1800" t="str">
        <f t="shared" si="123"/>
        <v>2103069</v>
      </c>
    </row>
    <row r="1801" spans="1:9" ht="15" hidden="1" customHeight="1" x14ac:dyDescent="0.25">
      <c r="A1801">
        <v>17233</v>
      </c>
      <c r="B1801" t="s">
        <v>10</v>
      </c>
      <c r="C1801" t="s">
        <v>2053</v>
      </c>
      <c r="D1801" t="str">
        <f t="shared" si="121"/>
        <v/>
      </c>
      <c r="E1801" t="s">
        <v>2054</v>
      </c>
      <c r="F1801" t="str">
        <f t="shared" si="123"/>
        <v>2103069</v>
      </c>
    </row>
    <row r="1802" spans="1:9" ht="15" hidden="1" customHeight="1" x14ac:dyDescent="0.25">
      <c r="A1802">
        <v>17226</v>
      </c>
      <c r="B1802" t="s">
        <v>10</v>
      </c>
      <c r="C1802" t="s">
        <v>2045</v>
      </c>
      <c r="D1802" t="str">
        <f t="shared" si="121"/>
        <v/>
      </c>
      <c r="E1802" t="s">
        <v>2046</v>
      </c>
      <c r="F1802" t="str">
        <f t="shared" si="123"/>
        <v>2103069</v>
      </c>
    </row>
    <row r="1803" spans="1:9" ht="15" hidden="1" customHeight="1" x14ac:dyDescent="0.25">
      <c r="A1803">
        <v>17221</v>
      </c>
      <c r="B1803" t="s">
        <v>10</v>
      </c>
      <c r="C1803" t="s">
        <v>2041</v>
      </c>
      <c r="D1803" t="str">
        <f t="shared" si="121"/>
        <v/>
      </c>
      <c r="E1803" t="s">
        <v>2042</v>
      </c>
      <c r="F1803" t="str">
        <f t="shared" si="123"/>
        <v>2103069</v>
      </c>
    </row>
    <row r="1804" spans="1:9" ht="15" hidden="1" customHeight="1" x14ac:dyDescent="0.25">
      <c r="A1804">
        <v>17222</v>
      </c>
      <c r="B1804" t="s">
        <v>10</v>
      </c>
      <c r="C1804" t="s">
        <v>2043</v>
      </c>
      <c r="D1804" t="str">
        <f t="shared" si="121"/>
        <v/>
      </c>
      <c r="E1804" t="s">
        <v>2044</v>
      </c>
      <c r="F1804" t="str">
        <f t="shared" si="123"/>
        <v>2103069</v>
      </c>
    </row>
    <row r="1805" spans="1:9" ht="15" customHeight="1" x14ac:dyDescent="0.25">
      <c r="A1805">
        <v>18714</v>
      </c>
      <c r="B1805" t="s">
        <v>7</v>
      </c>
      <c r="C1805" t="s">
        <v>3900</v>
      </c>
      <c r="D1805" t="str">
        <f t="shared" si="121"/>
        <v/>
      </c>
      <c r="E1805" t="s">
        <v>3901</v>
      </c>
      <c r="F1805" t="s">
        <v>6956</v>
      </c>
      <c r="H1805">
        <v>3</v>
      </c>
      <c r="I1805">
        <v>1</v>
      </c>
    </row>
    <row r="1806" spans="1:9" ht="15" customHeight="1" x14ac:dyDescent="0.25">
      <c r="A1806">
        <v>18688</v>
      </c>
      <c r="B1806" t="s">
        <v>7</v>
      </c>
      <c r="C1806" t="s">
        <v>3878</v>
      </c>
      <c r="D1806" t="str">
        <f t="shared" si="121"/>
        <v/>
      </c>
      <c r="E1806" t="s">
        <v>3879</v>
      </c>
      <c r="F1806" t="str">
        <f t="shared" ref="F1806:F1813" si="124">LEFT(C1806,7)</f>
        <v>2101000</v>
      </c>
      <c r="H1806">
        <v>3</v>
      </c>
      <c r="I1806">
        <v>1</v>
      </c>
    </row>
    <row r="1807" spans="1:9" ht="15" hidden="1" customHeight="1" x14ac:dyDescent="0.25">
      <c r="A1807">
        <v>18697</v>
      </c>
      <c r="B1807" t="s">
        <v>10</v>
      </c>
      <c r="C1807" t="s">
        <v>3888</v>
      </c>
      <c r="D1807" t="str">
        <f t="shared" si="121"/>
        <v/>
      </c>
      <c r="E1807" t="s">
        <v>3889</v>
      </c>
      <c r="F1807" t="str">
        <f t="shared" si="124"/>
        <v>2101000</v>
      </c>
    </row>
    <row r="1808" spans="1:9" ht="15" hidden="1" customHeight="1" x14ac:dyDescent="0.25">
      <c r="A1808">
        <v>18696</v>
      </c>
      <c r="B1808" t="s">
        <v>10</v>
      </c>
      <c r="C1808" t="s">
        <v>3886</v>
      </c>
      <c r="D1808" t="str">
        <f t="shared" si="121"/>
        <v/>
      </c>
      <c r="E1808" t="s">
        <v>3887</v>
      </c>
      <c r="F1808" t="str">
        <f t="shared" si="124"/>
        <v>2101000</v>
      </c>
    </row>
    <row r="1809" spans="1:9" ht="15" hidden="1" customHeight="1" x14ac:dyDescent="0.25">
      <c r="A1809">
        <v>18695</v>
      </c>
      <c r="B1809" t="s">
        <v>10</v>
      </c>
      <c r="C1809" t="s">
        <v>3884</v>
      </c>
      <c r="D1809" t="str">
        <f t="shared" si="121"/>
        <v/>
      </c>
      <c r="E1809" t="s">
        <v>3885</v>
      </c>
      <c r="F1809" t="str">
        <f t="shared" si="124"/>
        <v>2101000</v>
      </c>
    </row>
    <row r="1810" spans="1:9" ht="15" hidden="1" customHeight="1" x14ac:dyDescent="0.25">
      <c r="A1810">
        <v>18698</v>
      </c>
      <c r="B1810" t="s">
        <v>10</v>
      </c>
      <c r="C1810" t="s">
        <v>3890</v>
      </c>
      <c r="D1810" t="str">
        <f t="shared" si="121"/>
        <v/>
      </c>
      <c r="E1810" t="s">
        <v>3891</v>
      </c>
      <c r="F1810" t="str">
        <f t="shared" si="124"/>
        <v>2101000</v>
      </c>
    </row>
    <row r="1811" spans="1:9" ht="15" hidden="1" customHeight="1" x14ac:dyDescent="0.25">
      <c r="A1811">
        <v>18694</v>
      </c>
      <c r="B1811" t="s">
        <v>10</v>
      </c>
      <c r="C1811" t="s">
        <v>3882</v>
      </c>
      <c r="D1811" t="str">
        <f t="shared" si="121"/>
        <v/>
      </c>
      <c r="E1811" t="s">
        <v>3883</v>
      </c>
      <c r="F1811" t="str">
        <f t="shared" si="124"/>
        <v>2101000</v>
      </c>
    </row>
    <row r="1812" spans="1:9" ht="15" hidden="1" customHeight="1" x14ac:dyDescent="0.25">
      <c r="A1812">
        <v>18699</v>
      </c>
      <c r="B1812" t="s">
        <v>10</v>
      </c>
      <c r="C1812" t="s">
        <v>3892</v>
      </c>
      <c r="D1812" t="str">
        <f t="shared" si="121"/>
        <v/>
      </c>
      <c r="E1812" t="s">
        <v>3893</v>
      </c>
      <c r="F1812" t="str">
        <f t="shared" si="124"/>
        <v>2101000</v>
      </c>
    </row>
    <row r="1813" spans="1:9" ht="15" hidden="1" customHeight="1" x14ac:dyDescent="0.25">
      <c r="A1813">
        <v>18689</v>
      </c>
      <c r="B1813" t="s">
        <v>10</v>
      </c>
      <c r="C1813" t="s">
        <v>3880</v>
      </c>
      <c r="D1813" t="str">
        <f t="shared" si="121"/>
        <v/>
      </c>
      <c r="E1813" t="s">
        <v>3881</v>
      </c>
      <c r="F1813" t="str">
        <f t="shared" si="124"/>
        <v>2101000</v>
      </c>
    </row>
    <row r="1814" spans="1:9" ht="15" customHeight="1" x14ac:dyDescent="0.25">
      <c r="A1814">
        <v>19734</v>
      </c>
      <c r="B1814" t="s">
        <v>7</v>
      </c>
      <c r="C1814" t="s">
        <v>5137</v>
      </c>
      <c r="D1814" t="str">
        <f t="shared" si="121"/>
        <v/>
      </c>
      <c r="E1814" t="s">
        <v>5138</v>
      </c>
      <c r="F1814" t="s">
        <v>6915</v>
      </c>
      <c r="H1814">
        <v>3</v>
      </c>
      <c r="I1814">
        <v>1</v>
      </c>
    </row>
    <row r="1815" spans="1:9" ht="15" hidden="1" customHeight="1" x14ac:dyDescent="0.25">
      <c r="A1815">
        <v>19735</v>
      </c>
      <c r="B1815" t="s">
        <v>10</v>
      </c>
      <c r="C1815" t="s">
        <v>5139</v>
      </c>
      <c r="D1815" t="str">
        <f t="shared" si="121"/>
        <v/>
      </c>
      <c r="E1815" t="s">
        <v>5140</v>
      </c>
      <c r="F1815" t="str">
        <f t="shared" ref="F1815:F1846" si="125">LEFT(C1815,7)</f>
        <v>2101106</v>
      </c>
    </row>
    <row r="1816" spans="1:9" ht="15" hidden="1" customHeight="1" x14ac:dyDescent="0.25">
      <c r="A1816">
        <v>19740</v>
      </c>
      <c r="B1816" t="s">
        <v>10</v>
      </c>
      <c r="C1816" t="s">
        <v>5141</v>
      </c>
      <c r="D1816" t="str">
        <f t="shared" si="121"/>
        <v/>
      </c>
      <c r="E1816" t="s">
        <v>5142</v>
      </c>
      <c r="F1816" t="str">
        <f t="shared" si="125"/>
        <v>2101106</v>
      </c>
    </row>
    <row r="1817" spans="1:9" ht="15" hidden="1" customHeight="1" x14ac:dyDescent="0.25">
      <c r="A1817">
        <v>19741</v>
      </c>
      <c r="B1817" t="s">
        <v>10</v>
      </c>
      <c r="C1817" t="s">
        <v>5143</v>
      </c>
      <c r="D1817" t="str">
        <f t="shared" si="121"/>
        <v/>
      </c>
      <c r="E1817" t="s">
        <v>5144</v>
      </c>
      <c r="F1817" t="str">
        <f t="shared" si="125"/>
        <v>2101106</v>
      </c>
    </row>
    <row r="1818" spans="1:9" ht="15" customHeight="1" x14ac:dyDescent="0.25">
      <c r="A1818">
        <v>19722</v>
      </c>
      <c r="B1818" t="s">
        <v>7</v>
      </c>
      <c r="C1818" t="s">
        <v>5121</v>
      </c>
      <c r="D1818" t="str">
        <f t="shared" si="121"/>
        <v/>
      </c>
      <c r="E1818" t="s">
        <v>5122</v>
      </c>
      <c r="F1818" t="str">
        <f t="shared" si="125"/>
        <v>2101105</v>
      </c>
      <c r="H1818">
        <v>3</v>
      </c>
      <c r="I1818">
        <v>1</v>
      </c>
    </row>
    <row r="1819" spans="1:9" ht="15" hidden="1" customHeight="1" x14ac:dyDescent="0.25">
      <c r="A1819">
        <v>19731</v>
      </c>
      <c r="B1819" t="s">
        <v>10</v>
      </c>
      <c r="C1819" t="s">
        <v>5131</v>
      </c>
      <c r="D1819" t="str">
        <f t="shared" si="121"/>
        <v/>
      </c>
      <c r="E1819" t="s">
        <v>5132</v>
      </c>
      <c r="F1819" t="str">
        <f t="shared" si="125"/>
        <v>2101105</v>
      </c>
    </row>
    <row r="1820" spans="1:9" ht="15" hidden="1" customHeight="1" x14ac:dyDescent="0.25">
      <c r="A1820">
        <v>19730</v>
      </c>
      <c r="B1820" t="s">
        <v>10</v>
      </c>
      <c r="C1820" t="s">
        <v>5129</v>
      </c>
      <c r="D1820" t="str">
        <f t="shared" si="121"/>
        <v/>
      </c>
      <c r="E1820" t="s">
        <v>5130</v>
      </c>
      <c r="F1820" t="str">
        <f t="shared" si="125"/>
        <v>2101105</v>
      </c>
    </row>
    <row r="1821" spans="1:9" ht="15" hidden="1" customHeight="1" x14ac:dyDescent="0.25">
      <c r="A1821">
        <v>19729</v>
      </c>
      <c r="B1821" t="s">
        <v>10</v>
      </c>
      <c r="C1821" t="s">
        <v>5127</v>
      </c>
      <c r="D1821" t="str">
        <f t="shared" si="121"/>
        <v/>
      </c>
      <c r="E1821" t="s">
        <v>5128</v>
      </c>
      <c r="F1821" t="str">
        <f t="shared" si="125"/>
        <v>2101105</v>
      </c>
    </row>
    <row r="1822" spans="1:9" ht="15" hidden="1" customHeight="1" x14ac:dyDescent="0.25">
      <c r="A1822">
        <v>19732</v>
      </c>
      <c r="B1822" t="s">
        <v>10</v>
      </c>
      <c r="C1822" t="s">
        <v>5133</v>
      </c>
      <c r="D1822" t="str">
        <f t="shared" si="121"/>
        <v/>
      </c>
      <c r="E1822" t="s">
        <v>5134</v>
      </c>
      <c r="F1822" t="str">
        <f t="shared" si="125"/>
        <v>2101105</v>
      </c>
    </row>
    <row r="1823" spans="1:9" ht="15" hidden="1" customHeight="1" x14ac:dyDescent="0.25">
      <c r="A1823">
        <v>19728</v>
      </c>
      <c r="B1823" t="s">
        <v>10</v>
      </c>
      <c r="C1823" t="s">
        <v>5125</v>
      </c>
      <c r="D1823" t="str">
        <f t="shared" si="121"/>
        <v/>
      </c>
      <c r="E1823" t="s">
        <v>5126</v>
      </c>
      <c r="F1823" t="str">
        <f t="shared" si="125"/>
        <v>2101105</v>
      </c>
    </row>
    <row r="1824" spans="1:9" ht="15" hidden="1" customHeight="1" x14ac:dyDescent="0.25">
      <c r="A1824">
        <v>19733</v>
      </c>
      <c r="B1824" t="s">
        <v>10</v>
      </c>
      <c r="C1824" t="s">
        <v>5135</v>
      </c>
      <c r="D1824" t="str">
        <f t="shared" si="121"/>
        <v/>
      </c>
      <c r="E1824" t="s">
        <v>5136</v>
      </c>
      <c r="F1824" t="str">
        <f t="shared" si="125"/>
        <v>2101105</v>
      </c>
    </row>
    <row r="1825" spans="1:8" ht="15" hidden="1" customHeight="1" x14ac:dyDescent="0.25">
      <c r="A1825">
        <v>19723</v>
      </c>
      <c r="B1825" t="s">
        <v>10</v>
      </c>
      <c r="C1825" t="s">
        <v>5123</v>
      </c>
      <c r="D1825" t="str">
        <f t="shared" si="121"/>
        <v/>
      </c>
      <c r="E1825" t="s">
        <v>5124</v>
      </c>
      <c r="F1825" t="str">
        <f t="shared" si="125"/>
        <v>2101105</v>
      </c>
    </row>
    <row r="1826" spans="1:8" ht="15" customHeight="1" x14ac:dyDescent="0.25">
      <c r="A1826">
        <v>15980</v>
      </c>
      <c r="B1826" t="s">
        <v>7</v>
      </c>
      <c r="C1826" t="s">
        <v>1228</v>
      </c>
      <c r="D1826" t="str">
        <f t="shared" si="121"/>
        <v/>
      </c>
      <c r="E1826" t="s">
        <v>1229</v>
      </c>
      <c r="F1826" t="str">
        <f t="shared" si="125"/>
        <v>8701093</v>
      </c>
      <c r="H1826">
        <v>1</v>
      </c>
    </row>
    <row r="1827" spans="1:8" ht="15" hidden="1" customHeight="1" x14ac:dyDescent="0.25">
      <c r="A1827">
        <v>15984</v>
      </c>
      <c r="B1827" t="s">
        <v>10</v>
      </c>
      <c r="C1827" t="s">
        <v>1234</v>
      </c>
      <c r="D1827" t="str">
        <f t="shared" si="121"/>
        <v/>
      </c>
      <c r="E1827" t="s">
        <v>1235</v>
      </c>
      <c r="F1827" t="str">
        <f t="shared" si="125"/>
        <v>8701093</v>
      </c>
    </row>
    <row r="1828" spans="1:8" ht="15" hidden="1" customHeight="1" x14ac:dyDescent="0.25">
      <c r="A1828">
        <v>15983</v>
      </c>
      <c r="B1828" t="s">
        <v>10</v>
      </c>
      <c r="C1828" t="s">
        <v>1232</v>
      </c>
      <c r="D1828" t="str">
        <f t="shared" si="121"/>
        <v/>
      </c>
      <c r="E1828" t="s">
        <v>1233</v>
      </c>
      <c r="F1828" t="str">
        <f t="shared" si="125"/>
        <v>8701093</v>
      </c>
    </row>
    <row r="1829" spans="1:8" ht="15" hidden="1" customHeight="1" x14ac:dyDescent="0.25">
      <c r="A1829">
        <v>15981</v>
      </c>
      <c r="B1829" t="s">
        <v>10</v>
      </c>
      <c r="C1829" t="s">
        <v>1230</v>
      </c>
      <c r="D1829" t="str">
        <f t="shared" si="121"/>
        <v/>
      </c>
      <c r="E1829" t="s">
        <v>1231</v>
      </c>
      <c r="F1829" t="str">
        <f t="shared" si="125"/>
        <v>8701093</v>
      </c>
    </row>
    <row r="1830" spans="1:8" ht="15" hidden="1" customHeight="1" x14ac:dyDescent="0.25">
      <c r="A1830">
        <v>15985</v>
      </c>
      <c r="B1830" t="s">
        <v>10</v>
      </c>
      <c r="C1830" t="s">
        <v>1236</v>
      </c>
      <c r="D1830" t="str">
        <f t="shared" si="121"/>
        <v/>
      </c>
      <c r="E1830" t="s">
        <v>1237</v>
      </c>
      <c r="F1830" t="str">
        <f t="shared" si="125"/>
        <v>8701093</v>
      </c>
    </row>
    <row r="1831" spans="1:8" ht="15" customHeight="1" x14ac:dyDescent="0.25">
      <c r="A1831">
        <v>17504</v>
      </c>
      <c r="B1831" t="s">
        <v>7</v>
      </c>
      <c r="C1831" t="s">
        <v>2203</v>
      </c>
      <c r="D1831" t="str">
        <f t="shared" si="121"/>
        <v/>
      </c>
      <c r="E1831" t="s">
        <v>2204</v>
      </c>
      <c r="F1831" t="str">
        <f t="shared" si="125"/>
        <v>8701090</v>
      </c>
      <c r="H1831">
        <v>1</v>
      </c>
    </row>
    <row r="1832" spans="1:8" ht="15" hidden="1" customHeight="1" x14ac:dyDescent="0.25">
      <c r="A1832">
        <v>17508</v>
      </c>
      <c r="B1832" t="s">
        <v>10</v>
      </c>
      <c r="C1832" t="s">
        <v>2209</v>
      </c>
      <c r="D1832" t="str">
        <f t="shared" si="121"/>
        <v/>
      </c>
      <c r="E1832" t="s">
        <v>2210</v>
      </c>
      <c r="F1832" t="str">
        <f t="shared" si="125"/>
        <v>8701090</v>
      </c>
    </row>
    <row r="1833" spans="1:8" ht="15" hidden="1" customHeight="1" x14ac:dyDescent="0.25">
      <c r="A1833">
        <v>17507</v>
      </c>
      <c r="B1833" t="s">
        <v>10</v>
      </c>
      <c r="C1833" t="s">
        <v>2207</v>
      </c>
      <c r="D1833" t="str">
        <f t="shared" si="121"/>
        <v/>
      </c>
      <c r="E1833" t="s">
        <v>2208</v>
      </c>
      <c r="F1833" t="str">
        <f t="shared" si="125"/>
        <v>8701090</v>
      </c>
    </row>
    <row r="1834" spans="1:8" ht="15" hidden="1" customHeight="1" x14ac:dyDescent="0.25">
      <c r="A1834">
        <v>17505</v>
      </c>
      <c r="B1834" t="s">
        <v>10</v>
      </c>
      <c r="C1834" t="s">
        <v>2205</v>
      </c>
      <c r="D1834" t="str">
        <f t="shared" si="121"/>
        <v/>
      </c>
      <c r="E1834" t="s">
        <v>2206</v>
      </c>
      <c r="F1834" t="str">
        <f t="shared" si="125"/>
        <v>8701090</v>
      </c>
    </row>
    <row r="1835" spans="1:8" ht="15" hidden="1" customHeight="1" x14ac:dyDescent="0.25">
      <c r="A1835">
        <v>17509</v>
      </c>
      <c r="B1835" t="s">
        <v>10</v>
      </c>
      <c r="C1835" t="s">
        <v>2211</v>
      </c>
      <c r="D1835" t="str">
        <f t="shared" si="121"/>
        <v/>
      </c>
      <c r="E1835" t="s">
        <v>2212</v>
      </c>
      <c r="F1835" t="str">
        <f t="shared" si="125"/>
        <v>8701090</v>
      </c>
    </row>
    <row r="1836" spans="1:8" ht="15" customHeight="1" x14ac:dyDescent="0.25">
      <c r="A1836">
        <v>17510</v>
      </c>
      <c r="B1836" t="s">
        <v>7</v>
      </c>
      <c r="C1836" t="s">
        <v>2213</v>
      </c>
      <c r="D1836" t="str">
        <f t="shared" si="121"/>
        <v/>
      </c>
      <c r="E1836" t="s">
        <v>2214</v>
      </c>
      <c r="F1836" t="str">
        <f t="shared" si="125"/>
        <v>8701092</v>
      </c>
      <c r="H1836">
        <v>1</v>
      </c>
    </row>
    <row r="1837" spans="1:8" ht="15" hidden="1" customHeight="1" x14ac:dyDescent="0.25">
      <c r="A1837">
        <v>17513</v>
      </c>
      <c r="B1837" t="s">
        <v>10</v>
      </c>
      <c r="C1837" t="s">
        <v>2219</v>
      </c>
      <c r="D1837" t="str">
        <f t="shared" si="121"/>
        <v/>
      </c>
      <c r="E1837" t="s">
        <v>2220</v>
      </c>
      <c r="F1837" t="str">
        <f t="shared" si="125"/>
        <v>8701092</v>
      </c>
    </row>
    <row r="1838" spans="1:8" ht="15" hidden="1" customHeight="1" x14ac:dyDescent="0.25">
      <c r="A1838">
        <v>17512</v>
      </c>
      <c r="B1838" t="s">
        <v>10</v>
      </c>
      <c r="C1838" t="s">
        <v>2217</v>
      </c>
      <c r="D1838" t="str">
        <f t="shared" si="121"/>
        <v/>
      </c>
      <c r="E1838" t="s">
        <v>2218</v>
      </c>
      <c r="F1838" t="str">
        <f t="shared" si="125"/>
        <v>8701092</v>
      </c>
    </row>
    <row r="1839" spans="1:8" hidden="1" x14ac:dyDescent="0.25">
      <c r="A1839">
        <v>17511</v>
      </c>
      <c r="B1839" t="s">
        <v>10</v>
      </c>
      <c r="C1839" t="s">
        <v>2215</v>
      </c>
      <c r="D1839" t="str">
        <f t="shared" si="121"/>
        <v/>
      </c>
      <c r="E1839" t="s">
        <v>2216</v>
      </c>
      <c r="F1839" t="str">
        <f t="shared" si="125"/>
        <v>8701092</v>
      </c>
    </row>
    <row r="1840" spans="1:8" hidden="1" x14ac:dyDescent="0.25">
      <c r="A1840">
        <v>17514</v>
      </c>
      <c r="B1840" t="s">
        <v>10</v>
      </c>
      <c r="C1840" t="s">
        <v>2221</v>
      </c>
      <c r="D1840" t="str">
        <f t="shared" si="121"/>
        <v/>
      </c>
      <c r="E1840" t="s">
        <v>2222</v>
      </c>
      <c r="F1840" t="str">
        <f t="shared" si="125"/>
        <v>8701092</v>
      </c>
    </row>
    <row r="1841" spans="1:8" ht="15" hidden="1" customHeight="1" x14ac:dyDescent="0.25">
      <c r="A1841">
        <v>17515</v>
      </c>
      <c r="B1841" t="s">
        <v>10</v>
      </c>
      <c r="C1841" t="s">
        <v>2223</v>
      </c>
      <c r="D1841" t="str">
        <f t="shared" si="121"/>
        <v/>
      </c>
      <c r="E1841" t="s">
        <v>2224</v>
      </c>
      <c r="F1841" t="str">
        <f t="shared" si="125"/>
        <v>8701092</v>
      </c>
    </row>
    <row r="1842" spans="1:8" ht="15" hidden="1" customHeight="1" x14ac:dyDescent="0.25">
      <c r="A1842">
        <v>15328</v>
      </c>
      <c r="B1842" t="s">
        <v>4</v>
      </c>
      <c r="C1842" t="s">
        <v>751</v>
      </c>
      <c r="D1842" t="str">
        <f t="shared" si="121"/>
        <v/>
      </c>
      <c r="E1842" t="s">
        <v>752</v>
      </c>
      <c r="F1842" t="str">
        <f t="shared" si="125"/>
        <v>8701214</v>
      </c>
      <c r="H1842">
        <v>3</v>
      </c>
    </row>
    <row r="1843" spans="1:8" ht="15" hidden="1" customHeight="1" x14ac:dyDescent="0.25">
      <c r="A1843">
        <v>21324</v>
      </c>
      <c r="B1843" t="s">
        <v>4</v>
      </c>
      <c r="C1843" t="s">
        <v>6833</v>
      </c>
      <c r="D1843" t="str">
        <f t="shared" si="121"/>
        <v/>
      </c>
      <c r="E1843" t="s">
        <v>6834</v>
      </c>
      <c r="F1843" t="str">
        <f t="shared" si="125"/>
        <v>8701500</v>
      </c>
      <c r="H1843">
        <v>3</v>
      </c>
    </row>
    <row r="1844" spans="1:8" ht="15" hidden="1" customHeight="1" x14ac:dyDescent="0.25">
      <c r="A1844">
        <v>16502</v>
      </c>
      <c r="B1844" t="s">
        <v>7</v>
      </c>
      <c r="C1844" t="s">
        <v>7018</v>
      </c>
      <c r="D1844" t="s">
        <v>6840</v>
      </c>
      <c r="E1844" t="s">
        <v>7019</v>
      </c>
      <c r="F1844" t="str">
        <f t="shared" si="125"/>
        <v>8701255</v>
      </c>
    </row>
    <row r="1845" spans="1:8" ht="15" customHeight="1" x14ac:dyDescent="0.25">
      <c r="A1845">
        <v>16754</v>
      </c>
      <c r="B1845" t="s">
        <v>7</v>
      </c>
      <c r="C1845" t="s">
        <v>1670</v>
      </c>
      <c r="D1845" t="str">
        <f t="shared" ref="D1845:D1876" si="126">IF(RIGHT(LEFT(C1845,9),2)="##","",RIGHT(LEFT(C1845,10),2))</f>
        <v/>
      </c>
      <c r="E1845" t="s">
        <v>1671</v>
      </c>
      <c r="F1845" t="str">
        <f t="shared" si="125"/>
        <v>8701999</v>
      </c>
      <c r="H1845">
        <v>2</v>
      </c>
    </row>
    <row r="1846" spans="1:8" ht="15" hidden="1" customHeight="1" x14ac:dyDescent="0.25">
      <c r="A1846">
        <v>16755</v>
      </c>
      <c r="B1846" t="s">
        <v>10</v>
      </c>
      <c r="C1846" t="s">
        <v>1672</v>
      </c>
      <c r="D1846" t="str">
        <f t="shared" si="126"/>
        <v/>
      </c>
      <c r="E1846" t="s">
        <v>1673</v>
      </c>
      <c r="F1846" t="str">
        <f t="shared" si="125"/>
        <v>8701999</v>
      </c>
    </row>
    <row r="1847" spans="1:8" ht="15" hidden="1" customHeight="1" x14ac:dyDescent="0.25">
      <c r="A1847">
        <v>16758</v>
      </c>
      <c r="B1847" t="s">
        <v>10</v>
      </c>
      <c r="C1847" t="s">
        <v>1674</v>
      </c>
      <c r="D1847" t="str">
        <f t="shared" si="126"/>
        <v/>
      </c>
      <c r="E1847" t="s">
        <v>1675</v>
      </c>
      <c r="F1847" t="str">
        <f t="shared" ref="F1847:F1878" si="127">LEFT(C1847,7)</f>
        <v>8701999</v>
      </c>
    </row>
    <row r="1848" spans="1:8" ht="15" hidden="1" customHeight="1" x14ac:dyDescent="0.25">
      <c r="A1848">
        <v>16759</v>
      </c>
      <c r="B1848" t="s">
        <v>10</v>
      </c>
      <c r="C1848" t="s">
        <v>1676</v>
      </c>
      <c r="D1848" t="str">
        <f t="shared" si="126"/>
        <v/>
      </c>
      <c r="E1848" t="s">
        <v>1677</v>
      </c>
      <c r="F1848" t="str">
        <f t="shared" si="127"/>
        <v>8701999</v>
      </c>
    </row>
    <row r="1849" spans="1:8" ht="15" hidden="1" customHeight="1" x14ac:dyDescent="0.25">
      <c r="A1849">
        <v>16760</v>
      </c>
      <c r="B1849" t="s">
        <v>10</v>
      </c>
      <c r="C1849" t="s">
        <v>1678</v>
      </c>
      <c r="D1849" t="str">
        <f t="shared" si="126"/>
        <v/>
      </c>
      <c r="E1849" t="s">
        <v>1679</v>
      </c>
      <c r="F1849" t="str">
        <f t="shared" si="127"/>
        <v>8701999</v>
      </c>
    </row>
    <row r="1850" spans="1:8" ht="15" hidden="1" customHeight="1" x14ac:dyDescent="0.25">
      <c r="A1850">
        <v>16761</v>
      </c>
      <c r="B1850" t="s">
        <v>10</v>
      </c>
      <c r="C1850" t="s">
        <v>1680</v>
      </c>
      <c r="D1850" t="str">
        <f t="shared" si="126"/>
        <v/>
      </c>
      <c r="E1850" t="s">
        <v>1681</v>
      </c>
      <c r="F1850" t="str">
        <f t="shared" si="127"/>
        <v>8701999</v>
      </c>
    </row>
    <row r="1851" spans="1:8" ht="15" hidden="1" customHeight="1" x14ac:dyDescent="0.25">
      <c r="A1851">
        <v>16762</v>
      </c>
      <c r="B1851" t="s">
        <v>10</v>
      </c>
      <c r="C1851" t="s">
        <v>1682</v>
      </c>
      <c r="D1851" t="str">
        <f t="shared" si="126"/>
        <v/>
      </c>
      <c r="E1851" t="s">
        <v>1683</v>
      </c>
      <c r="F1851" t="str">
        <f t="shared" si="127"/>
        <v>8701999</v>
      </c>
    </row>
    <row r="1852" spans="1:8" ht="15" hidden="1" customHeight="1" x14ac:dyDescent="0.25">
      <c r="A1852">
        <v>16763</v>
      </c>
      <c r="B1852" t="s">
        <v>10</v>
      </c>
      <c r="C1852" t="s">
        <v>1684</v>
      </c>
      <c r="D1852" t="str">
        <f t="shared" si="126"/>
        <v/>
      </c>
      <c r="E1852" t="s">
        <v>1685</v>
      </c>
      <c r="F1852" t="str">
        <f t="shared" si="127"/>
        <v>8701999</v>
      </c>
    </row>
    <row r="1853" spans="1:8" ht="15" hidden="1" customHeight="1" x14ac:dyDescent="0.25">
      <c r="A1853">
        <v>16764</v>
      </c>
      <c r="B1853" t="s">
        <v>10</v>
      </c>
      <c r="C1853" t="s">
        <v>1686</v>
      </c>
      <c r="D1853" t="str">
        <f t="shared" si="126"/>
        <v/>
      </c>
      <c r="E1853" t="s">
        <v>1687</v>
      </c>
      <c r="F1853" t="str">
        <f t="shared" si="127"/>
        <v>8701999</v>
      </c>
    </row>
    <row r="1854" spans="1:8" ht="15" hidden="1" customHeight="1" x14ac:dyDescent="0.25">
      <c r="A1854">
        <v>16765</v>
      </c>
      <c r="B1854" t="s">
        <v>10</v>
      </c>
      <c r="C1854" t="s">
        <v>1688</v>
      </c>
      <c r="D1854" t="str">
        <f t="shared" si="126"/>
        <v/>
      </c>
      <c r="E1854" t="s">
        <v>1689</v>
      </c>
      <c r="F1854" t="str">
        <f t="shared" si="127"/>
        <v>8701999</v>
      </c>
    </row>
    <row r="1855" spans="1:8" ht="15" hidden="1" customHeight="1" x14ac:dyDescent="0.25">
      <c r="A1855">
        <v>16766</v>
      </c>
      <c r="B1855" t="s">
        <v>10</v>
      </c>
      <c r="C1855" t="s">
        <v>1690</v>
      </c>
      <c r="D1855" t="str">
        <f t="shared" si="126"/>
        <v/>
      </c>
      <c r="E1855" t="s">
        <v>1691</v>
      </c>
      <c r="F1855" t="str">
        <f t="shared" si="127"/>
        <v>8701999</v>
      </c>
    </row>
    <row r="1856" spans="1:8" ht="15" hidden="1" customHeight="1" x14ac:dyDescent="0.25">
      <c r="A1856">
        <v>16769</v>
      </c>
      <c r="B1856" t="s">
        <v>10</v>
      </c>
      <c r="C1856" t="s">
        <v>1692</v>
      </c>
      <c r="D1856" t="str">
        <f t="shared" si="126"/>
        <v/>
      </c>
      <c r="E1856" t="s">
        <v>1693</v>
      </c>
      <c r="F1856" t="str">
        <f t="shared" si="127"/>
        <v>8701999</v>
      </c>
    </row>
    <row r="1857" spans="1:8" ht="15" hidden="1" customHeight="1" x14ac:dyDescent="0.25">
      <c r="A1857">
        <v>16770</v>
      </c>
      <c r="B1857" t="s">
        <v>10</v>
      </c>
      <c r="C1857" t="s">
        <v>1694</v>
      </c>
      <c r="D1857" t="str">
        <f t="shared" si="126"/>
        <v/>
      </c>
      <c r="E1857" t="s">
        <v>1695</v>
      </c>
      <c r="F1857" t="str">
        <f t="shared" si="127"/>
        <v>8701999</v>
      </c>
    </row>
    <row r="1858" spans="1:8" ht="15" hidden="1" customHeight="1" x14ac:dyDescent="0.25">
      <c r="A1858">
        <v>16771</v>
      </c>
      <c r="B1858" t="s">
        <v>10</v>
      </c>
      <c r="C1858" t="s">
        <v>1696</v>
      </c>
      <c r="D1858" t="str">
        <f t="shared" si="126"/>
        <v/>
      </c>
      <c r="E1858" t="s">
        <v>1697</v>
      </c>
      <c r="F1858" t="str">
        <f t="shared" si="127"/>
        <v>8701999</v>
      </c>
    </row>
    <row r="1859" spans="1:8" ht="15" hidden="1" customHeight="1" x14ac:dyDescent="0.25">
      <c r="A1859">
        <v>16772</v>
      </c>
      <c r="B1859" t="s">
        <v>10</v>
      </c>
      <c r="C1859" t="s">
        <v>1698</v>
      </c>
      <c r="D1859" t="str">
        <f t="shared" si="126"/>
        <v/>
      </c>
      <c r="E1859" t="s">
        <v>1699</v>
      </c>
      <c r="F1859" t="str">
        <f t="shared" si="127"/>
        <v>8701999</v>
      </c>
    </row>
    <row r="1860" spans="1:8" ht="15" hidden="1" customHeight="1" x14ac:dyDescent="0.25">
      <c r="A1860">
        <v>16773</v>
      </c>
      <c r="B1860" t="s">
        <v>10</v>
      </c>
      <c r="C1860" t="s">
        <v>1700</v>
      </c>
      <c r="D1860" t="str">
        <f t="shared" si="126"/>
        <v/>
      </c>
      <c r="E1860" t="s">
        <v>1701</v>
      </c>
      <c r="F1860" t="str">
        <f t="shared" si="127"/>
        <v>8701999</v>
      </c>
    </row>
    <row r="1861" spans="1:8" ht="15" hidden="1" customHeight="1" x14ac:dyDescent="0.25">
      <c r="A1861">
        <v>16774</v>
      </c>
      <c r="B1861" t="s">
        <v>10</v>
      </c>
      <c r="C1861" t="s">
        <v>1702</v>
      </c>
      <c r="D1861" t="str">
        <f t="shared" si="126"/>
        <v/>
      </c>
      <c r="E1861" t="s">
        <v>1703</v>
      </c>
      <c r="F1861" t="str">
        <f t="shared" si="127"/>
        <v>8701999</v>
      </c>
    </row>
    <row r="1862" spans="1:8" ht="15" hidden="1" customHeight="1" x14ac:dyDescent="0.25">
      <c r="A1862">
        <v>16775</v>
      </c>
      <c r="B1862" t="s">
        <v>10</v>
      </c>
      <c r="C1862" t="s">
        <v>1704</v>
      </c>
      <c r="D1862" t="str">
        <f t="shared" si="126"/>
        <v/>
      </c>
      <c r="E1862" t="s">
        <v>1705</v>
      </c>
      <c r="F1862" t="str">
        <f t="shared" si="127"/>
        <v>8701999</v>
      </c>
    </row>
    <row r="1863" spans="1:8" ht="15" customHeight="1" x14ac:dyDescent="0.25">
      <c r="A1863">
        <v>15599</v>
      </c>
      <c r="B1863" t="s">
        <v>7</v>
      </c>
      <c r="C1863" t="s">
        <v>955</v>
      </c>
      <c r="D1863" t="str">
        <f t="shared" si="126"/>
        <v/>
      </c>
      <c r="E1863" t="s">
        <v>956</v>
      </c>
      <c r="F1863" t="str">
        <f t="shared" si="127"/>
        <v>8701033</v>
      </c>
      <c r="H1863">
        <v>2</v>
      </c>
    </row>
    <row r="1864" spans="1:8" ht="15" hidden="1" customHeight="1" x14ac:dyDescent="0.25">
      <c r="A1864">
        <v>15606</v>
      </c>
      <c r="B1864" t="s">
        <v>10</v>
      </c>
      <c r="C1864" t="s">
        <v>969</v>
      </c>
      <c r="D1864" t="str">
        <f t="shared" si="126"/>
        <v/>
      </c>
      <c r="E1864" t="s">
        <v>970</v>
      </c>
      <c r="F1864" t="str">
        <f t="shared" si="127"/>
        <v>8701033</v>
      </c>
    </row>
    <row r="1865" spans="1:8" ht="15" hidden="1" customHeight="1" x14ac:dyDescent="0.25">
      <c r="A1865">
        <v>15607</v>
      </c>
      <c r="B1865" t="s">
        <v>10</v>
      </c>
      <c r="C1865" t="s">
        <v>971</v>
      </c>
      <c r="D1865" t="str">
        <f t="shared" si="126"/>
        <v/>
      </c>
      <c r="E1865" t="s">
        <v>972</v>
      </c>
      <c r="F1865" t="str">
        <f t="shared" si="127"/>
        <v>8701033</v>
      </c>
    </row>
    <row r="1866" spans="1:8" ht="15" hidden="1" customHeight="1" x14ac:dyDescent="0.25">
      <c r="A1866">
        <v>15608</v>
      </c>
      <c r="B1866" t="s">
        <v>10</v>
      </c>
      <c r="C1866" t="s">
        <v>973</v>
      </c>
      <c r="D1866" t="str">
        <f t="shared" si="126"/>
        <v/>
      </c>
      <c r="E1866" t="s">
        <v>974</v>
      </c>
      <c r="F1866" t="str">
        <f t="shared" si="127"/>
        <v>8701033</v>
      </c>
    </row>
    <row r="1867" spans="1:8" ht="15" hidden="1" customHeight="1" x14ac:dyDescent="0.25">
      <c r="A1867">
        <v>15609</v>
      </c>
      <c r="B1867" t="s">
        <v>10</v>
      </c>
      <c r="C1867" t="s">
        <v>975</v>
      </c>
      <c r="D1867" t="str">
        <f t="shared" si="126"/>
        <v/>
      </c>
      <c r="E1867" t="s">
        <v>976</v>
      </c>
      <c r="F1867" t="str">
        <f t="shared" si="127"/>
        <v>8701033</v>
      </c>
    </row>
    <row r="1868" spans="1:8" ht="15" hidden="1" customHeight="1" x14ac:dyDescent="0.25">
      <c r="A1868">
        <v>15610</v>
      </c>
      <c r="B1868" t="s">
        <v>10</v>
      </c>
      <c r="C1868" t="s">
        <v>977</v>
      </c>
      <c r="D1868" t="str">
        <f t="shared" si="126"/>
        <v/>
      </c>
      <c r="E1868" t="s">
        <v>978</v>
      </c>
      <c r="F1868" t="str">
        <f t="shared" si="127"/>
        <v>8701033</v>
      </c>
    </row>
    <row r="1869" spans="1:8" ht="15" hidden="1" customHeight="1" x14ac:dyDescent="0.25">
      <c r="A1869">
        <v>15600</v>
      </c>
      <c r="B1869" t="s">
        <v>10</v>
      </c>
      <c r="C1869" t="s">
        <v>957</v>
      </c>
      <c r="D1869" t="str">
        <f t="shared" si="126"/>
        <v/>
      </c>
      <c r="E1869" t="s">
        <v>958</v>
      </c>
      <c r="F1869" t="str">
        <f t="shared" si="127"/>
        <v>8701033</v>
      </c>
    </row>
    <row r="1870" spans="1:8" ht="15" hidden="1" customHeight="1" x14ac:dyDescent="0.25">
      <c r="A1870">
        <v>15601</v>
      </c>
      <c r="B1870" t="s">
        <v>10</v>
      </c>
      <c r="C1870" t="s">
        <v>959</v>
      </c>
      <c r="D1870" t="str">
        <f t="shared" si="126"/>
        <v/>
      </c>
      <c r="E1870" t="s">
        <v>960</v>
      </c>
      <c r="F1870" t="str">
        <f t="shared" si="127"/>
        <v>8701033</v>
      </c>
    </row>
    <row r="1871" spans="1:8" ht="15" hidden="1" customHeight="1" x14ac:dyDescent="0.25">
      <c r="A1871">
        <v>15602</v>
      </c>
      <c r="B1871" t="s">
        <v>10</v>
      </c>
      <c r="C1871" t="s">
        <v>961</v>
      </c>
      <c r="D1871" t="str">
        <f t="shared" si="126"/>
        <v/>
      </c>
      <c r="E1871" t="s">
        <v>962</v>
      </c>
      <c r="F1871" t="str">
        <f t="shared" si="127"/>
        <v>8701033</v>
      </c>
    </row>
    <row r="1872" spans="1:8" ht="15" hidden="1" customHeight="1" x14ac:dyDescent="0.25">
      <c r="A1872">
        <v>15603</v>
      </c>
      <c r="B1872" t="s">
        <v>10</v>
      </c>
      <c r="C1872" t="s">
        <v>963</v>
      </c>
      <c r="D1872" t="str">
        <f t="shared" si="126"/>
        <v/>
      </c>
      <c r="E1872" t="s">
        <v>964</v>
      </c>
      <c r="F1872" t="str">
        <f t="shared" si="127"/>
        <v>8701033</v>
      </c>
    </row>
    <row r="1873" spans="1:8" ht="15" hidden="1" customHeight="1" x14ac:dyDescent="0.25">
      <c r="A1873">
        <v>15604</v>
      </c>
      <c r="B1873" t="s">
        <v>10</v>
      </c>
      <c r="C1873" t="s">
        <v>965</v>
      </c>
      <c r="D1873" t="str">
        <f t="shared" si="126"/>
        <v/>
      </c>
      <c r="E1873" t="s">
        <v>966</v>
      </c>
      <c r="F1873" t="str">
        <f t="shared" si="127"/>
        <v>8701033</v>
      </c>
    </row>
    <row r="1874" spans="1:8" ht="15" hidden="1" customHeight="1" x14ac:dyDescent="0.25">
      <c r="A1874">
        <v>15605</v>
      </c>
      <c r="B1874" t="s">
        <v>10</v>
      </c>
      <c r="C1874" t="s">
        <v>967</v>
      </c>
      <c r="D1874" t="str">
        <f t="shared" si="126"/>
        <v/>
      </c>
      <c r="E1874" t="s">
        <v>968</v>
      </c>
      <c r="F1874" t="str">
        <f t="shared" si="127"/>
        <v>8701033</v>
      </c>
    </row>
    <row r="1875" spans="1:8" ht="15" customHeight="1" x14ac:dyDescent="0.25">
      <c r="A1875">
        <v>15611</v>
      </c>
      <c r="B1875" t="s">
        <v>7</v>
      </c>
      <c r="C1875" t="s">
        <v>979</v>
      </c>
      <c r="D1875" t="str">
        <f t="shared" si="126"/>
        <v/>
      </c>
      <c r="E1875" t="s">
        <v>980</v>
      </c>
      <c r="F1875" t="str">
        <f t="shared" si="127"/>
        <v>8701735</v>
      </c>
      <c r="H1875">
        <v>3</v>
      </c>
    </row>
    <row r="1876" spans="1:8" ht="15" hidden="1" customHeight="1" x14ac:dyDescent="0.25">
      <c r="A1876">
        <v>15618</v>
      </c>
      <c r="B1876" t="s">
        <v>10</v>
      </c>
      <c r="C1876" t="s">
        <v>989</v>
      </c>
      <c r="D1876" t="str">
        <f t="shared" si="126"/>
        <v/>
      </c>
      <c r="E1876" t="s">
        <v>990</v>
      </c>
      <c r="F1876" t="str">
        <f t="shared" si="127"/>
        <v>8701735</v>
      </c>
    </row>
    <row r="1877" spans="1:8" ht="15" hidden="1" customHeight="1" x14ac:dyDescent="0.25">
      <c r="A1877">
        <v>15619</v>
      </c>
      <c r="B1877" t="s">
        <v>10</v>
      </c>
      <c r="C1877" t="s">
        <v>991</v>
      </c>
      <c r="D1877" t="str">
        <f t="shared" ref="D1877:D1897" si="128">IF(RIGHT(LEFT(C1877,9),2)="##","",RIGHT(LEFT(C1877,10),2))</f>
        <v/>
      </c>
      <c r="E1877" t="s">
        <v>992</v>
      </c>
      <c r="F1877" t="str">
        <f t="shared" si="127"/>
        <v>8701735</v>
      </c>
    </row>
    <row r="1878" spans="1:8" ht="15" hidden="1" customHeight="1" x14ac:dyDescent="0.25">
      <c r="A1878">
        <v>15620</v>
      </c>
      <c r="B1878" t="s">
        <v>10</v>
      </c>
      <c r="C1878" t="s">
        <v>993</v>
      </c>
      <c r="D1878" t="str">
        <f t="shared" si="128"/>
        <v/>
      </c>
      <c r="E1878" t="s">
        <v>994</v>
      </c>
      <c r="F1878" t="str">
        <f t="shared" si="127"/>
        <v>8701735</v>
      </c>
    </row>
    <row r="1879" spans="1:8" ht="15" hidden="1" customHeight="1" x14ac:dyDescent="0.25">
      <c r="A1879">
        <v>15621</v>
      </c>
      <c r="B1879" t="s">
        <v>10</v>
      </c>
      <c r="C1879" t="s">
        <v>995</v>
      </c>
      <c r="D1879" t="str">
        <f t="shared" si="128"/>
        <v/>
      </c>
      <c r="E1879" t="s">
        <v>996</v>
      </c>
      <c r="F1879" t="str">
        <f t="shared" ref="F1879:F1907" si="129">LEFT(C1879,7)</f>
        <v>8701735</v>
      </c>
    </row>
    <row r="1880" spans="1:8" ht="15" hidden="1" customHeight="1" x14ac:dyDescent="0.25">
      <c r="A1880">
        <v>15622</v>
      </c>
      <c r="B1880" t="s">
        <v>10</v>
      </c>
      <c r="C1880" t="s">
        <v>997</v>
      </c>
      <c r="D1880" t="str">
        <f t="shared" si="128"/>
        <v/>
      </c>
      <c r="E1880" t="s">
        <v>998</v>
      </c>
      <c r="F1880" t="str">
        <f t="shared" si="129"/>
        <v>8701735</v>
      </c>
    </row>
    <row r="1881" spans="1:8" ht="15" hidden="1" customHeight="1" x14ac:dyDescent="0.25">
      <c r="A1881">
        <v>15623</v>
      </c>
      <c r="B1881" t="s">
        <v>10</v>
      </c>
      <c r="C1881" t="s">
        <v>999</v>
      </c>
      <c r="D1881" t="str">
        <f t="shared" si="128"/>
        <v/>
      </c>
      <c r="E1881" t="s">
        <v>1000</v>
      </c>
      <c r="F1881" t="str">
        <f t="shared" si="129"/>
        <v>8701735</v>
      </c>
    </row>
    <row r="1882" spans="1:8" ht="15" hidden="1" customHeight="1" x14ac:dyDescent="0.25">
      <c r="A1882">
        <v>15624</v>
      </c>
      <c r="B1882" t="s">
        <v>10</v>
      </c>
      <c r="C1882" t="s">
        <v>1001</v>
      </c>
      <c r="D1882" t="str">
        <f t="shared" si="128"/>
        <v/>
      </c>
      <c r="E1882" t="s">
        <v>1002</v>
      </c>
      <c r="F1882" t="str">
        <f t="shared" si="129"/>
        <v>8701735</v>
      </c>
    </row>
    <row r="1883" spans="1:8" hidden="1" x14ac:dyDescent="0.25">
      <c r="A1883">
        <v>15612</v>
      </c>
      <c r="B1883" t="s">
        <v>10</v>
      </c>
      <c r="C1883" t="s">
        <v>981</v>
      </c>
      <c r="D1883" t="str">
        <f t="shared" si="128"/>
        <v/>
      </c>
      <c r="E1883" t="s">
        <v>982</v>
      </c>
      <c r="F1883" t="str">
        <f t="shared" si="129"/>
        <v>8701735</v>
      </c>
    </row>
    <row r="1884" spans="1:8" hidden="1" x14ac:dyDescent="0.25">
      <c r="A1884">
        <v>15615</v>
      </c>
      <c r="B1884" t="s">
        <v>10</v>
      </c>
      <c r="C1884" t="s">
        <v>983</v>
      </c>
      <c r="D1884" t="str">
        <f t="shared" si="128"/>
        <v/>
      </c>
      <c r="E1884" t="s">
        <v>984</v>
      </c>
      <c r="F1884" t="str">
        <f t="shared" si="129"/>
        <v>8701735</v>
      </c>
    </row>
    <row r="1885" spans="1:8" hidden="1" x14ac:dyDescent="0.25">
      <c r="A1885">
        <v>15616</v>
      </c>
      <c r="B1885" t="s">
        <v>10</v>
      </c>
      <c r="C1885" t="s">
        <v>985</v>
      </c>
      <c r="D1885" t="str">
        <f t="shared" si="128"/>
        <v/>
      </c>
      <c r="E1885" t="s">
        <v>986</v>
      </c>
      <c r="F1885" t="str">
        <f t="shared" si="129"/>
        <v>8701735</v>
      </c>
    </row>
    <row r="1886" spans="1:8" hidden="1" x14ac:dyDescent="0.25">
      <c r="A1886">
        <v>15617</v>
      </c>
      <c r="B1886" t="s">
        <v>10</v>
      </c>
      <c r="C1886" t="s">
        <v>987</v>
      </c>
      <c r="D1886" t="str">
        <f t="shared" si="128"/>
        <v/>
      </c>
      <c r="E1886" t="s">
        <v>988</v>
      </c>
      <c r="F1886" t="str">
        <f t="shared" si="129"/>
        <v>8701735</v>
      </c>
    </row>
    <row r="1887" spans="1:8" hidden="1" x14ac:dyDescent="0.25">
      <c r="A1887">
        <v>19992</v>
      </c>
      <c r="B1887" t="s">
        <v>4</v>
      </c>
      <c r="C1887" t="s">
        <v>5379</v>
      </c>
      <c r="D1887" t="str">
        <f t="shared" si="128"/>
        <v/>
      </c>
      <c r="E1887" t="s">
        <v>5380</v>
      </c>
      <c r="F1887" t="str">
        <f t="shared" si="129"/>
        <v>8701200</v>
      </c>
      <c r="H1887">
        <v>2</v>
      </c>
    </row>
    <row r="1888" spans="1:8" hidden="1" x14ac:dyDescent="0.25">
      <c r="A1888">
        <v>16635</v>
      </c>
      <c r="B1888" t="s">
        <v>4</v>
      </c>
      <c r="C1888" t="s">
        <v>1580</v>
      </c>
      <c r="D1888" t="str">
        <f t="shared" si="128"/>
        <v/>
      </c>
      <c r="E1888" t="s">
        <v>1581</v>
      </c>
      <c r="F1888" t="str">
        <f t="shared" si="129"/>
        <v>8701000</v>
      </c>
      <c r="H1888">
        <v>4</v>
      </c>
    </row>
    <row r="1889" spans="1:8" ht="15" hidden="1" customHeight="1" x14ac:dyDescent="0.25">
      <c r="A1889">
        <v>17516</v>
      </c>
      <c r="B1889" t="s">
        <v>4</v>
      </c>
      <c r="C1889" t="s">
        <v>2225</v>
      </c>
      <c r="D1889" t="str">
        <f t="shared" si="128"/>
        <v/>
      </c>
      <c r="E1889" t="s">
        <v>2226</v>
      </c>
      <c r="F1889" t="str">
        <f t="shared" si="129"/>
        <v>8701800</v>
      </c>
      <c r="H1889">
        <v>5</v>
      </c>
    </row>
    <row r="1890" spans="1:8" ht="15" hidden="1" customHeight="1" x14ac:dyDescent="0.25">
      <c r="A1890">
        <v>16657</v>
      </c>
      <c r="B1890" t="s">
        <v>4</v>
      </c>
      <c r="C1890" t="s">
        <v>1588</v>
      </c>
      <c r="D1890" t="str">
        <f t="shared" si="128"/>
        <v/>
      </c>
      <c r="E1890" t="s">
        <v>1589</v>
      </c>
      <c r="F1890" t="str">
        <f t="shared" si="129"/>
        <v>8701350</v>
      </c>
      <c r="H1890">
        <v>3</v>
      </c>
    </row>
    <row r="1891" spans="1:8" ht="15" hidden="1" customHeight="1" x14ac:dyDescent="0.25">
      <c r="A1891">
        <v>16645</v>
      </c>
      <c r="B1891" t="s">
        <v>4</v>
      </c>
      <c r="C1891" t="s">
        <v>1584</v>
      </c>
      <c r="D1891" t="str">
        <f t="shared" si="128"/>
        <v/>
      </c>
      <c r="E1891" t="s">
        <v>1585</v>
      </c>
      <c r="F1891" t="str">
        <f t="shared" si="129"/>
        <v>8701655</v>
      </c>
      <c r="H1891">
        <v>4</v>
      </c>
    </row>
    <row r="1892" spans="1:8" ht="15" hidden="1" customHeight="1" x14ac:dyDescent="0.25">
      <c r="A1892">
        <v>19669</v>
      </c>
      <c r="B1892" t="s">
        <v>4</v>
      </c>
      <c r="C1892" t="s">
        <v>5045</v>
      </c>
      <c r="D1892" t="str">
        <f t="shared" si="128"/>
        <v/>
      </c>
      <c r="E1892" t="s">
        <v>5046</v>
      </c>
      <c r="F1892" t="str">
        <f t="shared" si="129"/>
        <v>8701741</v>
      </c>
      <c r="H1892">
        <v>2</v>
      </c>
    </row>
    <row r="1893" spans="1:8" ht="15" customHeight="1" x14ac:dyDescent="0.25">
      <c r="A1893">
        <v>19380</v>
      </c>
      <c r="B1893" t="s">
        <v>7</v>
      </c>
      <c r="C1893" t="s">
        <v>4645</v>
      </c>
      <c r="D1893" t="str">
        <f t="shared" si="128"/>
        <v/>
      </c>
      <c r="E1893" t="s">
        <v>4646</v>
      </c>
      <c r="F1893" t="str">
        <f t="shared" si="129"/>
        <v>8701542</v>
      </c>
      <c r="H1893">
        <v>4</v>
      </c>
    </row>
    <row r="1894" spans="1:8" ht="15" hidden="1" customHeight="1" x14ac:dyDescent="0.25">
      <c r="A1894">
        <v>19386</v>
      </c>
      <c r="B1894" t="s">
        <v>10</v>
      </c>
      <c r="C1894" t="s">
        <v>4649</v>
      </c>
      <c r="D1894" t="str">
        <f t="shared" si="128"/>
        <v/>
      </c>
      <c r="E1894" t="s">
        <v>4650</v>
      </c>
      <c r="F1894" t="str">
        <f t="shared" si="129"/>
        <v>8701542</v>
      </c>
    </row>
    <row r="1895" spans="1:8" ht="15" hidden="1" customHeight="1" x14ac:dyDescent="0.25">
      <c r="A1895">
        <v>19381</v>
      </c>
      <c r="B1895" t="s">
        <v>10</v>
      </c>
      <c r="C1895" t="s">
        <v>4647</v>
      </c>
      <c r="D1895" t="str">
        <f t="shared" si="128"/>
        <v/>
      </c>
      <c r="E1895" t="s">
        <v>4648</v>
      </c>
      <c r="F1895" t="str">
        <f t="shared" si="129"/>
        <v>8701542</v>
      </c>
    </row>
    <row r="1896" spans="1:8" ht="15" hidden="1" customHeight="1" x14ac:dyDescent="0.25">
      <c r="A1896">
        <v>19387</v>
      </c>
      <c r="B1896" t="s">
        <v>10</v>
      </c>
      <c r="C1896" t="s">
        <v>4651</v>
      </c>
      <c r="D1896" t="str">
        <f t="shared" si="128"/>
        <v/>
      </c>
      <c r="E1896" t="s">
        <v>4652</v>
      </c>
      <c r="F1896" t="str">
        <f t="shared" si="129"/>
        <v>8701542</v>
      </c>
    </row>
    <row r="1897" spans="1:8" ht="15" hidden="1" customHeight="1" x14ac:dyDescent="0.25">
      <c r="A1897">
        <v>19388</v>
      </c>
      <c r="B1897" t="s">
        <v>10</v>
      </c>
      <c r="C1897" t="s">
        <v>4653</v>
      </c>
      <c r="D1897" t="str">
        <f t="shared" si="128"/>
        <v/>
      </c>
      <c r="E1897" t="s">
        <v>4654</v>
      </c>
      <c r="F1897" t="str">
        <f t="shared" si="129"/>
        <v>8701542</v>
      </c>
    </row>
    <row r="1898" spans="1:8" ht="15" hidden="1" customHeight="1" x14ac:dyDescent="0.25">
      <c r="A1898">
        <v>20198</v>
      </c>
      <c r="B1898" t="s">
        <v>7</v>
      </c>
      <c r="C1898" t="s">
        <v>5633</v>
      </c>
      <c r="D1898" t="s">
        <v>6840</v>
      </c>
      <c r="E1898" t="s">
        <v>5634</v>
      </c>
      <c r="F1898" t="str">
        <f t="shared" si="129"/>
        <v>8701576</v>
      </c>
      <c r="H1898">
        <f>SUBTOTAL(9,H1899:H1901)</f>
        <v>0</v>
      </c>
    </row>
    <row r="1899" spans="1:8" ht="15" hidden="1" customHeight="1" x14ac:dyDescent="0.25">
      <c r="A1899">
        <v>20199</v>
      </c>
      <c r="B1899" t="s">
        <v>10</v>
      </c>
      <c r="C1899" t="s">
        <v>5635</v>
      </c>
      <c r="D1899" t="str">
        <f>IF(RIGHT(LEFT(C1899,9),2)="##","",RIGHT(LEFT(C1899,10),2))</f>
        <v>03</v>
      </c>
      <c r="E1899" t="s">
        <v>5636</v>
      </c>
      <c r="F1899" t="str">
        <f t="shared" si="129"/>
        <v>8701576</v>
      </c>
      <c r="H1899">
        <v>1</v>
      </c>
    </row>
    <row r="1900" spans="1:8" ht="15" hidden="1" customHeight="1" x14ac:dyDescent="0.25">
      <c r="A1900">
        <v>20207</v>
      </c>
      <c r="B1900" t="s">
        <v>10</v>
      </c>
      <c r="C1900" t="s">
        <v>5639</v>
      </c>
      <c r="D1900" t="str">
        <f>IF(RIGHT(LEFT(C1900,9),2)="##","",RIGHT(LEFT(C1900,10),2))</f>
        <v>06</v>
      </c>
      <c r="E1900" t="s">
        <v>5640</v>
      </c>
      <c r="F1900" t="str">
        <f t="shared" si="129"/>
        <v>8701576</v>
      </c>
      <c r="H1900">
        <v>1</v>
      </c>
    </row>
    <row r="1901" spans="1:8" hidden="1" x14ac:dyDescent="0.25">
      <c r="A1901">
        <v>20203</v>
      </c>
      <c r="B1901" t="s">
        <v>10</v>
      </c>
      <c r="C1901" t="s">
        <v>5637</v>
      </c>
      <c r="D1901" t="str">
        <f>IF(RIGHT(LEFT(C1901,9),2)="##","",RIGHT(LEFT(C1901,10),2))</f>
        <v>09</v>
      </c>
      <c r="E1901" t="s">
        <v>5638</v>
      </c>
      <c r="F1901" t="str">
        <f t="shared" si="129"/>
        <v>8701576</v>
      </c>
      <c r="H1901">
        <v>1</v>
      </c>
    </row>
    <row r="1902" spans="1:8" hidden="1" x14ac:dyDescent="0.25">
      <c r="A1902">
        <v>16503</v>
      </c>
      <c r="B1902" t="s">
        <v>7</v>
      </c>
      <c r="C1902" t="s">
        <v>7020</v>
      </c>
      <c r="D1902" t="s">
        <v>6840</v>
      </c>
      <c r="E1902" t="s">
        <v>7021</v>
      </c>
      <c r="F1902" t="str">
        <f t="shared" si="129"/>
        <v>8701325</v>
      </c>
    </row>
    <row r="1903" spans="1:8" hidden="1" x14ac:dyDescent="0.25">
      <c r="A1903">
        <v>16501</v>
      </c>
      <c r="B1903" t="s">
        <v>7</v>
      </c>
      <c r="C1903" t="s">
        <v>7016</v>
      </c>
      <c r="D1903" t="s">
        <v>6840</v>
      </c>
      <c r="E1903" t="s">
        <v>7017</v>
      </c>
      <c r="F1903" t="str">
        <f t="shared" si="129"/>
        <v>8701253</v>
      </c>
    </row>
    <row r="1904" spans="1:8" hidden="1" x14ac:dyDescent="0.25">
      <c r="A1904">
        <v>19877</v>
      </c>
      <c r="B1904" t="s">
        <v>7</v>
      </c>
      <c r="C1904" t="s">
        <v>5301</v>
      </c>
      <c r="D1904" t="s">
        <v>6840</v>
      </c>
      <c r="E1904" t="s">
        <v>5302</v>
      </c>
      <c r="F1904" t="str">
        <f t="shared" si="129"/>
        <v>8701038</v>
      </c>
      <c r="H1904">
        <f>SUBTOTAL(9,H1905:H1906)</f>
        <v>0</v>
      </c>
    </row>
    <row r="1905" spans="1:8" hidden="1" x14ac:dyDescent="0.25">
      <c r="A1905">
        <v>19878</v>
      </c>
      <c r="B1905" t="s">
        <v>10</v>
      </c>
      <c r="C1905" t="s">
        <v>5303</v>
      </c>
      <c r="D1905" t="str">
        <f t="shared" ref="D1905:D1921" si="130">IF(RIGHT(LEFT(C1905,9),2)="##","",RIGHT(LEFT(C1905,10),2))</f>
        <v>06</v>
      </c>
      <c r="E1905" t="s">
        <v>5304</v>
      </c>
      <c r="F1905" t="str">
        <f t="shared" si="129"/>
        <v>8701038</v>
      </c>
      <c r="H1905">
        <v>1</v>
      </c>
    </row>
    <row r="1906" spans="1:8" hidden="1" x14ac:dyDescent="0.25">
      <c r="A1906">
        <v>19882</v>
      </c>
      <c r="B1906" t="s">
        <v>10</v>
      </c>
      <c r="C1906" t="s">
        <v>5305</v>
      </c>
      <c r="D1906" t="str">
        <f t="shared" si="130"/>
        <v>09</v>
      </c>
      <c r="E1906" t="s">
        <v>5306</v>
      </c>
      <c r="F1906" t="str">
        <f t="shared" si="129"/>
        <v>8701038</v>
      </c>
      <c r="H1906">
        <v>1</v>
      </c>
    </row>
    <row r="1907" spans="1:8" hidden="1" x14ac:dyDescent="0.25">
      <c r="A1907">
        <v>19885</v>
      </c>
      <c r="B1907" t="s">
        <v>4</v>
      </c>
      <c r="C1907" t="s">
        <v>5307</v>
      </c>
      <c r="D1907" t="str">
        <f t="shared" si="130"/>
        <v/>
      </c>
      <c r="E1907" t="s">
        <v>5308</v>
      </c>
      <c r="F1907" t="str">
        <f t="shared" si="129"/>
        <v>8701494</v>
      </c>
      <c r="H1907">
        <v>4</v>
      </c>
    </row>
    <row r="1908" spans="1:8" hidden="1" x14ac:dyDescent="0.25">
      <c r="A1908">
        <v>21262</v>
      </c>
      <c r="B1908" t="s">
        <v>4</v>
      </c>
      <c r="C1908" t="s">
        <v>6759</v>
      </c>
      <c r="D1908" t="str">
        <f t="shared" si="130"/>
        <v/>
      </c>
      <c r="E1908" t="s">
        <v>6760</v>
      </c>
      <c r="F1908" t="s">
        <v>6985</v>
      </c>
      <c r="H1908">
        <v>4</v>
      </c>
    </row>
    <row r="1909" spans="1:8" hidden="1" x14ac:dyDescent="0.25">
      <c r="A1909">
        <v>15522</v>
      </c>
      <c r="B1909" t="s">
        <v>4</v>
      </c>
      <c r="C1909" t="s">
        <v>909</v>
      </c>
      <c r="D1909" t="str">
        <f t="shared" si="130"/>
        <v/>
      </c>
      <c r="E1909" t="s">
        <v>910</v>
      </c>
      <c r="F1909" t="str">
        <f t="shared" ref="F1909:F1940" si="131">LEFT(C1909,7)</f>
        <v>8614015</v>
      </c>
      <c r="H1909">
        <v>1</v>
      </c>
    </row>
    <row r="1910" spans="1:8" hidden="1" x14ac:dyDescent="0.25">
      <c r="A1910">
        <v>20646</v>
      </c>
      <c r="B1910" t="s">
        <v>4</v>
      </c>
      <c r="C1910" t="s">
        <v>6025</v>
      </c>
      <c r="D1910" t="str">
        <f t="shared" si="130"/>
        <v/>
      </c>
      <c r="E1910" t="s">
        <v>6026</v>
      </c>
      <c r="F1910" t="str">
        <f t="shared" si="131"/>
        <v>8703570</v>
      </c>
      <c r="H1910">
        <v>3</v>
      </c>
    </row>
    <row r="1911" spans="1:8" hidden="1" x14ac:dyDescent="0.25">
      <c r="A1911">
        <v>19366</v>
      </c>
      <c r="B1911" t="s">
        <v>4</v>
      </c>
      <c r="C1911" t="s">
        <v>4639</v>
      </c>
      <c r="D1911" t="str">
        <f t="shared" si="130"/>
        <v/>
      </c>
      <c r="E1911" t="s">
        <v>4640</v>
      </c>
      <c r="F1911" t="str">
        <f t="shared" si="131"/>
        <v>8515746</v>
      </c>
      <c r="H1911">
        <v>1</v>
      </c>
    </row>
    <row r="1912" spans="1:8" hidden="1" x14ac:dyDescent="0.25">
      <c r="A1912">
        <v>16291</v>
      </c>
      <c r="B1912" t="s">
        <v>4</v>
      </c>
      <c r="C1912" t="s">
        <v>1400</v>
      </c>
      <c r="D1912" t="str">
        <f t="shared" si="130"/>
        <v/>
      </c>
      <c r="E1912" t="s">
        <v>1401</v>
      </c>
      <c r="F1912" t="str">
        <f t="shared" si="131"/>
        <v>8515747</v>
      </c>
      <c r="H1912">
        <v>1</v>
      </c>
    </row>
    <row r="1913" spans="1:8" hidden="1" x14ac:dyDescent="0.25">
      <c r="A1913">
        <v>19363</v>
      </c>
      <c r="B1913" t="s">
        <v>4</v>
      </c>
      <c r="C1913" t="s">
        <v>4637</v>
      </c>
      <c r="D1913" t="str">
        <f t="shared" si="130"/>
        <v/>
      </c>
      <c r="E1913" t="s">
        <v>4638</v>
      </c>
      <c r="F1913" t="str">
        <f t="shared" si="131"/>
        <v>8515748</v>
      </c>
      <c r="H1913">
        <v>1</v>
      </c>
    </row>
    <row r="1914" spans="1:8" hidden="1" x14ac:dyDescent="0.25">
      <c r="A1914">
        <v>18490</v>
      </c>
      <c r="B1914" t="s">
        <v>4</v>
      </c>
      <c r="C1914" t="s">
        <v>3681</v>
      </c>
      <c r="D1914" t="str">
        <f t="shared" si="130"/>
        <v/>
      </c>
      <c r="E1914" t="s">
        <v>3682</v>
      </c>
      <c r="F1914" t="str">
        <f t="shared" si="131"/>
        <v>8707657</v>
      </c>
      <c r="H1914">
        <v>4</v>
      </c>
    </row>
    <row r="1915" spans="1:8" hidden="1" x14ac:dyDescent="0.25">
      <c r="A1915">
        <v>15245</v>
      </c>
      <c r="B1915" t="s">
        <v>4</v>
      </c>
      <c r="C1915" t="s">
        <v>711</v>
      </c>
      <c r="D1915" t="str">
        <f t="shared" si="130"/>
        <v/>
      </c>
      <c r="E1915" t="s">
        <v>712</v>
      </c>
      <c r="F1915" t="str">
        <f t="shared" si="131"/>
        <v>8707381</v>
      </c>
      <c r="H1915">
        <v>1</v>
      </c>
    </row>
    <row r="1916" spans="1:8" ht="15" hidden="1" customHeight="1" x14ac:dyDescent="0.25">
      <c r="A1916">
        <v>18495</v>
      </c>
      <c r="B1916" t="s">
        <v>4</v>
      </c>
      <c r="C1916" t="s">
        <v>3683</v>
      </c>
      <c r="D1916" t="str">
        <f t="shared" si="130"/>
        <v/>
      </c>
      <c r="E1916" t="s">
        <v>3684</v>
      </c>
      <c r="F1916" t="str">
        <f t="shared" si="131"/>
        <v>8707658</v>
      </c>
      <c r="H1916">
        <v>2</v>
      </c>
    </row>
    <row r="1917" spans="1:8" ht="15" hidden="1" customHeight="1" x14ac:dyDescent="0.25">
      <c r="A1917">
        <v>16450</v>
      </c>
      <c r="B1917" t="s">
        <v>4</v>
      </c>
      <c r="C1917" t="s">
        <v>1506</v>
      </c>
      <c r="D1917" t="str">
        <f t="shared" si="130"/>
        <v/>
      </c>
      <c r="E1917" t="s">
        <v>1507</v>
      </c>
      <c r="F1917" t="str">
        <f t="shared" si="131"/>
        <v>8707000</v>
      </c>
      <c r="H1917">
        <v>1</v>
      </c>
    </row>
    <row r="1918" spans="1:8" ht="15" hidden="1" customHeight="1" x14ac:dyDescent="0.25">
      <c r="A1918">
        <v>19873</v>
      </c>
      <c r="B1918" t="s">
        <v>4</v>
      </c>
      <c r="C1918" t="s">
        <v>5299</v>
      </c>
      <c r="D1918" t="str">
        <f t="shared" si="130"/>
        <v/>
      </c>
      <c r="E1918" t="s">
        <v>5300</v>
      </c>
      <c r="F1918" t="str">
        <f t="shared" si="131"/>
        <v>8522012</v>
      </c>
      <c r="H1918">
        <v>2</v>
      </c>
    </row>
    <row r="1919" spans="1:8" ht="15" hidden="1" customHeight="1" x14ac:dyDescent="0.25">
      <c r="A1919">
        <v>16211</v>
      </c>
      <c r="B1919" t="s">
        <v>4</v>
      </c>
      <c r="C1919" t="s">
        <v>1362</v>
      </c>
      <c r="D1919" t="str">
        <f t="shared" si="130"/>
        <v/>
      </c>
      <c r="E1919" t="s">
        <v>1363</v>
      </c>
      <c r="F1919" t="str">
        <f t="shared" si="131"/>
        <v>8708010</v>
      </c>
      <c r="H1919">
        <v>3</v>
      </c>
    </row>
    <row r="1920" spans="1:8" ht="15" hidden="1" customHeight="1" x14ac:dyDescent="0.25">
      <c r="A1920">
        <v>16084</v>
      </c>
      <c r="B1920" t="s">
        <v>4</v>
      </c>
      <c r="C1920" t="s">
        <v>1294</v>
      </c>
      <c r="D1920" t="str">
        <f t="shared" si="130"/>
        <v/>
      </c>
      <c r="E1920" t="s">
        <v>1295</v>
      </c>
      <c r="F1920" t="str">
        <f t="shared" si="131"/>
        <v>8708040</v>
      </c>
      <c r="H1920">
        <v>3</v>
      </c>
    </row>
    <row r="1921" spans="1:8" ht="15" hidden="1" customHeight="1" x14ac:dyDescent="0.25">
      <c r="A1921">
        <v>16047</v>
      </c>
      <c r="B1921" t="s">
        <v>4</v>
      </c>
      <c r="C1921" t="s">
        <v>1272</v>
      </c>
      <c r="D1921" t="str">
        <f t="shared" si="130"/>
        <v/>
      </c>
      <c r="E1921" t="s">
        <v>1273</v>
      </c>
      <c r="F1921" t="str">
        <f t="shared" si="131"/>
        <v>8708024</v>
      </c>
      <c r="H1921">
        <v>4</v>
      </c>
    </row>
    <row r="1922" spans="1:8" ht="15" hidden="1" customHeight="1" x14ac:dyDescent="0.25">
      <c r="A1922">
        <v>20733</v>
      </c>
      <c r="B1922" t="s">
        <v>7</v>
      </c>
      <c r="C1922" t="s">
        <v>6053</v>
      </c>
      <c r="D1922" t="s">
        <v>6840</v>
      </c>
      <c r="E1922" t="s">
        <v>6054</v>
      </c>
      <c r="F1922" t="str">
        <f t="shared" si="131"/>
        <v>8708639</v>
      </c>
      <c r="H1922">
        <f>SUBTOTAL(9,H1923:H1925)</f>
        <v>0</v>
      </c>
    </row>
    <row r="1923" spans="1:8" ht="15" hidden="1" customHeight="1" x14ac:dyDescent="0.25">
      <c r="A1923">
        <v>20734</v>
      </c>
      <c r="B1923" t="s">
        <v>10</v>
      </c>
      <c r="C1923" t="s">
        <v>6055</v>
      </c>
      <c r="D1923" t="str">
        <f>IF(RIGHT(LEFT(C1923,9),2)="##","",RIGHT(LEFT(C1923,10),2))</f>
        <v>03</v>
      </c>
      <c r="E1923" t="s">
        <v>6056</v>
      </c>
      <c r="F1923" t="str">
        <f t="shared" si="131"/>
        <v>8708639</v>
      </c>
      <c r="H1923">
        <v>1</v>
      </c>
    </row>
    <row r="1924" spans="1:8" hidden="1" x14ac:dyDescent="0.25">
      <c r="A1924">
        <v>20738</v>
      </c>
      <c r="B1924" t="s">
        <v>10</v>
      </c>
      <c r="C1924" t="s">
        <v>6057</v>
      </c>
      <c r="D1924" t="str">
        <f>IF(RIGHT(LEFT(C1924,9),2)="##","",RIGHT(LEFT(C1924,10),2))</f>
        <v>06</v>
      </c>
      <c r="E1924" t="s">
        <v>6058</v>
      </c>
      <c r="F1924" t="str">
        <f t="shared" si="131"/>
        <v>8708639</v>
      </c>
      <c r="H1924">
        <v>1</v>
      </c>
    </row>
    <row r="1925" spans="1:8" hidden="1" x14ac:dyDescent="0.25">
      <c r="A1925">
        <v>20739</v>
      </c>
      <c r="B1925" t="s">
        <v>10</v>
      </c>
      <c r="C1925" t="s">
        <v>6059</v>
      </c>
      <c r="D1925" t="str">
        <f>IF(RIGHT(LEFT(C1925,9),2)="##","",RIGHT(LEFT(C1925,10),2))</f>
        <v>09</v>
      </c>
      <c r="E1925" t="s">
        <v>6060</v>
      </c>
      <c r="F1925" t="str">
        <f t="shared" si="131"/>
        <v>8708639</v>
      </c>
      <c r="H1925">
        <v>1</v>
      </c>
    </row>
    <row r="1926" spans="1:8" hidden="1" x14ac:dyDescent="0.25">
      <c r="A1926">
        <v>20740</v>
      </c>
      <c r="B1926" t="s">
        <v>7</v>
      </c>
      <c r="C1926" t="s">
        <v>6061</v>
      </c>
      <c r="D1926" t="s">
        <v>6840</v>
      </c>
      <c r="E1926" t="s">
        <v>6062</v>
      </c>
      <c r="F1926" t="str">
        <f t="shared" si="131"/>
        <v>8708644</v>
      </c>
      <c r="H1926">
        <f>SUBTOTAL(9,H1927:H1929)</f>
        <v>0</v>
      </c>
    </row>
    <row r="1927" spans="1:8" hidden="1" x14ac:dyDescent="0.25">
      <c r="A1927">
        <v>20741</v>
      </c>
      <c r="B1927" t="s">
        <v>10</v>
      </c>
      <c r="C1927" t="s">
        <v>6063</v>
      </c>
      <c r="D1927" t="str">
        <f t="shared" ref="D1927:D1990" si="132">IF(RIGHT(LEFT(C1927,9),2)="##","",RIGHT(LEFT(C1927,10),2))</f>
        <v>03</v>
      </c>
      <c r="E1927" t="s">
        <v>6064</v>
      </c>
      <c r="F1927" t="str">
        <f t="shared" si="131"/>
        <v>8708644</v>
      </c>
      <c r="H1927">
        <v>1</v>
      </c>
    </row>
    <row r="1928" spans="1:8" hidden="1" x14ac:dyDescent="0.25">
      <c r="A1928">
        <v>20749</v>
      </c>
      <c r="B1928" t="s">
        <v>10</v>
      </c>
      <c r="C1928" t="s">
        <v>6065</v>
      </c>
      <c r="D1928" t="str">
        <f t="shared" si="132"/>
        <v>06</v>
      </c>
      <c r="E1928" t="s">
        <v>6066</v>
      </c>
      <c r="F1928" t="str">
        <f t="shared" si="131"/>
        <v>8708644</v>
      </c>
      <c r="H1928">
        <v>1</v>
      </c>
    </row>
    <row r="1929" spans="1:8" hidden="1" x14ac:dyDescent="0.25">
      <c r="A1929">
        <v>20753</v>
      </c>
      <c r="B1929" t="s">
        <v>10</v>
      </c>
      <c r="C1929" t="s">
        <v>6067</v>
      </c>
      <c r="D1929" t="str">
        <f t="shared" si="132"/>
        <v>09</v>
      </c>
      <c r="E1929" t="s">
        <v>6068</v>
      </c>
      <c r="F1929" t="str">
        <f t="shared" si="131"/>
        <v>8708644</v>
      </c>
      <c r="H1929">
        <v>1</v>
      </c>
    </row>
    <row r="1930" spans="1:8" hidden="1" x14ac:dyDescent="0.25">
      <c r="A1930">
        <v>16487</v>
      </c>
      <c r="B1930" t="s">
        <v>4</v>
      </c>
      <c r="C1930" t="s">
        <v>1530</v>
      </c>
      <c r="D1930" t="str">
        <f t="shared" si="132"/>
        <v/>
      </c>
      <c r="E1930" t="s">
        <v>1531</v>
      </c>
      <c r="F1930" t="str">
        <f t="shared" si="131"/>
        <v>8508132</v>
      </c>
      <c r="H1930">
        <v>2</v>
      </c>
    </row>
    <row r="1931" spans="1:8" hidden="1" x14ac:dyDescent="0.25">
      <c r="A1931">
        <v>16306</v>
      </c>
      <c r="B1931" t="s">
        <v>4</v>
      </c>
      <c r="C1931" t="s">
        <v>1410</v>
      </c>
      <c r="D1931" t="str">
        <f t="shared" si="132"/>
        <v/>
      </c>
      <c r="E1931" t="s">
        <v>1411</v>
      </c>
      <c r="F1931" t="str">
        <f t="shared" si="131"/>
        <v>7707545</v>
      </c>
      <c r="H1931">
        <v>1</v>
      </c>
    </row>
    <row r="1932" spans="1:8" hidden="1" x14ac:dyDescent="0.25">
      <c r="A1932">
        <v>16477</v>
      </c>
      <c r="B1932" t="s">
        <v>4</v>
      </c>
      <c r="C1932" t="s">
        <v>1528</v>
      </c>
      <c r="D1932" t="str">
        <f t="shared" si="132"/>
        <v/>
      </c>
      <c r="E1932" t="s">
        <v>1529</v>
      </c>
      <c r="F1932" t="str">
        <f t="shared" si="131"/>
        <v>8521100</v>
      </c>
      <c r="H1932">
        <v>9</v>
      </c>
    </row>
    <row r="1933" spans="1:8" hidden="1" x14ac:dyDescent="0.25">
      <c r="A1933">
        <v>16473</v>
      </c>
      <c r="B1933" t="s">
        <v>4</v>
      </c>
      <c r="C1933" t="s">
        <v>1526</v>
      </c>
      <c r="D1933" t="str">
        <f t="shared" si="132"/>
        <v/>
      </c>
      <c r="E1933" t="s">
        <v>1527</v>
      </c>
      <c r="F1933" t="str">
        <f t="shared" si="131"/>
        <v>8521013</v>
      </c>
      <c r="H1933">
        <v>3</v>
      </c>
    </row>
    <row r="1934" spans="1:8" hidden="1" x14ac:dyDescent="0.25">
      <c r="A1934">
        <v>20142</v>
      </c>
      <c r="B1934" t="s">
        <v>4</v>
      </c>
      <c r="C1934" t="s">
        <v>5567</v>
      </c>
      <c r="D1934" t="str">
        <f t="shared" si="132"/>
        <v/>
      </c>
      <c r="E1934" t="s">
        <v>5568</v>
      </c>
      <c r="F1934" t="str">
        <f t="shared" si="131"/>
        <v>8520162</v>
      </c>
      <c r="H1934">
        <v>4</v>
      </c>
    </row>
    <row r="1935" spans="1:8" hidden="1" x14ac:dyDescent="0.25">
      <c r="A1935">
        <v>20137</v>
      </c>
      <c r="B1935" t="s">
        <v>4</v>
      </c>
      <c r="C1935" t="s">
        <v>5565</v>
      </c>
      <c r="D1935" t="str">
        <f t="shared" si="132"/>
        <v/>
      </c>
      <c r="E1935" t="s">
        <v>5566</v>
      </c>
      <c r="F1935" t="str">
        <f t="shared" si="131"/>
        <v>8520230</v>
      </c>
      <c r="H1935">
        <v>3</v>
      </c>
    </row>
    <row r="1936" spans="1:8" hidden="1" x14ac:dyDescent="0.25">
      <c r="A1936">
        <v>17245</v>
      </c>
      <c r="B1936" t="s">
        <v>4</v>
      </c>
      <c r="C1936" t="s">
        <v>2059</v>
      </c>
      <c r="D1936" t="str">
        <f t="shared" si="132"/>
        <v/>
      </c>
      <c r="E1936" t="s">
        <v>2060</v>
      </c>
      <c r="F1936" t="str">
        <f t="shared" si="131"/>
        <v>8521458</v>
      </c>
      <c r="H1936">
        <v>4</v>
      </c>
    </row>
    <row r="1937" spans="1:8" hidden="1" x14ac:dyDescent="0.25">
      <c r="A1937">
        <v>20132</v>
      </c>
      <c r="B1937" t="s">
        <v>4</v>
      </c>
      <c r="C1937" t="s">
        <v>5563</v>
      </c>
      <c r="D1937" t="str">
        <f t="shared" si="132"/>
        <v/>
      </c>
      <c r="E1937" t="s">
        <v>5564</v>
      </c>
      <c r="F1937" t="str">
        <f t="shared" si="131"/>
        <v>8521036</v>
      </c>
      <c r="H1937">
        <v>3</v>
      </c>
    </row>
    <row r="1938" spans="1:8" hidden="1" x14ac:dyDescent="0.25">
      <c r="A1938">
        <v>16468</v>
      </c>
      <c r="B1938" t="s">
        <v>4</v>
      </c>
      <c r="C1938" t="s">
        <v>1524</v>
      </c>
      <c r="D1938" t="str">
        <f t="shared" si="132"/>
        <v/>
      </c>
      <c r="E1938" t="s">
        <v>1525</v>
      </c>
      <c r="F1938" t="str">
        <f t="shared" si="131"/>
        <v>8521472</v>
      </c>
      <c r="H1938">
        <v>3</v>
      </c>
    </row>
    <row r="1939" spans="1:8" hidden="1" x14ac:dyDescent="0.25">
      <c r="A1939">
        <v>16491</v>
      </c>
      <c r="B1939" t="s">
        <v>4</v>
      </c>
      <c r="C1939" t="s">
        <v>1532</v>
      </c>
      <c r="D1939" t="str">
        <f t="shared" si="132"/>
        <v/>
      </c>
      <c r="E1939" t="s">
        <v>1533</v>
      </c>
      <c r="F1939" t="str">
        <f t="shared" si="131"/>
        <v>8521102</v>
      </c>
      <c r="H1939">
        <v>10</v>
      </c>
    </row>
    <row r="1940" spans="1:8" hidden="1" x14ac:dyDescent="0.25">
      <c r="A1940">
        <v>20121</v>
      </c>
      <c r="B1940" t="s">
        <v>4</v>
      </c>
      <c r="C1940" t="s">
        <v>5559</v>
      </c>
      <c r="D1940" t="str">
        <f t="shared" si="132"/>
        <v/>
      </c>
      <c r="E1940" t="s">
        <v>5560</v>
      </c>
      <c r="F1940" t="str">
        <f t="shared" si="131"/>
        <v>8521014</v>
      </c>
      <c r="H1940">
        <v>2</v>
      </c>
    </row>
    <row r="1941" spans="1:8" hidden="1" x14ac:dyDescent="0.25">
      <c r="A1941">
        <v>20127</v>
      </c>
      <c r="B1941" t="s">
        <v>4</v>
      </c>
      <c r="C1941" t="s">
        <v>5561</v>
      </c>
      <c r="D1941" t="str">
        <f t="shared" si="132"/>
        <v/>
      </c>
      <c r="E1941" t="s">
        <v>5562</v>
      </c>
      <c r="F1941" t="str">
        <f t="shared" ref="F1941:F1972" si="133">LEFT(C1941,7)</f>
        <v>8521063</v>
      </c>
      <c r="H1941">
        <v>4</v>
      </c>
    </row>
    <row r="1942" spans="1:8" hidden="1" x14ac:dyDescent="0.25">
      <c r="A1942">
        <v>16715</v>
      </c>
      <c r="B1942" t="s">
        <v>4</v>
      </c>
      <c r="C1942" t="s">
        <v>1636</v>
      </c>
      <c r="D1942" t="str">
        <f t="shared" si="132"/>
        <v/>
      </c>
      <c r="E1942" t="s">
        <v>1637</v>
      </c>
      <c r="F1942" t="str">
        <f t="shared" si="133"/>
        <v>8509729</v>
      </c>
      <c r="H1942">
        <v>2</v>
      </c>
    </row>
    <row r="1943" spans="1:8" hidden="1" x14ac:dyDescent="0.25">
      <c r="A1943">
        <v>15491</v>
      </c>
      <c r="B1943" t="s">
        <v>4</v>
      </c>
      <c r="C1943" t="s">
        <v>889</v>
      </c>
      <c r="D1943" t="str">
        <f t="shared" si="132"/>
        <v/>
      </c>
      <c r="E1943" t="s">
        <v>890</v>
      </c>
      <c r="F1943" t="str">
        <f t="shared" si="133"/>
        <v>7709021</v>
      </c>
      <c r="H1943">
        <v>1</v>
      </c>
    </row>
    <row r="1944" spans="1:8" hidden="1" x14ac:dyDescent="0.25">
      <c r="A1944">
        <v>15488</v>
      </c>
      <c r="B1944" t="s">
        <v>4</v>
      </c>
      <c r="C1944" t="s">
        <v>887</v>
      </c>
      <c r="D1944" t="str">
        <f t="shared" si="132"/>
        <v/>
      </c>
      <c r="E1944" t="s">
        <v>888</v>
      </c>
      <c r="F1944" t="str">
        <f t="shared" si="133"/>
        <v>7709401</v>
      </c>
      <c r="H1944">
        <v>1</v>
      </c>
    </row>
    <row r="1945" spans="1:8" hidden="1" x14ac:dyDescent="0.25">
      <c r="A1945">
        <v>18672</v>
      </c>
      <c r="B1945" t="s">
        <v>4</v>
      </c>
      <c r="C1945" t="s">
        <v>3860</v>
      </c>
      <c r="D1945" t="str">
        <f t="shared" si="132"/>
        <v/>
      </c>
      <c r="E1945" t="s">
        <v>3861</v>
      </c>
      <c r="F1945" t="str">
        <f t="shared" si="133"/>
        <v>7709365</v>
      </c>
      <c r="H1945">
        <v>1</v>
      </c>
    </row>
    <row r="1946" spans="1:8" hidden="1" x14ac:dyDescent="0.25">
      <c r="A1946">
        <v>15519</v>
      </c>
      <c r="B1946" t="s">
        <v>4</v>
      </c>
      <c r="C1946" t="s">
        <v>907</v>
      </c>
      <c r="D1946" t="str">
        <f t="shared" si="132"/>
        <v/>
      </c>
      <c r="E1946" t="s">
        <v>908</v>
      </c>
      <c r="F1946" t="str">
        <f t="shared" si="133"/>
        <v>7709233</v>
      </c>
      <c r="H1946">
        <v>1</v>
      </c>
    </row>
    <row r="1947" spans="1:8" hidden="1" x14ac:dyDescent="0.25">
      <c r="A1947">
        <v>15343</v>
      </c>
      <c r="B1947" t="s">
        <v>4</v>
      </c>
      <c r="C1947" t="s">
        <v>759</v>
      </c>
      <c r="D1947" t="str">
        <f t="shared" si="132"/>
        <v/>
      </c>
      <c r="E1947" t="s">
        <v>760</v>
      </c>
      <c r="F1947" t="str">
        <f t="shared" si="133"/>
        <v>7709061</v>
      </c>
      <c r="H1947">
        <v>1</v>
      </c>
    </row>
    <row r="1948" spans="1:8" hidden="1" x14ac:dyDescent="0.25">
      <c r="A1948">
        <v>15485</v>
      </c>
      <c r="B1948" t="s">
        <v>4</v>
      </c>
      <c r="C1948" t="s">
        <v>885</v>
      </c>
      <c r="D1948" t="str">
        <f t="shared" si="132"/>
        <v/>
      </c>
      <c r="E1948" t="s">
        <v>886</v>
      </c>
      <c r="F1948" t="str">
        <f t="shared" si="133"/>
        <v>7709364</v>
      </c>
      <c r="H1948">
        <v>1</v>
      </c>
    </row>
    <row r="1949" spans="1:8" hidden="1" x14ac:dyDescent="0.25">
      <c r="A1949">
        <v>15482</v>
      </c>
      <c r="B1949" t="s">
        <v>4</v>
      </c>
      <c r="C1949" t="s">
        <v>883</v>
      </c>
      <c r="D1949" t="str">
        <f t="shared" si="132"/>
        <v/>
      </c>
      <c r="E1949" t="s">
        <v>884</v>
      </c>
      <c r="F1949" t="str">
        <f t="shared" si="133"/>
        <v>7709016</v>
      </c>
      <c r="H1949">
        <v>1</v>
      </c>
    </row>
    <row r="1950" spans="1:8" hidden="1" x14ac:dyDescent="0.25">
      <c r="A1950">
        <v>15469</v>
      </c>
      <c r="B1950" t="s">
        <v>4</v>
      </c>
      <c r="C1950" t="s">
        <v>875</v>
      </c>
      <c r="D1950" t="str">
        <f t="shared" si="132"/>
        <v/>
      </c>
      <c r="E1950" t="s">
        <v>876</v>
      </c>
      <c r="F1950" t="str">
        <f t="shared" si="133"/>
        <v>7709014</v>
      </c>
      <c r="H1950">
        <v>1</v>
      </c>
    </row>
    <row r="1951" spans="1:8" hidden="1" x14ac:dyDescent="0.25">
      <c r="A1951">
        <v>15463</v>
      </c>
      <c r="B1951" t="s">
        <v>4</v>
      </c>
      <c r="C1951" t="s">
        <v>871</v>
      </c>
      <c r="D1951" t="str">
        <f t="shared" si="132"/>
        <v/>
      </c>
      <c r="E1951" t="s">
        <v>872</v>
      </c>
      <c r="F1951" t="str">
        <f t="shared" si="133"/>
        <v>7709015</v>
      </c>
      <c r="H1951">
        <v>1</v>
      </c>
    </row>
    <row r="1952" spans="1:8" hidden="1" x14ac:dyDescent="0.25">
      <c r="A1952">
        <v>15497</v>
      </c>
      <c r="B1952" t="s">
        <v>4</v>
      </c>
      <c r="C1952" t="s">
        <v>893</v>
      </c>
      <c r="D1952" t="str">
        <f t="shared" si="132"/>
        <v/>
      </c>
      <c r="E1952" t="s">
        <v>894</v>
      </c>
      <c r="F1952" t="str">
        <f t="shared" si="133"/>
        <v>7709653</v>
      </c>
      <c r="H1952">
        <v>1</v>
      </c>
    </row>
    <row r="1953" spans="1:8" hidden="1" x14ac:dyDescent="0.25">
      <c r="A1953">
        <v>15494</v>
      </c>
      <c r="B1953" t="s">
        <v>4</v>
      </c>
      <c r="C1953" t="s">
        <v>891</v>
      </c>
      <c r="D1953" t="str">
        <f t="shared" si="132"/>
        <v/>
      </c>
      <c r="E1953" t="s">
        <v>892</v>
      </c>
      <c r="F1953" t="str">
        <f t="shared" si="133"/>
        <v>7709788</v>
      </c>
      <c r="H1953">
        <v>1</v>
      </c>
    </row>
    <row r="1954" spans="1:8" hidden="1" x14ac:dyDescent="0.25">
      <c r="A1954">
        <v>15637</v>
      </c>
      <c r="B1954" t="s">
        <v>4</v>
      </c>
      <c r="C1954" t="s">
        <v>1011</v>
      </c>
      <c r="D1954" t="str">
        <f t="shared" si="132"/>
        <v/>
      </c>
      <c r="E1954" t="s">
        <v>1012</v>
      </c>
      <c r="F1954" t="str">
        <f t="shared" si="133"/>
        <v>7709547</v>
      </c>
      <c r="H1954">
        <v>1</v>
      </c>
    </row>
    <row r="1955" spans="1:8" hidden="1" x14ac:dyDescent="0.25">
      <c r="A1955">
        <v>15579</v>
      </c>
      <c r="B1955" t="s">
        <v>4</v>
      </c>
      <c r="C1955" t="s">
        <v>945</v>
      </c>
      <c r="D1955" t="str">
        <f t="shared" si="132"/>
        <v/>
      </c>
      <c r="E1955" t="s">
        <v>946</v>
      </c>
      <c r="F1955" t="str">
        <f t="shared" si="133"/>
        <v>7709456</v>
      </c>
      <c r="H1955">
        <v>1</v>
      </c>
    </row>
    <row r="1956" spans="1:8" hidden="1" x14ac:dyDescent="0.25">
      <c r="A1956">
        <v>15631</v>
      </c>
      <c r="B1956" t="s">
        <v>4</v>
      </c>
      <c r="C1956" t="s">
        <v>1007</v>
      </c>
      <c r="D1956" t="str">
        <f t="shared" si="132"/>
        <v/>
      </c>
      <c r="E1956" t="s">
        <v>1008</v>
      </c>
      <c r="F1956" t="str">
        <f t="shared" si="133"/>
        <v>7709855</v>
      </c>
      <c r="H1956">
        <v>1</v>
      </c>
    </row>
    <row r="1957" spans="1:8" hidden="1" x14ac:dyDescent="0.25">
      <c r="A1957">
        <v>15625</v>
      </c>
      <c r="B1957" t="s">
        <v>4</v>
      </c>
      <c r="C1957" t="s">
        <v>1003</v>
      </c>
      <c r="D1957" t="str">
        <f t="shared" si="132"/>
        <v/>
      </c>
      <c r="E1957" t="s">
        <v>1004</v>
      </c>
      <c r="F1957" t="str">
        <f t="shared" si="133"/>
        <v>7709654</v>
      </c>
      <c r="H1957">
        <v>1</v>
      </c>
    </row>
    <row r="1958" spans="1:8" hidden="1" x14ac:dyDescent="0.25">
      <c r="A1958">
        <v>15588</v>
      </c>
      <c r="B1958" t="s">
        <v>4</v>
      </c>
      <c r="C1958" t="s">
        <v>951</v>
      </c>
      <c r="D1958" t="str">
        <f t="shared" si="132"/>
        <v/>
      </c>
      <c r="E1958" t="s">
        <v>952</v>
      </c>
      <c r="F1958" t="str">
        <f t="shared" si="133"/>
        <v>7709139</v>
      </c>
      <c r="H1958">
        <v>1</v>
      </c>
    </row>
    <row r="1959" spans="1:8" hidden="1" x14ac:dyDescent="0.25">
      <c r="A1959">
        <v>15555</v>
      </c>
      <c r="B1959" t="s">
        <v>4</v>
      </c>
      <c r="C1959" t="s">
        <v>929</v>
      </c>
      <c r="D1959" t="str">
        <f t="shared" si="132"/>
        <v/>
      </c>
      <c r="E1959" t="s">
        <v>930</v>
      </c>
      <c r="F1959" t="str">
        <f t="shared" si="133"/>
        <v>7709204</v>
      </c>
      <c r="H1959">
        <v>1</v>
      </c>
    </row>
    <row r="1960" spans="1:8" hidden="1" x14ac:dyDescent="0.25">
      <c r="A1960">
        <v>15649</v>
      </c>
      <c r="B1960" t="s">
        <v>4</v>
      </c>
      <c r="C1960" t="s">
        <v>1018</v>
      </c>
      <c r="D1960" t="str">
        <f t="shared" si="132"/>
        <v/>
      </c>
      <c r="E1960" t="s">
        <v>1019</v>
      </c>
      <c r="F1960" t="str">
        <f t="shared" si="133"/>
        <v>7709754</v>
      </c>
      <c r="H1960">
        <v>1</v>
      </c>
    </row>
    <row r="1961" spans="1:8" hidden="1" x14ac:dyDescent="0.25">
      <c r="A1961">
        <v>15646</v>
      </c>
      <c r="B1961" t="s">
        <v>4</v>
      </c>
      <c r="C1961" t="s">
        <v>6993</v>
      </c>
      <c r="D1961" t="str">
        <f t="shared" si="132"/>
        <v/>
      </c>
      <c r="E1961" t="s">
        <v>1017</v>
      </c>
      <c r="F1961" t="str">
        <f t="shared" si="133"/>
        <v>7709756</v>
      </c>
      <c r="H1961">
        <v>1</v>
      </c>
    </row>
    <row r="1962" spans="1:8" hidden="1" x14ac:dyDescent="0.25">
      <c r="A1962">
        <v>15640</v>
      </c>
      <c r="B1962" t="s">
        <v>4</v>
      </c>
      <c r="C1962" t="s">
        <v>1013</v>
      </c>
      <c r="D1962" t="str">
        <f t="shared" si="132"/>
        <v/>
      </c>
      <c r="E1962" t="s">
        <v>1014</v>
      </c>
      <c r="F1962" t="str">
        <f t="shared" si="133"/>
        <v>7709572</v>
      </c>
      <c r="H1962">
        <v>1</v>
      </c>
    </row>
    <row r="1963" spans="1:8" hidden="1" x14ac:dyDescent="0.25">
      <c r="A1963">
        <v>15679</v>
      </c>
      <c r="B1963" t="s">
        <v>4</v>
      </c>
      <c r="C1963" t="s">
        <v>1042</v>
      </c>
      <c r="D1963" t="str">
        <f t="shared" si="132"/>
        <v/>
      </c>
      <c r="E1963" t="s">
        <v>1043</v>
      </c>
      <c r="F1963" t="str">
        <f t="shared" si="133"/>
        <v>7709459</v>
      </c>
      <c r="H1963">
        <v>1</v>
      </c>
    </row>
    <row r="1964" spans="1:8" hidden="1" x14ac:dyDescent="0.25">
      <c r="A1964">
        <v>15561</v>
      </c>
      <c r="B1964" t="s">
        <v>4</v>
      </c>
      <c r="C1964" t="s">
        <v>933</v>
      </c>
      <c r="D1964" t="str">
        <f t="shared" si="132"/>
        <v/>
      </c>
      <c r="E1964" t="s">
        <v>934</v>
      </c>
      <c r="F1964" t="str">
        <f t="shared" si="133"/>
        <v>7709360</v>
      </c>
      <c r="H1964">
        <v>1</v>
      </c>
    </row>
    <row r="1965" spans="1:8" hidden="1" x14ac:dyDescent="0.25">
      <c r="A1965">
        <v>15546</v>
      </c>
      <c r="B1965" t="s">
        <v>4</v>
      </c>
      <c r="C1965" t="s">
        <v>923</v>
      </c>
      <c r="D1965" t="str">
        <f t="shared" si="132"/>
        <v/>
      </c>
      <c r="E1965" t="s">
        <v>924</v>
      </c>
      <c r="F1965" t="str">
        <f t="shared" si="133"/>
        <v>7709103</v>
      </c>
      <c r="H1965">
        <v>1</v>
      </c>
    </row>
    <row r="1966" spans="1:8" hidden="1" x14ac:dyDescent="0.25">
      <c r="A1966">
        <v>15549</v>
      </c>
      <c r="B1966" t="s">
        <v>4</v>
      </c>
      <c r="C1966" t="s">
        <v>925</v>
      </c>
      <c r="D1966" t="str">
        <f t="shared" si="132"/>
        <v/>
      </c>
      <c r="E1966" t="s">
        <v>926</v>
      </c>
      <c r="F1966" t="str">
        <f t="shared" si="133"/>
        <v>7709158</v>
      </c>
      <c r="H1966">
        <v>1</v>
      </c>
    </row>
    <row r="1967" spans="1:8" hidden="1" x14ac:dyDescent="0.25">
      <c r="A1967">
        <v>15552</v>
      </c>
      <c r="B1967" t="s">
        <v>4</v>
      </c>
      <c r="C1967" t="s">
        <v>927</v>
      </c>
      <c r="D1967" t="str">
        <f t="shared" si="132"/>
        <v/>
      </c>
      <c r="E1967" t="s">
        <v>928</v>
      </c>
      <c r="F1967" t="str">
        <f t="shared" si="133"/>
        <v>7709625</v>
      </c>
      <c r="H1967">
        <v>1</v>
      </c>
    </row>
    <row r="1968" spans="1:8" hidden="1" x14ac:dyDescent="0.25">
      <c r="A1968">
        <v>15576</v>
      </c>
      <c r="B1968" t="s">
        <v>4</v>
      </c>
      <c r="C1968" t="s">
        <v>943</v>
      </c>
      <c r="D1968" t="str">
        <f t="shared" si="132"/>
        <v/>
      </c>
      <c r="E1968" t="s">
        <v>944</v>
      </c>
      <c r="F1968" t="str">
        <f t="shared" si="133"/>
        <v>7709600</v>
      </c>
      <c r="H1968">
        <v>1</v>
      </c>
    </row>
    <row r="1969" spans="1:8" hidden="1" x14ac:dyDescent="0.25">
      <c r="A1969">
        <v>15655</v>
      </c>
      <c r="B1969" t="s">
        <v>4</v>
      </c>
      <c r="C1969" t="s">
        <v>1020</v>
      </c>
      <c r="D1969" t="str">
        <f t="shared" si="132"/>
        <v/>
      </c>
      <c r="E1969" t="s">
        <v>1021</v>
      </c>
      <c r="F1969" t="str">
        <f t="shared" si="133"/>
        <v>7709138</v>
      </c>
      <c r="H1969">
        <v>1</v>
      </c>
    </row>
    <row r="1970" spans="1:8" hidden="1" x14ac:dyDescent="0.25">
      <c r="A1970">
        <v>15585</v>
      </c>
      <c r="B1970" t="s">
        <v>4</v>
      </c>
      <c r="C1970" t="s">
        <v>949</v>
      </c>
      <c r="D1970" t="str">
        <f t="shared" si="132"/>
        <v/>
      </c>
      <c r="E1970" t="s">
        <v>950</v>
      </c>
      <c r="F1970" t="str">
        <f t="shared" si="133"/>
        <v>7709041</v>
      </c>
      <c r="H1970">
        <v>1</v>
      </c>
    </row>
    <row r="1971" spans="1:8" hidden="1" x14ac:dyDescent="0.25">
      <c r="A1971">
        <v>15643</v>
      </c>
      <c r="B1971" t="s">
        <v>4</v>
      </c>
      <c r="C1971" t="s">
        <v>1015</v>
      </c>
      <c r="D1971" t="str">
        <f t="shared" si="132"/>
        <v/>
      </c>
      <c r="E1971" t="s">
        <v>1016</v>
      </c>
      <c r="F1971" t="str">
        <f t="shared" si="133"/>
        <v>7709245</v>
      </c>
      <c r="H1971">
        <v>1</v>
      </c>
    </row>
    <row r="1972" spans="1:8" hidden="1" x14ac:dyDescent="0.25">
      <c r="A1972">
        <v>15507</v>
      </c>
      <c r="B1972" t="s">
        <v>4</v>
      </c>
      <c r="C1972" t="s">
        <v>899</v>
      </c>
      <c r="D1972" t="str">
        <f t="shared" si="132"/>
        <v/>
      </c>
      <c r="E1972" t="s">
        <v>900</v>
      </c>
      <c r="F1972" t="str">
        <f t="shared" si="133"/>
        <v>7709867</v>
      </c>
      <c r="H1972">
        <v>1</v>
      </c>
    </row>
    <row r="1973" spans="1:8" hidden="1" x14ac:dyDescent="0.25">
      <c r="A1973">
        <v>15558</v>
      </c>
      <c r="B1973" t="s">
        <v>4</v>
      </c>
      <c r="C1973" t="s">
        <v>931</v>
      </c>
      <c r="D1973" t="str">
        <f t="shared" si="132"/>
        <v/>
      </c>
      <c r="E1973" t="s">
        <v>932</v>
      </c>
      <c r="F1973" t="str">
        <f t="shared" ref="F1973:F2004" si="134">LEFT(C1973,7)</f>
        <v>7709396</v>
      </c>
      <c r="H1973">
        <v>2</v>
      </c>
    </row>
    <row r="1974" spans="1:8" hidden="1" x14ac:dyDescent="0.25">
      <c r="A1974">
        <v>15510</v>
      </c>
      <c r="B1974" t="s">
        <v>4</v>
      </c>
      <c r="C1974" t="s">
        <v>901</v>
      </c>
      <c r="D1974" t="str">
        <f t="shared" si="132"/>
        <v/>
      </c>
      <c r="E1974" t="s">
        <v>902</v>
      </c>
      <c r="F1974" t="str">
        <f t="shared" si="134"/>
        <v>7709650</v>
      </c>
      <c r="H1974">
        <v>1</v>
      </c>
    </row>
    <row r="1975" spans="1:8" hidden="1" x14ac:dyDescent="0.25">
      <c r="A1975">
        <v>15634</v>
      </c>
      <c r="B1975" t="s">
        <v>4</v>
      </c>
      <c r="C1975" t="s">
        <v>1009</v>
      </c>
      <c r="D1975" t="str">
        <f t="shared" si="132"/>
        <v/>
      </c>
      <c r="E1975" t="s">
        <v>1010</v>
      </c>
      <c r="F1975" t="str">
        <f t="shared" si="134"/>
        <v>7709665</v>
      </c>
      <c r="H1975">
        <v>1</v>
      </c>
    </row>
    <row r="1976" spans="1:8" hidden="1" x14ac:dyDescent="0.25">
      <c r="A1976">
        <v>16946</v>
      </c>
      <c r="B1976" t="s">
        <v>4</v>
      </c>
      <c r="C1976" t="s">
        <v>1848</v>
      </c>
      <c r="D1976" t="str">
        <f t="shared" si="132"/>
        <v/>
      </c>
      <c r="E1976" t="s">
        <v>1849</v>
      </c>
      <c r="F1976" t="str">
        <f t="shared" si="134"/>
        <v>7710001</v>
      </c>
      <c r="H1976">
        <v>1</v>
      </c>
    </row>
    <row r="1977" spans="1:8" hidden="1" x14ac:dyDescent="0.25">
      <c r="A1977">
        <v>16787</v>
      </c>
      <c r="B1977" t="s">
        <v>4</v>
      </c>
      <c r="C1977" t="s">
        <v>1710</v>
      </c>
      <c r="D1977" t="str">
        <f t="shared" si="132"/>
        <v/>
      </c>
      <c r="E1977" t="s">
        <v>1711</v>
      </c>
      <c r="F1977" t="str">
        <f t="shared" si="134"/>
        <v>7709333</v>
      </c>
      <c r="H1977">
        <v>1</v>
      </c>
    </row>
    <row r="1978" spans="1:8" hidden="1" x14ac:dyDescent="0.25">
      <c r="A1978">
        <v>15582</v>
      </c>
      <c r="B1978" t="s">
        <v>4</v>
      </c>
      <c r="C1978" t="s">
        <v>947</v>
      </c>
      <c r="D1978" t="str">
        <f t="shared" si="132"/>
        <v/>
      </c>
      <c r="E1978" t="s">
        <v>948</v>
      </c>
      <c r="F1978" t="str">
        <f t="shared" si="134"/>
        <v>7709680</v>
      </c>
      <c r="H1978">
        <v>1</v>
      </c>
    </row>
    <row r="1979" spans="1:8" hidden="1" x14ac:dyDescent="0.25">
      <c r="A1979">
        <v>15472</v>
      </c>
      <c r="B1979" t="s">
        <v>4</v>
      </c>
      <c r="C1979" t="s">
        <v>877</v>
      </c>
      <c r="D1979" t="str">
        <f t="shared" si="132"/>
        <v/>
      </c>
      <c r="E1979" t="s">
        <v>878</v>
      </c>
      <c r="F1979" t="str">
        <f t="shared" si="134"/>
        <v>7709854</v>
      </c>
      <c r="H1979">
        <v>1</v>
      </c>
    </row>
    <row r="1980" spans="1:8" hidden="1" x14ac:dyDescent="0.25">
      <c r="A1980">
        <v>15466</v>
      </c>
      <c r="B1980" t="s">
        <v>4</v>
      </c>
      <c r="C1980" t="s">
        <v>873</v>
      </c>
      <c r="D1980" t="str">
        <f t="shared" si="132"/>
        <v/>
      </c>
      <c r="E1980" t="s">
        <v>874</v>
      </c>
      <c r="F1980" t="str">
        <f t="shared" si="134"/>
        <v>7709380</v>
      </c>
      <c r="H1980">
        <v>1</v>
      </c>
    </row>
    <row r="1981" spans="1:8" hidden="1" x14ac:dyDescent="0.25">
      <c r="A1981">
        <v>15460</v>
      </c>
      <c r="B1981" t="s">
        <v>4</v>
      </c>
      <c r="C1981" t="s">
        <v>869</v>
      </c>
      <c r="D1981" t="str">
        <f t="shared" si="132"/>
        <v/>
      </c>
      <c r="E1981" t="s">
        <v>870</v>
      </c>
      <c r="F1981" t="str">
        <f t="shared" si="134"/>
        <v>7709420</v>
      </c>
      <c r="H1981">
        <v>1</v>
      </c>
    </row>
    <row r="1982" spans="1:8" hidden="1" x14ac:dyDescent="0.25">
      <c r="A1982">
        <v>15478</v>
      </c>
      <c r="B1982" t="s">
        <v>4</v>
      </c>
      <c r="C1982" t="s">
        <v>881</v>
      </c>
      <c r="D1982" t="str">
        <f t="shared" si="132"/>
        <v/>
      </c>
      <c r="E1982" t="s">
        <v>882</v>
      </c>
      <c r="F1982" t="str">
        <f t="shared" si="134"/>
        <v>7709786</v>
      </c>
      <c r="H1982">
        <v>2</v>
      </c>
    </row>
    <row r="1983" spans="1:8" hidden="1" x14ac:dyDescent="0.25">
      <c r="A1983">
        <v>15475</v>
      </c>
      <c r="B1983" t="s">
        <v>4</v>
      </c>
      <c r="C1983" t="s">
        <v>879</v>
      </c>
      <c r="D1983" t="str">
        <f t="shared" si="132"/>
        <v/>
      </c>
      <c r="E1983" t="s">
        <v>880</v>
      </c>
      <c r="F1983" t="str">
        <f t="shared" si="134"/>
        <v>7709753</v>
      </c>
      <c r="H1983">
        <v>1</v>
      </c>
    </row>
    <row r="1984" spans="1:8" hidden="1" x14ac:dyDescent="0.25">
      <c r="A1984">
        <v>15457</v>
      </c>
      <c r="B1984" t="s">
        <v>4</v>
      </c>
      <c r="C1984" t="s">
        <v>867</v>
      </c>
      <c r="D1984" t="str">
        <f t="shared" si="132"/>
        <v/>
      </c>
      <c r="E1984" t="s">
        <v>868</v>
      </c>
      <c r="F1984" t="str">
        <f t="shared" si="134"/>
        <v>7709156</v>
      </c>
      <c r="H1984">
        <v>1</v>
      </c>
    </row>
    <row r="1985" spans="1:8" hidden="1" x14ac:dyDescent="0.25">
      <c r="A1985">
        <v>15513</v>
      </c>
      <c r="B1985" t="s">
        <v>4</v>
      </c>
      <c r="C1985" t="s">
        <v>903</v>
      </c>
      <c r="D1985" t="str">
        <f t="shared" si="132"/>
        <v/>
      </c>
      <c r="E1985" t="s">
        <v>904</v>
      </c>
      <c r="F1985" t="str">
        <f t="shared" si="134"/>
        <v>7709943</v>
      </c>
      <c r="H1985">
        <v>1</v>
      </c>
    </row>
    <row r="1986" spans="1:8" hidden="1" x14ac:dyDescent="0.25">
      <c r="A1986">
        <v>15504</v>
      </c>
      <c r="B1986" t="s">
        <v>4</v>
      </c>
      <c r="C1986" t="s">
        <v>897</v>
      </c>
      <c r="D1986" t="str">
        <f t="shared" si="132"/>
        <v/>
      </c>
      <c r="E1986" t="s">
        <v>898</v>
      </c>
      <c r="F1986" t="str">
        <f t="shared" si="134"/>
        <v>7709712</v>
      </c>
      <c r="H1986">
        <v>1</v>
      </c>
    </row>
    <row r="1987" spans="1:8" hidden="1" x14ac:dyDescent="0.25">
      <c r="A1987">
        <v>15500</v>
      </c>
      <c r="B1987" t="s">
        <v>4</v>
      </c>
      <c r="C1987" t="s">
        <v>895</v>
      </c>
      <c r="D1987" t="str">
        <f t="shared" si="132"/>
        <v/>
      </c>
      <c r="E1987" t="s">
        <v>896</v>
      </c>
      <c r="F1987" t="str">
        <f t="shared" si="134"/>
        <v>7709421</v>
      </c>
      <c r="H1987">
        <v>2</v>
      </c>
    </row>
    <row r="1988" spans="1:8" hidden="1" x14ac:dyDescent="0.25">
      <c r="A1988">
        <v>15628</v>
      </c>
      <c r="B1988" t="s">
        <v>4</v>
      </c>
      <c r="C1988" t="s">
        <v>1005</v>
      </c>
      <c r="D1988" t="str">
        <f t="shared" si="132"/>
        <v/>
      </c>
      <c r="E1988" t="s">
        <v>1006</v>
      </c>
      <c r="F1988" t="str">
        <f t="shared" si="134"/>
        <v>7709668</v>
      </c>
      <c r="H1988">
        <v>1</v>
      </c>
    </row>
    <row r="1989" spans="1:8" hidden="1" x14ac:dyDescent="0.25">
      <c r="A1989">
        <v>15567</v>
      </c>
      <c r="B1989" t="s">
        <v>4</v>
      </c>
      <c r="C1989" t="s">
        <v>937</v>
      </c>
      <c r="D1989" t="str">
        <f t="shared" si="132"/>
        <v/>
      </c>
      <c r="E1989" t="s">
        <v>938</v>
      </c>
      <c r="F1989" t="str">
        <f t="shared" si="134"/>
        <v>7709662</v>
      </c>
      <c r="H1989">
        <v>1</v>
      </c>
    </row>
    <row r="1990" spans="1:8" hidden="1" x14ac:dyDescent="0.25">
      <c r="A1990">
        <v>15573</v>
      </c>
      <c r="B1990" t="s">
        <v>4</v>
      </c>
      <c r="C1990" t="s">
        <v>941</v>
      </c>
      <c r="D1990" t="str">
        <f t="shared" si="132"/>
        <v/>
      </c>
      <c r="E1990" t="s">
        <v>942</v>
      </c>
      <c r="F1990" t="str">
        <f t="shared" si="134"/>
        <v>7709661</v>
      </c>
      <c r="H1990">
        <v>1</v>
      </c>
    </row>
    <row r="1991" spans="1:8" hidden="1" x14ac:dyDescent="0.25">
      <c r="A1991">
        <v>15564</v>
      </c>
      <c r="B1991" t="s">
        <v>4</v>
      </c>
      <c r="C1991" t="s">
        <v>935</v>
      </c>
      <c r="D1991" t="str">
        <f t="shared" ref="D1991:D2054" si="135">IF(RIGHT(LEFT(C1991,9),2)="##","",RIGHT(LEFT(C1991,10),2))</f>
        <v/>
      </c>
      <c r="E1991" t="s">
        <v>936</v>
      </c>
      <c r="F1991" t="str">
        <f t="shared" si="134"/>
        <v>7709755</v>
      </c>
      <c r="H1991">
        <v>1</v>
      </c>
    </row>
    <row r="1992" spans="1:8" hidden="1" x14ac:dyDescent="0.25">
      <c r="A1992">
        <v>15570</v>
      </c>
      <c r="B1992" t="s">
        <v>4</v>
      </c>
      <c r="C1992" t="s">
        <v>939</v>
      </c>
      <c r="D1992" t="str">
        <f t="shared" si="135"/>
        <v/>
      </c>
      <c r="E1992" t="s">
        <v>940</v>
      </c>
      <c r="F1992" t="str">
        <f t="shared" si="134"/>
        <v>7709787</v>
      </c>
      <c r="H1992">
        <v>1</v>
      </c>
    </row>
    <row r="1993" spans="1:8" hidden="1" x14ac:dyDescent="0.25">
      <c r="A1993">
        <v>16727</v>
      </c>
      <c r="B1993" t="s">
        <v>4</v>
      </c>
      <c r="C1993" t="s">
        <v>1642</v>
      </c>
      <c r="D1993" t="str">
        <f t="shared" si="135"/>
        <v/>
      </c>
      <c r="E1993" t="s">
        <v>1643</v>
      </c>
      <c r="F1993" t="str">
        <f t="shared" si="134"/>
        <v>7709017</v>
      </c>
      <c r="H1993">
        <v>1</v>
      </c>
    </row>
    <row r="1994" spans="1:8" hidden="1" x14ac:dyDescent="0.25">
      <c r="A1994">
        <v>16396</v>
      </c>
      <c r="B1994" t="s">
        <v>4</v>
      </c>
      <c r="C1994" t="s">
        <v>1454</v>
      </c>
      <c r="D1994" t="str">
        <f t="shared" si="135"/>
        <v/>
      </c>
      <c r="E1994" t="s">
        <v>1455</v>
      </c>
      <c r="F1994" t="str">
        <f t="shared" si="134"/>
        <v>7707952</v>
      </c>
      <c r="H1994">
        <v>1</v>
      </c>
    </row>
    <row r="1995" spans="1:8" hidden="1" x14ac:dyDescent="0.25">
      <c r="A1995">
        <v>19112</v>
      </c>
      <c r="B1995" t="s">
        <v>4</v>
      </c>
      <c r="C1995" t="s">
        <v>4308</v>
      </c>
      <c r="D1995" t="str">
        <f t="shared" si="135"/>
        <v/>
      </c>
      <c r="E1995" t="s">
        <v>4309</v>
      </c>
      <c r="F1995" t="str">
        <f t="shared" si="134"/>
        <v>7707519</v>
      </c>
      <c r="H1995">
        <v>2</v>
      </c>
    </row>
    <row r="1996" spans="1:8" hidden="1" x14ac:dyDescent="0.25">
      <c r="A1996">
        <v>15263</v>
      </c>
      <c r="B1996" t="s">
        <v>4</v>
      </c>
      <c r="C1996" t="s">
        <v>721</v>
      </c>
      <c r="D1996" t="str">
        <f t="shared" si="135"/>
        <v/>
      </c>
      <c r="E1996" t="s">
        <v>722</v>
      </c>
      <c r="F1996" t="str">
        <f t="shared" si="134"/>
        <v>7709517</v>
      </c>
      <c r="H1996">
        <v>1</v>
      </c>
    </row>
    <row r="1997" spans="1:8" hidden="1" x14ac:dyDescent="0.25">
      <c r="A1997">
        <v>15516</v>
      </c>
      <c r="B1997" t="s">
        <v>4</v>
      </c>
      <c r="C1997" t="s">
        <v>905</v>
      </c>
      <c r="D1997" t="str">
        <f t="shared" si="135"/>
        <v/>
      </c>
      <c r="E1997" t="s">
        <v>906</v>
      </c>
      <c r="F1997" t="str">
        <f t="shared" si="134"/>
        <v>7709101</v>
      </c>
      <c r="H1997">
        <v>1</v>
      </c>
    </row>
    <row r="1998" spans="1:8" hidden="1" x14ac:dyDescent="0.25">
      <c r="A1998">
        <v>16318</v>
      </c>
      <c r="B1998" t="s">
        <v>4</v>
      </c>
      <c r="C1998" t="s">
        <v>1418</v>
      </c>
      <c r="D1998" t="str">
        <f t="shared" si="135"/>
        <v/>
      </c>
      <c r="E1998" t="s">
        <v>1419</v>
      </c>
      <c r="F1998" t="str">
        <f t="shared" si="134"/>
        <v>7707980</v>
      </c>
      <c r="H1998">
        <v>1</v>
      </c>
    </row>
    <row r="1999" spans="1:8" ht="15" hidden="1" customHeight="1" x14ac:dyDescent="0.25">
      <c r="A1999">
        <v>15986</v>
      </c>
      <c r="B1999" t="s">
        <v>4</v>
      </c>
      <c r="C1999" t="s">
        <v>1238</v>
      </c>
      <c r="D1999" t="str">
        <f t="shared" si="135"/>
        <v/>
      </c>
      <c r="E1999" t="s">
        <v>1239</v>
      </c>
      <c r="F1999" t="str">
        <f t="shared" si="134"/>
        <v>8503045</v>
      </c>
      <c r="H1999">
        <v>3</v>
      </c>
    </row>
    <row r="2000" spans="1:8" ht="15" hidden="1" customHeight="1" x14ac:dyDescent="0.25">
      <c r="A2000">
        <v>16003</v>
      </c>
      <c r="B2000" t="s">
        <v>4</v>
      </c>
      <c r="C2000" t="s">
        <v>1246</v>
      </c>
      <c r="D2000" t="str">
        <f t="shared" si="135"/>
        <v/>
      </c>
      <c r="E2000" t="s">
        <v>1247</v>
      </c>
      <c r="F2000" t="str">
        <f t="shared" si="134"/>
        <v>8503003</v>
      </c>
      <c r="H2000">
        <v>1</v>
      </c>
    </row>
    <row r="2001" spans="1:9" ht="15" hidden="1" customHeight="1" x14ac:dyDescent="0.25">
      <c r="A2001">
        <v>15991</v>
      </c>
      <c r="B2001" t="s">
        <v>4</v>
      </c>
      <c r="C2001" t="s">
        <v>1240</v>
      </c>
      <c r="D2001" t="str">
        <f t="shared" si="135"/>
        <v/>
      </c>
      <c r="E2001" t="s">
        <v>1241</v>
      </c>
      <c r="F2001" t="str">
        <f t="shared" si="134"/>
        <v>8503310</v>
      </c>
      <c r="H2001">
        <v>1</v>
      </c>
    </row>
    <row r="2002" spans="1:9" hidden="1" x14ac:dyDescent="0.25">
      <c r="A2002">
        <v>16006</v>
      </c>
      <c r="B2002" t="s">
        <v>4</v>
      </c>
      <c r="C2002" t="s">
        <v>1248</v>
      </c>
      <c r="D2002" t="str">
        <f t="shared" si="135"/>
        <v/>
      </c>
      <c r="E2002" t="s">
        <v>1249</v>
      </c>
      <c r="F2002" t="str">
        <f t="shared" si="134"/>
        <v>8503000</v>
      </c>
      <c r="H2002">
        <v>1</v>
      </c>
    </row>
    <row r="2003" spans="1:9" hidden="1" x14ac:dyDescent="0.25">
      <c r="A2003">
        <v>16009</v>
      </c>
      <c r="B2003" t="s">
        <v>4</v>
      </c>
      <c r="C2003" t="s">
        <v>1250</v>
      </c>
      <c r="D2003" t="str">
        <f t="shared" si="135"/>
        <v/>
      </c>
      <c r="E2003" t="s">
        <v>1251</v>
      </c>
      <c r="F2003" t="str">
        <f t="shared" si="134"/>
        <v>8503012</v>
      </c>
      <c r="H2003">
        <v>1</v>
      </c>
    </row>
    <row r="2004" spans="1:9" hidden="1" x14ac:dyDescent="0.25">
      <c r="A2004">
        <v>16315</v>
      </c>
      <c r="B2004" t="s">
        <v>4</v>
      </c>
      <c r="C2004" t="s">
        <v>1416</v>
      </c>
      <c r="D2004" t="str">
        <f t="shared" si="135"/>
        <v/>
      </c>
      <c r="E2004" t="s">
        <v>1417</v>
      </c>
      <c r="F2004" t="str">
        <f t="shared" si="134"/>
        <v>7707522</v>
      </c>
      <c r="H2004">
        <v>1</v>
      </c>
    </row>
    <row r="2005" spans="1:9" x14ac:dyDescent="0.25">
      <c r="A2005">
        <v>18839</v>
      </c>
      <c r="B2005" t="s">
        <v>7</v>
      </c>
      <c r="C2005" t="s">
        <v>3997</v>
      </c>
      <c r="D2005" t="str">
        <f t="shared" si="135"/>
        <v/>
      </c>
      <c r="E2005" t="s">
        <v>3998</v>
      </c>
      <c r="F2005" t="str">
        <f t="shared" ref="F2005:F2021" si="136">LEFT(C2005,7)</f>
        <v>8705233</v>
      </c>
      <c r="H2005">
        <v>7</v>
      </c>
    </row>
    <row r="2006" spans="1:9" hidden="1" x14ac:dyDescent="0.25">
      <c r="A2006">
        <v>18848</v>
      </c>
      <c r="B2006" t="s">
        <v>10</v>
      </c>
      <c r="C2006" t="s">
        <v>4001</v>
      </c>
      <c r="D2006" t="str">
        <f t="shared" si="135"/>
        <v/>
      </c>
      <c r="E2006" t="s">
        <v>4002</v>
      </c>
      <c r="F2006" t="str">
        <f t="shared" si="136"/>
        <v>8705233</v>
      </c>
    </row>
    <row r="2007" spans="1:9" hidden="1" x14ac:dyDescent="0.25">
      <c r="A2007">
        <v>18840</v>
      </c>
      <c r="B2007" t="s">
        <v>10</v>
      </c>
      <c r="C2007" t="s">
        <v>3999</v>
      </c>
      <c r="D2007" t="str">
        <f t="shared" si="135"/>
        <v/>
      </c>
      <c r="E2007" t="s">
        <v>4000</v>
      </c>
      <c r="F2007" t="str">
        <f t="shared" si="136"/>
        <v>8705233</v>
      </c>
    </row>
    <row r="2008" spans="1:9" ht="15" hidden="1" customHeight="1" x14ac:dyDescent="0.25">
      <c r="A2008">
        <v>14642</v>
      </c>
      <c r="B2008" t="s">
        <v>4</v>
      </c>
      <c r="C2008" t="s">
        <v>19</v>
      </c>
      <c r="D2008" t="str">
        <f t="shared" si="135"/>
        <v/>
      </c>
      <c r="E2008" t="s">
        <v>20</v>
      </c>
      <c r="F2008" t="str">
        <f t="shared" si="136"/>
        <v>8703703</v>
      </c>
      <c r="H2008">
        <v>4</v>
      </c>
    </row>
    <row r="2009" spans="1:9" ht="15" hidden="1" customHeight="1" x14ac:dyDescent="0.25">
      <c r="A2009">
        <v>16669</v>
      </c>
      <c r="B2009" t="s">
        <v>4</v>
      </c>
      <c r="C2009" t="s">
        <v>1592</v>
      </c>
      <c r="D2009" t="str">
        <f t="shared" si="135"/>
        <v/>
      </c>
      <c r="E2009" t="s">
        <v>1593</v>
      </c>
      <c r="F2009" t="str">
        <f t="shared" si="136"/>
        <v>8703106</v>
      </c>
      <c r="H2009">
        <v>4</v>
      </c>
    </row>
    <row r="2010" spans="1:9" ht="15" hidden="1" customHeight="1" x14ac:dyDescent="0.25">
      <c r="A2010">
        <v>16139</v>
      </c>
      <c r="B2010" t="s">
        <v>4</v>
      </c>
      <c r="C2010" t="s">
        <v>1320</v>
      </c>
      <c r="D2010" t="str">
        <f t="shared" si="135"/>
        <v/>
      </c>
      <c r="E2010" t="s">
        <v>1321</v>
      </c>
      <c r="F2010" t="str">
        <f t="shared" si="136"/>
        <v>8703105</v>
      </c>
      <c r="H2010">
        <v>2</v>
      </c>
    </row>
    <row r="2011" spans="1:9" ht="15" hidden="1" customHeight="1" x14ac:dyDescent="0.25">
      <c r="A2011">
        <v>14646</v>
      </c>
      <c r="B2011" t="s">
        <v>4</v>
      </c>
      <c r="C2011" t="s">
        <v>21</v>
      </c>
      <c r="D2011" t="str">
        <f t="shared" si="135"/>
        <v/>
      </c>
      <c r="E2011" t="s">
        <v>22</v>
      </c>
      <c r="F2011" t="str">
        <f t="shared" si="136"/>
        <v>8703601</v>
      </c>
      <c r="H2011">
        <v>2</v>
      </c>
    </row>
    <row r="2012" spans="1:9" ht="15" hidden="1" customHeight="1" x14ac:dyDescent="0.25">
      <c r="A2012">
        <v>16321</v>
      </c>
      <c r="B2012" t="s">
        <v>4</v>
      </c>
      <c r="C2012" t="s">
        <v>1420</v>
      </c>
      <c r="D2012" t="str">
        <f t="shared" si="135"/>
        <v/>
      </c>
      <c r="E2012" t="s">
        <v>1421</v>
      </c>
      <c r="F2012" t="str">
        <f t="shared" si="136"/>
        <v>7707570</v>
      </c>
      <c r="H2012">
        <v>1</v>
      </c>
    </row>
    <row r="2013" spans="1:9" ht="15" hidden="1" customHeight="1" x14ac:dyDescent="0.25">
      <c r="A2013">
        <v>17186</v>
      </c>
      <c r="B2013" t="s">
        <v>4</v>
      </c>
      <c r="C2013" t="s">
        <v>2031</v>
      </c>
      <c r="D2013" t="str">
        <f t="shared" si="135"/>
        <v/>
      </c>
      <c r="E2013" t="s">
        <v>2032</v>
      </c>
      <c r="F2013" t="str">
        <f t="shared" si="136"/>
        <v>8520506</v>
      </c>
      <c r="H2013">
        <v>3</v>
      </c>
    </row>
    <row r="2014" spans="1:9" ht="15" customHeight="1" x14ac:dyDescent="0.25">
      <c r="A2014">
        <v>19824</v>
      </c>
      <c r="B2014" t="s">
        <v>7</v>
      </c>
      <c r="C2014" t="s">
        <v>5245</v>
      </c>
      <c r="D2014" t="str">
        <f t="shared" si="135"/>
        <v/>
      </c>
      <c r="E2014" t="s">
        <v>5246</v>
      </c>
      <c r="F2014" t="str">
        <f t="shared" si="136"/>
        <v>5101048</v>
      </c>
      <c r="H2014">
        <v>4</v>
      </c>
      <c r="I2014">
        <v>1</v>
      </c>
    </row>
    <row r="2015" spans="1:9" ht="15" hidden="1" customHeight="1" x14ac:dyDescent="0.25">
      <c r="A2015">
        <v>19833</v>
      </c>
      <c r="B2015" t="s">
        <v>10</v>
      </c>
      <c r="C2015" t="s">
        <v>5255</v>
      </c>
      <c r="D2015" t="str">
        <f t="shared" si="135"/>
        <v/>
      </c>
      <c r="E2015" t="s">
        <v>5256</v>
      </c>
      <c r="F2015" t="str">
        <f t="shared" si="136"/>
        <v>5101048</v>
      </c>
    </row>
    <row r="2016" spans="1:9" ht="15" hidden="1" customHeight="1" x14ac:dyDescent="0.25">
      <c r="A2016">
        <v>19832</v>
      </c>
      <c r="B2016" t="s">
        <v>10</v>
      </c>
      <c r="C2016" t="s">
        <v>5253</v>
      </c>
      <c r="D2016" t="str">
        <f t="shared" si="135"/>
        <v/>
      </c>
      <c r="E2016" t="s">
        <v>5254</v>
      </c>
      <c r="F2016" t="str">
        <f t="shared" si="136"/>
        <v>5101048</v>
      </c>
    </row>
    <row r="2017" spans="1:9" ht="15" hidden="1" customHeight="1" x14ac:dyDescent="0.25">
      <c r="A2017">
        <v>19831</v>
      </c>
      <c r="B2017" t="s">
        <v>10</v>
      </c>
      <c r="C2017" t="s">
        <v>5251</v>
      </c>
      <c r="D2017" t="str">
        <f t="shared" si="135"/>
        <v/>
      </c>
      <c r="E2017" t="s">
        <v>5252</v>
      </c>
      <c r="F2017" t="str">
        <f t="shared" si="136"/>
        <v>5101048</v>
      </c>
    </row>
    <row r="2018" spans="1:9" ht="15" hidden="1" customHeight="1" x14ac:dyDescent="0.25">
      <c r="A2018">
        <v>19834</v>
      </c>
      <c r="B2018" t="s">
        <v>10</v>
      </c>
      <c r="C2018" t="s">
        <v>5257</v>
      </c>
      <c r="D2018" t="str">
        <f t="shared" si="135"/>
        <v/>
      </c>
      <c r="E2018" t="s">
        <v>5258</v>
      </c>
      <c r="F2018" t="str">
        <f t="shared" si="136"/>
        <v>5101048</v>
      </c>
    </row>
    <row r="2019" spans="1:9" ht="15" hidden="1" customHeight="1" x14ac:dyDescent="0.25">
      <c r="A2019">
        <v>19830</v>
      </c>
      <c r="B2019" t="s">
        <v>10</v>
      </c>
      <c r="C2019" t="s">
        <v>5249</v>
      </c>
      <c r="D2019" t="str">
        <f t="shared" si="135"/>
        <v/>
      </c>
      <c r="E2019" t="s">
        <v>5250</v>
      </c>
      <c r="F2019" t="str">
        <f t="shared" si="136"/>
        <v>5101048</v>
      </c>
    </row>
    <row r="2020" spans="1:9" ht="15" hidden="1" customHeight="1" x14ac:dyDescent="0.25">
      <c r="A2020">
        <v>19835</v>
      </c>
      <c r="B2020" t="s">
        <v>10</v>
      </c>
      <c r="C2020" t="s">
        <v>5259</v>
      </c>
      <c r="D2020" t="str">
        <f t="shared" si="135"/>
        <v/>
      </c>
      <c r="E2020" t="s">
        <v>5260</v>
      </c>
      <c r="F2020" t="str">
        <f t="shared" si="136"/>
        <v>5101048</v>
      </c>
    </row>
    <row r="2021" spans="1:9" ht="15" hidden="1" customHeight="1" x14ac:dyDescent="0.25">
      <c r="A2021">
        <v>19825</v>
      </c>
      <c r="B2021" t="s">
        <v>10</v>
      </c>
      <c r="C2021" t="s">
        <v>5247</v>
      </c>
      <c r="D2021" t="str">
        <f t="shared" si="135"/>
        <v/>
      </c>
      <c r="E2021" t="s">
        <v>5248</v>
      </c>
      <c r="F2021" t="str">
        <f t="shared" si="136"/>
        <v>5101048</v>
      </c>
    </row>
    <row r="2022" spans="1:9" ht="15" customHeight="1" x14ac:dyDescent="0.25">
      <c r="A2022">
        <v>19848</v>
      </c>
      <c r="B2022" t="s">
        <v>7</v>
      </c>
      <c r="C2022" t="s">
        <v>5277</v>
      </c>
      <c r="D2022" t="str">
        <f t="shared" si="135"/>
        <v/>
      </c>
      <c r="E2022" t="s">
        <v>5278</v>
      </c>
      <c r="F2022" t="s">
        <v>6916</v>
      </c>
      <c r="H2022">
        <v>4</v>
      </c>
      <c r="I2022">
        <v>1</v>
      </c>
    </row>
    <row r="2023" spans="1:9" ht="15" hidden="1" customHeight="1" x14ac:dyDescent="0.25">
      <c r="A2023">
        <v>19849</v>
      </c>
      <c r="B2023" t="s">
        <v>10</v>
      </c>
      <c r="C2023" t="s">
        <v>5279</v>
      </c>
      <c r="D2023" t="str">
        <f t="shared" si="135"/>
        <v/>
      </c>
      <c r="E2023" t="s">
        <v>5280</v>
      </c>
      <c r="F2023" t="str">
        <f t="shared" ref="F2023:F2033" si="137">LEFT(C2023,7)</f>
        <v>5101049</v>
      </c>
    </row>
    <row r="2024" spans="1:9" ht="15" hidden="1" customHeight="1" x14ac:dyDescent="0.25">
      <c r="A2024">
        <v>19850</v>
      </c>
      <c r="B2024" t="s">
        <v>10</v>
      </c>
      <c r="C2024" t="s">
        <v>5281</v>
      </c>
      <c r="D2024" t="str">
        <f t="shared" si="135"/>
        <v/>
      </c>
      <c r="E2024" t="s">
        <v>5282</v>
      </c>
      <c r="F2024" t="str">
        <f t="shared" si="137"/>
        <v>5101049</v>
      </c>
    </row>
    <row r="2025" spans="1:9" ht="15" hidden="1" customHeight="1" x14ac:dyDescent="0.25">
      <c r="A2025">
        <v>19851</v>
      </c>
      <c r="B2025" t="s">
        <v>10</v>
      </c>
      <c r="C2025" t="s">
        <v>5283</v>
      </c>
      <c r="D2025" t="str">
        <f t="shared" si="135"/>
        <v/>
      </c>
      <c r="E2025" t="s">
        <v>5284</v>
      </c>
      <c r="F2025" t="str">
        <f t="shared" si="137"/>
        <v>5101049</v>
      </c>
    </row>
    <row r="2026" spans="1:9" ht="15" customHeight="1" x14ac:dyDescent="0.25">
      <c r="A2026">
        <v>19836</v>
      </c>
      <c r="B2026" t="s">
        <v>7</v>
      </c>
      <c r="C2026" t="s">
        <v>5261</v>
      </c>
      <c r="D2026" t="str">
        <f t="shared" si="135"/>
        <v/>
      </c>
      <c r="E2026" t="s">
        <v>5262</v>
      </c>
      <c r="F2026" t="str">
        <f t="shared" si="137"/>
        <v>5101052</v>
      </c>
      <c r="H2026">
        <v>4</v>
      </c>
      <c r="I2026">
        <v>1</v>
      </c>
    </row>
    <row r="2027" spans="1:9" ht="15" hidden="1" customHeight="1" x14ac:dyDescent="0.25">
      <c r="A2027">
        <v>19845</v>
      </c>
      <c r="B2027" t="s">
        <v>10</v>
      </c>
      <c r="C2027" t="s">
        <v>5271</v>
      </c>
      <c r="D2027" t="str">
        <f t="shared" si="135"/>
        <v/>
      </c>
      <c r="E2027" t="s">
        <v>5272</v>
      </c>
      <c r="F2027" t="str">
        <f t="shared" si="137"/>
        <v>5101052</v>
      </c>
    </row>
    <row r="2028" spans="1:9" ht="15" hidden="1" customHeight="1" x14ac:dyDescent="0.25">
      <c r="A2028">
        <v>19844</v>
      </c>
      <c r="B2028" t="s">
        <v>10</v>
      </c>
      <c r="C2028" t="s">
        <v>5269</v>
      </c>
      <c r="D2028" t="str">
        <f t="shared" si="135"/>
        <v/>
      </c>
      <c r="E2028" t="s">
        <v>5270</v>
      </c>
      <c r="F2028" t="str">
        <f t="shared" si="137"/>
        <v>5101052</v>
      </c>
    </row>
    <row r="2029" spans="1:9" ht="15" hidden="1" customHeight="1" x14ac:dyDescent="0.25">
      <c r="A2029">
        <v>19843</v>
      </c>
      <c r="B2029" t="s">
        <v>10</v>
      </c>
      <c r="C2029" t="s">
        <v>5267</v>
      </c>
      <c r="D2029" t="str">
        <f t="shared" si="135"/>
        <v/>
      </c>
      <c r="E2029" t="s">
        <v>5268</v>
      </c>
      <c r="F2029" t="str">
        <f t="shared" si="137"/>
        <v>5101052</v>
      </c>
    </row>
    <row r="2030" spans="1:9" ht="15" hidden="1" customHeight="1" x14ac:dyDescent="0.25">
      <c r="A2030">
        <v>19846</v>
      </c>
      <c r="B2030" t="s">
        <v>10</v>
      </c>
      <c r="C2030" t="s">
        <v>5273</v>
      </c>
      <c r="D2030" t="str">
        <f t="shared" si="135"/>
        <v/>
      </c>
      <c r="E2030" t="s">
        <v>5274</v>
      </c>
      <c r="F2030" t="str">
        <f t="shared" si="137"/>
        <v>5101052</v>
      </c>
    </row>
    <row r="2031" spans="1:9" ht="15" hidden="1" customHeight="1" x14ac:dyDescent="0.25">
      <c r="A2031">
        <v>19842</v>
      </c>
      <c r="B2031" t="s">
        <v>10</v>
      </c>
      <c r="C2031" t="s">
        <v>5265</v>
      </c>
      <c r="D2031" t="str">
        <f t="shared" si="135"/>
        <v/>
      </c>
      <c r="E2031" t="s">
        <v>5266</v>
      </c>
      <c r="F2031" t="str">
        <f t="shared" si="137"/>
        <v>5101052</v>
      </c>
    </row>
    <row r="2032" spans="1:9" ht="15" hidden="1" customHeight="1" x14ac:dyDescent="0.25">
      <c r="A2032">
        <v>19847</v>
      </c>
      <c r="B2032" t="s">
        <v>10</v>
      </c>
      <c r="C2032" t="s">
        <v>5275</v>
      </c>
      <c r="D2032" t="str">
        <f t="shared" si="135"/>
        <v/>
      </c>
      <c r="E2032" t="s">
        <v>5276</v>
      </c>
      <c r="F2032" t="str">
        <f t="shared" si="137"/>
        <v>5101052</v>
      </c>
    </row>
    <row r="2033" spans="1:9" ht="15" hidden="1" customHeight="1" x14ac:dyDescent="0.25">
      <c r="A2033">
        <v>19837</v>
      </c>
      <c r="B2033" t="s">
        <v>10</v>
      </c>
      <c r="C2033" t="s">
        <v>5263</v>
      </c>
      <c r="D2033" t="str">
        <f t="shared" si="135"/>
        <v/>
      </c>
      <c r="E2033" t="s">
        <v>5264</v>
      </c>
      <c r="F2033" t="str">
        <f t="shared" si="137"/>
        <v>5101052</v>
      </c>
    </row>
    <row r="2034" spans="1:9" ht="15" customHeight="1" x14ac:dyDescent="0.25">
      <c r="A2034">
        <v>19852</v>
      </c>
      <c r="B2034" t="s">
        <v>7</v>
      </c>
      <c r="C2034" t="s">
        <v>5285</v>
      </c>
      <c r="D2034" t="str">
        <f t="shared" si="135"/>
        <v/>
      </c>
      <c r="E2034" t="s">
        <v>5286</v>
      </c>
      <c r="F2034" t="s">
        <v>6917</v>
      </c>
      <c r="H2034">
        <v>4</v>
      </c>
      <c r="I2034">
        <v>1</v>
      </c>
    </row>
    <row r="2035" spans="1:9" ht="15" hidden="1" customHeight="1" x14ac:dyDescent="0.25">
      <c r="A2035">
        <v>19853</v>
      </c>
      <c r="B2035" t="s">
        <v>10</v>
      </c>
      <c r="C2035" t="s">
        <v>5287</v>
      </c>
      <c r="D2035" t="str">
        <f t="shared" si="135"/>
        <v/>
      </c>
      <c r="E2035" t="s">
        <v>5288</v>
      </c>
      <c r="F2035" t="str">
        <f t="shared" ref="F2035:F2045" si="138">LEFT(C2035,7)</f>
        <v>5101053</v>
      </c>
    </row>
    <row r="2036" spans="1:9" ht="15" hidden="1" customHeight="1" x14ac:dyDescent="0.25">
      <c r="A2036">
        <v>19854</v>
      </c>
      <c r="B2036" t="s">
        <v>10</v>
      </c>
      <c r="C2036" t="s">
        <v>5289</v>
      </c>
      <c r="D2036" t="str">
        <f t="shared" si="135"/>
        <v/>
      </c>
      <c r="E2036" t="s">
        <v>5290</v>
      </c>
      <c r="F2036" t="str">
        <f t="shared" si="138"/>
        <v>5101053</v>
      </c>
    </row>
    <row r="2037" spans="1:9" ht="15" hidden="1" customHeight="1" x14ac:dyDescent="0.25">
      <c r="A2037">
        <v>19855</v>
      </c>
      <c r="B2037" t="s">
        <v>10</v>
      </c>
      <c r="C2037" t="s">
        <v>5291</v>
      </c>
      <c r="D2037" t="str">
        <f t="shared" si="135"/>
        <v/>
      </c>
      <c r="E2037" t="s">
        <v>5292</v>
      </c>
      <c r="F2037" t="str">
        <f t="shared" si="138"/>
        <v>5101053</v>
      </c>
    </row>
    <row r="2038" spans="1:9" ht="15" customHeight="1" x14ac:dyDescent="0.25">
      <c r="A2038">
        <v>14946</v>
      </c>
      <c r="B2038" t="s">
        <v>7</v>
      </c>
      <c r="C2038" t="s">
        <v>343</v>
      </c>
      <c r="D2038" t="str">
        <f t="shared" si="135"/>
        <v/>
      </c>
      <c r="E2038" t="s">
        <v>344</v>
      </c>
      <c r="F2038" t="str">
        <f t="shared" si="138"/>
        <v>5101204</v>
      </c>
      <c r="H2038">
        <v>4</v>
      </c>
      <c r="I2038">
        <v>1</v>
      </c>
    </row>
    <row r="2039" spans="1:9" ht="15" hidden="1" customHeight="1" x14ac:dyDescent="0.25">
      <c r="A2039">
        <v>14953</v>
      </c>
      <c r="B2039" t="s">
        <v>10</v>
      </c>
      <c r="C2039" t="s">
        <v>349</v>
      </c>
      <c r="D2039" t="str">
        <f t="shared" si="135"/>
        <v/>
      </c>
      <c r="E2039" t="s">
        <v>350</v>
      </c>
      <c r="F2039" t="str">
        <f t="shared" si="138"/>
        <v>5101204</v>
      </c>
    </row>
    <row r="2040" spans="1:9" ht="15" hidden="1" customHeight="1" x14ac:dyDescent="0.25">
      <c r="A2040">
        <v>14965</v>
      </c>
      <c r="B2040" t="s">
        <v>10</v>
      </c>
      <c r="C2040" t="s">
        <v>357</v>
      </c>
      <c r="D2040" t="str">
        <f t="shared" si="135"/>
        <v/>
      </c>
      <c r="E2040" t="s">
        <v>358</v>
      </c>
      <c r="F2040" t="str">
        <f t="shared" si="138"/>
        <v>5101204</v>
      </c>
    </row>
    <row r="2041" spans="1:9" ht="15" hidden="1" customHeight="1" x14ac:dyDescent="0.25">
      <c r="A2041">
        <v>14964</v>
      </c>
      <c r="B2041" t="s">
        <v>10</v>
      </c>
      <c r="C2041" t="s">
        <v>355</v>
      </c>
      <c r="D2041" t="str">
        <f t="shared" si="135"/>
        <v/>
      </c>
      <c r="E2041" t="s">
        <v>356</v>
      </c>
      <c r="F2041" t="str">
        <f t="shared" si="138"/>
        <v>5101204</v>
      </c>
    </row>
    <row r="2042" spans="1:9" ht="15" hidden="1" customHeight="1" x14ac:dyDescent="0.25">
      <c r="A2042">
        <v>14947</v>
      </c>
      <c r="B2042" t="s">
        <v>10</v>
      </c>
      <c r="C2042" t="s">
        <v>345</v>
      </c>
      <c r="D2042" t="str">
        <f t="shared" si="135"/>
        <v/>
      </c>
      <c r="E2042" t="s">
        <v>346</v>
      </c>
      <c r="F2042" t="str">
        <f t="shared" si="138"/>
        <v>5101204</v>
      </c>
    </row>
    <row r="2043" spans="1:9" ht="15" hidden="1" customHeight="1" x14ac:dyDescent="0.25">
      <c r="A2043">
        <v>14963</v>
      </c>
      <c r="B2043" t="s">
        <v>10</v>
      </c>
      <c r="C2043" t="s">
        <v>353</v>
      </c>
      <c r="D2043" t="str">
        <f t="shared" si="135"/>
        <v/>
      </c>
      <c r="E2043" t="s">
        <v>354</v>
      </c>
      <c r="F2043" t="str">
        <f t="shared" si="138"/>
        <v>5101204</v>
      </c>
    </row>
    <row r="2044" spans="1:9" ht="15" hidden="1" customHeight="1" x14ac:dyDescent="0.25">
      <c r="A2044">
        <v>14952</v>
      </c>
      <c r="B2044" t="s">
        <v>10</v>
      </c>
      <c r="C2044" t="s">
        <v>347</v>
      </c>
      <c r="D2044" t="str">
        <f t="shared" si="135"/>
        <v/>
      </c>
      <c r="E2044" t="s">
        <v>348</v>
      </c>
      <c r="F2044" t="str">
        <f t="shared" si="138"/>
        <v>5101204</v>
      </c>
    </row>
    <row r="2045" spans="1:9" ht="15" hidden="1" customHeight="1" x14ac:dyDescent="0.25">
      <c r="A2045">
        <v>14958</v>
      </c>
      <c r="B2045" t="s">
        <v>10</v>
      </c>
      <c r="C2045" t="s">
        <v>351</v>
      </c>
      <c r="D2045" t="str">
        <f t="shared" si="135"/>
        <v/>
      </c>
      <c r="E2045" t="s">
        <v>352</v>
      </c>
      <c r="F2045" t="str">
        <f t="shared" si="138"/>
        <v>5101204</v>
      </c>
    </row>
    <row r="2046" spans="1:9" ht="15" customHeight="1" x14ac:dyDescent="0.25">
      <c r="A2046">
        <v>19474</v>
      </c>
      <c r="B2046" t="s">
        <v>7</v>
      </c>
      <c r="C2046" t="s">
        <v>4761</v>
      </c>
      <c r="D2046" t="str">
        <f t="shared" si="135"/>
        <v/>
      </c>
      <c r="E2046" t="s">
        <v>4762</v>
      </c>
      <c r="F2046" t="s">
        <v>6918</v>
      </c>
      <c r="H2046">
        <v>4</v>
      </c>
      <c r="I2046">
        <v>1</v>
      </c>
    </row>
    <row r="2047" spans="1:9" ht="15" hidden="1" customHeight="1" x14ac:dyDescent="0.25">
      <c r="A2047">
        <v>19475</v>
      </c>
      <c r="B2047" t="s">
        <v>10</v>
      </c>
      <c r="C2047" t="s">
        <v>4763</v>
      </c>
      <c r="D2047" t="str">
        <f t="shared" si="135"/>
        <v/>
      </c>
      <c r="E2047" t="s">
        <v>4764</v>
      </c>
      <c r="F2047" t="str">
        <f t="shared" ref="F2047:F2057" si="139">LEFT(C2047,7)</f>
        <v>5101205</v>
      </c>
    </row>
    <row r="2048" spans="1:9" ht="15" hidden="1" customHeight="1" x14ac:dyDescent="0.25">
      <c r="A2048">
        <v>19476</v>
      </c>
      <c r="B2048" t="s">
        <v>10</v>
      </c>
      <c r="C2048" t="s">
        <v>4765</v>
      </c>
      <c r="D2048" t="str">
        <f t="shared" si="135"/>
        <v/>
      </c>
      <c r="E2048" t="s">
        <v>4766</v>
      </c>
      <c r="F2048" t="str">
        <f t="shared" si="139"/>
        <v>5101205</v>
      </c>
    </row>
    <row r="2049" spans="1:9" ht="15" hidden="1" customHeight="1" x14ac:dyDescent="0.25">
      <c r="A2049">
        <v>19477</v>
      </c>
      <c r="B2049" t="s">
        <v>10</v>
      </c>
      <c r="C2049" t="s">
        <v>4767</v>
      </c>
      <c r="D2049" t="str">
        <f t="shared" si="135"/>
        <v/>
      </c>
      <c r="E2049" t="s">
        <v>4768</v>
      </c>
      <c r="F2049" t="str">
        <f t="shared" si="139"/>
        <v>5101205</v>
      </c>
    </row>
    <row r="2050" spans="1:9" ht="15" customHeight="1" x14ac:dyDescent="0.25">
      <c r="A2050">
        <v>19222</v>
      </c>
      <c r="B2050" t="s">
        <v>7</v>
      </c>
      <c r="C2050" t="s">
        <v>4452</v>
      </c>
      <c r="D2050" t="str">
        <f t="shared" si="135"/>
        <v/>
      </c>
      <c r="E2050" t="s">
        <v>4453</v>
      </c>
      <c r="F2050" t="str">
        <f t="shared" si="139"/>
        <v>5101046</v>
      </c>
      <c r="H2050">
        <v>5</v>
      </c>
      <c r="I2050">
        <v>1</v>
      </c>
    </row>
    <row r="2051" spans="1:9" ht="15" hidden="1" customHeight="1" x14ac:dyDescent="0.25">
      <c r="A2051">
        <v>19231</v>
      </c>
      <c r="B2051" t="s">
        <v>10</v>
      </c>
      <c r="C2051" t="s">
        <v>4462</v>
      </c>
      <c r="D2051" t="str">
        <f t="shared" si="135"/>
        <v/>
      </c>
      <c r="E2051" t="s">
        <v>4463</v>
      </c>
      <c r="F2051" t="str">
        <f t="shared" si="139"/>
        <v>5101046</v>
      </c>
    </row>
    <row r="2052" spans="1:9" ht="15" hidden="1" customHeight="1" x14ac:dyDescent="0.25">
      <c r="A2052">
        <v>19230</v>
      </c>
      <c r="B2052" t="s">
        <v>10</v>
      </c>
      <c r="C2052" t="s">
        <v>4460</v>
      </c>
      <c r="D2052" t="str">
        <f t="shared" si="135"/>
        <v/>
      </c>
      <c r="E2052" t="s">
        <v>4461</v>
      </c>
      <c r="F2052" t="str">
        <f t="shared" si="139"/>
        <v>5101046</v>
      </c>
    </row>
    <row r="2053" spans="1:9" ht="15" hidden="1" customHeight="1" x14ac:dyDescent="0.25">
      <c r="A2053">
        <v>19229</v>
      </c>
      <c r="B2053" t="s">
        <v>10</v>
      </c>
      <c r="C2053" t="s">
        <v>4458</v>
      </c>
      <c r="D2053" t="str">
        <f t="shared" si="135"/>
        <v/>
      </c>
      <c r="E2053" t="s">
        <v>4459</v>
      </c>
      <c r="F2053" t="str">
        <f t="shared" si="139"/>
        <v>5101046</v>
      </c>
    </row>
    <row r="2054" spans="1:9" ht="15" hidden="1" customHeight="1" x14ac:dyDescent="0.25">
      <c r="A2054">
        <v>19232</v>
      </c>
      <c r="B2054" t="s">
        <v>10</v>
      </c>
      <c r="C2054" t="s">
        <v>4464</v>
      </c>
      <c r="D2054" t="str">
        <f t="shared" si="135"/>
        <v/>
      </c>
      <c r="E2054" t="s">
        <v>4465</v>
      </c>
      <c r="F2054" t="str">
        <f t="shared" si="139"/>
        <v>5101046</v>
      </c>
    </row>
    <row r="2055" spans="1:9" ht="15" hidden="1" customHeight="1" x14ac:dyDescent="0.25">
      <c r="A2055">
        <v>19228</v>
      </c>
      <c r="B2055" t="s">
        <v>10</v>
      </c>
      <c r="C2055" t="s">
        <v>4456</v>
      </c>
      <c r="D2055" t="str">
        <f t="shared" ref="D2055:D2118" si="140">IF(RIGHT(LEFT(C2055,9),2)="##","",RIGHT(LEFT(C2055,10),2))</f>
        <v/>
      </c>
      <c r="E2055" t="s">
        <v>4457</v>
      </c>
      <c r="F2055" t="str">
        <f t="shared" si="139"/>
        <v>5101046</v>
      </c>
    </row>
    <row r="2056" spans="1:9" ht="15" hidden="1" customHeight="1" x14ac:dyDescent="0.25">
      <c r="A2056">
        <v>19233</v>
      </c>
      <c r="B2056" t="s">
        <v>10</v>
      </c>
      <c r="C2056" t="s">
        <v>4466</v>
      </c>
      <c r="D2056" t="str">
        <f t="shared" si="140"/>
        <v/>
      </c>
      <c r="E2056" t="s">
        <v>4467</v>
      </c>
      <c r="F2056" t="str">
        <f t="shared" si="139"/>
        <v>5101046</v>
      </c>
    </row>
    <row r="2057" spans="1:9" ht="15" hidden="1" customHeight="1" x14ac:dyDescent="0.25">
      <c r="A2057">
        <v>19223</v>
      </c>
      <c r="B2057" t="s">
        <v>10</v>
      </c>
      <c r="C2057" t="s">
        <v>4454</v>
      </c>
      <c r="D2057" t="str">
        <f t="shared" si="140"/>
        <v/>
      </c>
      <c r="E2057" t="s">
        <v>4455</v>
      </c>
      <c r="F2057" t="str">
        <f t="shared" si="139"/>
        <v>5101046</v>
      </c>
    </row>
    <row r="2058" spans="1:9" ht="15" customHeight="1" x14ac:dyDescent="0.25">
      <c r="A2058">
        <v>19452</v>
      </c>
      <c r="B2058" t="s">
        <v>7</v>
      </c>
      <c r="C2058" t="s">
        <v>4735</v>
      </c>
      <c r="D2058" t="str">
        <f t="shared" si="140"/>
        <v/>
      </c>
      <c r="E2058" t="s">
        <v>4736</v>
      </c>
      <c r="F2058" t="s">
        <v>6994</v>
      </c>
      <c r="H2058">
        <v>5</v>
      </c>
      <c r="I2058">
        <v>1</v>
      </c>
    </row>
    <row r="2059" spans="1:9" ht="15" customHeight="1" x14ac:dyDescent="0.25">
      <c r="A2059">
        <v>21036</v>
      </c>
      <c r="B2059" t="s">
        <v>7</v>
      </c>
      <c r="C2059" t="s">
        <v>6433</v>
      </c>
      <c r="D2059" t="str">
        <f t="shared" si="140"/>
        <v/>
      </c>
      <c r="E2059" t="s">
        <v>6434</v>
      </c>
      <c r="F2059" t="str">
        <f t="shared" ref="F2059:F2088" si="141">LEFT(C2059,7)</f>
        <v>5101495</v>
      </c>
      <c r="H2059">
        <v>3</v>
      </c>
      <c r="I2059">
        <v>1</v>
      </c>
    </row>
    <row r="2060" spans="1:9" ht="15" hidden="1" customHeight="1" x14ac:dyDescent="0.25">
      <c r="A2060">
        <v>21047</v>
      </c>
      <c r="B2060" t="s">
        <v>10</v>
      </c>
      <c r="C2060" t="s">
        <v>6449</v>
      </c>
      <c r="D2060" t="str">
        <f t="shared" si="140"/>
        <v/>
      </c>
      <c r="E2060" t="s">
        <v>6450</v>
      </c>
      <c r="F2060" t="str">
        <f t="shared" si="141"/>
        <v>5101495</v>
      </c>
    </row>
    <row r="2061" spans="1:9" ht="15" hidden="1" customHeight="1" x14ac:dyDescent="0.25">
      <c r="A2061">
        <v>21044</v>
      </c>
      <c r="B2061" t="s">
        <v>10</v>
      </c>
      <c r="C2061" t="s">
        <v>6443</v>
      </c>
      <c r="D2061" t="str">
        <f t="shared" si="140"/>
        <v/>
      </c>
      <c r="E2061" t="s">
        <v>6444</v>
      </c>
      <c r="F2061" t="str">
        <f t="shared" si="141"/>
        <v>5101495</v>
      </c>
    </row>
    <row r="2062" spans="1:9" ht="15" hidden="1" customHeight="1" x14ac:dyDescent="0.25">
      <c r="A2062">
        <v>21043</v>
      </c>
      <c r="B2062" t="s">
        <v>10</v>
      </c>
      <c r="C2062" t="s">
        <v>6441</v>
      </c>
      <c r="D2062" t="str">
        <f t="shared" si="140"/>
        <v/>
      </c>
      <c r="E2062" t="s">
        <v>6442</v>
      </c>
      <c r="F2062" t="str">
        <f t="shared" si="141"/>
        <v>5101495</v>
      </c>
    </row>
    <row r="2063" spans="1:9" ht="15" hidden="1" customHeight="1" x14ac:dyDescent="0.25">
      <c r="A2063">
        <v>21042</v>
      </c>
      <c r="B2063" t="s">
        <v>10</v>
      </c>
      <c r="C2063" t="s">
        <v>6439</v>
      </c>
      <c r="D2063" t="str">
        <f t="shared" si="140"/>
        <v/>
      </c>
      <c r="E2063" t="s">
        <v>6440</v>
      </c>
      <c r="F2063" t="str">
        <f t="shared" si="141"/>
        <v>5101495</v>
      </c>
    </row>
    <row r="2064" spans="1:9" ht="15" hidden="1" customHeight="1" x14ac:dyDescent="0.25">
      <c r="A2064">
        <v>21045</v>
      </c>
      <c r="B2064" t="s">
        <v>10</v>
      </c>
      <c r="C2064" t="s">
        <v>6445</v>
      </c>
      <c r="D2064" t="str">
        <f t="shared" si="140"/>
        <v/>
      </c>
      <c r="E2064" t="s">
        <v>6446</v>
      </c>
      <c r="F2064" t="str">
        <f t="shared" si="141"/>
        <v>5101495</v>
      </c>
    </row>
    <row r="2065" spans="1:9" ht="15" hidden="1" customHeight="1" x14ac:dyDescent="0.25">
      <c r="A2065">
        <v>21041</v>
      </c>
      <c r="B2065" t="s">
        <v>10</v>
      </c>
      <c r="C2065" t="s">
        <v>6437</v>
      </c>
      <c r="D2065" t="str">
        <f t="shared" si="140"/>
        <v/>
      </c>
      <c r="E2065" t="s">
        <v>6438</v>
      </c>
      <c r="F2065" t="str">
        <f t="shared" si="141"/>
        <v>5101495</v>
      </c>
    </row>
    <row r="2066" spans="1:9" ht="15" hidden="1" customHeight="1" x14ac:dyDescent="0.25">
      <c r="A2066">
        <v>21046</v>
      </c>
      <c r="B2066" t="s">
        <v>10</v>
      </c>
      <c r="C2066" t="s">
        <v>6447</v>
      </c>
      <c r="D2066" t="str">
        <f t="shared" si="140"/>
        <v/>
      </c>
      <c r="E2066" t="s">
        <v>6448</v>
      </c>
      <c r="F2066" t="str">
        <f t="shared" si="141"/>
        <v>5101495</v>
      </c>
    </row>
    <row r="2067" spans="1:9" ht="15" hidden="1" customHeight="1" x14ac:dyDescent="0.25">
      <c r="A2067">
        <v>21037</v>
      </c>
      <c r="B2067" t="s">
        <v>10</v>
      </c>
      <c r="C2067" t="s">
        <v>6435</v>
      </c>
      <c r="D2067" t="str">
        <f t="shared" si="140"/>
        <v/>
      </c>
      <c r="E2067" t="s">
        <v>6436</v>
      </c>
      <c r="F2067" t="str">
        <f t="shared" si="141"/>
        <v>5101495</v>
      </c>
    </row>
    <row r="2068" spans="1:9" ht="15" customHeight="1" x14ac:dyDescent="0.25">
      <c r="A2068">
        <v>21064</v>
      </c>
      <c r="B2068" t="s">
        <v>7</v>
      </c>
      <c r="C2068" t="s">
        <v>6475</v>
      </c>
      <c r="D2068" t="str">
        <f t="shared" si="140"/>
        <v/>
      </c>
      <c r="E2068" t="s">
        <v>6476</v>
      </c>
      <c r="F2068" t="str">
        <f t="shared" si="141"/>
        <v>5101050</v>
      </c>
      <c r="H2068">
        <v>3</v>
      </c>
      <c r="I2068">
        <v>1</v>
      </c>
    </row>
    <row r="2069" spans="1:9" ht="15" hidden="1" customHeight="1" x14ac:dyDescent="0.25">
      <c r="A2069">
        <v>21075</v>
      </c>
      <c r="B2069" t="s">
        <v>10</v>
      </c>
      <c r="C2069" t="s">
        <v>6491</v>
      </c>
      <c r="D2069" t="str">
        <f t="shared" si="140"/>
        <v/>
      </c>
      <c r="E2069" t="s">
        <v>6492</v>
      </c>
      <c r="F2069" t="str">
        <f t="shared" si="141"/>
        <v>5101050</v>
      </c>
    </row>
    <row r="2070" spans="1:9" ht="15" hidden="1" customHeight="1" x14ac:dyDescent="0.25">
      <c r="A2070">
        <v>21072</v>
      </c>
      <c r="B2070" t="s">
        <v>10</v>
      </c>
      <c r="C2070" t="s">
        <v>6485</v>
      </c>
      <c r="D2070" t="str">
        <f t="shared" si="140"/>
        <v/>
      </c>
      <c r="E2070" t="s">
        <v>6486</v>
      </c>
      <c r="F2070" t="str">
        <f t="shared" si="141"/>
        <v>5101050</v>
      </c>
    </row>
    <row r="2071" spans="1:9" ht="15" hidden="1" customHeight="1" x14ac:dyDescent="0.25">
      <c r="A2071">
        <v>21071</v>
      </c>
      <c r="B2071" t="s">
        <v>10</v>
      </c>
      <c r="C2071" t="s">
        <v>6483</v>
      </c>
      <c r="D2071" t="str">
        <f t="shared" si="140"/>
        <v/>
      </c>
      <c r="E2071" t="s">
        <v>6484</v>
      </c>
      <c r="F2071" t="str">
        <f t="shared" si="141"/>
        <v>5101050</v>
      </c>
    </row>
    <row r="2072" spans="1:9" ht="15" hidden="1" customHeight="1" x14ac:dyDescent="0.25">
      <c r="A2072">
        <v>21070</v>
      </c>
      <c r="B2072" t="s">
        <v>10</v>
      </c>
      <c r="C2072" t="s">
        <v>6481</v>
      </c>
      <c r="D2072" t="str">
        <f t="shared" si="140"/>
        <v/>
      </c>
      <c r="E2072" t="s">
        <v>6482</v>
      </c>
      <c r="F2072" t="str">
        <f t="shared" si="141"/>
        <v>5101050</v>
      </c>
    </row>
    <row r="2073" spans="1:9" ht="15" hidden="1" customHeight="1" x14ac:dyDescent="0.25">
      <c r="A2073">
        <v>21073</v>
      </c>
      <c r="B2073" t="s">
        <v>10</v>
      </c>
      <c r="C2073" t="s">
        <v>6487</v>
      </c>
      <c r="D2073" t="str">
        <f t="shared" si="140"/>
        <v/>
      </c>
      <c r="E2073" t="s">
        <v>6488</v>
      </c>
      <c r="F2073" t="str">
        <f t="shared" si="141"/>
        <v>5101050</v>
      </c>
    </row>
    <row r="2074" spans="1:9" ht="15" hidden="1" customHeight="1" x14ac:dyDescent="0.25">
      <c r="A2074">
        <v>21069</v>
      </c>
      <c r="B2074" t="s">
        <v>10</v>
      </c>
      <c r="C2074" t="s">
        <v>6479</v>
      </c>
      <c r="D2074" t="str">
        <f t="shared" si="140"/>
        <v/>
      </c>
      <c r="E2074" t="s">
        <v>6480</v>
      </c>
      <c r="F2074" t="str">
        <f t="shared" si="141"/>
        <v>5101050</v>
      </c>
    </row>
    <row r="2075" spans="1:9" ht="15" hidden="1" customHeight="1" x14ac:dyDescent="0.25">
      <c r="A2075">
        <v>21074</v>
      </c>
      <c r="B2075" t="s">
        <v>10</v>
      </c>
      <c r="C2075" t="s">
        <v>6489</v>
      </c>
      <c r="D2075" t="str">
        <f t="shared" si="140"/>
        <v/>
      </c>
      <c r="E2075" t="s">
        <v>6490</v>
      </c>
      <c r="F2075" t="str">
        <f t="shared" si="141"/>
        <v>5101050</v>
      </c>
    </row>
    <row r="2076" spans="1:9" ht="15" hidden="1" customHeight="1" x14ac:dyDescent="0.25">
      <c r="A2076">
        <v>21065</v>
      </c>
      <c r="B2076" t="s">
        <v>10</v>
      </c>
      <c r="C2076" t="s">
        <v>6477</v>
      </c>
      <c r="D2076" t="str">
        <f t="shared" si="140"/>
        <v/>
      </c>
      <c r="E2076" t="s">
        <v>6478</v>
      </c>
      <c r="F2076" t="str">
        <f t="shared" si="141"/>
        <v>5101050</v>
      </c>
    </row>
    <row r="2077" spans="1:9" ht="15" customHeight="1" x14ac:dyDescent="0.25">
      <c r="A2077">
        <v>19523</v>
      </c>
      <c r="B2077" t="s">
        <v>7</v>
      </c>
      <c r="C2077" t="s">
        <v>4835</v>
      </c>
      <c r="D2077" t="str">
        <f t="shared" si="140"/>
        <v/>
      </c>
      <c r="E2077" t="s">
        <v>4836</v>
      </c>
      <c r="F2077" t="str">
        <f t="shared" si="141"/>
        <v>5101230</v>
      </c>
      <c r="H2077">
        <v>6</v>
      </c>
      <c r="I2077">
        <v>1</v>
      </c>
    </row>
    <row r="2078" spans="1:9" ht="15" hidden="1" customHeight="1" x14ac:dyDescent="0.25">
      <c r="A2078">
        <v>19532</v>
      </c>
      <c r="B2078" t="s">
        <v>10</v>
      </c>
      <c r="C2078" t="s">
        <v>4841</v>
      </c>
      <c r="D2078" t="str">
        <f t="shared" si="140"/>
        <v/>
      </c>
      <c r="E2078" t="s">
        <v>4842</v>
      </c>
      <c r="F2078" t="str">
        <f t="shared" si="141"/>
        <v>5101230</v>
      </c>
    </row>
    <row r="2079" spans="1:9" ht="15" hidden="1" customHeight="1" x14ac:dyDescent="0.25">
      <c r="A2079">
        <v>19531</v>
      </c>
      <c r="B2079" t="s">
        <v>10</v>
      </c>
      <c r="C2079" t="s">
        <v>4839</v>
      </c>
      <c r="D2079" t="str">
        <f t="shared" si="140"/>
        <v/>
      </c>
      <c r="E2079" t="s">
        <v>4840</v>
      </c>
      <c r="F2079" t="str">
        <f t="shared" si="141"/>
        <v>5101230</v>
      </c>
    </row>
    <row r="2080" spans="1:9" ht="15" hidden="1" customHeight="1" x14ac:dyDescent="0.25">
      <c r="A2080">
        <v>19524</v>
      </c>
      <c r="B2080" t="s">
        <v>10</v>
      </c>
      <c r="C2080" t="s">
        <v>4837</v>
      </c>
      <c r="D2080" t="str">
        <f t="shared" si="140"/>
        <v/>
      </c>
      <c r="E2080" t="s">
        <v>4838</v>
      </c>
      <c r="F2080" t="str">
        <f t="shared" si="141"/>
        <v>5101230</v>
      </c>
    </row>
    <row r="2081" spans="1:9" ht="15" customHeight="1" x14ac:dyDescent="0.25">
      <c r="A2081">
        <v>14921</v>
      </c>
      <c r="B2081" t="s">
        <v>7</v>
      </c>
      <c r="C2081" t="s">
        <v>311</v>
      </c>
      <c r="D2081" t="str">
        <f t="shared" si="140"/>
        <v/>
      </c>
      <c r="E2081" t="s">
        <v>312</v>
      </c>
      <c r="F2081" t="str">
        <f t="shared" si="141"/>
        <v>5101500</v>
      </c>
      <c r="H2081">
        <v>4</v>
      </c>
      <c r="I2081">
        <v>1</v>
      </c>
    </row>
    <row r="2082" spans="1:9" ht="15" hidden="1" customHeight="1" x14ac:dyDescent="0.25">
      <c r="A2082">
        <v>14931</v>
      </c>
      <c r="B2082" t="s">
        <v>10</v>
      </c>
      <c r="C2082" t="s">
        <v>321</v>
      </c>
      <c r="D2082" t="str">
        <f t="shared" si="140"/>
        <v/>
      </c>
      <c r="E2082" t="s">
        <v>322</v>
      </c>
      <c r="F2082" t="str">
        <f t="shared" si="141"/>
        <v>5101500</v>
      </c>
    </row>
    <row r="2083" spans="1:9" ht="15" hidden="1" customHeight="1" x14ac:dyDescent="0.25">
      <c r="A2083">
        <v>14930</v>
      </c>
      <c r="B2083" t="s">
        <v>10</v>
      </c>
      <c r="C2083" t="s">
        <v>319</v>
      </c>
      <c r="D2083" t="str">
        <f t="shared" si="140"/>
        <v/>
      </c>
      <c r="E2083" t="s">
        <v>320</v>
      </c>
      <c r="F2083" t="str">
        <f t="shared" si="141"/>
        <v>5101500</v>
      </c>
    </row>
    <row r="2084" spans="1:9" ht="15" hidden="1" customHeight="1" x14ac:dyDescent="0.25">
      <c r="A2084">
        <v>14929</v>
      </c>
      <c r="B2084" t="s">
        <v>10</v>
      </c>
      <c r="C2084" t="s">
        <v>317</v>
      </c>
      <c r="D2084" t="str">
        <f t="shared" si="140"/>
        <v/>
      </c>
      <c r="E2084" t="s">
        <v>318</v>
      </c>
      <c r="F2084" t="str">
        <f t="shared" si="141"/>
        <v>5101500</v>
      </c>
    </row>
    <row r="2085" spans="1:9" ht="15" hidden="1" customHeight="1" x14ac:dyDescent="0.25">
      <c r="A2085">
        <v>14932</v>
      </c>
      <c r="B2085" t="s">
        <v>10</v>
      </c>
      <c r="C2085" t="s">
        <v>323</v>
      </c>
      <c r="D2085" t="str">
        <f t="shared" si="140"/>
        <v/>
      </c>
      <c r="E2085" t="s">
        <v>324</v>
      </c>
      <c r="F2085" t="str">
        <f t="shared" si="141"/>
        <v>5101500</v>
      </c>
    </row>
    <row r="2086" spans="1:9" ht="15" hidden="1" customHeight="1" x14ac:dyDescent="0.25">
      <c r="A2086">
        <v>14928</v>
      </c>
      <c r="B2086" t="s">
        <v>10</v>
      </c>
      <c r="C2086" t="s">
        <v>315</v>
      </c>
      <c r="D2086" t="str">
        <f t="shared" si="140"/>
        <v/>
      </c>
      <c r="E2086" t="s">
        <v>316</v>
      </c>
      <c r="F2086" t="str">
        <f t="shared" si="141"/>
        <v>5101500</v>
      </c>
    </row>
    <row r="2087" spans="1:9" ht="15" hidden="1" customHeight="1" x14ac:dyDescent="0.25">
      <c r="A2087">
        <v>14933</v>
      </c>
      <c r="B2087" t="s">
        <v>10</v>
      </c>
      <c r="C2087" t="s">
        <v>325</v>
      </c>
      <c r="D2087" t="str">
        <f t="shared" si="140"/>
        <v/>
      </c>
      <c r="E2087" t="s">
        <v>326</v>
      </c>
      <c r="F2087" t="str">
        <f t="shared" si="141"/>
        <v>5101500</v>
      </c>
    </row>
    <row r="2088" spans="1:9" ht="15" hidden="1" customHeight="1" x14ac:dyDescent="0.25">
      <c r="A2088">
        <v>14922</v>
      </c>
      <c r="B2088" t="s">
        <v>10</v>
      </c>
      <c r="C2088" t="s">
        <v>313</v>
      </c>
      <c r="D2088" t="str">
        <f t="shared" si="140"/>
        <v/>
      </c>
      <c r="E2088" t="s">
        <v>314</v>
      </c>
      <c r="F2088" t="str">
        <f t="shared" si="141"/>
        <v>5101500</v>
      </c>
    </row>
    <row r="2089" spans="1:9" ht="15" customHeight="1" x14ac:dyDescent="0.25">
      <c r="A2089">
        <v>19470</v>
      </c>
      <c r="B2089" t="s">
        <v>7</v>
      </c>
      <c r="C2089" t="s">
        <v>4757</v>
      </c>
      <c r="D2089" t="str">
        <f t="shared" si="140"/>
        <v/>
      </c>
      <c r="E2089" t="s">
        <v>4758</v>
      </c>
      <c r="F2089" t="s">
        <v>6995</v>
      </c>
      <c r="H2089">
        <v>4</v>
      </c>
      <c r="I2089">
        <v>1</v>
      </c>
    </row>
    <row r="2090" spans="1:9" ht="15" customHeight="1" x14ac:dyDescent="0.25">
      <c r="A2090">
        <v>14934</v>
      </c>
      <c r="B2090" t="s">
        <v>7</v>
      </c>
      <c r="C2090" t="s">
        <v>327</v>
      </c>
      <c r="D2090" t="str">
        <f t="shared" si="140"/>
        <v/>
      </c>
      <c r="E2090" t="s">
        <v>328</v>
      </c>
      <c r="F2090" t="str">
        <f t="shared" ref="F2090:F2097" si="142">LEFT(C2090,7)</f>
        <v>5101033</v>
      </c>
      <c r="H2090">
        <v>4</v>
      </c>
      <c r="I2090">
        <v>1</v>
      </c>
    </row>
    <row r="2091" spans="1:9" ht="15" hidden="1" customHeight="1" x14ac:dyDescent="0.25">
      <c r="A2091">
        <v>14943</v>
      </c>
      <c r="B2091" t="s">
        <v>10</v>
      </c>
      <c r="C2091" t="s">
        <v>337</v>
      </c>
      <c r="D2091" t="str">
        <f t="shared" si="140"/>
        <v/>
      </c>
      <c r="E2091" t="s">
        <v>338</v>
      </c>
      <c r="F2091" t="str">
        <f t="shared" si="142"/>
        <v>5101033</v>
      </c>
    </row>
    <row r="2092" spans="1:9" hidden="1" x14ac:dyDescent="0.25">
      <c r="A2092">
        <v>14942</v>
      </c>
      <c r="B2092" t="s">
        <v>10</v>
      </c>
      <c r="C2092" t="s">
        <v>335</v>
      </c>
      <c r="D2092" t="str">
        <f t="shared" si="140"/>
        <v/>
      </c>
      <c r="E2092" t="s">
        <v>336</v>
      </c>
      <c r="F2092" t="str">
        <f t="shared" si="142"/>
        <v>5101033</v>
      </c>
    </row>
    <row r="2093" spans="1:9" ht="15" hidden="1" customHeight="1" x14ac:dyDescent="0.25">
      <c r="A2093">
        <v>14941</v>
      </c>
      <c r="B2093" t="s">
        <v>10</v>
      </c>
      <c r="C2093" t="s">
        <v>333</v>
      </c>
      <c r="D2093" t="str">
        <f t="shared" si="140"/>
        <v/>
      </c>
      <c r="E2093" t="s">
        <v>334</v>
      </c>
      <c r="F2093" t="str">
        <f t="shared" si="142"/>
        <v>5101033</v>
      </c>
    </row>
    <row r="2094" spans="1:9" ht="15" hidden="1" customHeight="1" x14ac:dyDescent="0.25">
      <c r="A2094">
        <v>14944</v>
      </c>
      <c r="B2094" t="s">
        <v>10</v>
      </c>
      <c r="C2094" t="s">
        <v>339</v>
      </c>
      <c r="D2094" t="str">
        <f t="shared" si="140"/>
        <v/>
      </c>
      <c r="E2094" t="s">
        <v>340</v>
      </c>
      <c r="F2094" t="str">
        <f t="shared" si="142"/>
        <v>5101033</v>
      </c>
    </row>
    <row r="2095" spans="1:9" ht="15" hidden="1" customHeight="1" x14ac:dyDescent="0.25">
      <c r="A2095">
        <v>14940</v>
      </c>
      <c r="B2095" t="s">
        <v>10</v>
      </c>
      <c r="C2095" t="s">
        <v>331</v>
      </c>
      <c r="D2095" t="str">
        <f t="shared" si="140"/>
        <v/>
      </c>
      <c r="E2095" t="s">
        <v>332</v>
      </c>
      <c r="F2095" t="str">
        <f t="shared" si="142"/>
        <v>5101033</v>
      </c>
    </row>
    <row r="2096" spans="1:9" ht="15" hidden="1" customHeight="1" x14ac:dyDescent="0.25">
      <c r="A2096">
        <v>14945</v>
      </c>
      <c r="B2096" t="s">
        <v>10</v>
      </c>
      <c r="C2096" t="s">
        <v>341</v>
      </c>
      <c r="D2096" t="str">
        <f t="shared" si="140"/>
        <v/>
      </c>
      <c r="E2096" t="s">
        <v>342</v>
      </c>
      <c r="F2096" t="str">
        <f t="shared" si="142"/>
        <v>5101033</v>
      </c>
    </row>
    <row r="2097" spans="1:9" ht="15" hidden="1" customHeight="1" x14ac:dyDescent="0.25">
      <c r="A2097">
        <v>14935</v>
      </c>
      <c r="B2097" t="s">
        <v>10</v>
      </c>
      <c r="C2097" t="s">
        <v>329</v>
      </c>
      <c r="D2097" t="str">
        <f t="shared" si="140"/>
        <v/>
      </c>
      <c r="E2097" t="s">
        <v>330</v>
      </c>
      <c r="F2097" t="str">
        <f t="shared" si="142"/>
        <v>5101033</v>
      </c>
    </row>
    <row r="2098" spans="1:9" ht="15" customHeight="1" x14ac:dyDescent="0.25">
      <c r="A2098">
        <v>19472</v>
      </c>
      <c r="B2098" t="s">
        <v>7</v>
      </c>
      <c r="C2098" t="s">
        <v>4759</v>
      </c>
      <c r="D2098" t="str">
        <f t="shared" si="140"/>
        <v/>
      </c>
      <c r="E2098" t="s">
        <v>4760</v>
      </c>
      <c r="F2098" t="s">
        <v>6979</v>
      </c>
      <c r="H2098">
        <v>4</v>
      </c>
      <c r="I2098">
        <v>1</v>
      </c>
    </row>
    <row r="2099" spans="1:9" ht="15" customHeight="1" x14ac:dyDescent="0.25">
      <c r="A2099">
        <v>14966</v>
      </c>
      <c r="B2099" t="s">
        <v>7</v>
      </c>
      <c r="C2099" t="s">
        <v>359</v>
      </c>
      <c r="D2099" t="str">
        <f t="shared" si="140"/>
        <v/>
      </c>
      <c r="E2099" t="s">
        <v>360</v>
      </c>
      <c r="F2099" t="str">
        <f t="shared" ref="F2099:F2107" si="143">LEFT(C2099,7)</f>
        <v>5101852</v>
      </c>
      <c r="H2099">
        <v>4</v>
      </c>
      <c r="I2099">
        <v>1</v>
      </c>
    </row>
    <row r="2100" spans="1:9" ht="15" hidden="1" customHeight="1" x14ac:dyDescent="0.25">
      <c r="A2100">
        <v>14980</v>
      </c>
      <c r="B2100" t="s">
        <v>10</v>
      </c>
      <c r="C2100" t="s">
        <v>375</v>
      </c>
      <c r="D2100" t="str">
        <f t="shared" si="140"/>
        <v/>
      </c>
      <c r="E2100" t="s">
        <v>376</v>
      </c>
      <c r="F2100" t="str">
        <f t="shared" si="143"/>
        <v>5101852</v>
      </c>
    </row>
    <row r="2101" spans="1:9" ht="15" hidden="1" customHeight="1" x14ac:dyDescent="0.25">
      <c r="A2101">
        <v>14968</v>
      </c>
      <c r="B2101" t="s">
        <v>10</v>
      </c>
      <c r="C2101" t="s">
        <v>363</v>
      </c>
      <c r="D2101" t="str">
        <f t="shared" si="140"/>
        <v/>
      </c>
      <c r="E2101" t="s">
        <v>364</v>
      </c>
      <c r="F2101" t="str">
        <f t="shared" si="143"/>
        <v>5101852</v>
      </c>
    </row>
    <row r="2102" spans="1:9" ht="15" hidden="1" customHeight="1" x14ac:dyDescent="0.25">
      <c r="A2102">
        <v>14979</v>
      </c>
      <c r="B2102" t="s">
        <v>10</v>
      </c>
      <c r="C2102" t="s">
        <v>373</v>
      </c>
      <c r="D2102" t="str">
        <f t="shared" si="140"/>
        <v/>
      </c>
      <c r="E2102" t="s">
        <v>374</v>
      </c>
      <c r="F2102" t="str">
        <f t="shared" si="143"/>
        <v>5101852</v>
      </c>
    </row>
    <row r="2103" spans="1:9" ht="15" hidden="1" customHeight="1" x14ac:dyDescent="0.25">
      <c r="A2103">
        <v>14978</v>
      </c>
      <c r="B2103" t="s">
        <v>10</v>
      </c>
      <c r="C2103" t="s">
        <v>371</v>
      </c>
      <c r="D2103" t="str">
        <f t="shared" si="140"/>
        <v/>
      </c>
      <c r="E2103" t="s">
        <v>372</v>
      </c>
      <c r="F2103" t="str">
        <f t="shared" si="143"/>
        <v>5101852</v>
      </c>
    </row>
    <row r="2104" spans="1:9" ht="15" hidden="1" customHeight="1" x14ac:dyDescent="0.25">
      <c r="A2104">
        <v>14972</v>
      </c>
      <c r="B2104" t="s">
        <v>10</v>
      </c>
      <c r="C2104" t="s">
        <v>365</v>
      </c>
      <c r="D2104" t="str">
        <f t="shared" si="140"/>
        <v/>
      </c>
      <c r="E2104" t="s">
        <v>366</v>
      </c>
      <c r="F2104" t="str">
        <f t="shared" si="143"/>
        <v>5101852</v>
      </c>
    </row>
    <row r="2105" spans="1:9" ht="15" hidden="1" customHeight="1" x14ac:dyDescent="0.25">
      <c r="A2105">
        <v>14974</v>
      </c>
      <c r="B2105" t="s">
        <v>10</v>
      </c>
      <c r="C2105" t="s">
        <v>369</v>
      </c>
      <c r="D2105" t="str">
        <f t="shared" si="140"/>
        <v/>
      </c>
      <c r="E2105" t="s">
        <v>370</v>
      </c>
      <c r="F2105" t="str">
        <f t="shared" si="143"/>
        <v>5101852</v>
      </c>
    </row>
    <row r="2106" spans="1:9" ht="15" hidden="1" customHeight="1" x14ac:dyDescent="0.25">
      <c r="A2106">
        <v>14973</v>
      </c>
      <c r="B2106" t="s">
        <v>10</v>
      </c>
      <c r="C2106" t="s">
        <v>367</v>
      </c>
      <c r="D2106" t="str">
        <f t="shared" si="140"/>
        <v/>
      </c>
      <c r="E2106" t="s">
        <v>368</v>
      </c>
      <c r="F2106" t="str">
        <f t="shared" si="143"/>
        <v>5101852</v>
      </c>
    </row>
    <row r="2107" spans="1:9" ht="15" hidden="1" customHeight="1" x14ac:dyDescent="0.25">
      <c r="A2107">
        <v>14967</v>
      </c>
      <c r="B2107" t="s">
        <v>10</v>
      </c>
      <c r="C2107" t="s">
        <v>361</v>
      </c>
      <c r="D2107" t="str">
        <f t="shared" si="140"/>
        <v/>
      </c>
      <c r="E2107" t="s">
        <v>362</v>
      </c>
      <c r="F2107" t="str">
        <f t="shared" si="143"/>
        <v>5101852</v>
      </c>
    </row>
    <row r="2108" spans="1:9" ht="15" customHeight="1" x14ac:dyDescent="0.25">
      <c r="A2108">
        <v>17161</v>
      </c>
      <c r="B2108" t="s">
        <v>7</v>
      </c>
      <c r="C2108" t="s">
        <v>2001</v>
      </c>
      <c r="D2108" t="str">
        <f t="shared" si="140"/>
        <v/>
      </c>
      <c r="E2108" t="s">
        <v>2002</v>
      </c>
      <c r="F2108" t="s">
        <v>6952</v>
      </c>
      <c r="H2108">
        <v>4</v>
      </c>
      <c r="I2108">
        <v>1</v>
      </c>
    </row>
    <row r="2109" spans="1:9" ht="15" hidden="1" customHeight="1" x14ac:dyDescent="0.25">
      <c r="A2109">
        <v>17162</v>
      </c>
      <c r="B2109" t="s">
        <v>10</v>
      </c>
      <c r="C2109" t="s">
        <v>2003</v>
      </c>
      <c r="D2109" t="str">
        <f t="shared" si="140"/>
        <v/>
      </c>
      <c r="E2109" t="s">
        <v>2004</v>
      </c>
      <c r="F2109" t="str">
        <f t="shared" ref="F2109:F2118" si="144">LEFT(C2109,7)</f>
        <v>5101853</v>
      </c>
    </row>
    <row r="2110" spans="1:9" ht="15" hidden="1" customHeight="1" x14ac:dyDescent="0.25">
      <c r="A2110">
        <v>17168</v>
      </c>
      <c r="B2110" t="s">
        <v>10</v>
      </c>
      <c r="C2110" t="s">
        <v>2005</v>
      </c>
      <c r="D2110" t="str">
        <f t="shared" si="140"/>
        <v/>
      </c>
      <c r="E2110" t="s">
        <v>2006</v>
      </c>
      <c r="F2110" t="str">
        <f t="shared" si="144"/>
        <v>5101853</v>
      </c>
    </row>
    <row r="2111" spans="1:9" ht="15" hidden="1" customHeight="1" x14ac:dyDescent="0.25">
      <c r="A2111">
        <v>17169</v>
      </c>
      <c r="B2111" t="s">
        <v>10</v>
      </c>
      <c r="C2111" t="s">
        <v>2007</v>
      </c>
      <c r="D2111" t="str">
        <f t="shared" si="140"/>
        <v/>
      </c>
      <c r="E2111" t="s">
        <v>2008</v>
      </c>
      <c r="F2111" t="str">
        <f t="shared" si="144"/>
        <v>5101853</v>
      </c>
    </row>
    <row r="2112" spans="1:9" ht="15" customHeight="1" x14ac:dyDescent="0.25">
      <c r="A2112">
        <v>19335</v>
      </c>
      <c r="B2112" t="s">
        <v>7</v>
      </c>
      <c r="C2112" t="s">
        <v>4611</v>
      </c>
      <c r="D2112" t="str">
        <f t="shared" si="140"/>
        <v/>
      </c>
      <c r="E2112" t="s">
        <v>4612</v>
      </c>
      <c r="F2112" t="str">
        <f t="shared" si="144"/>
        <v>5101140</v>
      </c>
      <c r="H2112">
        <v>4</v>
      </c>
      <c r="I2112">
        <v>1</v>
      </c>
    </row>
    <row r="2113" spans="1:9" hidden="1" x14ac:dyDescent="0.25">
      <c r="A2113">
        <v>19343</v>
      </c>
      <c r="B2113" t="s">
        <v>10</v>
      </c>
      <c r="C2113" t="s">
        <v>4619</v>
      </c>
      <c r="D2113" t="str">
        <f t="shared" si="140"/>
        <v/>
      </c>
      <c r="E2113" t="s">
        <v>4620</v>
      </c>
      <c r="F2113" t="str">
        <f t="shared" si="144"/>
        <v>5101140</v>
      </c>
    </row>
    <row r="2114" spans="1:9" ht="15" hidden="1" customHeight="1" x14ac:dyDescent="0.25">
      <c r="A2114">
        <v>19342</v>
      </c>
      <c r="B2114" t="s">
        <v>10</v>
      </c>
      <c r="C2114" t="s">
        <v>4617</v>
      </c>
      <c r="D2114" t="str">
        <f t="shared" si="140"/>
        <v/>
      </c>
      <c r="E2114" t="s">
        <v>4618</v>
      </c>
      <c r="F2114" t="str">
        <f t="shared" si="144"/>
        <v>5101140</v>
      </c>
    </row>
    <row r="2115" spans="1:9" ht="15" hidden="1" customHeight="1" x14ac:dyDescent="0.25">
      <c r="A2115">
        <v>19341</v>
      </c>
      <c r="B2115" t="s">
        <v>10</v>
      </c>
      <c r="C2115" t="s">
        <v>4615</v>
      </c>
      <c r="D2115" t="str">
        <f t="shared" si="140"/>
        <v/>
      </c>
      <c r="E2115" t="s">
        <v>4616</v>
      </c>
      <c r="F2115" t="str">
        <f t="shared" si="144"/>
        <v>5101140</v>
      </c>
    </row>
    <row r="2116" spans="1:9" ht="15" hidden="1" customHeight="1" x14ac:dyDescent="0.25">
      <c r="A2116">
        <v>19344</v>
      </c>
      <c r="B2116" t="s">
        <v>10</v>
      </c>
      <c r="C2116" t="s">
        <v>4621</v>
      </c>
      <c r="D2116" t="str">
        <f t="shared" si="140"/>
        <v/>
      </c>
      <c r="E2116" t="s">
        <v>4622</v>
      </c>
      <c r="F2116" t="str">
        <f t="shared" si="144"/>
        <v>5101140</v>
      </c>
    </row>
    <row r="2117" spans="1:9" ht="15" hidden="1" customHeight="1" x14ac:dyDescent="0.25">
      <c r="A2117">
        <v>19336</v>
      </c>
      <c r="B2117" t="s">
        <v>10</v>
      </c>
      <c r="C2117" t="s">
        <v>4613</v>
      </c>
      <c r="D2117" t="str">
        <f t="shared" si="140"/>
        <v/>
      </c>
      <c r="E2117" t="s">
        <v>4614</v>
      </c>
      <c r="F2117" t="str">
        <f t="shared" si="144"/>
        <v>5101140</v>
      </c>
    </row>
    <row r="2118" spans="1:9" ht="15" hidden="1" customHeight="1" x14ac:dyDescent="0.25">
      <c r="A2118">
        <v>19345</v>
      </c>
      <c r="B2118" t="s">
        <v>10</v>
      </c>
      <c r="C2118" t="s">
        <v>4623</v>
      </c>
      <c r="D2118" t="str">
        <f t="shared" si="140"/>
        <v/>
      </c>
      <c r="E2118" t="s">
        <v>4624</v>
      </c>
      <c r="F2118" t="str">
        <f t="shared" si="144"/>
        <v>5101140</v>
      </c>
    </row>
    <row r="2119" spans="1:9" ht="15" customHeight="1" x14ac:dyDescent="0.25">
      <c r="A2119">
        <v>19450</v>
      </c>
      <c r="B2119" t="s">
        <v>7</v>
      </c>
      <c r="C2119" t="s">
        <v>4733</v>
      </c>
      <c r="D2119" t="str">
        <f t="shared" ref="D2119:D2182" si="145">IF(RIGHT(LEFT(C2119,9),2)="##","",RIGHT(LEFT(C2119,10),2))</f>
        <v/>
      </c>
      <c r="E2119" t="s">
        <v>4734</v>
      </c>
      <c r="F2119" t="s">
        <v>6980</v>
      </c>
      <c r="H2119">
        <v>4</v>
      </c>
      <c r="I2119">
        <v>1</v>
      </c>
    </row>
    <row r="2120" spans="1:9" ht="15" customHeight="1" x14ac:dyDescent="0.25">
      <c r="A2120">
        <v>19491</v>
      </c>
      <c r="B2120" t="s">
        <v>7</v>
      </c>
      <c r="C2120" t="s">
        <v>4787</v>
      </c>
      <c r="D2120" t="str">
        <f t="shared" si="145"/>
        <v/>
      </c>
      <c r="E2120" t="s">
        <v>4788</v>
      </c>
      <c r="F2120" t="str">
        <f t="shared" ref="F2120:F2127" si="146">LEFT(C2120,7)</f>
        <v>5101006</v>
      </c>
      <c r="H2120">
        <v>4</v>
      </c>
      <c r="I2120">
        <v>1</v>
      </c>
    </row>
    <row r="2121" spans="1:9" ht="15" hidden="1" customHeight="1" x14ac:dyDescent="0.25">
      <c r="A2121">
        <v>19500</v>
      </c>
      <c r="B2121" t="s">
        <v>10</v>
      </c>
      <c r="C2121" t="s">
        <v>4797</v>
      </c>
      <c r="D2121" t="str">
        <f t="shared" si="145"/>
        <v/>
      </c>
      <c r="E2121" t="s">
        <v>4798</v>
      </c>
      <c r="F2121" t="str">
        <f t="shared" si="146"/>
        <v>5101006</v>
      </c>
    </row>
    <row r="2122" spans="1:9" ht="15" hidden="1" customHeight="1" x14ac:dyDescent="0.25">
      <c r="A2122">
        <v>19499</v>
      </c>
      <c r="B2122" t="s">
        <v>10</v>
      </c>
      <c r="C2122" t="s">
        <v>4795</v>
      </c>
      <c r="D2122" t="str">
        <f t="shared" si="145"/>
        <v/>
      </c>
      <c r="E2122" t="s">
        <v>4796</v>
      </c>
      <c r="F2122" t="str">
        <f t="shared" si="146"/>
        <v>5101006</v>
      </c>
    </row>
    <row r="2123" spans="1:9" ht="15" hidden="1" customHeight="1" x14ac:dyDescent="0.25">
      <c r="A2123">
        <v>19498</v>
      </c>
      <c r="B2123" t="s">
        <v>10</v>
      </c>
      <c r="C2123" t="s">
        <v>4793</v>
      </c>
      <c r="D2123" t="str">
        <f t="shared" si="145"/>
        <v/>
      </c>
      <c r="E2123" t="s">
        <v>4794</v>
      </c>
      <c r="F2123" t="str">
        <f t="shared" si="146"/>
        <v>5101006</v>
      </c>
    </row>
    <row r="2124" spans="1:9" ht="15" hidden="1" customHeight="1" x14ac:dyDescent="0.25">
      <c r="A2124">
        <v>19501</v>
      </c>
      <c r="B2124" t="s">
        <v>10</v>
      </c>
      <c r="C2124" t="s">
        <v>4799</v>
      </c>
      <c r="D2124" t="str">
        <f t="shared" si="145"/>
        <v/>
      </c>
      <c r="E2124" t="s">
        <v>4800</v>
      </c>
      <c r="F2124" t="str">
        <f t="shared" si="146"/>
        <v>5101006</v>
      </c>
    </row>
    <row r="2125" spans="1:9" ht="15" hidden="1" customHeight="1" x14ac:dyDescent="0.25">
      <c r="A2125">
        <v>19497</v>
      </c>
      <c r="B2125" t="s">
        <v>10</v>
      </c>
      <c r="C2125" t="s">
        <v>4791</v>
      </c>
      <c r="D2125" t="str">
        <f t="shared" si="145"/>
        <v/>
      </c>
      <c r="E2125" t="s">
        <v>4792</v>
      </c>
      <c r="F2125" t="str">
        <f t="shared" si="146"/>
        <v>5101006</v>
      </c>
    </row>
    <row r="2126" spans="1:9" ht="15" hidden="1" customHeight="1" x14ac:dyDescent="0.25">
      <c r="A2126">
        <v>19502</v>
      </c>
      <c r="B2126" t="s">
        <v>10</v>
      </c>
      <c r="C2126" t="s">
        <v>4801</v>
      </c>
      <c r="D2126" t="str">
        <f t="shared" si="145"/>
        <v/>
      </c>
      <c r="E2126" t="s">
        <v>4802</v>
      </c>
      <c r="F2126" t="str">
        <f t="shared" si="146"/>
        <v>5101006</v>
      </c>
    </row>
    <row r="2127" spans="1:9" ht="15" hidden="1" customHeight="1" x14ac:dyDescent="0.25">
      <c r="A2127">
        <v>19492</v>
      </c>
      <c r="B2127" t="s">
        <v>10</v>
      </c>
      <c r="C2127" t="s">
        <v>4789</v>
      </c>
      <c r="D2127" t="str">
        <f t="shared" si="145"/>
        <v/>
      </c>
      <c r="E2127" t="s">
        <v>4790</v>
      </c>
      <c r="F2127" t="str">
        <f t="shared" si="146"/>
        <v>5101006</v>
      </c>
    </row>
    <row r="2128" spans="1:9" ht="15" customHeight="1" x14ac:dyDescent="0.25">
      <c r="A2128">
        <v>19503</v>
      </c>
      <c r="B2128" t="s">
        <v>7</v>
      </c>
      <c r="C2128" t="s">
        <v>4803</v>
      </c>
      <c r="D2128" t="str">
        <f t="shared" si="145"/>
        <v/>
      </c>
      <c r="E2128" t="s">
        <v>4804</v>
      </c>
      <c r="F2128" t="s">
        <v>6919</v>
      </c>
      <c r="H2128">
        <v>4</v>
      </c>
      <c r="I2128">
        <v>1</v>
      </c>
    </row>
    <row r="2129" spans="1:9" ht="15" hidden="1" customHeight="1" x14ac:dyDescent="0.25">
      <c r="A2129">
        <v>19504</v>
      </c>
      <c r="B2129" t="s">
        <v>10</v>
      </c>
      <c r="C2129" t="s">
        <v>4805</v>
      </c>
      <c r="D2129" t="str">
        <f t="shared" si="145"/>
        <v/>
      </c>
      <c r="E2129" t="s">
        <v>4806</v>
      </c>
      <c r="F2129" t="str">
        <f t="shared" ref="F2129:F2139" si="147">LEFT(C2129,7)</f>
        <v>5101007</v>
      </c>
    </row>
    <row r="2130" spans="1:9" ht="15" hidden="1" customHeight="1" x14ac:dyDescent="0.25">
      <c r="A2130">
        <v>19505</v>
      </c>
      <c r="B2130" t="s">
        <v>10</v>
      </c>
      <c r="C2130" t="s">
        <v>4807</v>
      </c>
      <c r="D2130" t="str">
        <f t="shared" si="145"/>
        <v/>
      </c>
      <c r="E2130" t="s">
        <v>4808</v>
      </c>
      <c r="F2130" t="str">
        <f t="shared" si="147"/>
        <v>5101007</v>
      </c>
    </row>
    <row r="2131" spans="1:9" ht="15" hidden="1" customHeight="1" x14ac:dyDescent="0.25">
      <c r="A2131">
        <v>19506</v>
      </c>
      <c r="B2131" t="s">
        <v>10</v>
      </c>
      <c r="C2131" t="s">
        <v>4809</v>
      </c>
      <c r="D2131" t="str">
        <f t="shared" si="145"/>
        <v/>
      </c>
      <c r="E2131" t="s">
        <v>4810</v>
      </c>
      <c r="F2131" t="str">
        <f t="shared" si="147"/>
        <v>5101007</v>
      </c>
    </row>
    <row r="2132" spans="1:9" ht="15" customHeight="1" x14ac:dyDescent="0.25">
      <c r="A2132">
        <v>19507</v>
      </c>
      <c r="B2132" t="s">
        <v>7</v>
      </c>
      <c r="C2132" t="s">
        <v>4811</v>
      </c>
      <c r="D2132" t="str">
        <f t="shared" si="145"/>
        <v/>
      </c>
      <c r="E2132" t="s">
        <v>4812</v>
      </c>
      <c r="F2132" t="str">
        <f t="shared" si="147"/>
        <v>5101886</v>
      </c>
      <c r="H2132">
        <v>4</v>
      </c>
      <c r="I2132">
        <v>1</v>
      </c>
    </row>
    <row r="2133" spans="1:9" ht="15" hidden="1" customHeight="1" x14ac:dyDescent="0.25">
      <c r="A2133">
        <v>19516</v>
      </c>
      <c r="B2133" t="s">
        <v>10</v>
      </c>
      <c r="C2133" t="s">
        <v>4821</v>
      </c>
      <c r="D2133" t="str">
        <f t="shared" si="145"/>
        <v/>
      </c>
      <c r="E2133" t="s">
        <v>4822</v>
      </c>
      <c r="F2133" t="str">
        <f t="shared" si="147"/>
        <v>5101886</v>
      </c>
    </row>
    <row r="2134" spans="1:9" ht="15" hidden="1" customHeight="1" x14ac:dyDescent="0.25">
      <c r="A2134">
        <v>19515</v>
      </c>
      <c r="B2134" t="s">
        <v>10</v>
      </c>
      <c r="C2134" t="s">
        <v>4819</v>
      </c>
      <c r="D2134" t="str">
        <f t="shared" si="145"/>
        <v/>
      </c>
      <c r="E2134" t="s">
        <v>4820</v>
      </c>
      <c r="F2134" t="str">
        <f t="shared" si="147"/>
        <v>5101886</v>
      </c>
    </row>
    <row r="2135" spans="1:9" ht="15" hidden="1" customHeight="1" x14ac:dyDescent="0.25">
      <c r="A2135">
        <v>19514</v>
      </c>
      <c r="B2135" t="s">
        <v>10</v>
      </c>
      <c r="C2135" t="s">
        <v>4817</v>
      </c>
      <c r="D2135" t="str">
        <f t="shared" si="145"/>
        <v/>
      </c>
      <c r="E2135" t="s">
        <v>4818</v>
      </c>
      <c r="F2135" t="str">
        <f t="shared" si="147"/>
        <v>5101886</v>
      </c>
    </row>
    <row r="2136" spans="1:9" ht="15" hidden="1" customHeight="1" x14ac:dyDescent="0.25">
      <c r="A2136">
        <v>19517</v>
      </c>
      <c r="B2136" t="s">
        <v>10</v>
      </c>
      <c r="C2136" t="s">
        <v>4823</v>
      </c>
      <c r="D2136" t="str">
        <f t="shared" si="145"/>
        <v/>
      </c>
      <c r="E2136" t="s">
        <v>4824</v>
      </c>
      <c r="F2136" t="str">
        <f t="shared" si="147"/>
        <v>5101886</v>
      </c>
    </row>
    <row r="2137" spans="1:9" ht="15" hidden="1" customHeight="1" x14ac:dyDescent="0.25">
      <c r="A2137">
        <v>19513</v>
      </c>
      <c r="B2137" t="s">
        <v>10</v>
      </c>
      <c r="C2137" t="s">
        <v>4815</v>
      </c>
      <c r="D2137" t="str">
        <f t="shared" si="145"/>
        <v/>
      </c>
      <c r="E2137" t="s">
        <v>4816</v>
      </c>
      <c r="F2137" t="str">
        <f t="shared" si="147"/>
        <v>5101886</v>
      </c>
    </row>
    <row r="2138" spans="1:9" ht="15" hidden="1" customHeight="1" x14ac:dyDescent="0.25">
      <c r="A2138">
        <v>19518</v>
      </c>
      <c r="B2138" t="s">
        <v>10</v>
      </c>
      <c r="C2138" t="s">
        <v>4825</v>
      </c>
      <c r="D2138" t="str">
        <f t="shared" si="145"/>
        <v/>
      </c>
      <c r="E2138" t="s">
        <v>4826</v>
      </c>
      <c r="F2138" t="str">
        <f t="shared" si="147"/>
        <v>5101886</v>
      </c>
    </row>
    <row r="2139" spans="1:9" ht="15" hidden="1" customHeight="1" x14ac:dyDescent="0.25">
      <c r="A2139">
        <v>19508</v>
      </c>
      <c r="B2139" t="s">
        <v>10</v>
      </c>
      <c r="C2139" t="s">
        <v>4813</v>
      </c>
      <c r="D2139" t="str">
        <f t="shared" si="145"/>
        <v/>
      </c>
      <c r="E2139" t="s">
        <v>4814</v>
      </c>
      <c r="F2139" t="str">
        <f t="shared" si="147"/>
        <v>5101886</v>
      </c>
    </row>
    <row r="2140" spans="1:9" ht="15" customHeight="1" x14ac:dyDescent="0.25">
      <c r="A2140">
        <v>19519</v>
      </c>
      <c r="B2140" t="s">
        <v>7</v>
      </c>
      <c r="C2140" t="s">
        <v>4827</v>
      </c>
      <c r="D2140" t="str">
        <f t="shared" si="145"/>
        <v/>
      </c>
      <c r="E2140" t="s">
        <v>4828</v>
      </c>
      <c r="F2140" t="s">
        <v>6920</v>
      </c>
      <c r="H2140">
        <v>4</v>
      </c>
      <c r="I2140">
        <v>1</v>
      </c>
    </row>
    <row r="2141" spans="1:9" ht="15" hidden="1" customHeight="1" x14ac:dyDescent="0.25">
      <c r="A2141">
        <v>19520</v>
      </c>
      <c r="B2141" t="s">
        <v>10</v>
      </c>
      <c r="C2141" t="s">
        <v>4829</v>
      </c>
      <c r="D2141" t="str">
        <f t="shared" si="145"/>
        <v/>
      </c>
      <c r="E2141" t="s">
        <v>4830</v>
      </c>
      <c r="F2141" t="str">
        <f t="shared" ref="F2141:F2151" si="148">LEFT(C2141,7)</f>
        <v>5101887</v>
      </c>
    </row>
    <row r="2142" spans="1:9" ht="15" hidden="1" customHeight="1" x14ac:dyDescent="0.25">
      <c r="A2142">
        <v>19521</v>
      </c>
      <c r="B2142" t="s">
        <v>10</v>
      </c>
      <c r="C2142" t="s">
        <v>4831</v>
      </c>
      <c r="D2142" t="str">
        <f t="shared" si="145"/>
        <v/>
      </c>
      <c r="E2142" t="s">
        <v>4832</v>
      </c>
      <c r="F2142" t="str">
        <f t="shared" si="148"/>
        <v>5101887</v>
      </c>
    </row>
    <row r="2143" spans="1:9" ht="15" hidden="1" customHeight="1" x14ac:dyDescent="0.25">
      <c r="A2143">
        <v>19522</v>
      </c>
      <c r="B2143" t="s">
        <v>10</v>
      </c>
      <c r="C2143" t="s">
        <v>4833</v>
      </c>
      <c r="D2143" t="str">
        <f t="shared" si="145"/>
        <v/>
      </c>
      <c r="E2143" t="s">
        <v>4834</v>
      </c>
      <c r="F2143" t="str">
        <f t="shared" si="148"/>
        <v>5101887</v>
      </c>
    </row>
    <row r="2144" spans="1:9" ht="15" customHeight="1" x14ac:dyDescent="0.25">
      <c r="A2144">
        <v>14989</v>
      </c>
      <c r="B2144" t="s">
        <v>7</v>
      </c>
      <c r="C2144" t="s">
        <v>377</v>
      </c>
      <c r="D2144" t="str">
        <f t="shared" si="145"/>
        <v/>
      </c>
      <c r="E2144" t="s">
        <v>378</v>
      </c>
      <c r="F2144" t="str">
        <f t="shared" si="148"/>
        <v>5101873</v>
      </c>
      <c r="H2144">
        <v>3</v>
      </c>
      <c r="I2144">
        <v>1</v>
      </c>
    </row>
    <row r="2145" spans="1:9" ht="15" hidden="1" customHeight="1" x14ac:dyDescent="0.25">
      <c r="A2145">
        <v>14998</v>
      </c>
      <c r="B2145" t="s">
        <v>10</v>
      </c>
      <c r="C2145" t="s">
        <v>383</v>
      </c>
      <c r="D2145" t="str">
        <f t="shared" si="145"/>
        <v/>
      </c>
      <c r="E2145" t="s">
        <v>384</v>
      </c>
      <c r="F2145" t="str">
        <f t="shared" si="148"/>
        <v>5101873</v>
      </c>
    </row>
    <row r="2146" spans="1:9" ht="15" hidden="1" customHeight="1" x14ac:dyDescent="0.25">
      <c r="A2146">
        <v>14997</v>
      </c>
      <c r="B2146" t="s">
        <v>10</v>
      </c>
      <c r="C2146" t="s">
        <v>381</v>
      </c>
      <c r="D2146" t="str">
        <f t="shared" si="145"/>
        <v/>
      </c>
      <c r="E2146" t="s">
        <v>382</v>
      </c>
      <c r="F2146" t="str">
        <f t="shared" si="148"/>
        <v>5101873</v>
      </c>
    </row>
    <row r="2147" spans="1:9" ht="15" hidden="1" customHeight="1" x14ac:dyDescent="0.25">
      <c r="A2147">
        <v>14990</v>
      </c>
      <c r="B2147" t="s">
        <v>10</v>
      </c>
      <c r="C2147" t="s">
        <v>379</v>
      </c>
      <c r="D2147" t="str">
        <f t="shared" si="145"/>
        <v/>
      </c>
      <c r="E2147" t="s">
        <v>380</v>
      </c>
      <c r="F2147" t="str">
        <f t="shared" si="148"/>
        <v>5101873</v>
      </c>
    </row>
    <row r="2148" spans="1:9" ht="15" hidden="1" customHeight="1" x14ac:dyDescent="0.25">
      <c r="A2148">
        <v>14999</v>
      </c>
      <c r="B2148" t="s">
        <v>10</v>
      </c>
      <c r="C2148" t="s">
        <v>385</v>
      </c>
      <c r="D2148" t="str">
        <f t="shared" si="145"/>
        <v/>
      </c>
      <c r="E2148" t="s">
        <v>386</v>
      </c>
      <c r="F2148" t="str">
        <f t="shared" si="148"/>
        <v>5101873</v>
      </c>
    </row>
    <row r="2149" spans="1:9" ht="15" hidden="1" customHeight="1" x14ac:dyDescent="0.25">
      <c r="A2149">
        <v>15002</v>
      </c>
      <c r="B2149" t="s">
        <v>10</v>
      </c>
      <c r="C2149" t="s">
        <v>391</v>
      </c>
      <c r="D2149" t="str">
        <f t="shared" si="145"/>
        <v/>
      </c>
      <c r="E2149" t="s">
        <v>392</v>
      </c>
      <c r="F2149" t="str">
        <f t="shared" si="148"/>
        <v>5101873</v>
      </c>
    </row>
    <row r="2150" spans="1:9" ht="15" hidden="1" customHeight="1" x14ac:dyDescent="0.25">
      <c r="A2150">
        <v>15000</v>
      </c>
      <c r="B2150" t="s">
        <v>10</v>
      </c>
      <c r="C2150" t="s">
        <v>387</v>
      </c>
      <c r="D2150" t="str">
        <f t="shared" si="145"/>
        <v/>
      </c>
      <c r="E2150" t="s">
        <v>388</v>
      </c>
      <c r="F2150" t="str">
        <f t="shared" si="148"/>
        <v>5101873</v>
      </c>
    </row>
    <row r="2151" spans="1:9" ht="15" hidden="1" customHeight="1" x14ac:dyDescent="0.25">
      <c r="A2151">
        <v>15001</v>
      </c>
      <c r="B2151" t="s">
        <v>10</v>
      </c>
      <c r="C2151" t="s">
        <v>389</v>
      </c>
      <c r="D2151" t="str">
        <f t="shared" si="145"/>
        <v/>
      </c>
      <c r="E2151" t="s">
        <v>390</v>
      </c>
      <c r="F2151" t="str">
        <f t="shared" si="148"/>
        <v>5101873</v>
      </c>
    </row>
    <row r="2152" spans="1:9" ht="15" customHeight="1" x14ac:dyDescent="0.25">
      <c r="A2152">
        <v>19454</v>
      </c>
      <c r="B2152" t="s">
        <v>7</v>
      </c>
      <c r="C2152" t="s">
        <v>4737</v>
      </c>
      <c r="D2152" t="str">
        <f t="shared" si="145"/>
        <v/>
      </c>
      <c r="E2152" t="s">
        <v>4738</v>
      </c>
      <c r="F2152" t="s">
        <v>6921</v>
      </c>
      <c r="H2152">
        <v>3</v>
      </c>
      <c r="I2152">
        <v>1</v>
      </c>
    </row>
    <row r="2153" spans="1:9" ht="15" hidden="1" customHeight="1" x14ac:dyDescent="0.25">
      <c r="A2153">
        <v>19455</v>
      </c>
      <c r="B2153" t="s">
        <v>10</v>
      </c>
      <c r="C2153" t="s">
        <v>4739</v>
      </c>
      <c r="D2153" t="str">
        <f t="shared" si="145"/>
        <v/>
      </c>
      <c r="E2153" t="s">
        <v>4740</v>
      </c>
      <c r="F2153" t="str">
        <f t="shared" ref="F2153:F2163" si="149">LEFT(C2153,7)</f>
        <v>5101874</v>
      </c>
    </row>
    <row r="2154" spans="1:9" ht="15" hidden="1" customHeight="1" x14ac:dyDescent="0.25">
      <c r="A2154">
        <v>19459</v>
      </c>
      <c r="B2154" t="s">
        <v>10</v>
      </c>
      <c r="C2154" t="s">
        <v>4741</v>
      </c>
      <c r="D2154" t="str">
        <f t="shared" si="145"/>
        <v/>
      </c>
      <c r="E2154" t="s">
        <v>4742</v>
      </c>
      <c r="F2154" t="str">
        <f t="shared" si="149"/>
        <v>5101874</v>
      </c>
    </row>
    <row r="2155" spans="1:9" ht="15" hidden="1" customHeight="1" x14ac:dyDescent="0.25">
      <c r="A2155">
        <v>19460</v>
      </c>
      <c r="B2155" t="s">
        <v>10</v>
      </c>
      <c r="C2155" t="s">
        <v>4743</v>
      </c>
      <c r="D2155" t="str">
        <f t="shared" si="145"/>
        <v/>
      </c>
      <c r="E2155" t="s">
        <v>4744</v>
      </c>
      <c r="F2155" t="str">
        <f t="shared" si="149"/>
        <v>5101874</v>
      </c>
    </row>
    <row r="2156" spans="1:9" ht="15" customHeight="1" x14ac:dyDescent="0.25">
      <c r="A2156">
        <v>19434</v>
      </c>
      <c r="B2156" t="s">
        <v>7</v>
      </c>
      <c r="C2156" t="s">
        <v>4709</v>
      </c>
      <c r="D2156" t="str">
        <f t="shared" si="145"/>
        <v/>
      </c>
      <c r="E2156" t="s">
        <v>4710</v>
      </c>
      <c r="F2156" t="str">
        <f t="shared" si="149"/>
        <v>5101845</v>
      </c>
      <c r="H2156">
        <v>4</v>
      </c>
      <c r="I2156">
        <v>1</v>
      </c>
    </row>
    <row r="2157" spans="1:9" ht="15" hidden="1" customHeight="1" x14ac:dyDescent="0.25">
      <c r="A2157">
        <v>19443</v>
      </c>
      <c r="B2157" t="s">
        <v>10</v>
      </c>
      <c r="C2157" t="s">
        <v>4719</v>
      </c>
      <c r="D2157" t="str">
        <f t="shared" si="145"/>
        <v/>
      </c>
      <c r="E2157" t="s">
        <v>4720</v>
      </c>
      <c r="F2157" t="str">
        <f t="shared" si="149"/>
        <v>5101845</v>
      </c>
    </row>
    <row r="2158" spans="1:9" ht="15" hidden="1" customHeight="1" x14ac:dyDescent="0.25">
      <c r="A2158">
        <v>19442</v>
      </c>
      <c r="B2158" t="s">
        <v>10</v>
      </c>
      <c r="C2158" t="s">
        <v>4717</v>
      </c>
      <c r="D2158" t="str">
        <f t="shared" si="145"/>
        <v/>
      </c>
      <c r="E2158" t="s">
        <v>4718</v>
      </c>
      <c r="F2158" t="str">
        <f t="shared" si="149"/>
        <v>5101845</v>
      </c>
    </row>
    <row r="2159" spans="1:9" ht="15" hidden="1" customHeight="1" x14ac:dyDescent="0.25">
      <c r="A2159">
        <v>19441</v>
      </c>
      <c r="B2159" t="s">
        <v>10</v>
      </c>
      <c r="C2159" t="s">
        <v>4715</v>
      </c>
      <c r="D2159" t="str">
        <f t="shared" si="145"/>
        <v/>
      </c>
      <c r="E2159" t="s">
        <v>4716</v>
      </c>
      <c r="F2159" t="str">
        <f t="shared" si="149"/>
        <v>5101845</v>
      </c>
    </row>
    <row r="2160" spans="1:9" ht="15" hidden="1" customHeight="1" x14ac:dyDescent="0.25">
      <c r="A2160">
        <v>19444</v>
      </c>
      <c r="B2160" t="s">
        <v>10</v>
      </c>
      <c r="C2160" t="s">
        <v>4721</v>
      </c>
      <c r="D2160" t="str">
        <f t="shared" si="145"/>
        <v/>
      </c>
      <c r="E2160" t="s">
        <v>4722</v>
      </c>
      <c r="F2160" t="str">
        <f t="shared" si="149"/>
        <v>5101845</v>
      </c>
    </row>
    <row r="2161" spans="1:9" ht="15" hidden="1" customHeight="1" x14ac:dyDescent="0.25">
      <c r="A2161">
        <v>19440</v>
      </c>
      <c r="B2161" t="s">
        <v>10</v>
      </c>
      <c r="C2161" t="s">
        <v>4713</v>
      </c>
      <c r="D2161" t="str">
        <f t="shared" si="145"/>
        <v/>
      </c>
      <c r="E2161" t="s">
        <v>4714</v>
      </c>
      <c r="F2161" t="str">
        <f t="shared" si="149"/>
        <v>5101845</v>
      </c>
    </row>
    <row r="2162" spans="1:9" ht="15" hidden="1" customHeight="1" x14ac:dyDescent="0.25">
      <c r="A2162">
        <v>19445</v>
      </c>
      <c r="B2162" t="s">
        <v>10</v>
      </c>
      <c r="C2162" t="s">
        <v>4723</v>
      </c>
      <c r="D2162" t="str">
        <f t="shared" si="145"/>
        <v/>
      </c>
      <c r="E2162" t="s">
        <v>4724</v>
      </c>
      <c r="F2162" t="str">
        <f t="shared" si="149"/>
        <v>5101845</v>
      </c>
    </row>
    <row r="2163" spans="1:9" ht="15" hidden="1" customHeight="1" x14ac:dyDescent="0.25">
      <c r="A2163">
        <v>19435</v>
      </c>
      <c r="B2163" t="s">
        <v>10</v>
      </c>
      <c r="C2163" t="s">
        <v>4711</v>
      </c>
      <c r="D2163" t="str">
        <f t="shared" si="145"/>
        <v/>
      </c>
      <c r="E2163" t="s">
        <v>4712</v>
      </c>
      <c r="F2163" t="str">
        <f t="shared" si="149"/>
        <v>5101845</v>
      </c>
    </row>
    <row r="2164" spans="1:9" ht="15" customHeight="1" x14ac:dyDescent="0.25">
      <c r="A2164">
        <v>19446</v>
      </c>
      <c r="B2164" t="s">
        <v>7</v>
      </c>
      <c r="C2164" t="s">
        <v>4725</v>
      </c>
      <c r="D2164" t="str">
        <f t="shared" si="145"/>
        <v/>
      </c>
      <c r="E2164" t="s">
        <v>4726</v>
      </c>
      <c r="F2164" t="s">
        <v>6922</v>
      </c>
      <c r="H2164">
        <v>4</v>
      </c>
      <c r="I2164">
        <v>1</v>
      </c>
    </row>
    <row r="2165" spans="1:9" ht="15" hidden="1" customHeight="1" x14ac:dyDescent="0.25">
      <c r="A2165">
        <v>19447</v>
      </c>
      <c r="B2165" t="s">
        <v>10</v>
      </c>
      <c r="C2165" t="s">
        <v>4727</v>
      </c>
      <c r="D2165" t="str">
        <f t="shared" si="145"/>
        <v/>
      </c>
      <c r="E2165" t="s">
        <v>4728</v>
      </c>
      <c r="F2165" t="str">
        <f t="shared" ref="F2165:F2173" si="150">LEFT(C2165,7)</f>
        <v>5101846</v>
      </c>
    </row>
    <row r="2166" spans="1:9" ht="15" hidden="1" customHeight="1" x14ac:dyDescent="0.25">
      <c r="A2166">
        <v>19448</v>
      </c>
      <c r="B2166" t="s">
        <v>10</v>
      </c>
      <c r="C2166" t="s">
        <v>4729</v>
      </c>
      <c r="D2166" t="str">
        <f t="shared" si="145"/>
        <v/>
      </c>
      <c r="E2166" t="s">
        <v>4730</v>
      </c>
      <c r="F2166" t="str">
        <f t="shared" si="150"/>
        <v>5101846</v>
      </c>
    </row>
    <row r="2167" spans="1:9" ht="15" hidden="1" customHeight="1" x14ac:dyDescent="0.25">
      <c r="A2167">
        <v>19449</v>
      </c>
      <c r="B2167" t="s">
        <v>10</v>
      </c>
      <c r="C2167" t="s">
        <v>4731</v>
      </c>
      <c r="D2167" t="str">
        <f t="shared" si="145"/>
        <v/>
      </c>
      <c r="E2167" t="s">
        <v>4732</v>
      </c>
      <c r="F2167" t="str">
        <f t="shared" si="150"/>
        <v>5101846</v>
      </c>
    </row>
    <row r="2168" spans="1:9" ht="15" customHeight="1" x14ac:dyDescent="0.25">
      <c r="A2168">
        <v>17890</v>
      </c>
      <c r="B2168" t="s">
        <v>7</v>
      </c>
      <c r="C2168" t="s">
        <v>2759</v>
      </c>
      <c r="D2168" t="str">
        <f t="shared" si="145"/>
        <v/>
      </c>
      <c r="E2168" t="s">
        <v>2760</v>
      </c>
      <c r="F2168" t="str">
        <f t="shared" si="150"/>
        <v>5101855</v>
      </c>
      <c r="H2168">
        <v>3</v>
      </c>
      <c r="I2168">
        <v>1</v>
      </c>
    </row>
    <row r="2169" spans="1:9" ht="15" hidden="1" customHeight="1" x14ac:dyDescent="0.25">
      <c r="A2169">
        <v>17891</v>
      </c>
      <c r="B2169" t="s">
        <v>10</v>
      </c>
      <c r="C2169" t="s">
        <v>2761</v>
      </c>
      <c r="D2169" t="str">
        <f t="shared" si="145"/>
        <v/>
      </c>
      <c r="E2169" t="s">
        <v>2762</v>
      </c>
      <c r="F2169" t="str">
        <f t="shared" si="150"/>
        <v>5101855</v>
      </c>
    </row>
    <row r="2170" spans="1:9" ht="15" hidden="1" customHeight="1" x14ac:dyDescent="0.25">
      <c r="A2170">
        <v>17899</v>
      </c>
      <c r="B2170" t="s">
        <v>10</v>
      </c>
      <c r="C2170" t="s">
        <v>2769</v>
      </c>
      <c r="D2170" t="str">
        <f t="shared" si="145"/>
        <v/>
      </c>
      <c r="E2170" t="s">
        <v>2770</v>
      </c>
      <c r="F2170" t="str">
        <f t="shared" si="150"/>
        <v>5101855</v>
      </c>
    </row>
    <row r="2171" spans="1:9" ht="15" hidden="1" customHeight="1" x14ac:dyDescent="0.25">
      <c r="A2171">
        <v>17898</v>
      </c>
      <c r="B2171" t="s">
        <v>10</v>
      </c>
      <c r="C2171" t="s">
        <v>2767</v>
      </c>
      <c r="D2171" t="str">
        <f t="shared" si="145"/>
        <v/>
      </c>
      <c r="E2171" t="s">
        <v>2768</v>
      </c>
      <c r="F2171" t="str">
        <f t="shared" si="150"/>
        <v>5101855</v>
      </c>
    </row>
    <row r="2172" spans="1:9" ht="15" hidden="1" customHeight="1" x14ac:dyDescent="0.25">
      <c r="A2172">
        <v>17896</v>
      </c>
      <c r="B2172" t="s">
        <v>10</v>
      </c>
      <c r="C2172" t="s">
        <v>2763</v>
      </c>
      <c r="D2172" t="str">
        <f t="shared" si="145"/>
        <v/>
      </c>
      <c r="E2172" t="s">
        <v>2764</v>
      </c>
      <c r="F2172" t="str">
        <f t="shared" si="150"/>
        <v>5101855</v>
      </c>
    </row>
    <row r="2173" spans="1:9" ht="15" hidden="1" customHeight="1" x14ac:dyDescent="0.25">
      <c r="A2173">
        <v>17897</v>
      </c>
      <c r="B2173" t="s">
        <v>10</v>
      </c>
      <c r="C2173" t="s">
        <v>2765</v>
      </c>
      <c r="D2173" t="str">
        <f t="shared" si="145"/>
        <v/>
      </c>
      <c r="E2173" t="s">
        <v>2766</v>
      </c>
      <c r="F2173" t="str">
        <f t="shared" si="150"/>
        <v>5101855</v>
      </c>
    </row>
    <row r="2174" spans="1:9" ht="15" customHeight="1" x14ac:dyDescent="0.25">
      <c r="A2174">
        <v>19461</v>
      </c>
      <c r="B2174" t="s">
        <v>7</v>
      </c>
      <c r="C2174" t="s">
        <v>4745</v>
      </c>
      <c r="D2174" t="str">
        <f t="shared" si="145"/>
        <v/>
      </c>
      <c r="E2174" t="s">
        <v>4746</v>
      </c>
      <c r="F2174" t="s">
        <v>6923</v>
      </c>
      <c r="H2174">
        <v>3</v>
      </c>
      <c r="I2174">
        <v>1</v>
      </c>
    </row>
    <row r="2175" spans="1:9" ht="15" hidden="1" customHeight="1" x14ac:dyDescent="0.25">
      <c r="A2175">
        <v>19462</v>
      </c>
      <c r="B2175" t="s">
        <v>10</v>
      </c>
      <c r="C2175" t="s">
        <v>4747</v>
      </c>
      <c r="D2175" t="str">
        <f t="shared" si="145"/>
        <v/>
      </c>
      <c r="E2175" t="s">
        <v>4748</v>
      </c>
      <c r="F2175" t="str">
        <f t="shared" ref="F2175:F2184" si="151">LEFT(C2175,7)</f>
        <v>5101856</v>
      </c>
    </row>
    <row r="2176" spans="1:9" ht="15" hidden="1" customHeight="1" x14ac:dyDescent="0.25">
      <c r="A2176">
        <v>19463</v>
      </c>
      <c r="B2176" t="s">
        <v>10</v>
      </c>
      <c r="C2176" t="s">
        <v>4749</v>
      </c>
      <c r="D2176" t="str">
        <f t="shared" si="145"/>
        <v/>
      </c>
      <c r="E2176" t="s">
        <v>4750</v>
      </c>
      <c r="F2176" t="str">
        <f t="shared" si="151"/>
        <v>5101856</v>
      </c>
    </row>
    <row r="2177" spans="1:9" ht="15" customHeight="1" x14ac:dyDescent="0.25">
      <c r="A2177">
        <v>19418</v>
      </c>
      <c r="B2177" t="s">
        <v>7</v>
      </c>
      <c r="C2177" t="s">
        <v>4685</v>
      </c>
      <c r="D2177" t="str">
        <f t="shared" si="145"/>
        <v/>
      </c>
      <c r="E2177" t="s">
        <v>4686</v>
      </c>
      <c r="F2177" t="str">
        <f t="shared" si="151"/>
        <v>5101029</v>
      </c>
      <c r="H2177">
        <v>5</v>
      </c>
      <c r="I2177">
        <v>1</v>
      </c>
    </row>
    <row r="2178" spans="1:9" ht="15" hidden="1" customHeight="1" x14ac:dyDescent="0.25">
      <c r="A2178">
        <v>19427</v>
      </c>
      <c r="B2178" t="s">
        <v>10</v>
      </c>
      <c r="C2178" t="s">
        <v>4695</v>
      </c>
      <c r="D2178" t="str">
        <f t="shared" si="145"/>
        <v/>
      </c>
      <c r="E2178" t="s">
        <v>4696</v>
      </c>
      <c r="F2178" t="str">
        <f t="shared" si="151"/>
        <v>5101029</v>
      </c>
    </row>
    <row r="2179" spans="1:9" ht="15" hidden="1" customHeight="1" x14ac:dyDescent="0.25">
      <c r="A2179">
        <v>19426</v>
      </c>
      <c r="B2179" t="s">
        <v>10</v>
      </c>
      <c r="C2179" t="s">
        <v>4693</v>
      </c>
      <c r="D2179" t="str">
        <f t="shared" si="145"/>
        <v/>
      </c>
      <c r="E2179" t="s">
        <v>4694</v>
      </c>
      <c r="F2179" t="str">
        <f t="shared" si="151"/>
        <v>5101029</v>
      </c>
    </row>
    <row r="2180" spans="1:9" ht="15" hidden="1" customHeight="1" x14ac:dyDescent="0.25">
      <c r="A2180">
        <v>19425</v>
      </c>
      <c r="B2180" t="s">
        <v>10</v>
      </c>
      <c r="C2180" t="s">
        <v>4691</v>
      </c>
      <c r="D2180" t="str">
        <f t="shared" si="145"/>
        <v/>
      </c>
      <c r="E2180" t="s">
        <v>4692</v>
      </c>
      <c r="F2180" t="str">
        <f t="shared" si="151"/>
        <v>5101029</v>
      </c>
    </row>
    <row r="2181" spans="1:9" ht="15" hidden="1" customHeight="1" x14ac:dyDescent="0.25">
      <c r="A2181">
        <v>19428</v>
      </c>
      <c r="B2181" t="s">
        <v>10</v>
      </c>
      <c r="C2181" t="s">
        <v>4697</v>
      </c>
      <c r="D2181" t="str">
        <f t="shared" si="145"/>
        <v/>
      </c>
      <c r="E2181" t="s">
        <v>4698</v>
      </c>
      <c r="F2181" t="str">
        <f t="shared" si="151"/>
        <v>5101029</v>
      </c>
    </row>
    <row r="2182" spans="1:9" ht="15" hidden="1" customHeight="1" x14ac:dyDescent="0.25">
      <c r="A2182">
        <v>19424</v>
      </c>
      <c r="B2182" t="s">
        <v>10</v>
      </c>
      <c r="C2182" t="s">
        <v>4689</v>
      </c>
      <c r="D2182" t="str">
        <f t="shared" si="145"/>
        <v/>
      </c>
      <c r="E2182" t="s">
        <v>4690</v>
      </c>
      <c r="F2182" t="str">
        <f t="shared" si="151"/>
        <v>5101029</v>
      </c>
    </row>
    <row r="2183" spans="1:9" ht="15" hidden="1" customHeight="1" x14ac:dyDescent="0.25">
      <c r="A2183">
        <v>19429</v>
      </c>
      <c r="B2183" t="s">
        <v>10</v>
      </c>
      <c r="C2183" t="s">
        <v>4699</v>
      </c>
      <c r="D2183" t="str">
        <f t="shared" ref="D2183:D2246" si="152">IF(RIGHT(LEFT(C2183,9),2)="##","",RIGHT(LEFT(C2183,10),2))</f>
        <v/>
      </c>
      <c r="E2183" t="s">
        <v>4700</v>
      </c>
      <c r="F2183" t="str">
        <f t="shared" si="151"/>
        <v>5101029</v>
      </c>
    </row>
    <row r="2184" spans="1:9" ht="15" hidden="1" customHeight="1" x14ac:dyDescent="0.25">
      <c r="A2184">
        <v>19419</v>
      </c>
      <c r="B2184" t="s">
        <v>10</v>
      </c>
      <c r="C2184" t="s">
        <v>4687</v>
      </c>
      <c r="D2184" t="str">
        <f t="shared" si="152"/>
        <v/>
      </c>
      <c r="E2184" t="s">
        <v>4688</v>
      </c>
      <c r="F2184" t="str">
        <f t="shared" si="151"/>
        <v>5101029</v>
      </c>
    </row>
    <row r="2185" spans="1:9" ht="15" customHeight="1" x14ac:dyDescent="0.25">
      <c r="A2185">
        <v>19430</v>
      </c>
      <c r="B2185" t="s">
        <v>7</v>
      </c>
      <c r="C2185" t="s">
        <v>4701</v>
      </c>
      <c r="D2185" t="str">
        <f t="shared" si="152"/>
        <v/>
      </c>
      <c r="E2185" t="s">
        <v>4702</v>
      </c>
      <c r="F2185" t="s">
        <v>6924</v>
      </c>
      <c r="H2185">
        <v>5</v>
      </c>
      <c r="I2185">
        <v>1</v>
      </c>
    </row>
    <row r="2186" spans="1:9" ht="15" hidden="1" customHeight="1" x14ac:dyDescent="0.25">
      <c r="A2186">
        <v>19431</v>
      </c>
      <c r="B2186" t="s">
        <v>10</v>
      </c>
      <c r="C2186" t="s">
        <v>4703</v>
      </c>
      <c r="D2186" t="str">
        <f t="shared" si="152"/>
        <v/>
      </c>
      <c r="E2186" t="s">
        <v>4704</v>
      </c>
      <c r="F2186" t="str">
        <f t="shared" ref="F2186:F2198" si="153">LEFT(C2186,7)</f>
        <v>5101028</v>
      </c>
    </row>
    <row r="2187" spans="1:9" ht="15" hidden="1" customHeight="1" x14ac:dyDescent="0.25">
      <c r="A2187">
        <v>19432</v>
      </c>
      <c r="B2187" t="s">
        <v>10</v>
      </c>
      <c r="C2187" t="s">
        <v>4705</v>
      </c>
      <c r="D2187" t="str">
        <f t="shared" si="152"/>
        <v/>
      </c>
      <c r="E2187" t="s">
        <v>4706</v>
      </c>
      <c r="F2187" t="str">
        <f t="shared" si="153"/>
        <v>5101028</v>
      </c>
    </row>
    <row r="2188" spans="1:9" ht="15" hidden="1" customHeight="1" x14ac:dyDescent="0.25">
      <c r="A2188">
        <v>19433</v>
      </c>
      <c r="B2188" t="s">
        <v>10</v>
      </c>
      <c r="C2188" t="s">
        <v>4707</v>
      </c>
      <c r="D2188" t="str">
        <f t="shared" si="152"/>
        <v/>
      </c>
      <c r="E2188" t="s">
        <v>4708</v>
      </c>
      <c r="F2188" t="str">
        <f t="shared" si="153"/>
        <v>5101028</v>
      </c>
    </row>
    <row r="2189" spans="1:9" ht="15" hidden="1" customHeight="1" x14ac:dyDescent="0.25">
      <c r="A2189">
        <v>18133</v>
      </c>
      <c r="B2189" t="s">
        <v>10</v>
      </c>
      <c r="C2189" t="s">
        <v>3149</v>
      </c>
      <c r="D2189" t="str">
        <f t="shared" si="152"/>
        <v/>
      </c>
      <c r="E2189" t="s">
        <v>3150</v>
      </c>
      <c r="F2189" t="str">
        <f t="shared" si="153"/>
        <v>5101864</v>
      </c>
    </row>
    <row r="2190" spans="1:9" ht="15" hidden="1" customHeight="1" x14ac:dyDescent="0.25">
      <c r="A2190">
        <v>18138</v>
      </c>
      <c r="B2190" t="s">
        <v>10</v>
      </c>
      <c r="C2190" t="s">
        <v>3151</v>
      </c>
      <c r="D2190" t="str">
        <f t="shared" si="152"/>
        <v/>
      </c>
      <c r="E2190" t="s">
        <v>3152</v>
      </c>
      <c r="F2190" t="str">
        <f t="shared" si="153"/>
        <v>5101864</v>
      </c>
    </row>
    <row r="2191" spans="1:9" ht="15" customHeight="1" x14ac:dyDescent="0.25">
      <c r="A2191">
        <v>17882</v>
      </c>
      <c r="B2191" t="s">
        <v>7</v>
      </c>
      <c r="C2191" t="s">
        <v>2743</v>
      </c>
      <c r="D2191" t="str">
        <f t="shared" si="152"/>
        <v/>
      </c>
      <c r="E2191" t="s">
        <v>2744</v>
      </c>
      <c r="F2191" t="str">
        <f t="shared" si="153"/>
        <v>5101863</v>
      </c>
      <c r="H2191">
        <v>4</v>
      </c>
      <c r="I2191">
        <v>1</v>
      </c>
    </row>
    <row r="2192" spans="1:9" ht="15" hidden="1" customHeight="1" x14ac:dyDescent="0.25">
      <c r="A2192">
        <v>17887</v>
      </c>
      <c r="B2192" t="s">
        <v>10</v>
      </c>
      <c r="C2192" t="s">
        <v>2753</v>
      </c>
      <c r="D2192" t="str">
        <f t="shared" si="152"/>
        <v/>
      </c>
      <c r="E2192" t="s">
        <v>2754</v>
      </c>
      <c r="F2192" t="str">
        <f t="shared" si="153"/>
        <v>5101863</v>
      </c>
    </row>
    <row r="2193" spans="1:9" ht="15" hidden="1" customHeight="1" x14ac:dyDescent="0.25">
      <c r="A2193">
        <v>17886</v>
      </c>
      <c r="B2193" t="s">
        <v>10</v>
      </c>
      <c r="C2193" t="s">
        <v>2751</v>
      </c>
      <c r="D2193" t="str">
        <f t="shared" si="152"/>
        <v/>
      </c>
      <c r="E2193" t="s">
        <v>2752</v>
      </c>
      <c r="F2193" t="str">
        <f t="shared" si="153"/>
        <v>5101863</v>
      </c>
    </row>
    <row r="2194" spans="1:9" ht="15" hidden="1" customHeight="1" x14ac:dyDescent="0.25">
      <c r="A2194">
        <v>17885</v>
      </c>
      <c r="B2194" t="s">
        <v>10</v>
      </c>
      <c r="C2194" t="s">
        <v>2749</v>
      </c>
      <c r="D2194" t="str">
        <f t="shared" si="152"/>
        <v/>
      </c>
      <c r="E2194" t="s">
        <v>2750</v>
      </c>
      <c r="F2194" t="str">
        <f t="shared" si="153"/>
        <v>5101863</v>
      </c>
    </row>
    <row r="2195" spans="1:9" ht="15" hidden="1" customHeight="1" x14ac:dyDescent="0.25">
      <c r="A2195">
        <v>17888</v>
      </c>
      <c r="B2195" t="s">
        <v>10</v>
      </c>
      <c r="C2195" t="s">
        <v>2755</v>
      </c>
      <c r="D2195" t="str">
        <f t="shared" si="152"/>
        <v/>
      </c>
      <c r="E2195" t="s">
        <v>2756</v>
      </c>
      <c r="F2195" t="str">
        <f t="shared" si="153"/>
        <v>5101863</v>
      </c>
    </row>
    <row r="2196" spans="1:9" ht="15" hidden="1" customHeight="1" x14ac:dyDescent="0.25">
      <c r="A2196">
        <v>17884</v>
      </c>
      <c r="B2196" t="s">
        <v>10</v>
      </c>
      <c r="C2196" t="s">
        <v>2747</v>
      </c>
      <c r="D2196" t="str">
        <f t="shared" si="152"/>
        <v/>
      </c>
      <c r="E2196" t="s">
        <v>2748</v>
      </c>
      <c r="F2196" t="str">
        <f t="shared" si="153"/>
        <v>5101863</v>
      </c>
    </row>
    <row r="2197" spans="1:9" ht="15" hidden="1" customHeight="1" x14ac:dyDescent="0.25">
      <c r="A2197">
        <v>17889</v>
      </c>
      <c r="B2197" t="s">
        <v>10</v>
      </c>
      <c r="C2197" t="s">
        <v>2757</v>
      </c>
      <c r="D2197" t="str">
        <f t="shared" si="152"/>
        <v/>
      </c>
      <c r="E2197" t="s">
        <v>2758</v>
      </c>
      <c r="F2197" t="str">
        <f t="shared" si="153"/>
        <v>5101863</v>
      </c>
    </row>
    <row r="2198" spans="1:9" ht="15" hidden="1" customHeight="1" x14ac:dyDescent="0.25">
      <c r="A2198">
        <v>17883</v>
      </c>
      <c r="B2198" t="s">
        <v>10</v>
      </c>
      <c r="C2198" t="s">
        <v>2745</v>
      </c>
      <c r="D2198" t="str">
        <f t="shared" si="152"/>
        <v/>
      </c>
      <c r="E2198" t="s">
        <v>2746</v>
      </c>
      <c r="F2198" t="str">
        <f t="shared" si="153"/>
        <v>5101863</v>
      </c>
    </row>
    <row r="2199" spans="1:9" ht="15" customHeight="1" x14ac:dyDescent="0.25">
      <c r="A2199">
        <v>18132</v>
      </c>
      <c r="B2199" t="s">
        <v>7</v>
      </c>
      <c r="C2199" t="s">
        <v>3148</v>
      </c>
      <c r="D2199" t="str">
        <f t="shared" si="152"/>
        <v/>
      </c>
      <c r="E2199" t="s">
        <v>6925</v>
      </c>
      <c r="F2199" t="s">
        <v>6926</v>
      </c>
      <c r="H2199">
        <v>4</v>
      </c>
      <c r="I2199">
        <v>1</v>
      </c>
    </row>
    <row r="2200" spans="1:9" ht="15" customHeight="1" x14ac:dyDescent="0.25">
      <c r="A2200">
        <v>17874</v>
      </c>
      <c r="B2200" t="s">
        <v>7</v>
      </c>
      <c r="C2200" t="s">
        <v>2727</v>
      </c>
      <c r="D2200" t="str">
        <f t="shared" si="152"/>
        <v/>
      </c>
      <c r="E2200" t="s">
        <v>2728</v>
      </c>
      <c r="F2200" t="str">
        <f t="shared" ref="F2200:F2207" si="154">LEFT(C2200,7)</f>
        <v>5101654</v>
      </c>
      <c r="H2200">
        <v>3</v>
      </c>
      <c r="I2200">
        <v>1</v>
      </c>
    </row>
    <row r="2201" spans="1:9" ht="15" hidden="1" customHeight="1" x14ac:dyDescent="0.25">
      <c r="A2201">
        <v>17880</v>
      </c>
      <c r="B2201" t="s">
        <v>10</v>
      </c>
      <c r="C2201" t="s">
        <v>2739</v>
      </c>
      <c r="D2201" t="str">
        <f t="shared" si="152"/>
        <v/>
      </c>
      <c r="E2201" t="s">
        <v>2740</v>
      </c>
      <c r="F2201" t="str">
        <f t="shared" si="154"/>
        <v>5101654</v>
      </c>
    </row>
    <row r="2202" spans="1:9" ht="15" hidden="1" customHeight="1" x14ac:dyDescent="0.25">
      <c r="A2202">
        <v>17879</v>
      </c>
      <c r="B2202" t="s">
        <v>10</v>
      </c>
      <c r="C2202" t="s">
        <v>2737</v>
      </c>
      <c r="D2202" t="str">
        <f t="shared" si="152"/>
        <v/>
      </c>
      <c r="E2202" t="s">
        <v>2738</v>
      </c>
      <c r="F2202" t="str">
        <f t="shared" si="154"/>
        <v>5101654</v>
      </c>
    </row>
    <row r="2203" spans="1:9" ht="15" hidden="1" customHeight="1" x14ac:dyDescent="0.25">
      <c r="A2203">
        <v>17878</v>
      </c>
      <c r="B2203" t="s">
        <v>10</v>
      </c>
      <c r="C2203" t="s">
        <v>2735</v>
      </c>
      <c r="D2203" t="str">
        <f t="shared" si="152"/>
        <v/>
      </c>
      <c r="E2203" t="s">
        <v>2736</v>
      </c>
      <c r="F2203" t="str">
        <f t="shared" si="154"/>
        <v>5101654</v>
      </c>
    </row>
    <row r="2204" spans="1:9" ht="15" hidden="1" customHeight="1" x14ac:dyDescent="0.25">
      <c r="A2204">
        <v>17881</v>
      </c>
      <c r="B2204" t="s">
        <v>10</v>
      </c>
      <c r="C2204" t="s">
        <v>2741</v>
      </c>
      <c r="D2204" t="str">
        <f t="shared" si="152"/>
        <v/>
      </c>
      <c r="E2204" t="s">
        <v>2742</v>
      </c>
      <c r="F2204" t="str">
        <f t="shared" si="154"/>
        <v>5101654</v>
      </c>
    </row>
    <row r="2205" spans="1:9" ht="15" hidden="1" customHeight="1" x14ac:dyDescent="0.25">
      <c r="A2205">
        <v>17877</v>
      </c>
      <c r="B2205" t="s">
        <v>10</v>
      </c>
      <c r="C2205" t="s">
        <v>2733</v>
      </c>
      <c r="D2205" t="str">
        <f t="shared" si="152"/>
        <v/>
      </c>
      <c r="E2205" t="s">
        <v>2734</v>
      </c>
      <c r="F2205" t="str">
        <f t="shared" si="154"/>
        <v>5101654</v>
      </c>
    </row>
    <row r="2206" spans="1:9" ht="15" hidden="1" customHeight="1" x14ac:dyDescent="0.25">
      <c r="A2206">
        <v>17875</v>
      </c>
      <c r="B2206" t="s">
        <v>10</v>
      </c>
      <c r="C2206" t="s">
        <v>2729</v>
      </c>
      <c r="D2206" t="str">
        <f t="shared" si="152"/>
        <v/>
      </c>
      <c r="E2206" t="s">
        <v>2730</v>
      </c>
      <c r="F2206" t="str">
        <f t="shared" si="154"/>
        <v>5101654</v>
      </c>
    </row>
    <row r="2207" spans="1:9" ht="15" hidden="1" customHeight="1" x14ac:dyDescent="0.25">
      <c r="A2207">
        <v>17876</v>
      </c>
      <c r="B2207" t="s">
        <v>10</v>
      </c>
      <c r="C2207" t="s">
        <v>2731</v>
      </c>
      <c r="D2207" t="str">
        <f t="shared" si="152"/>
        <v/>
      </c>
      <c r="E2207" t="s">
        <v>2732</v>
      </c>
      <c r="F2207" t="str">
        <f t="shared" si="154"/>
        <v>5101654</v>
      </c>
    </row>
    <row r="2208" spans="1:9" ht="15" customHeight="1" x14ac:dyDescent="0.25">
      <c r="A2208">
        <v>19464</v>
      </c>
      <c r="B2208" t="s">
        <v>7</v>
      </c>
      <c r="C2208" t="s">
        <v>4751</v>
      </c>
      <c r="D2208" t="str">
        <f t="shared" si="152"/>
        <v/>
      </c>
      <c r="E2208" t="s">
        <v>4752</v>
      </c>
      <c r="F2208" t="s">
        <v>6927</v>
      </c>
      <c r="H2208">
        <v>3</v>
      </c>
      <c r="I2208">
        <v>1</v>
      </c>
    </row>
    <row r="2209" spans="1:9" ht="15" hidden="1" customHeight="1" x14ac:dyDescent="0.25">
      <c r="A2209">
        <v>19465</v>
      </c>
      <c r="B2209" t="s">
        <v>10</v>
      </c>
      <c r="C2209" t="s">
        <v>4753</v>
      </c>
      <c r="D2209" t="str">
        <f t="shared" si="152"/>
        <v/>
      </c>
      <c r="E2209" t="s">
        <v>4754</v>
      </c>
      <c r="F2209" t="str">
        <f t="shared" ref="F2209:F2218" si="155">LEFT(C2209,7)</f>
        <v>5101655</v>
      </c>
    </row>
    <row r="2210" spans="1:9" ht="15" hidden="1" customHeight="1" x14ac:dyDescent="0.25">
      <c r="A2210">
        <v>19469</v>
      </c>
      <c r="B2210" t="s">
        <v>10</v>
      </c>
      <c r="C2210" t="s">
        <v>4755</v>
      </c>
      <c r="D2210" t="str">
        <f t="shared" si="152"/>
        <v/>
      </c>
      <c r="E2210" t="s">
        <v>4756</v>
      </c>
      <c r="F2210" t="str">
        <f t="shared" si="155"/>
        <v>5101655</v>
      </c>
    </row>
    <row r="2211" spans="1:9" ht="15" customHeight="1" x14ac:dyDescent="0.25">
      <c r="A2211">
        <v>19545</v>
      </c>
      <c r="B2211" t="s">
        <v>7</v>
      </c>
      <c r="C2211" t="s">
        <v>4859</v>
      </c>
      <c r="D2211" t="str">
        <f t="shared" si="152"/>
        <v/>
      </c>
      <c r="E2211" t="s">
        <v>4860</v>
      </c>
      <c r="F2211" t="str">
        <f t="shared" si="155"/>
        <v>5101877</v>
      </c>
      <c r="H2211">
        <v>4</v>
      </c>
      <c r="I2211">
        <v>1</v>
      </c>
    </row>
    <row r="2212" spans="1:9" ht="15" hidden="1" customHeight="1" x14ac:dyDescent="0.25">
      <c r="A2212">
        <v>19554</v>
      </c>
      <c r="B2212" t="s">
        <v>10</v>
      </c>
      <c r="C2212" t="s">
        <v>4869</v>
      </c>
      <c r="D2212" t="str">
        <f t="shared" si="152"/>
        <v/>
      </c>
      <c r="E2212" t="s">
        <v>4870</v>
      </c>
      <c r="F2212" t="str">
        <f t="shared" si="155"/>
        <v>5101877</v>
      </c>
    </row>
    <row r="2213" spans="1:9" ht="15" hidden="1" customHeight="1" x14ac:dyDescent="0.25">
      <c r="A2213">
        <v>19553</v>
      </c>
      <c r="B2213" t="s">
        <v>10</v>
      </c>
      <c r="C2213" t="s">
        <v>4867</v>
      </c>
      <c r="D2213" t="str">
        <f t="shared" si="152"/>
        <v/>
      </c>
      <c r="E2213" t="s">
        <v>4868</v>
      </c>
      <c r="F2213" t="str">
        <f t="shared" si="155"/>
        <v>5101877</v>
      </c>
    </row>
    <row r="2214" spans="1:9" ht="15" hidden="1" customHeight="1" x14ac:dyDescent="0.25">
      <c r="A2214">
        <v>19552</v>
      </c>
      <c r="B2214" t="s">
        <v>10</v>
      </c>
      <c r="C2214" t="s">
        <v>4865</v>
      </c>
      <c r="D2214" t="str">
        <f t="shared" si="152"/>
        <v/>
      </c>
      <c r="E2214" t="s">
        <v>4866</v>
      </c>
      <c r="F2214" t="str">
        <f t="shared" si="155"/>
        <v>5101877</v>
      </c>
    </row>
    <row r="2215" spans="1:9" ht="15" hidden="1" customHeight="1" x14ac:dyDescent="0.25">
      <c r="A2215">
        <v>19555</v>
      </c>
      <c r="B2215" t="s">
        <v>10</v>
      </c>
      <c r="C2215" t="s">
        <v>4871</v>
      </c>
      <c r="D2215" t="str">
        <f t="shared" si="152"/>
        <v/>
      </c>
      <c r="E2215" t="s">
        <v>4872</v>
      </c>
      <c r="F2215" t="str">
        <f t="shared" si="155"/>
        <v>5101877</v>
      </c>
    </row>
    <row r="2216" spans="1:9" ht="15" hidden="1" customHeight="1" x14ac:dyDescent="0.25">
      <c r="A2216">
        <v>19551</v>
      </c>
      <c r="B2216" t="s">
        <v>10</v>
      </c>
      <c r="C2216" t="s">
        <v>4863</v>
      </c>
      <c r="D2216" t="str">
        <f t="shared" si="152"/>
        <v/>
      </c>
      <c r="E2216" t="s">
        <v>4864</v>
      </c>
      <c r="F2216" t="str">
        <f t="shared" si="155"/>
        <v>5101877</v>
      </c>
    </row>
    <row r="2217" spans="1:9" ht="15" hidden="1" customHeight="1" x14ac:dyDescent="0.25">
      <c r="A2217">
        <v>19556</v>
      </c>
      <c r="B2217" t="s">
        <v>10</v>
      </c>
      <c r="C2217" t="s">
        <v>4873</v>
      </c>
      <c r="D2217" t="str">
        <f t="shared" si="152"/>
        <v/>
      </c>
      <c r="E2217" t="s">
        <v>4874</v>
      </c>
      <c r="F2217" t="str">
        <f t="shared" si="155"/>
        <v>5101877</v>
      </c>
    </row>
    <row r="2218" spans="1:9" ht="15" hidden="1" customHeight="1" x14ac:dyDescent="0.25">
      <c r="A2218">
        <v>19546</v>
      </c>
      <c r="B2218" t="s">
        <v>10</v>
      </c>
      <c r="C2218" t="s">
        <v>4861</v>
      </c>
      <c r="D2218" t="str">
        <f t="shared" si="152"/>
        <v/>
      </c>
      <c r="E2218" t="s">
        <v>4862</v>
      </c>
      <c r="F2218" t="str">
        <f t="shared" si="155"/>
        <v>5101877</v>
      </c>
    </row>
    <row r="2219" spans="1:9" ht="15" customHeight="1" x14ac:dyDescent="0.25">
      <c r="A2219">
        <v>19557</v>
      </c>
      <c r="B2219" t="s">
        <v>7</v>
      </c>
      <c r="C2219" t="s">
        <v>4875</v>
      </c>
      <c r="D2219" t="str">
        <f t="shared" si="152"/>
        <v/>
      </c>
      <c r="E2219" t="s">
        <v>4876</v>
      </c>
      <c r="F2219" t="s">
        <v>6928</v>
      </c>
      <c r="H2219">
        <v>4</v>
      </c>
      <c r="I2219">
        <v>1</v>
      </c>
    </row>
    <row r="2220" spans="1:9" ht="15" hidden="1" customHeight="1" x14ac:dyDescent="0.25">
      <c r="A2220">
        <v>19558</v>
      </c>
      <c r="B2220" t="s">
        <v>10</v>
      </c>
      <c r="C2220" t="s">
        <v>4877</v>
      </c>
      <c r="D2220" t="str">
        <f t="shared" si="152"/>
        <v/>
      </c>
      <c r="E2220" t="s">
        <v>4878</v>
      </c>
      <c r="F2220" t="str">
        <f t="shared" ref="F2220:F2227" si="156">LEFT(C2220,7)</f>
        <v>5101883</v>
      </c>
    </row>
    <row r="2221" spans="1:9" ht="15" hidden="1" customHeight="1" x14ac:dyDescent="0.25">
      <c r="A2221">
        <v>19559</v>
      </c>
      <c r="B2221" t="s">
        <v>10</v>
      </c>
      <c r="C2221" t="s">
        <v>4879</v>
      </c>
      <c r="D2221" t="str">
        <f t="shared" si="152"/>
        <v/>
      </c>
      <c r="E2221" t="s">
        <v>4880</v>
      </c>
      <c r="F2221" t="str">
        <f t="shared" si="156"/>
        <v>5101883</v>
      </c>
    </row>
    <row r="2222" spans="1:9" ht="15" hidden="1" customHeight="1" x14ac:dyDescent="0.25">
      <c r="A2222">
        <v>19560</v>
      </c>
      <c r="B2222" t="s">
        <v>10</v>
      </c>
      <c r="C2222" t="s">
        <v>4881</v>
      </c>
      <c r="D2222" t="str">
        <f t="shared" si="152"/>
        <v/>
      </c>
      <c r="E2222" t="s">
        <v>4882</v>
      </c>
      <c r="F2222" t="str">
        <f t="shared" si="156"/>
        <v>5101883</v>
      </c>
    </row>
    <row r="2223" spans="1:9" ht="15" customHeight="1" x14ac:dyDescent="0.25">
      <c r="A2223">
        <v>19478</v>
      </c>
      <c r="B2223" t="s">
        <v>7</v>
      </c>
      <c r="C2223" t="s">
        <v>4769</v>
      </c>
      <c r="D2223" t="str">
        <f t="shared" si="152"/>
        <v/>
      </c>
      <c r="E2223" t="s">
        <v>4770</v>
      </c>
      <c r="F2223" t="str">
        <f t="shared" si="156"/>
        <v>5101002</v>
      </c>
      <c r="H2223">
        <v>5</v>
      </c>
      <c r="I2223">
        <v>1</v>
      </c>
    </row>
    <row r="2224" spans="1:9" ht="15" hidden="1" customHeight="1" x14ac:dyDescent="0.25">
      <c r="A2224">
        <v>19485</v>
      </c>
      <c r="B2224" t="s">
        <v>10</v>
      </c>
      <c r="C2224" t="s">
        <v>4775</v>
      </c>
      <c r="D2224" t="str">
        <f t="shared" si="152"/>
        <v/>
      </c>
      <c r="E2224" t="s">
        <v>4776</v>
      </c>
      <c r="F2224" t="str">
        <f t="shared" si="156"/>
        <v>5101002</v>
      </c>
    </row>
    <row r="2225" spans="1:9" ht="15" hidden="1" customHeight="1" x14ac:dyDescent="0.25">
      <c r="A2225">
        <v>19484</v>
      </c>
      <c r="B2225" t="s">
        <v>10</v>
      </c>
      <c r="C2225" t="s">
        <v>4773</v>
      </c>
      <c r="D2225" t="str">
        <f t="shared" si="152"/>
        <v/>
      </c>
      <c r="E2225" t="s">
        <v>4774</v>
      </c>
      <c r="F2225" t="str">
        <f t="shared" si="156"/>
        <v>5101002</v>
      </c>
    </row>
    <row r="2226" spans="1:9" hidden="1" x14ac:dyDescent="0.25">
      <c r="A2226">
        <v>19479</v>
      </c>
      <c r="B2226" t="s">
        <v>10</v>
      </c>
      <c r="C2226" t="s">
        <v>4771</v>
      </c>
      <c r="D2226" t="str">
        <f t="shared" si="152"/>
        <v/>
      </c>
      <c r="E2226" t="s">
        <v>4772</v>
      </c>
      <c r="F2226" t="str">
        <f t="shared" si="156"/>
        <v>5101002</v>
      </c>
    </row>
    <row r="2227" spans="1:9" hidden="1" x14ac:dyDescent="0.25">
      <c r="A2227">
        <v>19486</v>
      </c>
      <c r="B2227" t="s">
        <v>10</v>
      </c>
      <c r="C2227" t="s">
        <v>4777</v>
      </c>
      <c r="D2227" t="str">
        <f t="shared" si="152"/>
        <v/>
      </c>
      <c r="E2227" t="s">
        <v>4778</v>
      </c>
      <c r="F2227" t="str">
        <f t="shared" si="156"/>
        <v>5101002</v>
      </c>
    </row>
    <row r="2228" spans="1:9" x14ac:dyDescent="0.25">
      <c r="A2228">
        <v>19487</v>
      </c>
      <c r="B2228" t="s">
        <v>7</v>
      </c>
      <c r="C2228" t="s">
        <v>4779</v>
      </c>
      <c r="D2228" t="str">
        <f t="shared" si="152"/>
        <v/>
      </c>
      <c r="E2228" t="s">
        <v>4780</v>
      </c>
      <c r="F2228" t="s">
        <v>6929</v>
      </c>
      <c r="H2228">
        <v>5</v>
      </c>
      <c r="I2228">
        <v>1</v>
      </c>
    </row>
    <row r="2229" spans="1:9" hidden="1" x14ac:dyDescent="0.25">
      <c r="A2229">
        <v>19488</v>
      </c>
      <c r="B2229" t="s">
        <v>10</v>
      </c>
      <c r="C2229" t="s">
        <v>4781</v>
      </c>
      <c r="D2229" t="str">
        <f t="shared" si="152"/>
        <v/>
      </c>
      <c r="E2229" t="s">
        <v>4782</v>
      </c>
      <c r="F2229" t="str">
        <f t="shared" ref="F2229:F2292" si="157">LEFT(C2229,7)</f>
        <v>5101881</v>
      </c>
    </row>
    <row r="2230" spans="1:9" hidden="1" x14ac:dyDescent="0.25">
      <c r="A2230">
        <v>19489</v>
      </c>
      <c r="B2230" t="s">
        <v>10</v>
      </c>
      <c r="C2230" t="s">
        <v>4783</v>
      </c>
      <c r="D2230" t="str">
        <f t="shared" si="152"/>
        <v/>
      </c>
      <c r="E2230" t="s">
        <v>4784</v>
      </c>
      <c r="F2230" t="str">
        <f t="shared" si="157"/>
        <v>5101881</v>
      </c>
    </row>
    <row r="2231" spans="1:9" hidden="1" x14ac:dyDescent="0.25">
      <c r="A2231">
        <v>19490</v>
      </c>
      <c r="B2231" t="s">
        <v>10</v>
      </c>
      <c r="C2231" t="s">
        <v>4785</v>
      </c>
      <c r="D2231" t="str">
        <f t="shared" si="152"/>
        <v/>
      </c>
      <c r="E2231" t="s">
        <v>4786</v>
      </c>
      <c r="F2231" t="str">
        <f t="shared" si="157"/>
        <v>5101881</v>
      </c>
    </row>
    <row r="2232" spans="1:9" hidden="1" x14ac:dyDescent="0.25">
      <c r="A2232">
        <v>17030</v>
      </c>
      <c r="B2232" t="s">
        <v>4</v>
      </c>
      <c r="C2232" t="s">
        <v>1910</v>
      </c>
      <c r="D2232" t="str">
        <f t="shared" si="152"/>
        <v/>
      </c>
      <c r="E2232" t="s">
        <v>1911</v>
      </c>
      <c r="F2232" t="str">
        <f t="shared" si="157"/>
        <v>8519042</v>
      </c>
      <c r="H2232">
        <v>5</v>
      </c>
    </row>
    <row r="2233" spans="1:9" ht="15" hidden="1" customHeight="1" x14ac:dyDescent="0.25">
      <c r="A2233">
        <v>18583</v>
      </c>
      <c r="B2233" t="s">
        <v>4</v>
      </c>
      <c r="C2233" t="s">
        <v>3781</v>
      </c>
      <c r="D2233" t="str">
        <f t="shared" si="152"/>
        <v/>
      </c>
      <c r="E2233" t="s">
        <v>3782</v>
      </c>
      <c r="F2233" t="str">
        <f t="shared" si="157"/>
        <v>8519044</v>
      </c>
      <c r="H2233">
        <v>5</v>
      </c>
    </row>
    <row r="2234" spans="1:9" ht="15" hidden="1" customHeight="1" x14ac:dyDescent="0.25">
      <c r="A2234">
        <v>17023</v>
      </c>
      <c r="B2234" t="s">
        <v>4</v>
      </c>
      <c r="C2234" t="s">
        <v>1908</v>
      </c>
      <c r="D2234" t="str">
        <f t="shared" si="152"/>
        <v/>
      </c>
      <c r="E2234" t="s">
        <v>1909</v>
      </c>
      <c r="F2234" t="str">
        <f t="shared" si="157"/>
        <v>8519041</v>
      </c>
      <c r="H2234">
        <v>5</v>
      </c>
    </row>
    <row r="2235" spans="1:9" ht="15" hidden="1" customHeight="1" x14ac:dyDescent="0.25">
      <c r="A2235">
        <v>17384</v>
      </c>
      <c r="B2235" t="s">
        <v>4</v>
      </c>
      <c r="C2235" t="s">
        <v>2117</v>
      </c>
      <c r="D2235" t="str">
        <f t="shared" si="152"/>
        <v/>
      </c>
      <c r="E2235" t="s">
        <v>2118</v>
      </c>
      <c r="F2235" t="str">
        <f t="shared" si="157"/>
        <v>8519022</v>
      </c>
      <c r="H2235">
        <v>4</v>
      </c>
    </row>
    <row r="2236" spans="1:9" ht="15" hidden="1" customHeight="1" x14ac:dyDescent="0.25">
      <c r="A2236">
        <v>19639</v>
      </c>
      <c r="B2236" t="s">
        <v>4</v>
      </c>
      <c r="C2236" t="s">
        <v>4997</v>
      </c>
      <c r="D2236" t="str">
        <f t="shared" si="152"/>
        <v/>
      </c>
      <c r="E2236" t="s">
        <v>4998</v>
      </c>
      <c r="F2236" t="str">
        <f t="shared" si="157"/>
        <v>8400000</v>
      </c>
      <c r="H2236">
        <v>3</v>
      </c>
    </row>
    <row r="2237" spans="1:9" ht="15" hidden="1" customHeight="1" x14ac:dyDescent="0.25">
      <c r="A2237">
        <v>19769</v>
      </c>
      <c r="B2237" t="s">
        <v>4</v>
      </c>
      <c r="C2237" t="s">
        <v>5183</v>
      </c>
      <c r="D2237" t="str">
        <f t="shared" si="152"/>
        <v/>
      </c>
      <c r="E2237" t="s">
        <v>5184</v>
      </c>
      <c r="F2237" t="str">
        <f t="shared" si="157"/>
        <v>8400128</v>
      </c>
      <c r="H2237">
        <v>2</v>
      </c>
    </row>
    <row r="2238" spans="1:9" ht="15" hidden="1" customHeight="1" x14ac:dyDescent="0.25">
      <c r="A2238">
        <v>19393</v>
      </c>
      <c r="B2238" t="s">
        <v>4</v>
      </c>
      <c r="C2238" t="s">
        <v>4657</v>
      </c>
      <c r="D2238" t="str">
        <f t="shared" si="152"/>
        <v/>
      </c>
      <c r="E2238" t="s">
        <v>4658</v>
      </c>
      <c r="F2238" t="str">
        <f t="shared" si="157"/>
        <v>8400691</v>
      </c>
      <c r="H2238">
        <v>3</v>
      </c>
    </row>
    <row r="2239" spans="1:9" ht="15" customHeight="1" x14ac:dyDescent="0.25">
      <c r="A2239">
        <v>17483</v>
      </c>
      <c r="B2239" t="s">
        <v>7</v>
      </c>
      <c r="C2239" t="s">
        <v>2175</v>
      </c>
      <c r="D2239" t="str">
        <f t="shared" si="152"/>
        <v/>
      </c>
      <c r="E2239" t="s">
        <v>2176</v>
      </c>
      <c r="F2239" t="str">
        <f t="shared" si="157"/>
        <v>8305006</v>
      </c>
      <c r="H2239">
        <v>3</v>
      </c>
    </row>
    <row r="2240" spans="1:9" ht="15" hidden="1" customHeight="1" x14ac:dyDescent="0.25">
      <c r="A2240">
        <v>17484</v>
      </c>
      <c r="B2240" t="s">
        <v>10</v>
      </c>
      <c r="C2240" t="s">
        <v>2177</v>
      </c>
      <c r="D2240" t="str">
        <f t="shared" si="152"/>
        <v/>
      </c>
      <c r="E2240" t="s">
        <v>2178</v>
      </c>
      <c r="F2240" t="str">
        <f t="shared" si="157"/>
        <v>8305006</v>
      </c>
    </row>
    <row r="2241" spans="1:8" ht="15" hidden="1" customHeight="1" x14ac:dyDescent="0.25">
      <c r="A2241">
        <v>17485</v>
      </c>
      <c r="B2241" t="s">
        <v>10</v>
      </c>
      <c r="C2241" t="s">
        <v>2179</v>
      </c>
      <c r="D2241" t="str">
        <f t="shared" si="152"/>
        <v/>
      </c>
      <c r="E2241" t="s">
        <v>2180</v>
      </c>
      <c r="F2241" t="str">
        <f t="shared" si="157"/>
        <v>8305006</v>
      </c>
    </row>
    <row r="2242" spans="1:8" ht="15" hidden="1" customHeight="1" x14ac:dyDescent="0.25">
      <c r="A2242">
        <v>17486</v>
      </c>
      <c r="B2242" t="s">
        <v>10</v>
      </c>
      <c r="C2242" t="s">
        <v>2181</v>
      </c>
      <c r="D2242" t="str">
        <f t="shared" si="152"/>
        <v/>
      </c>
      <c r="E2242" t="s">
        <v>2182</v>
      </c>
      <c r="F2242" t="str">
        <f t="shared" si="157"/>
        <v>8305006</v>
      </c>
    </row>
    <row r="2243" spans="1:8" ht="15" hidden="1" customHeight="1" x14ac:dyDescent="0.25">
      <c r="A2243">
        <v>17487</v>
      </c>
      <c r="B2243" t="s">
        <v>10</v>
      </c>
      <c r="C2243" t="s">
        <v>2183</v>
      </c>
      <c r="D2243" t="str">
        <f t="shared" si="152"/>
        <v/>
      </c>
      <c r="E2243" t="s">
        <v>2184</v>
      </c>
      <c r="F2243" t="str">
        <f t="shared" si="157"/>
        <v>8305006</v>
      </c>
    </row>
    <row r="2244" spans="1:8" ht="15" hidden="1" customHeight="1" x14ac:dyDescent="0.25">
      <c r="A2244">
        <v>17488</v>
      </c>
      <c r="B2244" t="s">
        <v>10</v>
      </c>
      <c r="C2244" t="s">
        <v>2185</v>
      </c>
      <c r="D2244" t="str">
        <f t="shared" si="152"/>
        <v/>
      </c>
      <c r="E2244" t="s">
        <v>2186</v>
      </c>
      <c r="F2244" t="str">
        <f t="shared" si="157"/>
        <v>8305006</v>
      </c>
    </row>
    <row r="2245" spans="1:8" hidden="1" x14ac:dyDescent="0.25">
      <c r="A2245">
        <v>17489</v>
      </c>
      <c r="B2245" t="s">
        <v>10</v>
      </c>
      <c r="C2245" t="s">
        <v>2187</v>
      </c>
      <c r="D2245" t="str">
        <f t="shared" si="152"/>
        <v/>
      </c>
      <c r="E2245" t="s">
        <v>2188</v>
      </c>
      <c r="F2245" t="str">
        <f t="shared" si="157"/>
        <v>8305006</v>
      </c>
    </row>
    <row r="2246" spans="1:8" hidden="1" x14ac:dyDescent="0.25">
      <c r="A2246">
        <v>17490</v>
      </c>
      <c r="B2246" t="s">
        <v>10</v>
      </c>
      <c r="C2246" t="s">
        <v>2189</v>
      </c>
      <c r="D2246" t="str">
        <f t="shared" si="152"/>
        <v/>
      </c>
      <c r="E2246" t="s">
        <v>2190</v>
      </c>
      <c r="F2246" t="str">
        <f t="shared" si="157"/>
        <v>8305006</v>
      </c>
    </row>
    <row r="2247" spans="1:8" hidden="1" x14ac:dyDescent="0.25">
      <c r="A2247">
        <v>17491</v>
      </c>
      <c r="B2247" t="s">
        <v>10</v>
      </c>
      <c r="C2247" t="s">
        <v>2191</v>
      </c>
      <c r="D2247" t="str">
        <f t="shared" ref="D2247:D2310" si="158">IF(RIGHT(LEFT(C2247,9),2)="##","",RIGHT(LEFT(C2247,10),2))</f>
        <v/>
      </c>
      <c r="E2247" t="s">
        <v>2192</v>
      </c>
      <c r="F2247" t="str">
        <f t="shared" si="157"/>
        <v>8305006</v>
      </c>
    </row>
    <row r="2248" spans="1:8" hidden="1" x14ac:dyDescent="0.25">
      <c r="A2248">
        <v>17492</v>
      </c>
      <c r="B2248" t="s">
        <v>10</v>
      </c>
      <c r="C2248" t="s">
        <v>2193</v>
      </c>
      <c r="D2248" t="str">
        <f t="shared" si="158"/>
        <v/>
      </c>
      <c r="E2248" t="s">
        <v>2194</v>
      </c>
      <c r="F2248" t="str">
        <f t="shared" si="157"/>
        <v>8305006</v>
      </c>
    </row>
    <row r="2249" spans="1:8" hidden="1" x14ac:dyDescent="0.25">
      <c r="A2249">
        <v>17493</v>
      </c>
      <c r="B2249" t="s">
        <v>10</v>
      </c>
      <c r="C2249" t="s">
        <v>2195</v>
      </c>
      <c r="D2249" t="str">
        <f t="shared" si="158"/>
        <v/>
      </c>
      <c r="E2249" t="s">
        <v>2196</v>
      </c>
      <c r="F2249" t="str">
        <f t="shared" si="157"/>
        <v>8305006</v>
      </c>
    </row>
    <row r="2250" spans="1:8" hidden="1" x14ac:dyDescent="0.25">
      <c r="A2250">
        <v>17494</v>
      </c>
      <c r="B2250" t="s">
        <v>10</v>
      </c>
      <c r="C2250" t="s">
        <v>2197</v>
      </c>
      <c r="D2250" t="str">
        <f t="shared" si="158"/>
        <v/>
      </c>
      <c r="E2250" t="s">
        <v>2198</v>
      </c>
      <c r="F2250" t="str">
        <f t="shared" si="157"/>
        <v>8305006</v>
      </c>
    </row>
    <row r="2251" spans="1:8" hidden="1" x14ac:dyDescent="0.25">
      <c r="A2251">
        <v>19414</v>
      </c>
      <c r="B2251" t="s">
        <v>4</v>
      </c>
      <c r="C2251" t="s">
        <v>4683</v>
      </c>
      <c r="D2251" t="str">
        <f t="shared" si="158"/>
        <v/>
      </c>
      <c r="E2251" t="s">
        <v>4684</v>
      </c>
      <c r="F2251" t="str">
        <f t="shared" si="157"/>
        <v>8400010</v>
      </c>
      <c r="H2251">
        <v>3</v>
      </c>
    </row>
    <row r="2252" spans="1:8" ht="15" hidden="1" customHeight="1" x14ac:dyDescent="0.25">
      <c r="A2252">
        <v>15543</v>
      </c>
      <c r="B2252" t="s">
        <v>4</v>
      </c>
      <c r="C2252" t="s">
        <v>921</v>
      </c>
      <c r="D2252" t="str">
        <f t="shared" si="158"/>
        <v/>
      </c>
      <c r="E2252" t="s">
        <v>922</v>
      </c>
      <c r="F2252" t="str">
        <f t="shared" si="157"/>
        <v>8400024</v>
      </c>
      <c r="H2252">
        <v>1</v>
      </c>
    </row>
    <row r="2253" spans="1:8" ht="15" hidden="1" customHeight="1" x14ac:dyDescent="0.25">
      <c r="A2253">
        <v>15540</v>
      </c>
      <c r="B2253" t="s">
        <v>4</v>
      </c>
      <c r="C2253" t="s">
        <v>919</v>
      </c>
      <c r="D2253" t="str">
        <f t="shared" si="158"/>
        <v/>
      </c>
      <c r="E2253" t="s">
        <v>920</v>
      </c>
      <c r="F2253" t="str">
        <f t="shared" si="157"/>
        <v>8400001</v>
      </c>
      <c r="H2253">
        <v>1</v>
      </c>
    </row>
    <row r="2254" spans="1:8" ht="15" hidden="1" customHeight="1" x14ac:dyDescent="0.25">
      <c r="A2254">
        <v>19389</v>
      </c>
      <c r="B2254" t="s">
        <v>4</v>
      </c>
      <c r="C2254" t="s">
        <v>4655</v>
      </c>
      <c r="D2254" t="str">
        <f t="shared" si="158"/>
        <v/>
      </c>
      <c r="E2254" t="s">
        <v>4656</v>
      </c>
      <c r="F2254" t="str">
        <f t="shared" si="157"/>
        <v>8400689</v>
      </c>
      <c r="H2254">
        <v>3</v>
      </c>
    </row>
    <row r="2255" spans="1:8" ht="15" hidden="1" customHeight="1" x14ac:dyDescent="0.25">
      <c r="A2255">
        <v>18615</v>
      </c>
      <c r="B2255" t="s">
        <v>4</v>
      </c>
      <c r="C2255" t="s">
        <v>3815</v>
      </c>
      <c r="D2255" t="str">
        <f t="shared" si="158"/>
        <v/>
      </c>
      <c r="E2255" t="s">
        <v>3816</v>
      </c>
      <c r="F2255" t="str">
        <f t="shared" si="157"/>
        <v>8400908</v>
      </c>
      <c r="H2255">
        <v>5</v>
      </c>
    </row>
    <row r="2256" spans="1:8" ht="15" hidden="1" customHeight="1" x14ac:dyDescent="0.25">
      <c r="A2256">
        <v>19410</v>
      </c>
      <c r="B2256" t="s">
        <v>4</v>
      </c>
      <c r="C2256" t="s">
        <v>4681</v>
      </c>
      <c r="D2256" t="str">
        <f t="shared" si="158"/>
        <v/>
      </c>
      <c r="E2256" t="s">
        <v>4682</v>
      </c>
      <c r="F2256" t="str">
        <f t="shared" si="157"/>
        <v>8400002</v>
      </c>
      <c r="H2256">
        <v>3</v>
      </c>
    </row>
    <row r="2257" spans="1:8" ht="15" hidden="1" customHeight="1" x14ac:dyDescent="0.25">
      <c r="A2257">
        <v>19774</v>
      </c>
      <c r="B2257" t="s">
        <v>4</v>
      </c>
      <c r="C2257" t="s">
        <v>5185</v>
      </c>
      <c r="D2257" t="str">
        <f t="shared" si="158"/>
        <v/>
      </c>
      <c r="E2257" t="s">
        <v>5186</v>
      </c>
      <c r="F2257" t="str">
        <f t="shared" si="157"/>
        <v>8400129</v>
      </c>
      <c r="H2257">
        <v>3</v>
      </c>
    </row>
    <row r="2258" spans="1:8" ht="15" customHeight="1" x14ac:dyDescent="0.25">
      <c r="A2258">
        <v>17471</v>
      </c>
      <c r="B2258" t="s">
        <v>7</v>
      </c>
      <c r="C2258" t="s">
        <v>2151</v>
      </c>
      <c r="D2258" t="str">
        <f t="shared" si="158"/>
        <v/>
      </c>
      <c r="E2258" t="s">
        <v>2152</v>
      </c>
      <c r="F2258" t="str">
        <f t="shared" si="157"/>
        <v>8305000</v>
      </c>
      <c r="H2258">
        <v>3</v>
      </c>
    </row>
    <row r="2259" spans="1:8" ht="15" hidden="1" customHeight="1" x14ac:dyDescent="0.25">
      <c r="A2259">
        <v>17472</v>
      </c>
      <c r="B2259" t="s">
        <v>10</v>
      </c>
      <c r="C2259" t="s">
        <v>2153</v>
      </c>
      <c r="D2259" t="str">
        <f t="shared" si="158"/>
        <v/>
      </c>
      <c r="E2259" t="s">
        <v>2154</v>
      </c>
      <c r="F2259" t="str">
        <f t="shared" si="157"/>
        <v>8305000</v>
      </c>
    </row>
    <row r="2260" spans="1:8" ht="15" hidden="1" customHeight="1" x14ac:dyDescent="0.25">
      <c r="A2260">
        <v>17473</v>
      </c>
      <c r="B2260" t="s">
        <v>10</v>
      </c>
      <c r="C2260" t="s">
        <v>2155</v>
      </c>
      <c r="D2260" t="str">
        <f t="shared" si="158"/>
        <v/>
      </c>
      <c r="E2260" t="s">
        <v>2156</v>
      </c>
      <c r="F2260" t="str">
        <f t="shared" si="157"/>
        <v>8305000</v>
      </c>
    </row>
    <row r="2261" spans="1:8" ht="15" hidden="1" customHeight="1" x14ac:dyDescent="0.25">
      <c r="A2261">
        <v>17474</v>
      </c>
      <c r="B2261" t="s">
        <v>10</v>
      </c>
      <c r="C2261" t="s">
        <v>2157</v>
      </c>
      <c r="D2261" t="str">
        <f t="shared" si="158"/>
        <v/>
      </c>
      <c r="E2261" t="s">
        <v>2158</v>
      </c>
      <c r="F2261" t="str">
        <f t="shared" si="157"/>
        <v>8305000</v>
      </c>
    </row>
    <row r="2262" spans="1:8" ht="15" hidden="1" customHeight="1" x14ac:dyDescent="0.25">
      <c r="A2262">
        <v>17475</v>
      </c>
      <c r="B2262" t="s">
        <v>10</v>
      </c>
      <c r="C2262" t="s">
        <v>2159</v>
      </c>
      <c r="D2262" t="str">
        <f t="shared" si="158"/>
        <v/>
      </c>
      <c r="E2262" t="s">
        <v>2160</v>
      </c>
      <c r="F2262" t="str">
        <f t="shared" si="157"/>
        <v>8305000</v>
      </c>
    </row>
    <row r="2263" spans="1:8" ht="15" hidden="1" customHeight="1" x14ac:dyDescent="0.25">
      <c r="A2263">
        <v>17476</v>
      </c>
      <c r="B2263" t="s">
        <v>10</v>
      </c>
      <c r="C2263" t="s">
        <v>2161</v>
      </c>
      <c r="D2263" t="str">
        <f t="shared" si="158"/>
        <v/>
      </c>
      <c r="E2263" t="s">
        <v>2162</v>
      </c>
      <c r="F2263" t="str">
        <f t="shared" si="157"/>
        <v>8305000</v>
      </c>
    </row>
    <row r="2264" spans="1:8" ht="15" hidden="1" customHeight="1" x14ac:dyDescent="0.25">
      <c r="A2264">
        <v>17477</v>
      </c>
      <c r="B2264" t="s">
        <v>10</v>
      </c>
      <c r="C2264" t="s">
        <v>2163</v>
      </c>
      <c r="D2264" t="str">
        <f t="shared" si="158"/>
        <v/>
      </c>
      <c r="E2264" t="s">
        <v>2164</v>
      </c>
      <c r="F2264" t="str">
        <f t="shared" si="157"/>
        <v>8305000</v>
      </c>
    </row>
    <row r="2265" spans="1:8" ht="15" hidden="1" customHeight="1" x14ac:dyDescent="0.25">
      <c r="A2265">
        <v>17478</v>
      </c>
      <c r="B2265" t="s">
        <v>10</v>
      </c>
      <c r="C2265" t="s">
        <v>2165</v>
      </c>
      <c r="D2265" t="str">
        <f t="shared" si="158"/>
        <v/>
      </c>
      <c r="E2265" t="s">
        <v>2166</v>
      </c>
      <c r="F2265" t="str">
        <f t="shared" si="157"/>
        <v>8305000</v>
      </c>
    </row>
    <row r="2266" spans="1:8" ht="15" hidden="1" customHeight="1" x14ac:dyDescent="0.25">
      <c r="A2266">
        <v>17479</v>
      </c>
      <c r="B2266" t="s">
        <v>10</v>
      </c>
      <c r="C2266" t="s">
        <v>2167</v>
      </c>
      <c r="D2266" t="str">
        <f t="shared" si="158"/>
        <v/>
      </c>
      <c r="E2266" t="s">
        <v>2168</v>
      </c>
      <c r="F2266" t="str">
        <f t="shared" si="157"/>
        <v>8305000</v>
      </c>
    </row>
    <row r="2267" spans="1:8" ht="15" hidden="1" customHeight="1" x14ac:dyDescent="0.25">
      <c r="A2267">
        <v>17480</v>
      </c>
      <c r="B2267" t="s">
        <v>10</v>
      </c>
      <c r="C2267" t="s">
        <v>2169</v>
      </c>
      <c r="D2267" t="str">
        <f t="shared" si="158"/>
        <v/>
      </c>
      <c r="E2267" t="s">
        <v>2170</v>
      </c>
      <c r="F2267" t="str">
        <f t="shared" si="157"/>
        <v>8305000</v>
      </c>
    </row>
    <row r="2268" spans="1:8" ht="15" hidden="1" customHeight="1" x14ac:dyDescent="0.25">
      <c r="A2268">
        <v>17481</v>
      </c>
      <c r="B2268" t="s">
        <v>10</v>
      </c>
      <c r="C2268" t="s">
        <v>2171</v>
      </c>
      <c r="D2268" t="str">
        <f t="shared" si="158"/>
        <v/>
      </c>
      <c r="E2268" t="s">
        <v>2172</v>
      </c>
      <c r="F2268" t="str">
        <f t="shared" si="157"/>
        <v>8305000</v>
      </c>
    </row>
    <row r="2269" spans="1:8" ht="15" hidden="1" customHeight="1" x14ac:dyDescent="0.25">
      <c r="A2269">
        <v>17482</v>
      </c>
      <c r="B2269" t="s">
        <v>10</v>
      </c>
      <c r="C2269" t="s">
        <v>2173</v>
      </c>
      <c r="D2269" t="str">
        <f t="shared" si="158"/>
        <v/>
      </c>
      <c r="E2269" t="s">
        <v>2174</v>
      </c>
      <c r="F2269" t="str">
        <f t="shared" si="157"/>
        <v>8305000</v>
      </c>
    </row>
    <row r="2270" spans="1:8" ht="15" customHeight="1" x14ac:dyDescent="0.25">
      <c r="A2270">
        <v>19397</v>
      </c>
      <c r="B2270" t="s">
        <v>7</v>
      </c>
      <c r="C2270" t="s">
        <v>4659</v>
      </c>
      <c r="D2270" t="str">
        <f t="shared" si="158"/>
        <v/>
      </c>
      <c r="E2270" t="s">
        <v>4660</v>
      </c>
      <c r="F2270" t="str">
        <f t="shared" si="157"/>
        <v>8305002</v>
      </c>
      <c r="H2270">
        <v>3</v>
      </c>
    </row>
    <row r="2271" spans="1:8" ht="15" hidden="1" customHeight="1" x14ac:dyDescent="0.25">
      <c r="A2271">
        <v>19398</v>
      </c>
      <c r="B2271" t="s">
        <v>10</v>
      </c>
      <c r="C2271" t="s">
        <v>4661</v>
      </c>
      <c r="D2271" t="str">
        <f t="shared" si="158"/>
        <v/>
      </c>
      <c r="E2271" t="s">
        <v>4662</v>
      </c>
      <c r="F2271" t="str">
        <f t="shared" si="157"/>
        <v>8305002</v>
      </c>
    </row>
    <row r="2272" spans="1:8" ht="15" hidden="1" customHeight="1" x14ac:dyDescent="0.25">
      <c r="A2272">
        <v>19401</v>
      </c>
      <c r="B2272" t="s">
        <v>10</v>
      </c>
      <c r="C2272" t="s">
        <v>4663</v>
      </c>
      <c r="D2272" t="str">
        <f t="shared" si="158"/>
        <v/>
      </c>
      <c r="E2272" t="s">
        <v>4664</v>
      </c>
      <c r="F2272" t="str">
        <f t="shared" si="157"/>
        <v>8305002</v>
      </c>
    </row>
    <row r="2273" spans="1:8" ht="15" hidden="1" customHeight="1" x14ac:dyDescent="0.25">
      <c r="A2273">
        <v>19402</v>
      </c>
      <c r="B2273" t="s">
        <v>10</v>
      </c>
      <c r="C2273" t="s">
        <v>4665</v>
      </c>
      <c r="D2273" t="str">
        <f t="shared" si="158"/>
        <v/>
      </c>
      <c r="E2273" t="s">
        <v>4666</v>
      </c>
      <c r="F2273" t="str">
        <f t="shared" si="157"/>
        <v>8305002</v>
      </c>
    </row>
    <row r="2274" spans="1:8" ht="15" hidden="1" customHeight="1" x14ac:dyDescent="0.25">
      <c r="A2274">
        <v>19403</v>
      </c>
      <c r="B2274" t="s">
        <v>10</v>
      </c>
      <c r="C2274" t="s">
        <v>4667</v>
      </c>
      <c r="D2274" t="str">
        <f t="shared" si="158"/>
        <v/>
      </c>
      <c r="E2274" t="s">
        <v>4668</v>
      </c>
      <c r="F2274" t="str">
        <f t="shared" si="157"/>
        <v>8305002</v>
      </c>
    </row>
    <row r="2275" spans="1:8" hidden="1" x14ac:dyDescent="0.25">
      <c r="A2275">
        <v>19404</v>
      </c>
      <c r="B2275" t="s">
        <v>10</v>
      </c>
      <c r="C2275" t="s">
        <v>4669</v>
      </c>
      <c r="D2275" t="str">
        <f t="shared" si="158"/>
        <v/>
      </c>
      <c r="E2275" t="s">
        <v>4670</v>
      </c>
      <c r="F2275" t="str">
        <f t="shared" si="157"/>
        <v>8305002</v>
      </c>
    </row>
    <row r="2276" spans="1:8" hidden="1" x14ac:dyDescent="0.25">
      <c r="A2276">
        <v>19405</v>
      </c>
      <c r="B2276" t="s">
        <v>10</v>
      </c>
      <c r="C2276" t="s">
        <v>4671</v>
      </c>
      <c r="D2276" t="str">
        <f t="shared" si="158"/>
        <v/>
      </c>
      <c r="E2276" t="s">
        <v>4672</v>
      </c>
      <c r="F2276" t="str">
        <f t="shared" si="157"/>
        <v>8305002</v>
      </c>
    </row>
    <row r="2277" spans="1:8" hidden="1" x14ac:dyDescent="0.25">
      <c r="A2277">
        <v>19406</v>
      </c>
      <c r="B2277" t="s">
        <v>10</v>
      </c>
      <c r="C2277" t="s">
        <v>4673</v>
      </c>
      <c r="D2277" t="str">
        <f t="shared" si="158"/>
        <v/>
      </c>
      <c r="E2277" t="s">
        <v>4674</v>
      </c>
      <c r="F2277" t="str">
        <f t="shared" si="157"/>
        <v>8305002</v>
      </c>
    </row>
    <row r="2278" spans="1:8" hidden="1" x14ac:dyDescent="0.25">
      <c r="A2278">
        <v>19407</v>
      </c>
      <c r="B2278" t="s">
        <v>10</v>
      </c>
      <c r="C2278" t="s">
        <v>4675</v>
      </c>
      <c r="D2278" t="str">
        <f t="shared" si="158"/>
        <v/>
      </c>
      <c r="E2278" t="s">
        <v>4676</v>
      </c>
      <c r="F2278" t="str">
        <f t="shared" si="157"/>
        <v>8305002</v>
      </c>
    </row>
    <row r="2279" spans="1:8" hidden="1" x14ac:dyDescent="0.25">
      <c r="A2279">
        <v>19408</v>
      </c>
      <c r="B2279" t="s">
        <v>10</v>
      </c>
      <c r="C2279" t="s">
        <v>4677</v>
      </c>
      <c r="D2279" t="str">
        <f t="shared" si="158"/>
        <v/>
      </c>
      <c r="E2279" t="s">
        <v>4678</v>
      </c>
      <c r="F2279" t="str">
        <f t="shared" si="157"/>
        <v>8305002</v>
      </c>
    </row>
    <row r="2280" spans="1:8" hidden="1" x14ac:dyDescent="0.25">
      <c r="A2280">
        <v>19409</v>
      </c>
      <c r="B2280" t="s">
        <v>10</v>
      </c>
      <c r="C2280" t="s">
        <v>4679</v>
      </c>
      <c r="D2280" t="str">
        <f t="shared" si="158"/>
        <v/>
      </c>
      <c r="E2280" t="s">
        <v>4680</v>
      </c>
      <c r="F2280" t="str">
        <f t="shared" si="157"/>
        <v>8305002</v>
      </c>
    </row>
    <row r="2281" spans="1:8" ht="15" hidden="1" customHeight="1" x14ac:dyDescent="0.25">
      <c r="A2281">
        <v>17069</v>
      </c>
      <c r="B2281" t="s">
        <v>4</v>
      </c>
      <c r="C2281" t="s">
        <v>1926</v>
      </c>
      <c r="D2281" t="str">
        <f t="shared" si="158"/>
        <v/>
      </c>
      <c r="E2281" t="s">
        <v>1927</v>
      </c>
      <c r="F2281" t="str">
        <f t="shared" si="157"/>
        <v>8400119</v>
      </c>
      <c r="H2281">
        <v>5</v>
      </c>
    </row>
    <row r="2282" spans="1:8" ht="15" hidden="1" customHeight="1" x14ac:dyDescent="0.25">
      <c r="A2282">
        <v>16430</v>
      </c>
      <c r="B2282" t="s">
        <v>4</v>
      </c>
      <c r="C2282" t="s">
        <v>1482</v>
      </c>
      <c r="D2282" t="str">
        <f t="shared" si="158"/>
        <v/>
      </c>
      <c r="E2282" t="s">
        <v>1483</v>
      </c>
      <c r="F2282" t="str">
        <f t="shared" si="157"/>
        <v>8400240</v>
      </c>
      <c r="H2282">
        <v>1</v>
      </c>
    </row>
    <row r="2283" spans="1:8" ht="15" hidden="1" customHeight="1" x14ac:dyDescent="0.25">
      <c r="A2283">
        <v>16745</v>
      </c>
      <c r="B2283" t="s">
        <v>4</v>
      </c>
      <c r="C2283" t="s">
        <v>1666</v>
      </c>
      <c r="D2283" t="str">
        <f t="shared" si="158"/>
        <v/>
      </c>
      <c r="E2283" t="s">
        <v>1667</v>
      </c>
      <c r="F2283" t="str">
        <f t="shared" si="157"/>
        <v>8306200</v>
      </c>
      <c r="H2283">
        <v>2</v>
      </c>
    </row>
    <row r="2284" spans="1:8" ht="15" hidden="1" customHeight="1" x14ac:dyDescent="0.25">
      <c r="A2284">
        <v>16708</v>
      </c>
      <c r="B2284" t="s">
        <v>4</v>
      </c>
      <c r="C2284" t="s">
        <v>1634</v>
      </c>
      <c r="D2284" t="str">
        <f t="shared" si="158"/>
        <v/>
      </c>
      <c r="E2284" t="s">
        <v>1635</v>
      </c>
      <c r="F2284" t="str">
        <f t="shared" si="157"/>
        <v>8306100</v>
      </c>
      <c r="H2284">
        <v>5</v>
      </c>
    </row>
    <row r="2285" spans="1:8" ht="15" hidden="1" customHeight="1" x14ac:dyDescent="0.25">
      <c r="A2285">
        <v>19358</v>
      </c>
      <c r="B2285" t="s">
        <v>4</v>
      </c>
      <c r="C2285" t="s">
        <v>4635</v>
      </c>
      <c r="D2285" t="str">
        <f t="shared" si="158"/>
        <v/>
      </c>
      <c r="E2285" t="s">
        <v>4636</v>
      </c>
      <c r="F2285" t="str">
        <f t="shared" si="157"/>
        <v>8306101</v>
      </c>
      <c r="H2285">
        <v>3</v>
      </c>
    </row>
    <row r="2286" spans="1:8" ht="15" hidden="1" customHeight="1" x14ac:dyDescent="0.25">
      <c r="A2286">
        <v>16410</v>
      </c>
      <c r="B2286" t="s">
        <v>4</v>
      </c>
      <c r="C2286" t="s">
        <v>1462</v>
      </c>
      <c r="D2286" t="str">
        <f t="shared" si="158"/>
        <v/>
      </c>
      <c r="E2286" t="s">
        <v>1463</v>
      </c>
      <c r="F2286" t="str">
        <f t="shared" si="157"/>
        <v>8400661</v>
      </c>
      <c r="H2286">
        <v>1</v>
      </c>
    </row>
    <row r="2287" spans="1:8" ht="15" customHeight="1" x14ac:dyDescent="0.25">
      <c r="A2287">
        <v>16453</v>
      </c>
      <c r="B2287" t="s">
        <v>7</v>
      </c>
      <c r="C2287" t="s">
        <v>1508</v>
      </c>
      <c r="D2287" t="str">
        <f t="shared" si="158"/>
        <v/>
      </c>
      <c r="E2287" t="s">
        <v>1509</v>
      </c>
      <c r="F2287" t="str">
        <f t="shared" si="157"/>
        <v>8517103</v>
      </c>
      <c r="H2287">
        <v>3</v>
      </c>
    </row>
    <row r="2288" spans="1:8" hidden="1" x14ac:dyDescent="0.25">
      <c r="A2288">
        <v>16460</v>
      </c>
      <c r="B2288" t="s">
        <v>10</v>
      </c>
      <c r="C2288" t="s">
        <v>1516</v>
      </c>
      <c r="D2288" t="str">
        <f t="shared" si="158"/>
        <v/>
      </c>
      <c r="E2288" t="s">
        <v>1517</v>
      </c>
      <c r="F2288" t="str">
        <f t="shared" si="157"/>
        <v>8517103</v>
      </c>
    </row>
    <row r="2289" spans="1:9" ht="15" hidden="1" customHeight="1" x14ac:dyDescent="0.25">
      <c r="A2289">
        <v>16459</v>
      </c>
      <c r="B2289" t="s">
        <v>10</v>
      </c>
      <c r="C2289" t="s">
        <v>1514</v>
      </c>
      <c r="D2289" t="str">
        <f t="shared" si="158"/>
        <v/>
      </c>
      <c r="E2289" t="s">
        <v>1515</v>
      </c>
      <c r="F2289" t="str">
        <f t="shared" si="157"/>
        <v>8517103</v>
      </c>
    </row>
    <row r="2290" spans="1:9" ht="15" hidden="1" customHeight="1" x14ac:dyDescent="0.25">
      <c r="A2290">
        <v>16458</v>
      </c>
      <c r="B2290" t="s">
        <v>10</v>
      </c>
      <c r="C2290" t="s">
        <v>1512</v>
      </c>
      <c r="D2290" t="str">
        <f t="shared" si="158"/>
        <v/>
      </c>
      <c r="E2290" t="s">
        <v>1513</v>
      </c>
      <c r="F2290" t="str">
        <f t="shared" si="157"/>
        <v>8517103</v>
      </c>
    </row>
    <row r="2291" spans="1:9" ht="15" hidden="1" customHeight="1" x14ac:dyDescent="0.25">
      <c r="A2291">
        <v>16461</v>
      </c>
      <c r="B2291" t="s">
        <v>10</v>
      </c>
      <c r="C2291" t="s">
        <v>1518</v>
      </c>
      <c r="D2291" t="str">
        <f t="shared" si="158"/>
        <v/>
      </c>
      <c r="E2291" t="s">
        <v>1519</v>
      </c>
      <c r="F2291" t="str">
        <f t="shared" si="157"/>
        <v>8517103</v>
      </c>
    </row>
    <row r="2292" spans="1:9" ht="15" hidden="1" customHeight="1" x14ac:dyDescent="0.25">
      <c r="A2292">
        <v>16454</v>
      </c>
      <c r="B2292" t="s">
        <v>10</v>
      </c>
      <c r="C2292" t="s">
        <v>1510</v>
      </c>
      <c r="D2292" t="str">
        <f t="shared" si="158"/>
        <v/>
      </c>
      <c r="E2292" t="s">
        <v>1511</v>
      </c>
      <c r="F2292" t="str">
        <f t="shared" si="157"/>
        <v>8517103</v>
      </c>
    </row>
    <row r="2293" spans="1:9" ht="15" hidden="1" customHeight="1" x14ac:dyDescent="0.25">
      <c r="A2293">
        <v>16462</v>
      </c>
      <c r="B2293" t="s">
        <v>10</v>
      </c>
      <c r="C2293" t="s">
        <v>1520</v>
      </c>
      <c r="D2293" t="str">
        <f t="shared" si="158"/>
        <v/>
      </c>
      <c r="E2293" t="s">
        <v>1521</v>
      </c>
      <c r="F2293" t="str">
        <f t="shared" ref="F2293:F2356" si="159">LEFT(C2293,7)</f>
        <v>8517103</v>
      </c>
    </row>
    <row r="2294" spans="1:9" ht="15" hidden="1" customHeight="1" x14ac:dyDescent="0.25">
      <c r="A2294">
        <v>16436</v>
      </c>
      <c r="B2294" t="s">
        <v>4</v>
      </c>
      <c r="C2294" t="s">
        <v>1486</v>
      </c>
      <c r="D2294" t="str">
        <f t="shared" si="158"/>
        <v/>
      </c>
      <c r="E2294" t="s">
        <v>1487</v>
      </c>
      <c r="F2294" t="str">
        <f t="shared" si="159"/>
        <v>8517110</v>
      </c>
      <c r="H2294">
        <v>1</v>
      </c>
    </row>
    <row r="2295" spans="1:9" ht="15" customHeight="1" x14ac:dyDescent="0.25">
      <c r="A2295">
        <v>16439</v>
      </c>
      <c r="B2295" t="s">
        <v>7</v>
      </c>
      <c r="C2295" t="s">
        <v>1488</v>
      </c>
      <c r="D2295" t="str">
        <f t="shared" si="158"/>
        <v/>
      </c>
      <c r="E2295" t="s">
        <v>1489</v>
      </c>
      <c r="F2295" t="str">
        <f t="shared" si="159"/>
        <v>8517235</v>
      </c>
      <c r="H2295">
        <v>2</v>
      </c>
    </row>
    <row r="2296" spans="1:9" ht="15" hidden="1" customHeight="1" x14ac:dyDescent="0.25">
      <c r="A2296">
        <v>16447</v>
      </c>
      <c r="B2296" t="s">
        <v>10</v>
      </c>
      <c r="C2296" t="s">
        <v>1500</v>
      </c>
      <c r="D2296" t="str">
        <f t="shared" si="158"/>
        <v/>
      </c>
      <c r="E2296" t="s">
        <v>1501</v>
      </c>
      <c r="F2296" t="str">
        <f t="shared" si="159"/>
        <v>8517235</v>
      </c>
    </row>
    <row r="2297" spans="1:9" ht="15" hidden="1" customHeight="1" x14ac:dyDescent="0.25">
      <c r="A2297">
        <v>16448</v>
      </c>
      <c r="B2297" t="s">
        <v>10</v>
      </c>
      <c r="C2297" t="s">
        <v>1502</v>
      </c>
      <c r="D2297" t="str">
        <f t="shared" si="158"/>
        <v/>
      </c>
      <c r="E2297" t="s">
        <v>1503</v>
      </c>
      <c r="F2297" t="str">
        <f t="shared" si="159"/>
        <v>8517235</v>
      </c>
    </row>
    <row r="2298" spans="1:9" ht="15" hidden="1" customHeight="1" x14ac:dyDescent="0.25">
      <c r="A2298">
        <v>16449</v>
      </c>
      <c r="B2298" t="s">
        <v>10</v>
      </c>
      <c r="C2298" t="s">
        <v>1504</v>
      </c>
      <c r="D2298" t="str">
        <f t="shared" si="158"/>
        <v/>
      </c>
      <c r="E2298" t="s">
        <v>1505</v>
      </c>
      <c r="F2298" t="str">
        <f t="shared" si="159"/>
        <v>8517235</v>
      </c>
    </row>
    <row r="2299" spans="1:9" ht="15" hidden="1" customHeight="1" x14ac:dyDescent="0.25">
      <c r="A2299">
        <v>16440</v>
      </c>
      <c r="B2299" t="s">
        <v>10</v>
      </c>
      <c r="C2299" t="s">
        <v>1490</v>
      </c>
      <c r="D2299" t="str">
        <f t="shared" si="158"/>
        <v/>
      </c>
      <c r="E2299" t="s">
        <v>1491</v>
      </c>
      <c r="F2299" t="str">
        <f t="shared" si="159"/>
        <v>8517235</v>
      </c>
    </row>
    <row r="2300" spans="1:9" ht="15" hidden="1" customHeight="1" x14ac:dyDescent="0.25">
      <c r="A2300">
        <v>16443</v>
      </c>
      <c r="B2300" t="s">
        <v>10</v>
      </c>
      <c r="C2300" t="s">
        <v>1492</v>
      </c>
      <c r="D2300" t="str">
        <f t="shared" si="158"/>
        <v/>
      </c>
      <c r="E2300" t="s">
        <v>1493</v>
      </c>
      <c r="F2300" t="str">
        <f t="shared" si="159"/>
        <v>8517235</v>
      </c>
    </row>
    <row r="2301" spans="1:9" ht="15" hidden="1" customHeight="1" x14ac:dyDescent="0.25">
      <c r="A2301">
        <v>16444</v>
      </c>
      <c r="B2301" t="s">
        <v>10</v>
      </c>
      <c r="C2301" t="s">
        <v>1494</v>
      </c>
      <c r="D2301" t="str">
        <f t="shared" si="158"/>
        <v/>
      </c>
      <c r="E2301" t="s">
        <v>1495</v>
      </c>
      <c r="F2301" t="str">
        <f t="shared" si="159"/>
        <v>8517235</v>
      </c>
    </row>
    <row r="2302" spans="1:9" hidden="1" x14ac:dyDescent="0.25">
      <c r="A2302">
        <v>16445</v>
      </c>
      <c r="B2302" t="s">
        <v>10</v>
      </c>
      <c r="C2302" t="s">
        <v>1496</v>
      </c>
      <c r="D2302" t="str">
        <f t="shared" si="158"/>
        <v/>
      </c>
      <c r="E2302" t="s">
        <v>1497</v>
      </c>
      <c r="F2302" t="str">
        <f t="shared" si="159"/>
        <v>8517235</v>
      </c>
    </row>
    <row r="2303" spans="1:9" ht="15" hidden="1" customHeight="1" x14ac:dyDescent="0.25">
      <c r="A2303">
        <v>16446</v>
      </c>
      <c r="B2303" t="s">
        <v>10</v>
      </c>
      <c r="C2303" t="s">
        <v>1498</v>
      </c>
      <c r="D2303" t="str">
        <f t="shared" si="158"/>
        <v/>
      </c>
      <c r="E2303" t="s">
        <v>1499</v>
      </c>
      <c r="F2303" t="str">
        <f t="shared" si="159"/>
        <v>8517235</v>
      </c>
    </row>
    <row r="2304" spans="1:9" ht="15" customHeight="1" x14ac:dyDescent="0.25">
      <c r="A2304">
        <v>16513</v>
      </c>
      <c r="B2304" t="s">
        <v>7</v>
      </c>
      <c r="C2304" t="s">
        <v>1538</v>
      </c>
      <c r="D2304" t="str">
        <f t="shared" si="158"/>
        <v/>
      </c>
      <c r="E2304" t="s">
        <v>1539</v>
      </c>
      <c r="F2304" t="str">
        <f t="shared" si="159"/>
        <v>8717033</v>
      </c>
      <c r="H2304">
        <v>4</v>
      </c>
      <c r="I2304">
        <v>1</v>
      </c>
    </row>
    <row r="2305" spans="1:8" ht="15" hidden="1" customHeight="1" x14ac:dyDescent="0.25">
      <c r="A2305">
        <v>16520</v>
      </c>
      <c r="B2305" t="s">
        <v>10</v>
      </c>
      <c r="C2305" t="s">
        <v>1542</v>
      </c>
      <c r="D2305" t="str">
        <f t="shared" si="158"/>
        <v/>
      </c>
      <c r="E2305" t="s">
        <v>1543</v>
      </c>
      <c r="F2305" t="str">
        <f t="shared" si="159"/>
        <v>8717033</v>
      </c>
    </row>
    <row r="2306" spans="1:8" ht="15" hidden="1" customHeight="1" x14ac:dyDescent="0.25">
      <c r="A2306">
        <v>16514</v>
      </c>
      <c r="B2306" t="s">
        <v>10</v>
      </c>
      <c r="C2306" t="s">
        <v>1540</v>
      </c>
      <c r="D2306" t="str">
        <f t="shared" si="158"/>
        <v/>
      </c>
      <c r="E2306" t="s">
        <v>1541</v>
      </c>
      <c r="F2306" t="str">
        <f t="shared" si="159"/>
        <v>8717033</v>
      </c>
    </row>
    <row r="2307" spans="1:8" ht="15" hidden="1" customHeight="1" x14ac:dyDescent="0.25">
      <c r="A2307">
        <v>16521</v>
      </c>
      <c r="B2307" t="s">
        <v>10</v>
      </c>
      <c r="C2307" t="s">
        <v>1544</v>
      </c>
      <c r="D2307" t="str">
        <f t="shared" si="158"/>
        <v/>
      </c>
      <c r="E2307" t="s">
        <v>1545</v>
      </c>
      <c r="F2307" t="str">
        <f t="shared" si="159"/>
        <v>8717033</v>
      </c>
    </row>
    <row r="2308" spans="1:8" ht="15" hidden="1" customHeight="1" x14ac:dyDescent="0.25">
      <c r="A2308">
        <v>16463</v>
      </c>
      <c r="B2308" t="s">
        <v>4</v>
      </c>
      <c r="C2308" t="s">
        <v>1522</v>
      </c>
      <c r="D2308" t="str">
        <f t="shared" si="158"/>
        <v/>
      </c>
      <c r="E2308" t="s">
        <v>1523</v>
      </c>
      <c r="F2308" t="str">
        <f t="shared" si="159"/>
        <v>8517050</v>
      </c>
      <c r="H2308">
        <v>3</v>
      </c>
    </row>
    <row r="2309" spans="1:8" ht="15" customHeight="1" x14ac:dyDescent="0.25">
      <c r="A2309">
        <v>18460</v>
      </c>
      <c r="B2309" t="s">
        <v>7</v>
      </c>
      <c r="C2309" t="s">
        <v>3635</v>
      </c>
      <c r="D2309" t="str">
        <f t="shared" si="158"/>
        <v/>
      </c>
      <c r="E2309" t="s">
        <v>3636</v>
      </c>
      <c r="F2309" t="str">
        <f t="shared" si="159"/>
        <v>8517901</v>
      </c>
      <c r="H2309">
        <v>4</v>
      </c>
    </row>
    <row r="2310" spans="1:8" ht="15" hidden="1" customHeight="1" x14ac:dyDescent="0.25">
      <c r="A2310">
        <v>18462</v>
      </c>
      <c r="B2310" t="s">
        <v>10</v>
      </c>
      <c r="C2310" t="s">
        <v>3639</v>
      </c>
      <c r="D2310" t="str">
        <f t="shared" si="158"/>
        <v/>
      </c>
      <c r="E2310" t="s">
        <v>3640</v>
      </c>
      <c r="F2310" t="str">
        <f t="shared" si="159"/>
        <v>8517901</v>
      </c>
    </row>
    <row r="2311" spans="1:8" ht="15" hidden="1" customHeight="1" x14ac:dyDescent="0.25">
      <c r="A2311">
        <v>18461</v>
      </c>
      <c r="B2311" t="s">
        <v>10</v>
      </c>
      <c r="C2311" t="s">
        <v>3637</v>
      </c>
      <c r="D2311" t="str">
        <f t="shared" ref="D2311:D2345" si="160">IF(RIGHT(LEFT(C2311,9),2)="##","",RIGHT(LEFT(C2311,10),2))</f>
        <v/>
      </c>
      <c r="E2311" t="s">
        <v>3638</v>
      </c>
      <c r="F2311" t="str">
        <f t="shared" si="159"/>
        <v>8517901</v>
      </c>
    </row>
    <row r="2312" spans="1:8" ht="15" hidden="1" customHeight="1" x14ac:dyDescent="0.25">
      <c r="A2312">
        <v>18463</v>
      </c>
      <c r="B2312" t="s">
        <v>10</v>
      </c>
      <c r="C2312" t="s">
        <v>3641</v>
      </c>
      <c r="D2312" t="str">
        <f t="shared" si="160"/>
        <v/>
      </c>
      <c r="E2312" t="s">
        <v>3642</v>
      </c>
      <c r="F2312" t="str">
        <f t="shared" si="159"/>
        <v>8517901</v>
      </c>
    </row>
    <row r="2313" spans="1:8" ht="15" customHeight="1" x14ac:dyDescent="0.25">
      <c r="A2313">
        <v>21106</v>
      </c>
      <c r="B2313" t="s">
        <v>7</v>
      </c>
      <c r="C2313" t="s">
        <v>6525</v>
      </c>
      <c r="D2313" t="str">
        <f t="shared" si="160"/>
        <v/>
      </c>
      <c r="E2313" t="s">
        <v>6526</v>
      </c>
      <c r="F2313" t="str">
        <f t="shared" si="159"/>
        <v>8517905</v>
      </c>
      <c r="H2313">
        <v>4</v>
      </c>
    </row>
    <row r="2314" spans="1:8" ht="15" hidden="1" customHeight="1" x14ac:dyDescent="0.25">
      <c r="A2314">
        <v>21107</v>
      </c>
      <c r="B2314" t="s">
        <v>10</v>
      </c>
      <c r="C2314" t="s">
        <v>6527</v>
      </c>
      <c r="D2314" t="str">
        <f t="shared" si="160"/>
        <v/>
      </c>
      <c r="E2314" t="s">
        <v>6528</v>
      </c>
      <c r="F2314" t="str">
        <f t="shared" si="159"/>
        <v>8517905</v>
      </c>
    </row>
    <row r="2315" spans="1:8" ht="15" hidden="1" customHeight="1" x14ac:dyDescent="0.25">
      <c r="A2315">
        <v>21113</v>
      </c>
      <c r="B2315" t="s">
        <v>10</v>
      </c>
      <c r="C2315" t="s">
        <v>6529</v>
      </c>
      <c r="D2315" t="str">
        <f t="shared" si="160"/>
        <v/>
      </c>
      <c r="E2315" t="s">
        <v>6530</v>
      </c>
      <c r="F2315" t="str">
        <f t="shared" si="159"/>
        <v>8517905</v>
      </c>
    </row>
    <row r="2316" spans="1:8" ht="15" customHeight="1" x14ac:dyDescent="0.25">
      <c r="A2316">
        <v>21303</v>
      </c>
      <c r="B2316" t="s">
        <v>7</v>
      </c>
      <c r="C2316" t="s">
        <v>6799</v>
      </c>
      <c r="D2316" t="str">
        <f t="shared" si="160"/>
        <v/>
      </c>
      <c r="E2316" t="s">
        <v>6800</v>
      </c>
      <c r="F2316" t="str">
        <f t="shared" si="159"/>
        <v>8517900</v>
      </c>
      <c r="H2316">
        <v>2</v>
      </c>
    </row>
    <row r="2317" spans="1:8" ht="15" hidden="1" customHeight="1" x14ac:dyDescent="0.25">
      <c r="A2317">
        <v>21305</v>
      </c>
      <c r="B2317" t="s">
        <v>10</v>
      </c>
      <c r="C2317" t="s">
        <v>6803</v>
      </c>
      <c r="D2317" t="str">
        <f t="shared" si="160"/>
        <v/>
      </c>
      <c r="E2317" t="s">
        <v>6804</v>
      </c>
      <c r="F2317" t="str">
        <f t="shared" si="159"/>
        <v>8517900</v>
      </c>
    </row>
    <row r="2318" spans="1:8" ht="15" hidden="1" customHeight="1" x14ac:dyDescent="0.25">
      <c r="A2318">
        <v>21304</v>
      </c>
      <c r="B2318" t="s">
        <v>10</v>
      </c>
      <c r="C2318" t="s">
        <v>6801</v>
      </c>
      <c r="D2318" t="str">
        <f t="shared" si="160"/>
        <v/>
      </c>
      <c r="E2318" t="s">
        <v>6802</v>
      </c>
      <c r="F2318" t="str">
        <f t="shared" si="159"/>
        <v>8517900</v>
      </c>
    </row>
    <row r="2319" spans="1:8" ht="15" hidden="1" customHeight="1" x14ac:dyDescent="0.25">
      <c r="A2319">
        <v>21306</v>
      </c>
      <c r="B2319" t="s">
        <v>10</v>
      </c>
      <c r="C2319" t="s">
        <v>6805</v>
      </c>
      <c r="D2319" t="str">
        <f t="shared" si="160"/>
        <v/>
      </c>
      <c r="E2319" t="s">
        <v>6806</v>
      </c>
      <c r="F2319" t="str">
        <f t="shared" si="159"/>
        <v>8517900</v>
      </c>
    </row>
    <row r="2320" spans="1:8" ht="15" customHeight="1" x14ac:dyDescent="0.25">
      <c r="A2320">
        <v>18464</v>
      </c>
      <c r="B2320" t="s">
        <v>7</v>
      </c>
      <c r="C2320" t="s">
        <v>3643</v>
      </c>
      <c r="D2320" t="str">
        <f t="shared" si="160"/>
        <v/>
      </c>
      <c r="E2320" t="s">
        <v>3644</v>
      </c>
      <c r="F2320" t="str">
        <f t="shared" si="159"/>
        <v>8517902</v>
      </c>
      <c r="H2320">
        <v>4</v>
      </c>
    </row>
    <row r="2321" spans="1:9" ht="15" hidden="1" customHeight="1" x14ac:dyDescent="0.25">
      <c r="A2321">
        <v>18466</v>
      </c>
      <c r="B2321" t="s">
        <v>10</v>
      </c>
      <c r="C2321" t="s">
        <v>3647</v>
      </c>
      <c r="D2321" t="str">
        <f t="shared" si="160"/>
        <v/>
      </c>
      <c r="E2321" t="s">
        <v>3648</v>
      </c>
      <c r="F2321" t="str">
        <f t="shared" si="159"/>
        <v>8517902</v>
      </c>
    </row>
    <row r="2322" spans="1:9" ht="15" hidden="1" customHeight="1" x14ac:dyDescent="0.25">
      <c r="A2322">
        <v>18465</v>
      </c>
      <c r="B2322" t="s">
        <v>10</v>
      </c>
      <c r="C2322" t="s">
        <v>3645</v>
      </c>
      <c r="D2322" t="str">
        <f t="shared" si="160"/>
        <v/>
      </c>
      <c r="E2322" t="s">
        <v>3646</v>
      </c>
      <c r="F2322" t="str">
        <f t="shared" si="159"/>
        <v>8517902</v>
      </c>
    </row>
    <row r="2323" spans="1:9" ht="15" hidden="1" customHeight="1" x14ac:dyDescent="0.25">
      <c r="A2323">
        <v>18467</v>
      </c>
      <c r="B2323" t="s">
        <v>10</v>
      </c>
      <c r="C2323" t="s">
        <v>3649</v>
      </c>
      <c r="D2323" t="str">
        <f t="shared" si="160"/>
        <v/>
      </c>
      <c r="E2323" t="s">
        <v>3650</v>
      </c>
      <c r="F2323" t="str">
        <f t="shared" si="159"/>
        <v>8517902</v>
      </c>
    </row>
    <row r="2324" spans="1:9" ht="15" customHeight="1" x14ac:dyDescent="0.25">
      <c r="A2324">
        <v>16418</v>
      </c>
      <c r="B2324" t="s">
        <v>7</v>
      </c>
      <c r="C2324" t="s">
        <v>1466</v>
      </c>
      <c r="D2324" t="str">
        <f t="shared" si="160"/>
        <v/>
      </c>
      <c r="E2324" t="s">
        <v>1467</v>
      </c>
      <c r="F2324" t="str">
        <f t="shared" si="159"/>
        <v>8517000</v>
      </c>
      <c r="H2324">
        <v>2</v>
      </c>
      <c r="I2324">
        <v>1</v>
      </c>
    </row>
    <row r="2325" spans="1:9" hidden="1" x14ac:dyDescent="0.25">
      <c r="A2325">
        <v>16422</v>
      </c>
      <c r="B2325" t="s">
        <v>10</v>
      </c>
      <c r="C2325" t="s">
        <v>1474</v>
      </c>
      <c r="D2325" t="str">
        <f t="shared" si="160"/>
        <v/>
      </c>
      <c r="E2325" t="s">
        <v>1475</v>
      </c>
      <c r="F2325" t="str">
        <f t="shared" si="159"/>
        <v>8517000</v>
      </c>
    </row>
    <row r="2326" spans="1:9" hidden="1" x14ac:dyDescent="0.25">
      <c r="A2326">
        <v>16423</v>
      </c>
      <c r="B2326" t="s">
        <v>10</v>
      </c>
      <c r="C2326" t="s">
        <v>1476</v>
      </c>
      <c r="D2326" t="str">
        <f t="shared" si="160"/>
        <v/>
      </c>
      <c r="E2326" t="s">
        <v>1477</v>
      </c>
      <c r="F2326" t="str">
        <f t="shared" si="159"/>
        <v>8517000</v>
      </c>
    </row>
    <row r="2327" spans="1:9" hidden="1" x14ac:dyDescent="0.25">
      <c r="A2327">
        <v>16424</v>
      </c>
      <c r="B2327" t="s">
        <v>10</v>
      </c>
      <c r="C2327" t="s">
        <v>1478</v>
      </c>
      <c r="D2327" t="str">
        <f t="shared" si="160"/>
        <v/>
      </c>
      <c r="E2327" t="s">
        <v>1479</v>
      </c>
      <c r="F2327" t="str">
        <f t="shared" si="159"/>
        <v>8517000</v>
      </c>
    </row>
    <row r="2328" spans="1:9" hidden="1" x14ac:dyDescent="0.25">
      <c r="A2328">
        <v>16419</v>
      </c>
      <c r="B2328" t="s">
        <v>10</v>
      </c>
      <c r="C2328" t="s">
        <v>1468</v>
      </c>
      <c r="D2328" t="str">
        <f t="shared" si="160"/>
        <v/>
      </c>
      <c r="E2328" t="s">
        <v>1469</v>
      </c>
      <c r="F2328" t="str">
        <f t="shared" si="159"/>
        <v>8517000</v>
      </c>
    </row>
    <row r="2329" spans="1:9" hidden="1" x14ac:dyDescent="0.25">
      <c r="A2329">
        <v>16420</v>
      </c>
      <c r="B2329" t="s">
        <v>10</v>
      </c>
      <c r="C2329" t="s">
        <v>1470</v>
      </c>
      <c r="D2329" t="str">
        <f t="shared" si="160"/>
        <v/>
      </c>
      <c r="E2329" t="s">
        <v>1471</v>
      </c>
      <c r="F2329" t="str">
        <f t="shared" si="159"/>
        <v>8517000</v>
      </c>
    </row>
    <row r="2330" spans="1:9" hidden="1" x14ac:dyDescent="0.25">
      <c r="A2330">
        <v>16421</v>
      </c>
      <c r="B2330" t="s">
        <v>10</v>
      </c>
      <c r="C2330" t="s">
        <v>1472</v>
      </c>
      <c r="D2330" t="str">
        <f t="shared" si="160"/>
        <v/>
      </c>
      <c r="E2330" t="s">
        <v>1473</v>
      </c>
      <c r="F2330" t="str">
        <f t="shared" si="159"/>
        <v>8517000</v>
      </c>
    </row>
    <row r="2331" spans="1:9" hidden="1" x14ac:dyDescent="0.25">
      <c r="A2331">
        <v>19666</v>
      </c>
      <c r="B2331" t="s">
        <v>4</v>
      </c>
      <c r="C2331" t="s">
        <v>5043</v>
      </c>
      <c r="D2331" t="str">
        <f t="shared" si="160"/>
        <v/>
      </c>
      <c r="E2331" t="s">
        <v>5044</v>
      </c>
      <c r="F2331" t="str">
        <f t="shared" si="159"/>
        <v>7707011</v>
      </c>
      <c r="H2331">
        <v>1</v>
      </c>
    </row>
    <row r="2332" spans="1:9" hidden="1" x14ac:dyDescent="0.25">
      <c r="A2332">
        <v>16337</v>
      </c>
      <c r="B2332" t="s">
        <v>4</v>
      </c>
      <c r="C2332" t="s">
        <v>1430</v>
      </c>
      <c r="D2332" t="str">
        <f t="shared" si="160"/>
        <v/>
      </c>
      <c r="E2332" t="s">
        <v>1431</v>
      </c>
      <c r="F2332" t="str">
        <f t="shared" si="159"/>
        <v>7707298</v>
      </c>
      <c r="H2332">
        <v>4</v>
      </c>
    </row>
    <row r="2333" spans="1:9" hidden="1" x14ac:dyDescent="0.25">
      <c r="A2333">
        <v>17285</v>
      </c>
      <c r="B2333" t="s">
        <v>4</v>
      </c>
      <c r="C2333" t="s">
        <v>2069</v>
      </c>
      <c r="D2333" t="str">
        <f t="shared" si="160"/>
        <v/>
      </c>
      <c r="E2333" t="s">
        <v>2070</v>
      </c>
      <c r="F2333" t="str">
        <f t="shared" si="159"/>
        <v>7707532</v>
      </c>
      <c r="H2333">
        <v>2</v>
      </c>
    </row>
    <row r="2334" spans="1:9" hidden="1" x14ac:dyDescent="0.25">
      <c r="A2334">
        <v>16349</v>
      </c>
      <c r="B2334" t="s">
        <v>4</v>
      </c>
      <c r="C2334" t="s">
        <v>1436</v>
      </c>
      <c r="D2334" t="str">
        <f t="shared" si="160"/>
        <v/>
      </c>
      <c r="E2334" t="s">
        <v>1437</v>
      </c>
      <c r="F2334" t="str">
        <f t="shared" si="159"/>
        <v>7707322</v>
      </c>
      <c r="H2334">
        <v>2</v>
      </c>
    </row>
    <row r="2335" spans="1:9" hidden="1" x14ac:dyDescent="0.25">
      <c r="A2335">
        <v>17137</v>
      </c>
      <c r="B2335" t="s">
        <v>4</v>
      </c>
      <c r="C2335" t="s">
        <v>1983</v>
      </c>
      <c r="D2335" t="str">
        <f t="shared" si="160"/>
        <v/>
      </c>
      <c r="E2335" t="s">
        <v>1984</v>
      </c>
      <c r="F2335" t="str">
        <f t="shared" si="159"/>
        <v>7707324</v>
      </c>
      <c r="H2335">
        <v>2</v>
      </c>
    </row>
    <row r="2336" spans="1:9" hidden="1" x14ac:dyDescent="0.25">
      <c r="A2336">
        <v>16956</v>
      </c>
      <c r="B2336" t="s">
        <v>4</v>
      </c>
      <c r="C2336" t="s">
        <v>1854</v>
      </c>
      <c r="D2336" t="str">
        <f t="shared" si="160"/>
        <v/>
      </c>
      <c r="E2336" t="s">
        <v>1855</v>
      </c>
      <c r="F2336" t="str">
        <f t="shared" si="159"/>
        <v>7703603</v>
      </c>
      <c r="H2336">
        <v>1</v>
      </c>
    </row>
    <row r="2337" spans="1:8" hidden="1" x14ac:dyDescent="0.25">
      <c r="A2337">
        <v>15886</v>
      </c>
      <c r="B2337" t="s">
        <v>4</v>
      </c>
      <c r="C2337" t="s">
        <v>1186</v>
      </c>
      <c r="D2337" t="str">
        <f t="shared" si="160"/>
        <v/>
      </c>
      <c r="E2337" t="s">
        <v>1187</v>
      </c>
      <c r="F2337" t="str">
        <f t="shared" si="159"/>
        <v>7703051</v>
      </c>
      <c r="H2337">
        <v>2</v>
      </c>
    </row>
    <row r="2338" spans="1:8" hidden="1" x14ac:dyDescent="0.25">
      <c r="A2338">
        <v>17094</v>
      </c>
      <c r="B2338" t="s">
        <v>4</v>
      </c>
      <c r="C2338" t="s">
        <v>1950</v>
      </c>
      <c r="D2338" t="str">
        <f t="shared" si="160"/>
        <v/>
      </c>
      <c r="E2338" t="s">
        <v>1951</v>
      </c>
      <c r="F2338" t="str">
        <f t="shared" si="159"/>
        <v>7703052</v>
      </c>
      <c r="H2338">
        <v>1</v>
      </c>
    </row>
    <row r="2339" spans="1:8" hidden="1" x14ac:dyDescent="0.25">
      <c r="A2339">
        <v>17087</v>
      </c>
      <c r="B2339" t="s">
        <v>4</v>
      </c>
      <c r="C2339" t="s">
        <v>1946</v>
      </c>
      <c r="D2339" t="str">
        <f t="shared" si="160"/>
        <v/>
      </c>
      <c r="E2339" t="s">
        <v>1947</v>
      </c>
      <c r="F2339" t="str">
        <f t="shared" si="159"/>
        <v>7703111</v>
      </c>
      <c r="H2339">
        <v>2</v>
      </c>
    </row>
    <row r="2340" spans="1:8" ht="15" hidden="1" customHeight="1" x14ac:dyDescent="0.25">
      <c r="A2340">
        <v>18481</v>
      </c>
      <c r="B2340" t="s">
        <v>4</v>
      </c>
      <c r="C2340" t="s">
        <v>3671</v>
      </c>
      <c r="D2340" t="str">
        <f t="shared" si="160"/>
        <v/>
      </c>
      <c r="E2340" t="s">
        <v>3672</v>
      </c>
      <c r="F2340" t="str">
        <f t="shared" si="159"/>
        <v>7703112</v>
      </c>
      <c r="H2340">
        <v>1</v>
      </c>
    </row>
    <row r="2341" spans="1:8" hidden="1" x14ac:dyDescent="0.25">
      <c r="A2341">
        <v>15269</v>
      </c>
      <c r="B2341" t="s">
        <v>4</v>
      </c>
      <c r="C2341" t="s">
        <v>725</v>
      </c>
      <c r="D2341" t="str">
        <f t="shared" si="160"/>
        <v/>
      </c>
      <c r="E2341" t="s">
        <v>726</v>
      </c>
      <c r="F2341" t="str">
        <f t="shared" si="159"/>
        <v>7703158</v>
      </c>
      <c r="H2341">
        <v>1</v>
      </c>
    </row>
    <row r="2342" spans="1:8" hidden="1" x14ac:dyDescent="0.25">
      <c r="A2342">
        <v>17314</v>
      </c>
      <c r="B2342" t="s">
        <v>4</v>
      </c>
      <c r="C2342" t="s">
        <v>2083</v>
      </c>
      <c r="D2342" t="str">
        <f t="shared" si="160"/>
        <v/>
      </c>
      <c r="E2342" t="s">
        <v>2084</v>
      </c>
      <c r="F2342" t="str">
        <f t="shared" si="159"/>
        <v>7703605</v>
      </c>
      <c r="H2342">
        <v>1</v>
      </c>
    </row>
    <row r="2343" spans="1:8" hidden="1" x14ac:dyDescent="0.25">
      <c r="A2343">
        <v>17308</v>
      </c>
      <c r="B2343" t="s">
        <v>4</v>
      </c>
      <c r="C2343" t="s">
        <v>2079</v>
      </c>
      <c r="D2343" t="str">
        <f t="shared" si="160"/>
        <v/>
      </c>
      <c r="E2343" t="s">
        <v>2080</v>
      </c>
      <c r="F2343" t="str">
        <f t="shared" si="159"/>
        <v>7703602</v>
      </c>
      <c r="H2343">
        <v>1</v>
      </c>
    </row>
    <row r="2344" spans="1:8" hidden="1" x14ac:dyDescent="0.25">
      <c r="A2344">
        <v>17311</v>
      </c>
      <c r="B2344" t="s">
        <v>4</v>
      </c>
      <c r="C2344" t="s">
        <v>2081</v>
      </c>
      <c r="D2344" t="str">
        <f t="shared" si="160"/>
        <v/>
      </c>
      <c r="E2344" t="s">
        <v>2082</v>
      </c>
      <c r="F2344" t="str">
        <f t="shared" si="159"/>
        <v>7703604</v>
      </c>
      <c r="H2344">
        <v>3</v>
      </c>
    </row>
    <row r="2345" spans="1:8" hidden="1" x14ac:dyDescent="0.25">
      <c r="A2345">
        <v>17317</v>
      </c>
      <c r="B2345" t="s">
        <v>4</v>
      </c>
      <c r="C2345" t="s">
        <v>2085</v>
      </c>
      <c r="D2345" t="str">
        <f t="shared" si="160"/>
        <v/>
      </c>
      <c r="E2345" t="s">
        <v>2086</v>
      </c>
      <c r="F2345" t="str">
        <f t="shared" si="159"/>
        <v>7703606</v>
      </c>
      <c r="H2345">
        <v>1</v>
      </c>
    </row>
    <row r="2346" spans="1:8" hidden="1" x14ac:dyDescent="0.25">
      <c r="A2346">
        <v>15846</v>
      </c>
      <c r="B2346" t="s">
        <v>4</v>
      </c>
      <c r="C2346" t="s">
        <v>1167</v>
      </c>
      <c r="E2346" t="s">
        <v>1168</v>
      </c>
      <c r="F2346" t="str">
        <f t="shared" si="159"/>
        <v>7703660</v>
      </c>
      <c r="H2346">
        <v>2</v>
      </c>
    </row>
    <row r="2347" spans="1:8" hidden="1" x14ac:dyDescent="0.25">
      <c r="A2347">
        <v>20990</v>
      </c>
      <c r="B2347" t="s">
        <v>4</v>
      </c>
      <c r="C2347" t="s">
        <v>6387</v>
      </c>
      <c r="D2347" t="str">
        <f t="shared" ref="D2347:D2352" si="161">IF(RIGHT(LEFT(C2347,9),2)="##","",RIGHT(LEFT(C2347,10),2))</f>
        <v/>
      </c>
      <c r="E2347" t="s">
        <v>6388</v>
      </c>
      <c r="F2347" t="str">
        <f t="shared" si="159"/>
        <v>7703664</v>
      </c>
      <c r="H2347">
        <v>1</v>
      </c>
    </row>
    <row r="2348" spans="1:8" hidden="1" x14ac:dyDescent="0.25">
      <c r="A2348">
        <v>20993</v>
      </c>
      <c r="B2348" t="s">
        <v>4</v>
      </c>
      <c r="C2348" t="s">
        <v>6389</v>
      </c>
      <c r="D2348" t="str">
        <f t="shared" si="161"/>
        <v/>
      </c>
      <c r="E2348" t="s">
        <v>6390</v>
      </c>
      <c r="F2348" t="str">
        <f t="shared" si="159"/>
        <v>7703665</v>
      </c>
      <c r="H2348">
        <v>1</v>
      </c>
    </row>
    <row r="2349" spans="1:8" hidden="1" x14ac:dyDescent="0.25">
      <c r="A2349">
        <v>20996</v>
      </c>
      <c r="B2349" t="s">
        <v>4</v>
      </c>
      <c r="C2349" t="s">
        <v>6391</v>
      </c>
      <c r="D2349" t="str">
        <f t="shared" si="161"/>
        <v/>
      </c>
      <c r="E2349" t="s">
        <v>6392</v>
      </c>
      <c r="F2349" t="str">
        <f t="shared" si="159"/>
        <v>7703666</v>
      </c>
      <c r="H2349">
        <v>1</v>
      </c>
    </row>
    <row r="2350" spans="1:8" hidden="1" x14ac:dyDescent="0.25">
      <c r="A2350">
        <v>20999</v>
      </c>
      <c r="B2350" t="s">
        <v>4</v>
      </c>
      <c r="C2350" t="s">
        <v>6393</v>
      </c>
      <c r="D2350" t="str">
        <f t="shared" si="161"/>
        <v/>
      </c>
      <c r="E2350" t="s">
        <v>6394</v>
      </c>
      <c r="F2350" t="str">
        <f t="shared" si="159"/>
        <v>7703667</v>
      </c>
      <c r="H2350">
        <v>1</v>
      </c>
    </row>
    <row r="2351" spans="1:8" hidden="1" x14ac:dyDescent="0.25">
      <c r="A2351">
        <v>21002</v>
      </c>
      <c r="B2351" t="s">
        <v>4</v>
      </c>
      <c r="C2351" t="s">
        <v>6395</v>
      </c>
      <c r="D2351" t="str">
        <f t="shared" si="161"/>
        <v/>
      </c>
      <c r="E2351" t="s">
        <v>6396</v>
      </c>
      <c r="F2351" t="str">
        <f t="shared" si="159"/>
        <v>7703668</v>
      </c>
      <c r="H2351">
        <v>1</v>
      </c>
    </row>
    <row r="2352" spans="1:8" hidden="1" x14ac:dyDescent="0.25">
      <c r="A2352">
        <v>21005</v>
      </c>
      <c r="B2352" t="s">
        <v>4</v>
      </c>
      <c r="C2352" t="s">
        <v>6397</v>
      </c>
      <c r="D2352" t="str">
        <f t="shared" si="161"/>
        <v/>
      </c>
      <c r="E2352" t="s">
        <v>6398</v>
      </c>
      <c r="F2352" t="str">
        <f t="shared" si="159"/>
        <v>7703669</v>
      </c>
      <c r="H2352">
        <v>1</v>
      </c>
    </row>
    <row r="2353" spans="1:8" hidden="1" x14ac:dyDescent="0.25">
      <c r="A2353">
        <v>15855</v>
      </c>
      <c r="B2353" t="s">
        <v>4</v>
      </c>
      <c r="C2353" t="s">
        <v>1171</v>
      </c>
      <c r="E2353" t="s">
        <v>6986</v>
      </c>
      <c r="F2353" t="str">
        <f t="shared" si="159"/>
        <v>7703002</v>
      </c>
      <c r="H2353">
        <v>1</v>
      </c>
    </row>
    <row r="2354" spans="1:8" hidden="1" x14ac:dyDescent="0.25">
      <c r="A2354">
        <v>15843</v>
      </c>
      <c r="B2354" t="s">
        <v>4</v>
      </c>
      <c r="C2354" t="s">
        <v>1165</v>
      </c>
      <c r="D2354" t="str">
        <f t="shared" ref="D2354:D2394" si="162">IF(RIGHT(LEFT(C2354,9),2)="##","",RIGHT(LEFT(C2354,10),2))</f>
        <v/>
      </c>
      <c r="E2354" t="s">
        <v>1166</v>
      </c>
      <c r="F2354" t="str">
        <f t="shared" si="159"/>
        <v>7703113</v>
      </c>
      <c r="H2354">
        <v>1</v>
      </c>
    </row>
    <row r="2355" spans="1:8" hidden="1" x14ac:dyDescent="0.25">
      <c r="A2355">
        <v>15275</v>
      </c>
      <c r="B2355" t="s">
        <v>4</v>
      </c>
      <c r="C2355" t="s">
        <v>729</v>
      </c>
      <c r="D2355" t="str">
        <f t="shared" si="162"/>
        <v/>
      </c>
      <c r="E2355" t="s">
        <v>730</v>
      </c>
      <c r="F2355" t="str">
        <f t="shared" si="159"/>
        <v>7703115</v>
      </c>
      <c r="H2355">
        <v>2</v>
      </c>
    </row>
    <row r="2356" spans="1:8" hidden="1" x14ac:dyDescent="0.25">
      <c r="A2356">
        <v>15874</v>
      </c>
      <c r="B2356" t="s">
        <v>4</v>
      </c>
      <c r="C2356" t="s">
        <v>1180</v>
      </c>
      <c r="D2356" t="str">
        <f t="shared" si="162"/>
        <v/>
      </c>
      <c r="E2356" t="s">
        <v>1181</v>
      </c>
      <c r="F2356" t="str">
        <f t="shared" si="159"/>
        <v>7703106</v>
      </c>
      <c r="H2356">
        <v>2</v>
      </c>
    </row>
    <row r="2357" spans="1:8" hidden="1" x14ac:dyDescent="0.25">
      <c r="A2357">
        <v>15878</v>
      </c>
      <c r="B2357" t="s">
        <v>4</v>
      </c>
      <c r="C2357" t="s">
        <v>1182</v>
      </c>
      <c r="D2357" t="str">
        <f t="shared" si="162"/>
        <v/>
      </c>
      <c r="E2357" t="s">
        <v>1183</v>
      </c>
      <c r="F2357" t="str">
        <f t="shared" ref="F2357:F2420" si="163">LEFT(C2357,7)</f>
        <v>7703185</v>
      </c>
      <c r="H2357">
        <v>2</v>
      </c>
    </row>
    <row r="2358" spans="1:8" hidden="1" x14ac:dyDescent="0.25">
      <c r="A2358">
        <v>15870</v>
      </c>
      <c r="B2358" t="s">
        <v>4</v>
      </c>
      <c r="C2358" t="s">
        <v>1178</v>
      </c>
      <c r="D2358" t="str">
        <f t="shared" si="162"/>
        <v/>
      </c>
      <c r="E2358" t="s">
        <v>1179</v>
      </c>
      <c r="F2358" t="str">
        <f t="shared" si="163"/>
        <v>7703121</v>
      </c>
      <c r="H2358">
        <v>2</v>
      </c>
    </row>
    <row r="2359" spans="1:8" hidden="1" x14ac:dyDescent="0.25">
      <c r="A2359">
        <v>15858</v>
      </c>
      <c r="B2359" t="s">
        <v>4</v>
      </c>
      <c r="C2359" t="s">
        <v>1172</v>
      </c>
      <c r="D2359" t="str">
        <f t="shared" si="162"/>
        <v/>
      </c>
      <c r="E2359" t="s">
        <v>1173</v>
      </c>
      <c r="F2359" t="str">
        <f t="shared" si="163"/>
        <v>7703117</v>
      </c>
      <c r="H2359">
        <v>2</v>
      </c>
    </row>
    <row r="2360" spans="1:8" hidden="1" x14ac:dyDescent="0.25">
      <c r="A2360">
        <v>15866</v>
      </c>
      <c r="B2360" t="s">
        <v>4</v>
      </c>
      <c r="C2360" t="s">
        <v>1176</v>
      </c>
      <c r="D2360" t="str">
        <f t="shared" si="162"/>
        <v/>
      </c>
      <c r="E2360" t="s">
        <v>1177</v>
      </c>
      <c r="F2360" t="str">
        <f t="shared" si="163"/>
        <v>7703118</v>
      </c>
      <c r="H2360">
        <v>2</v>
      </c>
    </row>
    <row r="2361" spans="1:8" hidden="1" x14ac:dyDescent="0.25">
      <c r="A2361">
        <v>15851</v>
      </c>
      <c r="B2361" t="s">
        <v>4</v>
      </c>
      <c r="C2361" t="s">
        <v>1169</v>
      </c>
      <c r="D2361" t="str">
        <f t="shared" si="162"/>
        <v/>
      </c>
      <c r="E2361" t="s">
        <v>1170</v>
      </c>
      <c r="F2361" t="str">
        <f t="shared" si="163"/>
        <v>7703116</v>
      </c>
      <c r="H2361">
        <v>2</v>
      </c>
    </row>
    <row r="2362" spans="1:8" hidden="1" x14ac:dyDescent="0.25">
      <c r="A2362">
        <v>15862</v>
      </c>
      <c r="B2362" t="s">
        <v>4</v>
      </c>
      <c r="C2362" t="s">
        <v>1174</v>
      </c>
      <c r="D2362" t="str">
        <f t="shared" si="162"/>
        <v/>
      </c>
      <c r="E2362" t="s">
        <v>1175</v>
      </c>
      <c r="F2362" t="str">
        <f t="shared" si="163"/>
        <v>7703105</v>
      </c>
      <c r="H2362">
        <v>2</v>
      </c>
    </row>
    <row r="2363" spans="1:8" hidden="1" x14ac:dyDescent="0.25">
      <c r="A2363">
        <v>15840</v>
      </c>
      <c r="B2363" t="s">
        <v>4</v>
      </c>
      <c r="C2363" t="s">
        <v>1163</v>
      </c>
      <c r="D2363" t="str">
        <f t="shared" si="162"/>
        <v/>
      </c>
      <c r="E2363" t="s">
        <v>1164</v>
      </c>
      <c r="F2363" t="str">
        <f t="shared" si="163"/>
        <v>7703110</v>
      </c>
      <c r="H2363">
        <v>1</v>
      </c>
    </row>
    <row r="2364" spans="1:8" hidden="1" x14ac:dyDescent="0.25">
      <c r="A2364">
        <v>17669</v>
      </c>
      <c r="B2364" t="s">
        <v>4</v>
      </c>
      <c r="C2364" t="s">
        <v>2415</v>
      </c>
      <c r="D2364" t="str">
        <f t="shared" si="162"/>
        <v/>
      </c>
      <c r="E2364" t="s">
        <v>2416</v>
      </c>
      <c r="F2364" t="str">
        <f t="shared" si="163"/>
        <v>7703001</v>
      </c>
      <c r="H2364">
        <v>2</v>
      </c>
    </row>
    <row r="2365" spans="1:8" hidden="1" x14ac:dyDescent="0.25">
      <c r="A2365">
        <v>17097</v>
      </c>
      <c r="B2365" t="s">
        <v>4</v>
      </c>
      <c r="C2365" t="s">
        <v>6839</v>
      </c>
      <c r="D2365" t="str">
        <f t="shared" si="162"/>
        <v/>
      </c>
      <c r="E2365" t="s">
        <v>1952</v>
      </c>
      <c r="F2365" t="str">
        <f t="shared" si="163"/>
        <v>7703053</v>
      </c>
      <c r="H2365">
        <v>2</v>
      </c>
    </row>
    <row r="2366" spans="1:8" hidden="1" x14ac:dyDescent="0.25">
      <c r="A2366">
        <v>15882</v>
      </c>
      <c r="B2366" t="s">
        <v>4</v>
      </c>
      <c r="C2366" t="s">
        <v>1184</v>
      </c>
      <c r="D2366" t="str">
        <f t="shared" si="162"/>
        <v/>
      </c>
      <c r="E2366" t="s">
        <v>1185</v>
      </c>
      <c r="F2366" t="str">
        <f t="shared" si="163"/>
        <v>7703607</v>
      </c>
      <c r="H2366">
        <v>2</v>
      </c>
    </row>
    <row r="2367" spans="1:8" hidden="1" x14ac:dyDescent="0.25">
      <c r="A2367">
        <v>17091</v>
      </c>
      <c r="B2367" t="s">
        <v>4</v>
      </c>
      <c r="C2367" t="s">
        <v>1948</v>
      </c>
      <c r="D2367" t="str">
        <f t="shared" si="162"/>
        <v/>
      </c>
      <c r="E2367" t="s">
        <v>1949</v>
      </c>
      <c r="F2367" t="str">
        <f t="shared" si="163"/>
        <v>7703050</v>
      </c>
      <c r="H2367">
        <v>1</v>
      </c>
    </row>
    <row r="2368" spans="1:8" hidden="1" x14ac:dyDescent="0.25">
      <c r="A2368">
        <v>17297</v>
      </c>
      <c r="B2368" t="s">
        <v>4</v>
      </c>
      <c r="C2368" t="s">
        <v>2075</v>
      </c>
      <c r="D2368" t="str">
        <f t="shared" si="162"/>
        <v/>
      </c>
      <c r="E2368" t="s">
        <v>2076</v>
      </c>
      <c r="F2368" t="str">
        <f t="shared" si="163"/>
        <v>7703601</v>
      </c>
      <c r="H2368">
        <v>1</v>
      </c>
    </row>
    <row r="2369" spans="1:8" hidden="1" x14ac:dyDescent="0.25">
      <c r="A2369">
        <v>15529</v>
      </c>
      <c r="B2369" t="s">
        <v>4</v>
      </c>
      <c r="C2369" t="s">
        <v>913</v>
      </c>
      <c r="D2369" t="str">
        <f t="shared" si="162"/>
        <v/>
      </c>
      <c r="E2369" t="s">
        <v>914</v>
      </c>
      <c r="F2369" t="str">
        <f t="shared" si="163"/>
        <v>8614014</v>
      </c>
      <c r="H2369">
        <v>3</v>
      </c>
    </row>
    <row r="2370" spans="1:8" hidden="1" x14ac:dyDescent="0.25">
      <c r="A2370">
        <v>17373</v>
      </c>
      <c r="B2370" t="s">
        <v>4</v>
      </c>
      <c r="C2370" t="s">
        <v>2113</v>
      </c>
      <c r="D2370" t="str">
        <f t="shared" si="162"/>
        <v/>
      </c>
      <c r="E2370" t="s">
        <v>2114</v>
      </c>
      <c r="F2370" t="str">
        <f t="shared" si="163"/>
        <v>7700200</v>
      </c>
      <c r="H2370">
        <v>1</v>
      </c>
    </row>
    <row r="2371" spans="1:8" hidden="1" x14ac:dyDescent="0.25">
      <c r="A2371">
        <v>15759</v>
      </c>
      <c r="B2371" t="s">
        <v>4</v>
      </c>
      <c r="C2371" t="s">
        <v>1112</v>
      </c>
      <c r="D2371" t="str">
        <f t="shared" si="162"/>
        <v/>
      </c>
      <c r="E2371" t="s">
        <v>1113</v>
      </c>
      <c r="F2371" t="str">
        <f t="shared" si="163"/>
        <v>8505160</v>
      </c>
      <c r="H2371">
        <v>1</v>
      </c>
    </row>
    <row r="2372" spans="1:8" hidden="1" x14ac:dyDescent="0.25">
      <c r="A2372">
        <v>15762</v>
      </c>
      <c r="B2372" t="s">
        <v>4</v>
      </c>
      <c r="C2372" t="s">
        <v>1114</v>
      </c>
      <c r="D2372" t="str">
        <f t="shared" si="162"/>
        <v/>
      </c>
      <c r="E2372" t="s">
        <v>1115</v>
      </c>
      <c r="F2372" t="str">
        <f t="shared" si="163"/>
        <v>8505233</v>
      </c>
      <c r="H2372">
        <v>1</v>
      </c>
    </row>
    <row r="2373" spans="1:8" hidden="1" x14ac:dyDescent="0.25">
      <c r="A2373">
        <v>15765</v>
      </c>
      <c r="B2373" t="s">
        <v>4</v>
      </c>
      <c r="C2373" t="s">
        <v>1116</v>
      </c>
      <c r="D2373" t="str">
        <f t="shared" si="162"/>
        <v/>
      </c>
      <c r="E2373" t="s">
        <v>1117</v>
      </c>
      <c r="F2373" t="str">
        <f t="shared" si="163"/>
        <v>8505159</v>
      </c>
      <c r="H2373">
        <v>1</v>
      </c>
    </row>
    <row r="2374" spans="1:8" hidden="1" x14ac:dyDescent="0.25">
      <c r="A2374">
        <v>15741</v>
      </c>
      <c r="B2374" t="s">
        <v>4</v>
      </c>
      <c r="C2374" t="s">
        <v>1102</v>
      </c>
      <c r="D2374" t="str">
        <f t="shared" si="162"/>
        <v/>
      </c>
      <c r="E2374" t="s">
        <v>1103</v>
      </c>
      <c r="F2374" t="str">
        <f t="shared" si="163"/>
        <v>8505705</v>
      </c>
      <c r="H2374">
        <v>1</v>
      </c>
    </row>
    <row r="2375" spans="1:8" hidden="1" x14ac:dyDescent="0.25">
      <c r="A2375">
        <v>18792</v>
      </c>
      <c r="B2375" t="s">
        <v>4</v>
      </c>
      <c r="C2375" t="s">
        <v>3974</v>
      </c>
      <c r="D2375" t="str">
        <f t="shared" si="162"/>
        <v/>
      </c>
      <c r="E2375" t="s">
        <v>3975</v>
      </c>
      <c r="F2375" t="str">
        <f t="shared" si="163"/>
        <v>8505205</v>
      </c>
      <c r="H2375">
        <v>1</v>
      </c>
    </row>
    <row r="2376" spans="1:8" hidden="1" x14ac:dyDescent="0.25">
      <c r="A2376">
        <v>16724</v>
      </c>
      <c r="B2376" t="s">
        <v>4</v>
      </c>
      <c r="C2376" t="s">
        <v>1640</v>
      </c>
      <c r="D2376" t="str">
        <f t="shared" si="162"/>
        <v/>
      </c>
      <c r="E2376" t="s">
        <v>1641</v>
      </c>
      <c r="F2376" t="str">
        <f t="shared" si="163"/>
        <v>8505209</v>
      </c>
      <c r="H2376">
        <v>1</v>
      </c>
    </row>
    <row r="2377" spans="1:8" hidden="1" x14ac:dyDescent="0.25">
      <c r="A2377">
        <v>15340</v>
      </c>
      <c r="B2377" t="s">
        <v>4</v>
      </c>
      <c r="C2377" t="s">
        <v>757</v>
      </c>
      <c r="D2377" t="str">
        <f t="shared" si="162"/>
        <v/>
      </c>
      <c r="E2377" t="s">
        <v>758</v>
      </c>
      <c r="F2377" t="str">
        <f t="shared" si="163"/>
        <v>8505706</v>
      </c>
    </row>
    <row r="2378" spans="1:8" hidden="1" x14ac:dyDescent="0.25">
      <c r="A2378">
        <v>18826</v>
      </c>
      <c r="B2378" t="s">
        <v>4</v>
      </c>
      <c r="C2378" t="s">
        <v>3991</v>
      </c>
      <c r="D2378" t="str">
        <f t="shared" si="162"/>
        <v/>
      </c>
      <c r="E2378" t="s">
        <v>3992</v>
      </c>
      <c r="F2378" t="str">
        <f t="shared" si="163"/>
        <v>8505603</v>
      </c>
    </row>
    <row r="2379" spans="1:8" hidden="1" x14ac:dyDescent="0.25">
      <c r="A2379">
        <v>18939</v>
      </c>
      <c r="B2379" t="s">
        <v>4</v>
      </c>
      <c r="C2379" t="s">
        <v>4087</v>
      </c>
      <c r="D2379" t="str">
        <f t="shared" si="162"/>
        <v/>
      </c>
      <c r="E2379" t="s">
        <v>4088</v>
      </c>
      <c r="F2379" t="str">
        <f t="shared" si="163"/>
        <v>7700451</v>
      </c>
      <c r="H2379">
        <v>1</v>
      </c>
    </row>
    <row r="2380" spans="1:8" hidden="1" x14ac:dyDescent="0.25">
      <c r="A2380">
        <v>18942</v>
      </c>
      <c r="B2380" t="s">
        <v>4</v>
      </c>
      <c r="C2380" t="s">
        <v>4089</v>
      </c>
      <c r="D2380" t="str">
        <f t="shared" si="162"/>
        <v/>
      </c>
      <c r="E2380" t="s">
        <v>4090</v>
      </c>
      <c r="F2380" t="str">
        <f t="shared" si="163"/>
        <v>7700450</v>
      </c>
      <c r="H2380">
        <v>1</v>
      </c>
    </row>
    <row r="2381" spans="1:8" hidden="1" x14ac:dyDescent="0.25">
      <c r="A2381">
        <v>18887</v>
      </c>
      <c r="B2381" t="s">
        <v>4</v>
      </c>
      <c r="C2381" t="s">
        <v>4039</v>
      </c>
      <c r="D2381" t="str">
        <f t="shared" si="162"/>
        <v/>
      </c>
      <c r="E2381" t="s">
        <v>4040</v>
      </c>
      <c r="F2381" t="str">
        <f t="shared" si="163"/>
        <v>7700100</v>
      </c>
      <c r="H2381">
        <v>1</v>
      </c>
    </row>
    <row r="2382" spans="1:8" hidden="1" x14ac:dyDescent="0.25">
      <c r="A2382">
        <v>18890</v>
      </c>
      <c r="B2382" t="s">
        <v>4</v>
      </c>
      <c r="C2382" t="s">
        <v>4041</v>
      </c>
      <c r="D2382" t="str">
        <f t="shared" si="162"/>
        <v/>
      </c>
      <c r="E2382" t="s">
        <v>4042</v>
      </c>
      <c r="F2382" t="str">
        <f t="shared" si="163"/>
        <v>7700101</v>
      </c>
      <c r="H2382">
        <v>1</v>
      </c>
    </row>
    <row r="2383" spans="1:8" hidden="1" x14ac:dyDescent="0.25">
      <c r="A2383">
        <v>18832</v>
      </c>
      <c r="B2383" t="s">
        <v>4</v>
      </c>
      <c r="C2383" t="s">
        <v>3993</v>
      </c>
      <c r="D2383" t="str">
        <f t="shared" si="162"/>
        <v/>
      </c>
      <c r="E2383" t="s">
        <v>3994</v>
      </c>
      <c r="F2383" t="str">
        <f t="shared" si="163"/>
        <v>8505605</v>
      </c>
    </row>
    <row r="2384" spans="1:8" hidden="1" x14ac:dyDescent="0.25">
      <c r="A2384">
        <v>15676</v>
      </c>
      <c r="B2384" t="s">
        <v>4</v>
      </c>
      <c r="C2384" t="s">
        <v>1040</v>
      </c>
      <c r="D2384" t="str">
        <f t="shared" si="162"/>
        <v/>
      </c>
      <c r="E2384" t="s">
        <v>1041</v>
      </c>
      <c r="F2384" t="str">
        <f t="shared" si="163"/>
        <v>8505707</v>
      </c>
    </row>
    <row r="2385" spans="1:8" hidden="1" x14ac:dyDescent="0.25">
      <c r="A2385">
        <v>15828</v>
      </c>
      <c r="B2385" t="s">
        <v>4</v>
      </c>
      <c r="C2385" t="s">
        <v>1159</v>
      </c>
      <c r="D2385" t="str">
        <f t="shared" si="162"/>
        <v/>
      </c>
      <c r="E2385" t="s">
        <v>1160</v>
      </c>
      <c r="F2385" t="str">
        <f t="shared" si="163"/>
        <v>7700607</v>
      </c>
    </row>
    <row r="2386" spans="1:8" hidden="1" x14ac:dyDescent="0.25">
      <c r="A2386">
        <v>18927</v>
      </c>
      <c r="B2386" t="s">
        <v>4</v>
      </c>
      <c r="C2386" t="s">
        <v>4079</v>
      </c>
      <c r="D2386" t="str">
        <f t="shared" si="162"/>
        <v/>
      </c>
      <c r="E2386" t="s">
        <v>4080</v>
      </c>
      <c r="F2386" t="str">
        <f t="shared" si="163"/>
        <v>7700455</v>
      </c>
    </row>
    <row r="2387" spans="1:8" hidden="1" x14ac:dyDescent="0.25">
      <c r="A2387">
        <v>18902</v>
      </c>
      <c r="B2387" t="s">
        <v>4</v>
      </c>
      <c r="C2387" t="s">
        <v>4049</v>
      </c>
      <c r="D2387" t="str">
        <f t="shared" si="162"/>
        <v/>
      </c>
      <c r="E2387" t="s">
        <v>4050</v>
      </c>
      <c r="F2387" t="str">
        <f t="shared" si="163"/>
        <v>7700106</v>
      </c>
      <c r="H2387">
        <v>1</v>
      </c>
    </row>
    <row r="2388" spans="1:8" hidden="1" x14ac:dyDescent="0.25">
      <c r="A2388">
        <v>18835</v>
      </c>
      <c r="B2388" t="s">
        <v>4</v>
      </c>
      <c r="C2388" t="s">
        <v>3995</v>
      </c>
      <c r="D2388" t="str">
        <f t="shared" si="162"/>
        <v/>
      </c>
      <c r="E2388" t="s">
        <v>3996</v>
      </c>
      <c r="F2388" t="str">
        <f t="shared" si="163"/>
        <v>8505606</v>
      </c>
    </row>
    <row r="2389" spans="1:8" hidden="1" x14ac:dyDescent="0.25">
      <c r="A2389">
        <v>18933</v>
      </c>
      <c r="B2389" t="s">
        <v>4</v>
      </c>
      <c r="C2389" t="s">
        <v>4083</v>
      </c>
      <c r="D2389" t="str">
        <f t="shared" si="162"/>
        <v/>
      </c>
      <c r="E2389" t="s">
        <v>4084</v>
      </c>
      <c r="F2389" t="str">
        <f t="shared" si="163"/>
        <v>7700453</v>
      </c>
    </row>
    <row r="2390" spans="1:8" hidden="1" x14ac:dyDescent="0.25">
      <c r="A2390">
        <v>18930</v>
      </c>
      <c r="B2390" t="s">
        <v>4</v>
      </c>
      <c r="C2390" t="s">
        <v>4081</v>
      </c>
      <c r="D2390" t="str">
        <f t="shared" si="162"/>
        <v/>
      </c>
      <c r="E2390" t="s">
        <v>4082</v>
      </c>
      <c r="F2390" t="str">
        <f t="shared" si="163"/>
        <v>7700454</v>
      </c>
    </row>
    <row r="2391" spans="1:8" hidden="1" x14ac:dyDescent="0.25">
      <c r="A2391">
        <v>18899</v>
      </c>
      <c r="B2391" t="s">
        <v>4</v>
      </c>
      <c r="C2391" t="s">
        <v>4047</v>
      </c>
      <c r="D2391" t="str">
        <f t="shared" si="162"/>
        <v/>
      </c>
      <c r="E2391" t="s">
        <v>4048</v>
      </c>
      <c r="F2391" t="str">
        <f t="shared" si="163"/>
        <v>7700105</v>
      </c>
    </row>
    <row r="2392" spans="1:8" hidden="1" x14ac:dyDescent="0.25">
      <c r="A2392">
        <v>18936</v>
      </c>
      <c r="B2392" t="s">
        <v>4</v>
      </c>
      <c r="C2392" t="s">
        <v>4085</v>
      </c>
      <c r="D2392" t="str">
        <f t="shared" si="162"/>
        <v/>
      </c>
      <c r="E2392" t="s">
        <v>4086</v>
      </c>
      <c r="F2392" t="str">
        <f t="shared" si="163"/>
        <v>7700452</v>
      </c>
    </row>
    <row r="2393" spans="1:8" hidden="1" x14ac:dyDescent="0.25">
      <c r="A2393">
        <v>18893</v>
      </c>
      <c r="B2393" t="s">
        <v>4</v>
      </c>
      <c r="C2393" t="s">
        <v>4043</v>
      </c>
      <c r="D2393" t="str">
        <f t="shared" si="162"/>
        <v/>
      </c>
      <c r="E2393" t="s">
        <v>4044</v>
      </c>
      <c r="F2393" t="str">
        <f t="shared" si="163"/>
        <v>7700103</v>
      </c>
    </row>
    <row r="2394" spans="1:8" hidden="1" x14ac:dyDescent="0.25">
      <c r="A2394">
        <v>18896</v>
      </c>
      <c r="B2394" t="s">
        <v>4</v>
      </c>
      <c r="C2394" t="s">
        <v>4045</v>
      </c>
      <c r="D2394" t="str">
        <f t="shared" si="162"/>
        <v/>
      </c>
      <c r="E2394" t="s">
        <v>4046</v>
      </c>
      <c r="F2394" t="str">
        <f t="shared" si="163"/>
        <v>7700104</v>
      </c>
    </row>
    <row r="2395" spans="1:8" hidden="1" x14ac:dyDescent="0.25">
      <c r="A2395">
        <v>18823</v>
      </c>
      <c r="B2395" t="s">
        <v>4</v>
      </c>
      <c r="C2395" t="s">
        <v>6997</v>
      </c>
      <c r="D2395" t="s">
        <v>6996</v>
      </c>
      <c r="E2395" t="s">
        <v>3990</v>
      </c>
      <c r="F2395" t="str">
        <f t="shared" si="163"/>
        <v>8505602</v>
      </c>
    </row>
    <row r="2396" spans="1:8" hidden="1" x14ac:dyDescent="0.25">
      <c r="A2396">
        <v>16208</v>
      </c>
      <c r="B2396" t="s">
        <v>4</v>
      </c>
      <c r="C2396" t="s">
        <v>1360</v>
      </c>
      <c r="D2396" t="str">
        <f t="shared" ref="D2396:D2427" si="164">IF(RIGHT(LEFT(C2396,9),2)="##","",RIGHT(LEFT(C2396,10),2))</f>
        <v/>
      </c>
      <c r="E2396" t="s">
        <v>1361</v>
      </c>
      <c r="F2396" t="str">
        <f t="shared" si="163"/>
        <v>8513173</v>
      </c>
      <c r="H2396">
        <v>1</v>
      </c>
    </row>
    <row r="2397" spans="1:8" hidden="1" x14ac:dyDescent="0.25">
      <c r="A2397">
        <v>20504</v>
      </c>
      <c r="B2397" t="s">
        <v>4</v>
      </c>
      <c r="C2397" t="s">
        <v>5927</v>
      </c>
      <c r="D2397" t="str">
        <f t="shared" si="164"/>
        <v/>
      </c>
      <c r="E2397" t="s">
        <v>5928</v>
      </c>
      <c r="F2397" t="str">
        <f t="shared" si="163"/>
        <v>8503600</v>
      </c>
      <c r="H2397">
        <v>5</v>
      </c>
    </row>
    <row r="2398" spans="1:8" hidden="1" x14ac:dyDescent="0.25">
      <c r="A2398">
        <v>17051</v>
      </c>
      <c r="B2398" t="s">
        <v>4</v>
      </c>
      <c r="C2398" t="s">
        <v>1922</v>
      </c>
      <c r="D2398" t="str">
        <f t="shared" si="164"/>
        <v/>
      </c>
      <c r="E2398" t="s">
        <v>1923</v>
      </c>
      <c r="F2398" t="str">
        <f t="shared" si="163"/>
        <v>8520006</v>
      </c>
      <c r="H2398">
        <v>9</v>
      </c>
    </row>
    <row r="2399" spans="1:8" hidden="1" x14ac:dyDescent="0.25">
      <c r="A2399">
        <v>16324</v>
      </c>
      <c r="B2399" t="s">
        <v>4</v>
      </c>
      <c r="C2399" t="s">
        <v>1422</v>
      </c>
      <c r="D2399" t="str">
        <f t="shared" si="164"/>
        <v/>
      </c>
      <c r="E2399" t="s">
        <v>1423</v>
      </c>
      <c r="F2399" t="str">
        <f t="shared" si="163"/>
        <v>7707368</v>
      </c>
      <c r="H2399">
        <v>1</v>
      </c>
    </row>
    <row r="2400" spans="1:8" hidden="1" x14ac:dyDescent="0.25">
      <c r="A2400">
        <v>17495</v>
      </c>
      <c r="B2400" t="s">
        <v>4</v>
      </c>
      <c r="C2400" t="s">
        <v>2199</v>
      </c>
      <c r="D2400" t="str">
        <f t="shared" si="164"/>
        <v/>
      </c>
      <c r="E2400" t="s">
        <v>2200</v>
      </c>
      <c r="F2400" t="str">
        <f t="shared" si="163"/>
        <v>8520007</v>
      </c>
      <c r="H2400">
        <v>4</v>
      </c>
    </row>
    <row r="2401" spans="1:8" hidden="1" x14ac:dyDescent="0.25">
      <c r="A2401">
        <v>16331</v>
      </c>
      <c r="B2401" t="s">
        <v>4</v>
      </c>
      <c r="C2401" t="s">
        <v>1426</v>
      </c>
      <c r="D2401" t="str">
        <f t="shared" si="164"/>
        <v/>
      </c>
      <c r="E2401" t="s">
        <v>1427</v>
      </c>
      <c r="F2401" t="str">
        <f t="shared" si="163"/>
        <v>7707120</v>
      </c>
      <c r="H2401">
        <v>1</v>
      </c>
    </row>
    <row r="2402" spans="1:8" hidden="1" x14ac:dyDescent="0.25">
      <c r="A2402">
        <v>16170</v>
      </c>
      <c r="B2402" t="s">
        <v>4</v>
      </c>
      <c r="C2402" t="s">
        <v>1334</v>
      </c>
      <c r="D2402" t="str">
        <f t="shared" si="164"/>
        <v/>
      </c>
      <c r="E2402" t="s">
        <v>1335</v>
      </c>
      <c r="F2402" t="str">
        <f t="shared" si="163"/>
        <v>8520141</v>
      </c>
    </row>
    <row r="2403" spans="1:8" hidden="1" x14ac:dyDescent="0.25">
      <c r="A2403">
        <v>16164</v>
      </c>
      <c r="B2403" t="s">
        <v>4</v>
      </c>
      <c r="C2403" t="s">
        <v>1332</v>
      </c>
      <c r="D2403" t="str">
        <f t="shared" si="164"/>
        <v/>
      </c>
      <c r="E2403" t="s">
        <v>1333</v>
      </c>
      <c r="F2403" t="str">
        <f t="shared" si="163"/>
        <v>8520166</v>
      </c>
    </row>
    <row r="2404" spans="1:8" hidden="1" x14ac:dyDescent="0.25">
      <c r="A2404">
        <v>17199</v>
      </c>
      <c r="B2404" t="s">
        <v>4</v>
      </c>
      <c r="C2404" t="s">
        <v>2035</v>
      </c>
      <c r="D2404" t="str">
        <f t="shared" si="164"/>
        <v/>
      </c>
      <c r="E2404" t="s">
        <v>2036</v>
      </c>
      <c r="F2404" t="str">
        <f t="shared" si="163"/>
        <v>8520026</v>
      </c>
      <c r="H2404">
        <v>8</v>
      </c>
    </row>
    <row r="2405" spans="1:8" hidden="1" x14ac:dyDescent="0.25">
      <c r="A2405">
        <v>20530</v>
      </c>
      <c r="B2405" t="s">
        <v>4</v>
      </c>
      <c r="C2405" t="s">
        <v>5943</v>
      </c>
      <c r="D2405" t="str">
        <f t="shared" si="164"/>
        <v/>
      </c>
      <c r="E2405" t="s">
        <v>5944</v>
      </c>
      <c r="F2405" t="str">
        <f t="shared" si="163"/>
        <v>8520016</v>
      </c>
      <c r="H2405">
        <v>4</v>
      </c>
    </row>
    <row r="2406" spans="1:8" hidden="1" x14ac:dyDescent="0.25">
      <c r="A2406">
        <v>18780</v>
      </c>
      <c r="B2406" t="s">
        <v>4</v>
      </c>
      <c r="C2406" t="s">
        <v>3970</v>
      </c>
      <c r="D2406" t="str">
        <f t="shared" si="164"/>
        <v/>
      </c>
      <c r="E2406" t="s">
        <v>3971</v>
      </c>
      <c r="F2406" t="str">
        <f t="shared" si="163"/>
        <v>8520946</v>
      </c>
    </row>
    <row r="2407" spans="1:8" hidden="1" x14ac:dyDescent="0.25">
      <c r="A2407">
        <v>17442</v>
      </c>
      <c r="B2407" t="s">
        <v>4</v>
      </c>
      <c r="C2407" t="s">
        <v>2141</v>
      </c>
      <c r="D2407" t="str">
        <f t="shared" si="164"/>
        <v/>
      </c>
      <c r="E2407" t="s">
        <v>2142</v>
      </c>
      <c r="F2407" t="str">
        <f t="shared" si="163"/>
        <v>8520045</v>
      </c>
      <c r="H2407">
        <v>15</v>
      </c>
    </row>
    <row r="2408" spans="1:8" hidden="1" x14ac:dyDescent="0.25">
      <c r="A2408">
        <v>18762</v>
      </c>
      <c r="B2408" t="s">
        <v>4</v>
      </c>
      <c r="C2408" t="s">
        <v>3960</v>
      </c>
      <c r="D2408" t="str">
        <f t="shared" si="164"/>
        <v/>
      </c>
      <c r="E2408" t="s">
        <v>3961</v>
      </c>
      <c r="F2408" t="str">
        <f t="shared" si="163"/>
        <v>8520060</v>
      </c>
      <c r="H2408">
        <v>5</v>
      </c>
    </row>
    <row r="2409" spans="1:8" hidden="1" x14ac:dyDescent="0.25">
      <c r="A2409">
        <v>16364</v>
      </c>
      <c r="B2409" t="s">
        <v>4</v>
      </c>
      <c r="C2409" t="s">
        <v>1442</v>
      </c>
      <c r="D2409" t="str">
        <f t="shared" si="164"/>
        <v/>
      </c>
      <c r="E2409" t="s">
        <v>1443</v>
      </c>
      <c r="F2409" t="str">
        <f t="shared" si="163"/>
        <v>8520407</v>
      </c>
    </row>
    <row r="2410" spans="1:8" hidden="1" x14ac:dyDescent="0.25">
      <c r="A2410">
        <v>20514</v>
      </c>
      <c r="B2410" t="s">
        <v>4</v>
      </c>
      <c r="C2410" t="s">
        <v>5937</v>
      </c>
      <c r="D2410" t="str">
        <f t="shared" si="164"/>
        <v/>
      </c>
      <c r="E2410" t="s">
        <v>5938</v>
      </c>
      <c r="F2410" t="str">
        <f t="shared" si="163"/>
        <v>8520003</v>
      </c>
      <c r="H2410">
        <v>4</v>
      </c>
    </row>
    <row r="2411" spans="1:8" hidden="1" x14ac:dyDescent="0.25">
      <c r="A2411">
        <v>18029</v>
      </c>
      <c r="B2411" t="s">
        <v>4</v>
      </c>
      <c r="C2411" t="s">
        <v>2975</v>
      </c>
      <c r="D2411" t="str">
        <f t="shared" si="164"/>
        <v/>
      </c>
      <c r="E2411" t="s">
        <v>2976</v>
      </c>
      <c r="F2411" t="str">
        <f t="shared" si="163"/>
        <v>8520064</v>
      </c>
    </row>
    <row r="2412" spans="1:8" hidden="1" x14ac:dyDescent="0.25">
      <c r="A2412">
        <v>16154</v>
      </c>
      <c r="B2412" t="s">
        <v>4</v>
      </c>
      <c r="C2412" t="s">
        <v>1326</v>
      </c>
      <c r="D2412" t="str">
        <f t="shared" si="164"/>
        <v/>
      </c>
      <c r="E2412" t="s">
        <v>1327</v>
      </c>
      <c r="F2412" t="str">
        <f t="shared" si="163"/>
        <v>8520265</v>
      </c>
    </row>
    <row r="2413" spans="1:8" hidden="1" x14ac:dyDescent="0.25">
      <c r="A2413">
        <v>19818</v>
      </c>
      <c r="B2413" t="s">
        <v>4</v>
      </c>
      <c r="C2413" t="s">
        <v>5243</v>
      </c>
      <c r="D2413" t="str">
        <f t="shared" si="164"/>
        <v/>
      </c>
      <c r="E2413" t="s">
        <v>5244</v>
      </c>
      <c r="F2413" t="str">
        <f t="shared" si="163"/>
        <v>8520936</v>
      </c>
    </row>
    <row r="2414" spans="1:8" hidden="1" x14ac:dyDescent="0.25">
      <c r="A2414">
        <v>17456</v>
      </c>
      <c r="B2414" t="s">
        <v>4</v>
      </c>
      <c r="C2414" t="s">
        <v>2145</v>
      </c>
      <c r="D2414" t="str">
        <f t="shared" si="164"/>
        <v/>
      </c>
      <c r="E2414" t="s">
        <v>2146</v>
      </c>
      <c r="F2414" t="str">
        <f t="shared" si="163"/>
        <v>8520030</v>
      </c>
      <c r="H2414">
        <v>7</v>
      </c>
    </row>
    <row r="2415" spans="1:8" hidden="1" x14ac:dyDescent="0.25">
      <c r="A2415">
        <v>18795</v>
      </c>
      <c r="B2415" t="s">
        <v>4</v>
      </c>
      <c r="C2415" t="s">
        <v>3976</v>
      </c>
      <c r="D2415" t="str">
        <f t="shared" si="164"/>
        <v/>
      </c>
      <c r="E2415" t="s">
        <v>3977</v>
      </c>
      <c r="F2415" t="str">
        <f t="shared" si="163"/>
        <v>8520781</v>
      </c>
    </row>
    <row r="2416" spans="1:8" hidden="1" x14ac:dyDescent="0.25">
      <c r="A2416">
        <v>20519</v>
      </c>
      <c r="B2416" t="s">
        <v>4</v>
      </c>
      <c r="C2416" t="s">
        <v>5939</v>
      </c>
      <c r="D2416" t="str">
        <f t="shared" si="164"/>
        <v/>
      </c>
      <c r="E2416" t="s">
        <v>5940</v>
      </c>
      <c r="F2416" t="str">
        <f t="shared" si="163"/>
        <v>8520005</v>
      </c>
      <c r="H2416">
        <v>3</v>
      </c>
    </row>
    <row r="2417" spans="1:9" hidden="1" x14ac:dyDescent="0.25">
      <c r="A2417">
        <v>20551</v>
      </c>
      <c r="B2417" t="s">
        <v>4</v>
      </c>
      <c r="C2417" t="s">
        <v>5949</v>
      </c>
      <c r="D2417" t="str">
        <f t="shared" si="164"/>
        <v/>
      </c>
      <c r="E2417" t="s">
        <v>5950</v>
      </c>
      <c r="F2417" t="str">
        <f t="shared" si="163"/>
        <v>8520118</v>
      </c>
    </row>
    <row r="2418" spans="1:9" hidden="1" x14ac:dyDescent="0.25">
      <c r="A2418">
        <v>18748</v>
      </c>
      <c r="B2418" t="s">
        <v>4</v>
      </c>
      <c r="C2418" t="s">
        <v>3956</v>
      </c>
      <c r="D2418" t="str">
        <f t="shared" si="164"/>
        <v/>
      </c>
      <c r="E2418" t="s">
        <v>3957</v>
      </c>
      <c r="F2418" t="str">
        <f t="shared" si="163"/>
        <v>8520750</v>
      </c>
    </row>
    <row r="2419" spans="1:9" hidden="1" x14ac:dyDescent="0.25">
      <c r="A2419">
        <v>18755</v>
      </c>
      <c r="B2419" t="s">
        <v>4</v>
      </c>
      <c r="C2419" t="s">
        <v>3958</v>
      </c>
      <c r="D2419" t="str">
        <f t="shared" si="164"/>
        <v/>
      </c>
      <c r="E2419" t="s">
        <v>3959</v>
      </c>
      <c r="F2419" t="str">
        <f t="shared" si="163"/>
        <v>8520745</v>
      </c>
    </row>
    <row r="2420" spans="1:9" hidden="1" x14ac:dyDescent="0.25">
      <c r="A2420">
        <v>17424</v>
      </c>
      <c r="B2420" t="s">
        <v>4</v>
      </c>
      <c r="C2420" t="s">
        <v>2137</v>
      </c>
      <c r="D2420" t="str">
        <f t="shared" si="164"/>
        <v/>
      </c>
      <c r="E2420" t="s">
        <v>2138</v>
      </c>
      <c r="F2420" t="str">
        <f t="shared" si="163"/>
        <v>8520051</v>
      </c>
      <c r="H2420">
        <v>6</v>
      </c>
    </row>
    <row r="2421" spans="1:9" hidden="1" x14ac:dyDescent="0.25">
      <c r="A2421">
        <v>17432</v>
      </c>
      <c r="B2421" t="s">
        <v>4</v>
      </c>
      <c r="C2421" t="s">
        <v>2139</v>
      </c>
      <c r="D2421" t="str">
        <f t="shared" si="164"/>
        <v/>
      </c>
      <c r="E2421" t="s">
        <v>2140</v>
      </c>
      <c r="F2421" t="str">
        <f t="shared" ref="F2421:F2431" si="165">LEFT(C2421,7)</f>
        <v>8520067</v>
      </c>
      <c r="H2421">
        <v>5</v>
      </c>
    </row>
    <row r="2422" spans="1:9" hidden="1" x14ac:dyDescent="0.25">
      <c r="A2422">
        <v>17450</v>
      </c>
      <c r="B2422" t="s">
        <v>4</v>
      </c>
      <c r="C2422" t="s">
        <v>2143</v>
      </c>
      <c r="D2422" t="str">
        <f t="shared" si="164"/>
        <v/>
      </c>
      <c r="E2422" t="s">
        <v>2144</v>
      </c>
      <c r="F2422" t="str">
        <f t="shared" si="165"/>
        <v>8520932</v>
      </c>
      <c r="H2422">
        <v>5</v>
      </c>
    </row>
    <row r="2423" spans="1:9" hidden="1" x14ac:dyDescent="0.25">
      <c r="A2423">
        <v>18767</v>
      </c>
      <c r="B2423" t="s">
        <v>4</v>
      </c>
      <c r="C2423" t="s">
        <v>3962</v>
      </c>
      <c r="D2423" t="str">
        <f t="shared" si="164"/>
        <v/>
      </c>
      <c r="E2423" t="s">
        <v>3963</v>
      </c>
      <c r="F2423" t="str">
        <f t="shared" si="165"/>
        <v>8520941</v>
      </c>
    </row>
    <row r="2424" spans="1:9" hidden="1" x14ac:dyDescent="0.25">
      <c r="A2424">
        <v>18650</v>
      </c>
      <c r="B2424" t="s">
        <v>4</v>
      </c>
      <c r="C2424" t="s">
        <v>3838</v>
      </c>
      <c r="D2424" t="str">
        <f t="shared" si="164"/>
        <v/>
      </c>
      <c r="E2424" t="s">
        <v>3839</v>
      </c>
      <c r="F2424" t="str">
        <f t="shared" si="165"/>
        <v>8520729</v>
      </c>
    </row>
    <row r="2425" spans="1:9" hidden="1" x14ac:dyDescent="0.25">
      <c r="A2425">
        <v>20559</v>
      </c>
      <c r="B2425" t="s">
        <v>4</v>
      </c>
      <c r="C2425" t="s">
        <v>5951</v>
      </c>
      <c r="D2425" t="str">
        <f t="shared" si="164"/>
        <v/>
      </c>
      <c r="E2425" t="s">
        <v>5952</v>
      </c>
      <c r="F2425" t="str">
        <f t="shared" si="165"/>
        <v>8520733</v>
      </c>
    </row>
    <row r="2426" spans="1:9" ht="15" hidden="1" customHeight="1" x14ac:dyDescent="0.25">
      <c r="A2426">
        <v>18786</v>
      </c>
      <c r="B2426" t="s">
        <v>4</v>
      </c>
      <c r="C2426" t="s">
        <v>3972</v>
      </c>
      <c r="D2426" t="str">
        <f t="shared" si="164"/>
        <v/>
      </c>
      <c r="E2426" t="s">
        <v>3973</v>
      </c>
      <c r="F2426" t="str">
        <f t="shared" si="165"/>
        <v>8520738</v>
      </c>
    </row>
    <row r="2427" spans="1:9" ht="15" hidden="1" customHeight="1" x14ac:dyDescent="0.25">
      <c r="A2427">
        <v>20524</v>
      </c>
      <c r="B2427" t="s">
        <v>4</v>
      </c>
      <c r="C2427" t="s">
        <v>5941</v>
      </c>
      <c r="D2427" t="str">
        <f t="shared" si="164"/>
        <v/>
      </c>
      <c r="E2427" t="s">
        <v>5942</v>
      </c>
      <c r="F2427" t="str">
        <f t="shared" si="165"/>
        <v>8520014</v>
      </c>
      <c r="H2427">
        <v>4</v>
      </c>
    </row>
    <row r="2428" spans="1:9" ht="15" hidden="1" customHeight="1" x14ac:dyDescent="0.25">
      <c r="A2428">
        <v>19076</v>
      </c>
      <c r="B2428" t="s">
        <v>4</v>
      </c>
      <c r="C2428" t="s">
        <v>4268</v>
      </c>
      <c r="D2428" t="str">
        <f t="shared" ref="D2428:D2444" si="166">IF(RIGHT(LEFT(C2428,9),2)="##","",RIGHT(LEFT(C2428,10),2))</f>
        <v/>
      </c>
      <c r="E2428" t="s">
        <v>4269</v>
      </c>
      <c r="F2428" t="str">
        <f t="shared" si="165"/>
        <v>8703987</v>
      </c>
    </row>
    <row r="2429" spans="1:9" ht="15" hidden="1" customHeight="1" x14ac:dyDescent="0.25">
      <c r="A2429">
        <v>17209</v>
      </c>
      <c r="B2429" t="s">
        <v>4</v>
      </c>
      <c r="C2429" t="s">
        <v>2037</v>
      </c>
      <c r="D2429" t="str">
        <f t="shared" si="166"/>
        <v/>
      </c>
      <c r="E2429" t="s">
        <v>2038</v>
      </c>
      <c r="F2429" t="str">
        <f t="shared" si="165"/>
        <v>8503505</v>
      </c>
      <c r="H2429">
        <v>9</v>
      </c>
    </row>
    <row r="2430" spans="1:9" ht="15" hidden="1" customHeight="1" x14ac:dyDescent="0.25">
      <c r="A2430">
        <v>18498</v>
      </c>
      <c r="B2430" t="s">
        <v>4</v>
      </c>
      <c r="C2430" t="s">
        <v>3685</v>
      </c>
      <c r="D2430" t="str">
        <f t="shared" si="166"/>
        <v/>
      </c>
      <c r="E2430" t="s">
        <v>3686</v>
      </c>
      <c r="F2430" t="str">
        <f t="shared" si="165"/>
        <v>8520050</v>
      </c>
    </row>
    <row r="2431" spans="1:9" ht="15" hidden="1" customHeight="1" x14ac:dyDescent="0.25">
      <c r="A2431">
        <v>16568</v>
      </c>
      <c r="B2431" t="s">
        <v>4</v>
      </c>
      <c r="C2431" t="s">
        <v>1558</v>
      </c>
      <c r="D2431" t="str">
        <f t="shared" si="166"/>
        <v/>
      </c>
      <c r="E2431" t="s">
        <v>1559</v>
      </c>
      <c r="F2431" t="str">
        <f t="shared" si="165"/>
        <v>8708104</v>
      </c>
    </row>
    <row r="2432" spans="1:9" ht="15" customHeight="1" x14ac:dyDescent="0.25">
      <c r="A2432">
        <v>19238</v>
      </c>
      <c r="B2432" t="s">
        <v>7</v>
      </c>
      <c r="C2432" t="s">
        <v>4476</v>
      </c>
      <c r="D2432" t="str">
        <f t="shared" si="166"/>
        <v/>
      </c>
      <c r="E2432" t="s">
        <v>6930</v>
      </c>
      <c r="F2432" t="s">
        <v>6931</v>
      </c>
      <c r="H2432">
        <v>14</v>
      </c>
      <c r="I2432">
        <v>1</v>
      </c>
    </row>
    <row r="2433" spans="1:9" ht="15" hidden="1" customHeight="1" x14ac:dyDescent="0.25">
      <c r="A2433">
        <v>19240</v>
      </c>
      <c r="B2433" t="s">
        <v>10</v>
      </c>
      <c r="C2433" t="s">
        <v>4479</v>
      </c>
      <c r="D2433" t="str">
        <f t="shared" si="166"/>
        <v/>
      </c>
      <c r="E2433" t="s">
        <v>4480</v>
      </c>
      <c r="F2433" t="str">
        <f t="shared" ref="F2433:F2496" si="167">LEFT(C2433,7)</f>
        <v>1130255</v>
      </c>
    </row>
    <row r="2434" spans="1:9" ht="15" hidden="1" customHeight="1" x14ac:dyDescent="0.25">
      <c r="A2434">
        <v>19239</v>
      </c>
      <c r="B2434" t="s">
        <v>10</v>
      </c>
      <c r="C2434" t="s">
        <v>4477</v>
      </c>
      <c r="D2434" t="str">
        <f t="shared" si="166"/>
        <v/>
      </c>
      <c r="E2434" t="s">
        <v>4478</v>
      </c>
      <c r="F2434" t="str">
        <f t="shared" si="167"/>
        <v>1130255</v>
      </c>
    </row>
    <row r="2435" spans="1:9" ht="15" customHeight="1" x14ac:dyDescent="0.25">
      <c r="A2435">
        <v>14876</v>
      </c>
      <c r="B2435" t="s">
        <v>7</v>
      </c>
      <c r="C2435" t="s">
        <v>267</v>
      </c>
      <c r="D2435" t="str">
        <f t="shared" si="166"/>
        <v/>
      </c>
      <c r="E2435" t="s">
        <v>268</v>
      </c>
      <c r="F2435" t="str">
        <f t="shared" si="167"/>
        <v>1130254</v>
      </c>
      <c r="H2435">
        <v>14</v>
      </c>
      <c r="I2435">
        <v>1</v>
      </c>
    </row>
    <row r="2436" spans="1:9" hidden="1" x14ac:dyDescent="0.25">
      <c r="A2436">
        <v>14896</v>
      </c>
      <c r="B2436" t="s">
        <v>10</v>
      </c>
      <c r="C2436" t="s">
        <v>277</v>
      </c>
      <c r="D2436" t="str">
        <f t="shared" si="166"/>
        <v/>
      </c>
      <c r="E2436" t="s">
        <v>278</v>
      </c>
      <c r="F2436" t="str">
        <f t="shared" si="167"/>
        <v>1130254</v>
      </c>
    </row>
    <row r="2437" spans="1:9" hidden="1" x14ac:dyDescent="0.25">
      <c r="A2437">
        <v>14895</v>
      </c>
      <c r="B2437" t="s">
        <v>10</v>
      </c>
      <c r="C2437" t="s">
        <v>275</v>
      </c>
      <c r="D2437" t="str">
        <f t="shared" si="166"/>
        <v/>
      </c>
      <c r="E2437" t="s">
        <v>276</v>
      </c>
      <c r="F2437" t="str">
        <f t="shared" si="167"/>
        <v>1130254</v>
      </c>
    </row>
    <row r="2438" spans="1:9" hidden="1" x14ac:dyDescent="0.25">
      <c r="A2438">
        <v>14894</v>
      </c>
      <c r="B2438" t="s">
        <v>10</v>
      </c>
      <c r="C2438" t="s">
        <v>273</v>
      </c>
      <c r="D2438" t="str">
        <f t="shared" si="166"/>
        <v/>
      </c>
      <c r="E2438" t="s">
        <v>274</v>
      </c>
      <c r="F2438" t="str">
        <f t="shared" si="167"/>
        <v>1130254</v>
      </c>
    </row>
    <row r="2439" spans="1:9" ht="15" hidden="1" customHeight="1" x14ac:dyDescent="0.25">
      <c r="A2439">
        <v>14897</v>
      </c>
      <c r="B2439" t="s">
        <v>10</v>
      </c>
      <c r="C2439" t="s">
        <v>279</v>
      </c>
      <c r="D2439" t="str">
        <f t="shared" si="166"/>
        <v/>
      </c>
      <c r="E2439" t="s">
        <v>280</v>
      </c>
      <c r="F2439" t="str">
        <f t="shared" si="167"/>
        <v>1130254</v>
      </c>
    </row>
    <row r="2440" spans="1:9" ht="15" hidden="1" customHeight="1" x14ac:dyDescent="0.25">
      <c r="A2440">
        <v>14893</v>
      </c>
      <c r="B2440" t="s">
        <v>10</v>
      </c>
      <c r="C2440" t="s">
        <v>271</v>
      </c>
      <c r="D2440" t="str">
        <f t="shared" si="166"/>
        <v/>
      </c>
      <c r="E2440" t="s">
        <v>272</v>
      </c>
      <c r="F2440" t="str">
        <f t="shared" si="167"/>
        <v>1130254</v>
      </c>
    </row>
    <row r="2441" spans="1:9" ht="15" hidden="1" customHeight="1" x14ac:dyDescent="0.25">
      <c r="A2441">
        <v>14877</v>
      </c>
      <c r="B2441" t="s">
        <v>10</v>
      </c>
      <c r="C2441" t="s">
        <v>269</v>
      </c>
      <c r="D2441" t="str">
        <f t="shared" si="166"/>
        <v/>
      </c>
      <c r="E2441" t="s">
        <v>270</v>
      </c>
      <c r="F2441" t="str">
        <f t="shared" si="167"/>
        <v>1130254</v>
      </c>
    </row>
    <row r="2442" spans="1:9" ht="15" hidden="1" customHeight="1" x14ac:dyDescent="0.25">
      <c r="A2442">
        <v>16425</v>
      </c>
      <c r="B2442" t="s">
        <v>4</v>
      </c>
      <c r="C2442" t="s">
        <v>1480</v>
      </c>
      <c r="D2442" t="str">
        <f t="shared" si="166"/>
        <v/>
      </c>
      <c r="E2442" t="s">
        <v>1481</v>
      </c>
      <c r="F2442" t="str">
        <f t="shared" si="167"/>
        <v>8518753</v>
      </c>
    </row>
    <row r="2443" spans="1:9" ht="15" hidden="1" customHeight="1" x14ac:dyDescent="0.25">
      <c r="A2443">
        <v>16413</v>
      </c>
      <c r="B2443" t="s">
        <v>4</v>
      </c>
      <c r="C2443" t="s">
        <v>1464</v>
      </c>
      <c r="D2443" t="str">
        <f t="shared" si="166"/>
        <v/>
      </c>
      <c r="E2443" t="s">
        <v>1465</v>
      </c>
      <c r="F2443" t="str">
        <f t="shared" si="167"/>
        <v>8518011</v>
      </c>
    </row>
    <row r="2444" spans="1:9" ht="15" hidden="1" customHeight="1" x14ac:dyDescent="0.25">
      <c r="A2444">
        <v>16508</v>
      </c>
      <c r="B2444" t="s">
        <v>4</v>
      </c>
      <c r="C2444" t="s">
        <v>1536</v>
      </c>
      <c r="D2444" t="str">
        <f t="shared" si="166"/>
        <v/>
      </c>
      <c r="E2444" t="s">
        <v>1537</v>
      </c>
      <c r="F2444" t="str">
        <f t="shared" si="167"/>
        <v>8518300</v>
      </c>
    </row>
    <row r="2445" spans="1:9" ht="15" hidden="1" customHeight="1" x14ac:dyDescent="0.25">
      <c r="A2445">
        <v>19218</v>
      </c>
      <c r="B2445" t="s">
        <v>7</v>
      </c>
      <c r="C2445" t="s">
        <v>4451</v>
      </c>
      <c r="D2445" t="s">
        <v>6840</v>
      </c>
      <c r="E2445" t="s">
        <v>6987</v>
      </c>
      <c r="F2445" t="str">
        <f t="shared" si="167"/>
        <v>9003020</v>
      </c>
      <c r="H2445">
        <v>2</v>
      </c>
    </row>
    <row r="2446" spans="1:9" ht="15" hidden="1" customHeight="1" x14ac:dyDescent="0.25">
      <c r="A2446">
        <v>19219</v>
      </c>
      <c r="B2446" t="s">
        <v>10</v>
      </c>
      <c r="C2446" t="s">
        <v>6989</v>
      </c>
      <c r="D2446" t="str">
        <f t="shared" ref="D2446:D2471" si="168">IF(RIGHT(LEFT(C2446,9),2)="##","",RIGHT(LEFT(C2446,10),2))</f>
        <v>09</v>
      </c>
      <c r="E2446" t="s">
        <v>6990</v>
      </c>
      <c r="F2446" t="str">
        <f t="shared" si="167"/>
        <v>9003020</v>
      </c>
      <c r="H2446">
        <v>1</v>
      </c>
    </row>
    <row r="2447" spans="1:9" ht="15" hidden="1" customHeight="1" x14ac:dyDescent="0.25">
      <c r="A2447">
        <v>19220</v>
      </c>
      <c r="B2447" t="s">
        <v>10</v>
      </c>
      <c r="C2447" t="s">
        <v>6988</v>
      </c>
      <c r="D2447" t="str">
        <f t="shared" si="168"/>
        <v>13</v>
      </c>
      <c r="E2447" t="s">
        <v>6991</v>
      </c>
      <c r="F2447" t="str">
        <f t="shared" si="167"/>
        <v>9003020</v>
      </c>
      <c r="H2447">
        <v>1</v>
      </c>
    </row>
    <row r="2448" spans="1:9" ht="15" customHeight="1" x14ac:dyDescent="0.25">
      <c r="A2448">
        <v>20918</v>
      </c>
      <c r="B2448" t="s">
        <v>7</v>
      </c>
      <c r="C2448" t="s">
        <v>6277</v>
      </c>
      <c r="D2448" t="str">
        <f t="shared" si="168"/>
        <v/>
      </c>
      <c r="E2448" t="s">
        <v>6278</v>
      </c>
      <c r="F2448" t="str">
        <f t="shared" si="167"/>
        <v>9003100</v>
      </c>
      <c r="H2448">
        <v>3</v>
      </c>
    </row>
    <row r="2449" spans="1:8" ht="15" hidden="1" customHeight="1" x14ac:dyDescent="0.25">
      <c r="A2449">
        <v>20921</v>
      </c>
      <c r="B2449" t="s">
        <v>10</v>
      </c>
      <c r="C2449" t="s">
        <v>6283</v>
      </c>
      <c r="D2449" t="str">
        <f t="shared" si="168"/>
        <v/>
      </c>
      <c r="E2449" t="s">
        <v>6284</v>
      </c>
      <c r="F2449" t="str">
        <f t="shared" si="167"/>
        <v>9003100</v>
      </c>
    </row>
    <row r="2450" spans="1:8" hidden="1" x14ac:dyDescent="0.25">
      <c r="A2450">
        <v>20920</v>
      </c>
      <c r="B2450" t="s">
        <v>10</v>
      </c>
      <c r="C2450" t="s">
        <v>6281</v>
      </c>
      <c r="D2450" t="str">
        <f t="shared" si="168"/>
        <v/>
      </c>
      <c r="E2450" t="s">
        <v>6282</v>
      </c>
      <c r="F2450" t="str">
        <f t="shared" si="167"/>
        <v>9003100</v>
      </c>
    </row>
    <row r="2451" spans="1:8" hidden="1" x14ac:dyDescent="0.25">
      <c r="A2451">
        <v>20919</v>
      </c>
      <c r="B2451" t="s">
        <v>10</v>
      </c>
      <c r="C2451" t="s">
        <v>6279</v>
      </c>
      <c r="D2451" t="str">
        <f t="shared" si="168"/>
        <v/>
      </c>
      <c r="E2451" t="s">
        <v>6280</v>
      </c>
      <c r="F2451" t="str">
        <f t="shared" si="167"/>
        <v>9003100</v>
      </c>
    </row>
    <row r="2452" spans="1:8" x14ac:dyDescent="0.25">
      <c r="A2452">
        <v>20922</v>
      </c>
      <c r="B2452" t="s">
        <v>7</v>
      </c>
      <c r="C2452" t="s">
        <v>6285</v>
      </c>
      <c r="D2452" t="str">
        <f t="shared" si="168"/>
        <v/>
      </c>
      <c r="E2452" t="s">
        <v>6286</v>
      </c>
      <c r="F2452" t="str">
        <f t="shared" si="167"/>
        <v>9003101</v>
      </c>
      <c r="H2452">
        <v>3</v>
      </c>
    </row>
    <row r="2453" spans="1:8" hidden="1" x14ac:dyDescent="0.25">
      <c r="A2453">
        <v>20925</v>
      </c>
      <c r="B2453" t="s">
        <v>10</v>
      </c>
      <c r="C2453" t="s">
        <v>6291</v>
      </c>
      <c r="D2453" t="str">
        <f t="shared" si="168"/>
        <v/>
      </c>
      <c r="E2453" t="s">
        <v>6292</v>
      </c>
      <c r="F2453" t="str">
        <f t="shared" si="167"/>
        <v>9003101</v>
      </c>
    </row>
    <row r="2454" spans="1:8" hidden="1" x14ac:dyDescent="0.25">
      <c r="A2454">
        <v>20924</v>
      </c>
      <c r="B2454" t="s">
        <v>10</v>
      </c>
      <c r="C2454" t="s">
        <v>6289</v>
      </c>
      <c r="D2454" t="str">
        <f t="shared" si="168"/>
        <v/>
      </c>
      <c r="E2454" t="s">
        <v>6290</v>
      </c>
      <c r="F2454" t="str">
        <f t="shared" si="167"/>
        <v>9003101</v>
      </c>
    </row>
    <row r="2455" spans="1:8" hidden="1" x14ac:dyDescent="0.25">
      <c r="A2455">
        <v>20923</v>
      </c>
      <c r="B2455" t="s">
        <v>10</v>
      </c>
      <c r="C2455" t="s">
        <v>6287</v>
      </c>
      <c r="D2455" t="str">
        <f t="shared" si="168"/>
        <v/>
      </c>
      <c r="E2455" t="s">
        <v>6288</v>
      </c>
      <c r="F2455" t="str">
        <f t="shared" si="167"/>
        <v>9003101</v>
      </c>
    </row>
    <row r="2456" spans="1:8" hidden="1" x14ac:dyDescent="0.25">
      <c r="A2456">
        <v>16300</v>
      </c>
      <c r="B2456" t="s">
        <v>4</v>
      </c>
      <c r="C2456" t="s">
        <v>1406</v>
      </c>
      <c r="D2456" t="str">
        <f t="shared" si="168"/>
        <v/>
      </c>
      <c r="E2456" t="s">
        <v>1407</v>
      </c>
      <c r="F2456" t="str">
        <f t="shared" si="167"/>
        <v>7707521</v>
      </c>
      <c r="H2456">
        <v>1</v>
      </c>
    </row>
    <row r="2457" spans="1:8" hidden="1" x14ac:dyDescent="0.25">
      <c r="A2457">
        <v>16334</v>
      </c>
      <c r="B2457" t="s">
        <v>4</v>
      </c>
      <c r="C2457" t="s">
        <v>1428</v>
      </c>
      <c r="D2457" t="str">
        <f t="shared" si="168"/>
        <v/>
      </c>
      <c r="E2457" t="s">
        <v>1429</v>
      </c>
      <c r="F2457" t="str">
        <f t="shared" si="167"/>
        <v>7707586</v>
      </c>
      <c r="H2457">
        <v>1</v>
      </c>
    </row>
    <row r="2458" spans="1:8" hidden="1" x14ac:dyDescent="0.25">
      <c r="A2458">
        <v>16346</v>
      </c>
      <c r="B2458" t="s">
        <v>4</v>
      </c>
      <c r="C2458" t="s">
        <v>1434</v>
      </c>
      <c r="D2458" t="str">
        <f t="shared" si="168"/>
        <v/>
      </c>
      <c r="E2458" t="s">
        <v>1435</v>
      </c>
      <c r="F2458" t="str">
        <f t="shared" si="167"/>
        <v>7707900</v>
      </c>
      <c r="H2458">
        <v>1</v>
      </c>
    </row>
    <row r="2459" spans="1:8" hidden="1" x14ac:dyDescent="0.25">
      <c r="A2459">
        <v>16343</v>
      </c>
      <c r="B2459" t="s">
        <v>4</v>
      </c>
      <c r="C2459" t="s">
        <v>1432</v>
      </c>
      <c r="D2459" t="str">
        <f t="shared" si="168"/>
        <v/>
      </c>
      <c r="E2459" t="s">
        <v>1433</v>
      </c>
      <c r="F2459" t="str">
        <f t="shared" si="167"/>
        <v>7707712</v>
      </c>
      <c r="H2459">
        <v>1</v>
      </c>
    </row>
    <row r="2460" spans="1:8" hidden="1" x14ac:dyDescent="0.25">
      <c r="A2460">
        <v>16390</v>
      </c>
      <c r="B2460" t="s">
        <v>4</v>
      </c>
      <c r="C2460" t="s">
        <v>1450</v>
      </c>
      <c r="D2460" t="str">
        <f t="shared" si="168"/>
        <v/>
      </c>
      <c r="E2460" t="s">
        <v>1451</v>
      </c>
      <c r="F2460" t="str">
        <f t="shared" si="167"/>
        <v>7707528</v>
      </c>
      <c r="H2460">
        <v>1</v>
      </c>
    </row>
    <row r="2461" spans="1:8" hidden="1" x14ac:dyDescent="0.25">
      <c r="A2461">
        <v>16393</v>
      </c>
      <c r="B2461" t="s">
        <v>4</v>
      </c>
      <c r="C2461" t="s">
        <v>1452</v>
      </c>
      <c r="D2461" t="str">
        <f t="shared" si="168"/>
        <v/>
      </c>
      <c r="E2461" t="s">
        <v>1453</v>
      </c>
      <c r="F2461" t="str">
        <f t="shared" si="167"/>
        <v>7707100</v>
      </c>
      <c r="H2461">
        <v>1</v>
      </c>
    </row>
    <row r="2462" spans="1:8" hidden="1" x14ac:dyDescent="0.25">
      <c r="A2462">
        <v>17320</v>
      </c>
      <c r="B2462" t="s">
        <v>4</v>
      </c>
      <c r="C2462" t="s">
        <v>2087</v>
      </c>
      <c r="D2462" t="str">
        <f t="shared" si="168"/>
        <v/>
      </c>
      <c r="E2462" t="s">
        <v>2088</v>
      </c>
      <c r="F2462" t="str">
        <f t="shared" si="167"/>
        <v>7707567</v>
      </c>
      <c r="H2462">
        <v>2</v>
      </c>
    </row>
    <row r="2463" spans="1:8" hidden="1" x14ac:dyDescent="0.25">
      <c r="A2463">
        <v>16297</v>
      </c>
      <c r="B2463" t="s">
        <v>4</v>
      </c>
      <c r="C2463" t="s">
        <v>1404</v>
      </c>
      <c r="D2463" t="str">
        <f t="shared" si="168"/>
        <v/>
      </c>
      <c r="E2463" t="s">
        <v>1405</v>
      </c>
      <c r="F2463" t="str">
        <f t="shared" si="167"/>
        <v>7707923</v>
      </c>
      <c r="H2463">
        <v>1</v>
      </c>
    </row>
    <row r="2464" spans="1:8" hidden="1" x14ac:dyDescent="0.25">
      <c r="A2464">
        <v>16294</v>
      </c>
      <c r="B2464" t="s">
        <v>4</v>
      </c>
      <c r="C2464" t="s">
        <v>1402</v>
      </c>
      <c r="D2464" t="str">
        <f t="shared" si="168"/>
        <v/>
      </c>
      <c r="E2464" t="s">
        <v>1403</v>
      </c>
      <c r="F2464" t="str">
        <f t="shared" si="167"/>
        <v>7707922</v>
      </c>
      <c r="H2464">
        <v>1</v>
      </c>
    </row>
    <row r="2465" spans="1:8" ht="15" hidden="1" customHeight="1" x14ac:dyDescent="0.25">
      <c r="A2465">
        <v>17134</v>
      </c>
      <c r="B2465" t="s">
        <v>4</v>
      </c>
      <c r="C2465" t="s">
        <v>1981</v>
      </c>
      <c r="D2465" t="str">
        <f t="shared" si="168"/>
        <v/>
      </c>
      <c r="E2465" t="s">
        <v>1982</v>
      </c>
      <c r="F2465" t="str">
        <f t="shared" si="167"/>
        <v>7707115</v>
      </c>
      <c r="H2465">
        <v>1</v>
      </c>
    </row>
    <row r="2466" spans="1:8" ht="15" hidden="1" customHeight="1" x14ac:dyDescent="0.25">
      <c r="A2466">
        <v>16280</v>
      </c>
      <c r="B2466" t="s">
        <v>4</v>
      </c>
      <c r="C2466" t="s">
        <v>1394</v>
      </c>
      <c r="D2466" t="str">
        <f t="shared" si="168"/>
        <v/>
      </c>
      <c r="E2466" t="s">
        <v>1395</v>
      </c>
      <c r="F2466" t="str">
        <f t="shared" si="167"/>
        <v>7707450</v>
      </c>
      <c r="H2466">
        <v>1</v>
      </c>
    </row>
    <row r="2467" spans="1:8" ht="15" hidden="1" customHeight="1" x14ac:dyDescent="0.25">
      <c r="A2467">
        <v>20536</v>
      </c>
      <c r="B2467" t="s">
        <v>4</v>
      </c>
      <c r="C2467" t="s">
        <v>5945</v>
      </c>
      <c r="D2467" t="str">
        <f t="shared" si="168"/>
        <v/>
      </c>
      <c r="E2467" t="s">
        <v>5946</v>
      </c>
      <c r="F2467" t="str">
        <f t="shared" si="167"/>
        <v>8520025</v>
      </c>
      <c r="H2467">
        <v>7</v>
      </c>
    </row>
    <row r="2468" spans="1:8" hidden="1" x14ac:dyDescent="0.25">
      <c r="A2468">
        <v>16383</v>
      </c>
      <c r="B2468" t="s">
        <v>4</v>
      </c>
      <c r="C2468" t="s">
        <v>1448</v>
      </c>
      <c r="D2468" t="str">
        <f t="shared" si="168"/>
        <v/>
      </c>
      <c r="E2468" t="s">
        <v>1449</v>
      </c>
      <c r="F2468" t="str">
        <f t="shared" si="167"/>
        <v>8703111</v>
      </c>
    </row>
    <row r="2469" spans="1:8" ht="15" hidden="1" customHeight="1" x14ac:dyDescent="0.25">
      <c r="A2469">
        <v>16358</v>
      </c>
      <c r="B2469" t="s">
        <v>4</v>
      </c>
      <c r="C2469" t="s">
        <v>1440</v>
      </c>
      <c r="D2469" t="str">
        <f t="shared" si="168"/>
        <v/>
      </c>
      <c r="E2469" t="s">
        <v>1441</v>
      </c>
      <c r="F2469" t="str">
        <f t="shared" si="167"/>
        <v>8703113</v>
      </c>
    </row>
    <row r="2470" spans="1:8" ht="15" hidden="1" customHeight="1" x14ac:dyDescent="0.25">
      <c r="A2470">
        <v>16353</v>
      </c>
      <c r="B2470" t="s">
        <v>4</v>
      </c>
      <c r="C2470" t="s">
        <v>1438</v>
      </c>
      <c r="D2470" t="str">
        <f t="shared" si="168"/>
        <v/>
      </c>
      <c r="E2470" t="s">
        <v>1439</v>
      </c>
      <c r="F2470" t="str">
        <f t="shared" si="167"/>
        <v>8703112</v>
      </c>
    </row>
    <row r="2471" spans="1:8" ht="15" hidden="1" customHeight="1" x14ac:dyDescent="0.25">
      <c r="A2471">
        <v>19856</v>
      </c>
      <c r="B2471" t="s">
        <v>4</v>
      </c>
      <c r="C2471" t="s">
        <v>5293</v>
      </c>
      <c r="D2471" t="str">
        <f t="shared" si="168"/>
        <v/>
      </c>
      <c r="E2471" t="s">
        <v>5294</v>
      </c>
      <c r="F2471" t="str">
        <f t="shared" si="167"/>
        <v>8520017</v>
      </c>
    </row>
    <row r="2472" spans="1:8" ht="15" hidden="1" customHeight="1" x14ac:dyDescent="0.25">
      <c r="A2472">
        <v>19711</v>
      </c>
      <c r="B2472" t="s">
        <v>7</v>
      </c>
      <c r="C2472" t="s">
        <v>5115</v>
      </c>
      <c r="D2472" t="s">
        <v>6840</v>
      </c>
      <c r="E2472" t="s">
        <v>5116</v>
      </c>
      <c r="F2472" t="str">
        <f t="shared" si="167"/>
        <v>8708637</v>
      </c>
      <c r="H2472">
        <f>SUBTOTAL(9,H2473:H2474)</f>
        <v>0</v>
      </c>
    </row>
    <row r="2473" spans="1:8" ht="15" hidden="1" customHeight="1" x14ac:dyDescent="0.25">
      <c r="A2473">
        <v>19712</v>
      </c>
      <c r="B2473" t="s">
        <v>10</v>
      </c>
      <c r="C2473" t="s">
        <v>5117</v>
      </c>
      <c r="D2473" t="str">
        <f>IF(RIGHT(LEFT(C2473,9),2)="##","",RIGHT(LEFT(C2473,10),2))</f>
        <v>03</v>
      </c>
      <c r="E2473" t="s">
        <v>5118</v>
      </c>
      <c r="F2473" t="str">
        <f t="shared" si="167"/>
        <v>8708637</v>
      </c>
      <c r="H2473">
        <v>1</v>
      </c>
    </row>
    <row r="2474" spans="1:8" ht="15" hidden="1" customHeight="1" x14ac:dyDescent="0.25">
      <c r="A2474">
        <v>19716</v>
      </c>
      <c r="B2474" t="s">
        <v>10</v>
      </c>
      <c r="C2474" t="s">
        <v>5119</v>
      </c>
      <c r="D2474" t="str">
        <f>IF(RIGHT(LEFT(C2474,9),2)="##","",RIGHT(LEFT(C2474,10),2))</f>
        <v>09</v>
      </c>
      <c r="E2474" t="s">
        <v>5120</v>
      </c>
      <c r="F2474" t="str">
        <f t="shared" si="167"/>
        <v>8708637</v>
      </c>
      <c r="H2474">
        <v>1</v>
      </c>
    </row>
    <row r="2475" spans="1:8" ht="15" hidden="1" customHeight="1" x14ac:dyDescent="0.25">
      <c r="A2475">
        <v>16597</v>
      </c>
      <c r="B2475" t="s">
        <v>4</v>
      </c>
      <c r="C2475" t="s">
        <v>1572</v>
      </c>
      <c r="D2475" t="str">
        <f>IF(RIGHT(LEFT(C2475,9),2)="##","",RIGHT(LEFT(C2475,10),2))</f>
        <v/>
      </c>
      <c r="E2475" t="s">
        <v>1573</v>
      </c>
      <c r="F2475" t="str">
        <f t="shared" si="167"/>
        <v>8707117</v>
      </c>
    </row>
    <row r="2476" spans="1:8" ht="15" hidden="1" customHeight="1" x14ac:dyDescent="0.25">
      <c r="A2476">
        <v>20397</v>
      </c>
      <c r="B2476" t="s">
        <v>7</v>
      </c>
      <c r="C2476" t="s">
        <v>5815</v>
      </c>
      <c r="D2476" t="s">
        <v>6840</v>
      </c>
      <c r="E2476" t="s">
        <v>5816</v>
      </c>
      <c r="F2476" t="str">
        <f t="shared" si="167"/>
        <v>8708628</v>
      </c>
      <c r="H2476">
        <f>SUBTOTAL(9,H2477:H2478)</f>
        <v>0</v>
      </c>
    </row>
    <row r="2477" spans="1:8" ht="15" hidden="1" customHeight="1" x14ac:dyDescent="0.25">
      <c r="A2477">
        <v>20398</v>
      </c>
      <c r="B2477" t="s">
        <v>10</v>
      </c>
      <c r="C2477" t="s">
        <v>5817</v>
      </c>
      <c r="D2477" t="str">
        <f>IF(RIGHT(LEFT(C2477,9),2)="##","",RIGHT(LEFT(C2477,10),2))</f>
        <v>06</v>
      </c>
      <c r="E2477" t="s">
        <v>5818</v>
      </c>
      <c r="F2477" t="str">
        <f t="shared" si="167"/>
        <v>8708628</v>
      </c>
      <c r="H2477">
        <v>1</v>
      </c>
    </row>
    <row r="2478" spans="1:8" ht="15" hidden="1" customHeight="1" x14ac:dyDescent="0.25">
      <c r="A2478">
        <v>20400</v>
      </c>
      <c r="B2478" t="s">
        <v>10</v>
      </c>
      <c r="C2478" t="s">
        <v>5819</v>
      </c>
      <c r="D2478" t="str">
        <f>IF(RIGHT(LEFT(C2478,9),2)="##","",RIGHT(LEFT(C2478,10),2))</f>
        <v>07</v>
      </c>
      <c r="E2478" t="s">
        <v>5820</v>
      </c>
      <c r="F2478" t="str">
        <f t="shared" si="167"/>
        <v>8708628</v>
      </c>
      <c r="H2478">
        <v>1</v>
      </c>
    </row>
    <row r="2479" spans="1:8" ht="15" hidden="1" customHeight="1" x14ac:dyDescent="0.25">
      <c r="A2479">
        <v>20383</v>
      </c>
      <c r="B2479" t="s">
        <v>7</v>
      </c>
      <c r="C2479" t="s">
        <v>5803</v>
      </c>
      <c r="D2479" t="s">
        <v>6840</v>
      </c>
      <c r="E2479" t="s">
        <v>5804</v>
      </c>
      <c r="F2479" t="str">
        <f t="shared" si="167"/>
        <v>8708625</v>
      </c>
      <c r="H2479">
        <f>SUBTOTAL(9,H2480:H2484)</f>
        <v>0</v>
      </c>
    </row>
    <row r="2480" spans="1:8" ht="15" hidden="1" customHeight="1" x14ac:dyDescent="0.25">
      <c r="A2480">
        <v>20384</v>
      </c>
      <c r="B2480" t="s">
        <v>10</v>
      </c>
      <c r="C2480" t="s">
        <v>5805</v>
      </c>
      <c r="D2480" t="str">
        <f>IF(RIGHT(LEFT(C2480,9),2)="##","",RIGHT(LEFT(C2480,10),2))</f>
        <v>03</v>
      </c>
      <c r="E2480" t="s">
        <v>5806</v>
      </c>
      <c r="F2480" t="str">
        <f t="shared" si="167"/>
        <v>8708625</v>
      </c>
      <c r="H2480">
        <v>1</v>
      </c>
    </row>
    <row r="2481" spans="1:8" ht="15" hidden="1" customHeight="1" x14ac:dyDescent="0.25">
      <c r="A2481">
        <v>20386</v>
      </c>
      <c r="B2481" t="s">
        <v>10</v>
      </c>
      <c r="C2481" t="s">
        <v>5807</v>
      </c>
      <c r="D2481" t="str">
        <f>IF(RIGHT(LEFT(C2481,9),2)="##","",RIGHT(LEFT(C2481,10),2))</f>
        <v>06</v>
      </c>
      <c r="E2481" t="s">
        <v>5808</v>
      </c>
      <c r="F2481" t="str">
        <f t="shared" si="167"/>
        <v>8708625</v>
      </c>
      <c r="H2481">
        <v>1</v>
      </c>
    </row>
    <row r="2482" spans="1:8" ht="15" hidden="1" customHeight="1" x14ac:dyDescent="0.25">
      <c r="A2482">
        <v>20387</v>
      </c>
      <c r="B2482" t="s">
        <v>10</v>
      </c>
      <c r="C2482" t="s">
        <v>5809</v>
      </c>
      <c r="D2482" t="str">
        <f>IF(RIGHT(LEFT(C2482,9),2)="##","",RIGHT(LEFT(C2482,10),2))</f>
        <v>07</v>
      </c>
      <c r="E2482" t="s">
        <v>5810</v>
      </c>
      <c r="F2482" t="str">
        <f t="shared" si="167"/>
        <v>8708625</v>
      </c>
      <c r="H2482">
        <v>1</v>
      </c>
    </row>
    <row r="2483" spans="1:8" ht="15" hidden="1" customHeight="1" x14ac:dyDescent="0.25">
      <c r="A2483">
        <v>20389</v>
      </c>
      <c r="B2483" t="s">
        <v>10</v>
      </c>
      <c r="C2483" t="s">
        <v>5811</v>
      </c>
      <c r="D2483" t="str">
        <f>IF(RIGHT(LEFT(C2483,9),2)="##","",RIGHT(LEFT(C2483,10),2))</f>
        <v>08</v>
      </c>
      <c r="E2483" t="s">
        <v>5812</v>
      </c>
      <c r="F2483" t="str">
        <f t="shared" si="167"/>
        <v>8708625</v>
      </c>
      <c r="H2483">
        <v>1</v>
      </c>
    </row>
    <row r="2484" spans="1:8" ht="15" hidden="1" customHeight="1" x14ac:dyDescent="0.25">
      <c r="A2484">
        <v>20395</v>
      </c>
      <c r="B2484" t="s">
        <v>10</v>
      </c>
      <c r="C2484" t="s">
        <v>5813</v>
      </c>
      <c r="D2484" t="str">
        <f>IF(RIGHT(LEFT(C2484,9),2)="##","",RIGHT(LEFT(C2484,10),2))</f>
        <v>09</v>
      </c>
      <c r="E2484" t="s">
        <v>5814</v>
      </c>
      <c r="F2484" t="str">
        <f t="shared" si="167"/>
        <v>8708625</v>
      </c>
      <c r="H2484">
        <v>1</v>
      </c>
    </row>
    <row r="2485" spans="1:8" ht="15" hidden="1" customHeight="1" x14ac:dyDescent="0.25">
      <c r="A2485">
        <v>20349</v>
      </c>
      <c r="B2485" t="s">
        <v>7</v>
      </c>
      <c r="C2485" t="s">
        <v>5763</v>
      </c>
      <c r="D2485" t="s">
        <v>6840</v>
      </c>
      <c r="E2485" t="s">
        <v>5764</v>
      </c>
      <c r="F2485" t="str">
        <f t="shared" si="167"/>
        <v>8708618</v>
      </c>
      <c r="H2485">
        <f>SUBTOTAL(9,H2486:H2494)</f>
        <v>0</v>
      </c>
    </row>
    <row r="2486" spans="1:8" ht="15" hidden="1" customHeight="1" x14ac:dyDescent="0.25">
      <c r="A2486">
        <v>20350</v>
      </c>
      <c r="B2486" t="s">
        <v>10</v>
      </c>
      <c r="C2486" t="s">
        <v>5765</v>
      </c>
      <c r="D2486" t="str">
        <f t="shared" ref="D2486:D2500" si="169">IF(RIGHT(LEFT(C2486,9),2)="##","",RIGHT(LEFT(C2486,10),2))</f>
        <v>03</v>
      </c>
      <c r="E2486" t="s">
        <v>5766</v>
      </c>
      <c r="F2486" t="str">
        <f t="shared" si="167"/>
        <v>8708618</v>
      </c>
      <c r="H2486">
        <v>1</v>
      </c>
    </row>
    <row r="2487" spans="1:8" ht="15" hidden="1" customHeight="1" x14ac:dyDescent="0.25">
      <c r="A2487">
        <v>20351</v>
      </c>
      <c r="B2487" t="s">
        <v>10</v>
      </c>
      <c r="C2487" t="s">
        <v>5767</v>
      </c>
      <c r="D2487" t="str">
        <f t="shared" si="169"/>
        <v>04</v>
      </c>
      <c r="E2487" t="s">
        <v>5768</v>
      </c>
      <c r="F2487" t="str">
        <f t="shared" si="167"/>
        <v>8708618</v>
      </c>
      <c r="H2487">
        <v>1</v>
      </c>
    </row>
    <row r="2488" spans="1:8" hidden="1" x14ac:dyDescent="0.25">
      <c r="A2488">
        <v>20353</v>
      </c>
      <c r="B2488" t="s">
        <v>10</v>
      </c>
      <c r="C2488" t="s">
        <v>5769</v>
      </c>
      <c r="D2488" t="str">
        <f t="shared" si="169"/>
        <v>05</v>
      </c>
      <c r="E2488" t="s">
        <v>5770</v>
      </c>
      <c r="F2488" t="str">
        <f t="shared" si="167"/>
        <v>8708618</v>
      </c>
      <c r="H2488">
        <v>1</v>
      </c>
    </row>
    <row r="2489" spans="1:8" hidden="1" x14ac:dyDescent="0.25">
      <c r="A2489">
        <v>20354</v>
      </c>
      <c r="B2489" t="s">
        <v>10</v>
      </c>
      <c r="C2489" t="s">
        <v>5771</v>
      </c>
      <c r="D2489" t="str">
        <f t="shared" si="169"/>
        <v>06</v>
      </c>
      <c r="E2489" t="s">
        <v>5772</v>
      </c>
      <c r="F2489" t="str">
        <f t="shared" si="167"/>
        <v>8708618</v>
      </c>
      <c r="H2489">
        <v>1</v>
      </c>
    </row>
    <row r="2490" spans="1:8" hidden="1" x14ac:dyDescent="0.25">
      <c r="A2490">
        <v>20355</v>
      </c>
      <c r="B2490" t="s">
        <v>10</v>
      </c>
      <c r="C2490" t="s">
        <v>5773</v>
      </c>
      <c r="D2490" t="str">
        <f t="shared" si="169"/>
        <v>07</v>
      </c>
      <c r="E2490" t="s">
        <v>5774</v>
      </c>
      <c r="F2490" t="str">
        <f t="shared" si="167"/>
        <v>8708618</v>
      </c>
      <c r="H2490">
        <v>1</v>
      </c>
    </row>
    <row r="2491" spans="1:8" hidden="1" x14ac:dyDescent="0.25">
      <c r="A2491">
        <v>20356</v>
      </c>
      <c r="B2491" t="s">
        <v>10</v>
      </c>
      <c r="C2491" t="s">
        <v>5775</v>
      </c>
      <c r="D2491" t="str">
        <f t="shared" si="169"/>
        <v>08</v>
      </c>
      <c r="E2491" t="s">
        <v>5776</v>
      </c>
      <c r="F2491" t="str">
        <f t="shared" si="167"/>
        <v>8708618</v>
      </c>
      <c r="H2491">
        <v>1</v>
      </c>
    </row>
    <row r="2492" spans="1:8" hidden="1" x14ac:dyDescent="0.25">
      <c r="A2492">
        <v>20357</v>
      </c>
      <c r="B2492" t="s">
        <v>10</v>
      </c>
      <c r="C2492" t="s">
        <v>5777</v>
      </c>
      <c r="D2492" t="str">
        <f t="shared" si="169"/>
        <v>09</v>
      </c>
      <c r="E2492" t="s">
        <v>5778</v>
      </c>
      <c r="F2492" t="str">
        <f t="shared" si="167"/>
        <v>8708618</v>
      </c>
      <c r="H2492">
        <v>1</v>
      </c>
    </row>
    <row r="2493" spans="1:8" hidden="1" x14ac:dyDescent="0.25">
      <c r="A2493">
        <v>20359</v>
      </c>
      <c r="B2493" t="s">
        <v>10</v>
      </c>
      <c r="C2493" t="s">
        <v>5781</v>
      </c>
      <c r="D2493" t="str">
        <f t="shared" si="169"/>
        <v>10</v>
      </c>
      <c r="E2493" t="s">
        <v>5782</v>
      </c>
      <c r="F2493" t="str">
        <f t="shared" si="167"/>
        <v>8708618</v>
      </c>
      <c r="H2493">
        <v>1</v>
      </c>
    </row>
    <row r="2494" spans="1:8" ht="15" hidden="1" customHeight="1" x14ac:dyDescent="0.25">
      <c r="A2494">
        <v>20358</v>
      </c>
      <c r="B2494" t="s">
        <v>10</v>
      </c>
      <c r="C2494" t="s">
        <v>5779</v>
      </c>
      <c r="D2494" t="str">
        <f t="shared" si="169"/>
        <v>11</v>
      </c>
      <c r="E2494" t="s">
        <v>5780</v>
      </c>
      <c r="F2494" t="str">
        <f t="shared" si="167"/>
        <v>8708618</v>
      </c>
      <c r="H2494">
        <v>1</v>
      </c>
    </row>
    <row r="2495" spans="1:8" ht="15" hidden="1" customHeight="1" x14ac:dyDescent="0.25">
      <c r="A2495">
        <v>15286</v>
      </c>
      <c r="B2495" t="s">
        <v>4</v>
      </c>
      <c r="C2495" t="s">
        <v>735</v>
      </c>
      <c r="D2495" t="str">
        <f t="shared" si="169"/>
        <v/>
      </c>
      <c r="E2495" t="s">
        <v>736</v>
      </c>
      <c r="F2495" t="str">
        <f t="shared" si="167"/>
        <v>8708102</v>
      </c>
    </row>
    <row r="2496" spans="1:8" ht="15" hidden="1" customHeight="1" x14ac:dyDescent="0.25">
      <c r="A2496">
        <v>16858</v>
      </c>
      <c r="B2496" t="s">
        <v>4</v>
      </c>
      <c r="C2496" t="s">
        <v>1760</v>
      </c>
      <c r="D2496" t="str">
        <f t="shared" si="169"/>
        <v/>
      </c>
      <c r="E2496" t="s">
        <v>1761</v>
      </c>
      <c r="F2496" t="str">
        <f t="shared" si="167"/>
        <v>8708101</v>
      </c>
    </row>
    <row r="2497" spans="1:8" ht="15" hidden="1" customHeight="1" x14ac:dyDescent="0.25">
      <c r="A2497">
        <v>19914</v>
      </c>
      <c r="B2497" t="s">
        <v>4</v>
      </c>
      <c r="C2497" t="s">
        <v>5335</v>
      </c>
      <c r="D2497" t="str">
        <f t="shared" si="169"/>
        <v/>
      </c>
      <c r="E2497" t="s">
        <v>5336</v>
      </c>
      <c r="F2497" t="str">
        <f t="shared" ref="F2497:F2560" si="170">LEFT(C2497,7)</f>
        <v>8708123</v>
      </c>
    </row>
    <row r="2498" spans="1:8" ht="15" hidden="1" customHeight="1" x14ac:dyDescent="0.25">
      <c r="A2498">
        <v>20425</v>
      </c>
      <c r="B2498" t="s">
        <v>4</v>
      </c>
      <c r="C2498" t="s">
        <v>5831</v>
      </c>
      <c r="D2498" t="str">
        <f t="shared" si="169"/>
        <v/>
      </c>
      <c r="E2498" t="s">
        <v>5832</v>
      </c>
      <c r="F2498" t="str">
        <f t="shared" si="170"/>
        <v>8708657</v>
      </c>
    </row>
    <row r="2499" spans="1:8" ht="15" hidden="1" customHeight="1" x14ac:dyDescent="0.25">
      <c r="A2499">
        <v>16614</v>
      </c>
      <c r="B2499" t="s">
        <v>4</v>
      </c>
      <c r="C2499" t="s">
        <v>1576</v>
      </c>
      <c r="D2499" t="str">
        <f t="shared" si="169"/>
        <v/>
      </c>
      <c r="E2499" t="s">
        <v>1577</v>
      </c>
      <c r="F2499" t="str">
        <f t="shared" si="170"/>
        <v>8708552</v>
      </c>
    </row>
    <row r="2500" spans="1:8" ht="15" hidden="1" customHeight="1" x14ac:dyDescent="0.25">
      <c r="A2500">
        <v>20406</v>
      </c>
      <c r="B2500" t="s">
        <v>4</v>
      </c>
      <c r="C2500" t="s">
        <v>5821</v>
      </c>
      <c r="D2500" t="str">
        <f t="shared" si="169"/>
        <v/>
      </c>
      <c r="E2500" t="s">
        <v>5822</v>
      </c>
      <c r="F2500" t="str">
        <f t="shared" si="170"/>
        <v>8708631</v>
      </c>
    </row>
    <row r="2501" spans="1:8" ht="15" hidden="1" customHeight="1" x14ac:dyDescent="0.25">
      <c r="A2501">
        <v>20360</v>
      </c>
      <c r="B2501" t="s">
        <v>7</v>
      </c>
      <c r="C2501" t="s">
        <v>5783</v>
      </c>
      <c r="D2501" t="s">
        <v>6840</v>
      </c>
      <c r="E2501" t="s">
        <v>5784</v>
      </c>
      <c r="F2501" t="str">
        <f t="shared" si="170"/>
        <v>8708620</v>
      </c>
      <c r="H2501">
        <f>SUBTOTAL(9,H2502:H2510)</f>
        <v>0</v>
      </c>
    </row>
    <row r="2502" spans="1:8" ht="15" hidden="1" customHeight="1" x14ac:dyDescent="0.25">
      <c r="A2502">
        <v>20361</v>
      </c>
      <c r="B2502" t="s">
        <v>10</v>
      </c>
      <c r="C2502" t="s">
        <v>5785</v>
      </c>
      <c r="D2502" t="str">
        <f t="shared" ref="D2502:D2510" si="171">IF(RIGHT(LEFT(C2502,9),2)="##","",RIGHT(LEFT(C2502,10),2))</f>
        <v>03</v>
      </c>
      <c r="E2502" t="s">
        <v>5786</v>
      </c>
      <c r="F2502" t="str">
        <f t="shared" si="170"/>
        <v>8708620</v>
      </c>
      <c r="H2502">
        <v>1</v>
      </c>
    </row>
    <row r="2503" spans="1:8" ht="15" hidden="1" customHeight="1" x14ac:dyDescent="0.25">
      <c r="A2503">
        <v>20363</v>
      </c>
      <c r="B2503" t="s">
        <v>10</v>
      </c>
      <c r="C2503" t="s">
        <v>5787</v>
      </c>
      <c r="D2503" t="str">
        <f t="shared" si="171"/>
        <v>04</v>
      </c>
      <c r="E2503" t="s">
        <v>5788</v>
      </c>
      <c r="F2503" t="str">
        <f t="shared" si="170"/>
        <v>8708620</v>
      </c>
      <c r="H2503">
        <v>1</v>
      </c>
    </row>
    <row r="2504" spans="1:8" ht="15" hidden="1" customHeight="1" x14ac:dyDescent="0.25">
      <c r="A2504">
        <v>20365</v>
      </c>
      <c r="B2504" t="s">
        <v>10</v>
      </c>
      <c r="C2504" t="s">
        <v>5789</v>
      </c>
      <c r="D2504" t="str">
        <f t="shared" si="171"/>
        <v>05</v>
      </c>
      <c r="E2504" t="s">
        <v>5790</v>
      </c>
      <c r="F2504" t="str">
        <f t="shared" si="170"/>
        <v>8708620</v>
      </c>
      <c r="H2504">
        <v>1</v>
      </c>
    </row>
    <row r="2505" spans="1:8" ht="15" hidden="1" customHeight="1" x14ac:dyDescent="0.25">
      <c r="A2505">
        <v>20367</v>
      </c>
      <c r="B2505" t="s">
        <v>10</v>
      </c>
      <c r="C2505" t="s">
        <v>5791</v>
      </c>
      <c r="D2505" t="str">
        <f t="shared" si="171"/>
        <v>06</v>
      </c>
      <c r="E2505" t="s">
        <v>5792</v>
      </c>
      <c r="F2505" t="str">
        <f t="shared" si="170"/>
        <v>8708620</v>
      </c>
      <c r="H2505">
        <v>1</v>
      </c>
    </row>
    <row r="2506" spans="1:8" ht="15" hidden="1" customHeight="1" x14ac:dyDescent="0.25">
      <c r="A2506">
        <v>20369</v>
      </c>
      <c r="B2506" t="s">
        <v>10</v>
      </c>
      <c r="C2506" t="s">
        <v>5793</v>
      </c>
      <c r="D2506" t="str">
        <f t="shared" si="171"/>
        <v>07</v>
      </c>
      <c r="E2506" t="s">
        <v>5794</v>
      </c>
      <c r="F2506" t="str">
        <f t="shared" si="170"/>
        <v>8708620</v>
      </c>
      <c r="H2506">
        <v>1</v>
      </c>
    </row>
    <row r="2507" spans="1:8" ht="15" hidden="1" customHeight="1" x14ac:dyDescent="0.25">
      <c r="A2507">
        <v>20371</v>
      </c>
      <c r="B2507" t="s">
        <v>10</v>
      </c>
      <c r="C2507" t="s">
        <v>5795</v>
      </c>
      <c r="D2507" t="str">
        <f t="shared" si="171"/>
        <v>08</v>
      </c>
      <c r="E2507" t="s">
        <v>5796</v>
      </c>
      <c r="F2507" t="str">
        <f t="shared" si="170"/>
        <v>8708620</v>
      </c>
      <c r="H2507">
        <v>1</v>
      </c>
    </row>
    <row r="2508" spans="1:8" ht="15" hidden="1" customHeight="1" x14ac:dyDescent="0.25">
      <c r="A2508">
        <v>20373</v>
      </c>
      <c r="B2508" t="s">
        <v>10</v>
      </c>
      <c r="C2508" t="s">
        <v>5797</v>
      </c>
      <c r="D2508" t="str">
        <f t="shared" si="171"/>
        <v>09</v>
      </c>
      <c r="E2508" t="s">
        <v>5798</v>
      </c>
      <c r="F2508" t="str">
        <f t="shared" si="170"/>
        <v>8708620</v>
      </c>
      <c r="H2508">
        <v>1</v>
      </c>
    </row>
    <row r="2509" spans="1:8" ht="15" hidden="1" customHeight="1" x14ac:dyDescent="0.25">
      <c r="A2509">
        <v>20375</v>
      </c>
      <c r="B2509" t="s">
        <v>10</v>
      </c>
      <c r="C2509" t="s">
        <v>5799</v>
      </c>
      <c r="D2509" t="str">
        <f t="shared" si="171"/>
        <v>10</v>
      </c>
      <c r="E2509" t="s">
        <v>5800</v>
      </c>
      <c r="F2509" t="str">
        <f t="shared" si="170"/>
        <v>8708620</v>
      </c>
      <c r="H2509">
        <v>1</v>
      </c>
    </row>
    <row r="2510" spans="1:8" ht="15" hidden="1" customHeight="1" x14ac:dyDescent="0.25">
      <c r="A2510">
        <v>20377</v>
      </c>
      <c r="B2510" t="s">
        <v>10</v>
      </c>
      <c r="C2510" t="s">
        <v>5801</v>
      </c>
      <c r="D2510" t="str">
        <f t="shared" si="171"/>
        <v>11</v>
      </c>
      <c r="E2510" t="s">
        <v>5802</v>
      </c>
      <c r="F2510" t="str">
        <f t="shared" si="170"/>
        <v>8708620</v>
      </c>
      <c r="H2510">
        <v>1</v>
      </c>
    </row>
    <row r="2511" spans="1:8" ht="15" hidden="1" customHeight="1" x14ac:dyDescent="0.25">
      <c r="A2511">
        <v>20451</v>
      </c>
      <c r="B2511" t="s">
        <v>7</v>
      </c>
      <c r="C2511" t="s">
        <v>5859</v>
      </c>
      <c r="D2511" t="s">
        <v>6840</v>
      </c>
      <c r="E2511" t="s">
        <v>5860</v>
      </c>
      <c r="F2511" t="str">
        <f t="shared" si="170"/>
        <v>8708899</v>
      </c>
      <c r="H2511">
        <v>3</v>
      </c>
    </row>
    <row r="2512" spans="1:8" ht="15" hidden="1" customHeight="1" x14ac:dyDescent="0.25">
      <c r="A2512">
        <v>20452</v>
      </c>
      <c r="B2512" t="s">
        <v>10</v>
      </c>
      <c r="C2512" t="s">
        <v>5861</v>
      </c>
      <c r="D2512" t="str">
        <f>IF(RIGHT(LEFT(C2512,9),2)="##","",RIGHT(LEFT(C2512,10),2))</f>
        <v>03</v>
      </c>
      <c r="E2512" t="s">
        <v>5862</v>
      </c>
      <c r="F2512" t="str">
        <f t="shared" si="170"/>
        <v>8708899</v>
      </c>
      <c r="H2512">
        <v>1</v>
      </c>
    </row>
    <row r="2513" spans="1:8" ht="15" hidden="1" customHeight="1" x14ac:dyDescent="0.25">
      <c r="A2513">
        <v>20457</v>
      </c>
      <c r="B2513" t="s">
        <v>10</v>
      </c>
      <c r="C2513" t="s">
        <v>5863</v>
      </c>
      <c r="D2513" t="str">
        <f>IF(RIGHT(LEFT(C2513,9),2)="##","",RIGHT(LEFT(C2513,10),2))</f>
        <v>06</v>
      </c>
      <c r="E2513" t="s">
        <v>5864</v>
      </c>
      <c r="F2513" t="str">
        <f t="shared" si="170"/>
        <v>8708899</v>
      </c>
      <c r="H2513">
        <v>1</v>
      </c>
    </row>
    <row r="2514" spans="1:8" ht="15" hidden="1" customHeight="1" x14ac:dyDescent="0.25">
      <c r="A2514">
        <v>20458</v>
      </c>
      <c r="B2514" t="s">
        <v>10</v>
      </c>
      <c r="C2514" t="s">
        <v>5865</v>
      </c>
      <c r="D2514" t="str">
        <f>IF(RIGHT(LEFT(C2514,9),2)="##","",RIGHT(LEFT(C2514,10),2))</f>
        <v>09</v>
      </c>
      <c r="E2514" t="s">
        <v>5866</v>
      </c>
      <c r="F2514" t="str">
        <f t="shared" si="170"/>
        <v>8708899</v>
      </c>
      <c r="H2514">
        <v>1</v>
      </c>
    </row>
    <row r="2515" spans="1:8" ht="15" hidden="1" customHeight="1" x14ac:dyDescent="0.25">
      <c r="A2515">
        <v>20015</v>
      </c>
      <c r="B2515" t="s">
        <v>7</v>
      </c>
      <c r="C2515" t="s">
        <v>5407</v>
      </c>
      <c r="D2515" t="s">
        <v>6840</v>
      </c>
      <c r="E2515" t="s">
        <v>5408</v>
      </c>
      <c r="F2515" t="str">
        <f t="shared" si="170"/>
        <v>8708601</v>
      </c>
      <c r="H2515">
        <f>SUBTOTAL(9,H2516:H2532)</f>
        <v>0</v>
      </c>
    </row>
    <row r="2516" spans="1:8" ht="15" hidden="1" customHeight="1" x14ac:dyDescent="0.25">
      <c r="A2516">
        <v>20016</v>
      </c>
      <c r="B2516" t="s">
        <v>10</v>
      </c>
      <c r="C2516" t="s">
        <v>5409</v>
      </c>
      <c r="D2516" t="str">
        <f t="shared" ref="D2516:D2532" si="172">IF(RIGHT(LEFT(C2516,9),2)="##","",RIGHT(LEFT(C2516,10),2))</f>
        <v>01</v>
      </c>
      <c r="E2516" t="s">
        <v>5410</v>
      </c>
      <c r="F2516" t="str">
        <f t="shared" si="170"/>
        <v>8708601</v>
      </c>
      <c r="H2516">
        <v>1</v>
      </c>
    </row>
    <row r="2517" spans="1:8" ht="15" hidden="1" customHeight="1" x14ac:dyDescent="0.25">
      <c r="A2517">
        <v>20018</v>
      </c>
      <c r="B2517" t="s">
        <v>10</v>
      </c>
      <c r="C2517" t="s">
        <v>5411</v>
      </c>
      <c r="D2517" t="str">
        <f t="shared" si="172"/>
        <v>02</v>
      </c>
      <c r="E2517" t="s">
        <v>5412</v>
      </c>
      <c r="F2517" t="str">
        <f t="shared" si="170"/>
        <v>8708601</v>
      </c>
      <c r="H2517">
        <v>1</v>
      </c>
    </row>
    <row r="2518" spans="1:8" ht="15" hidden="1" customHeight="1" x14ac:dyDescent="0.25">
      <c r="A2518">
        <v>20019</v>
      </c>
      <c r="B2518" t="s">
        <v>10</v>
      </c>
      <c r="C2518" t="s">
        <v>5413</v>
      </c>
      <c r="D2518" t="str">
        <f t="shared" si="172"/>
        <v>03</v>
      </c>
      <c r="E2518" t="s">
        <v>5414</v>
      </c>
      <c r="F2518" t="str">
        <f t="shared" si="170"/>
        <v>8708601</v>
      </c>
      <c r="H2518">
        <v>1</v>
      </c>
    </row>
    <row r="2519" spans="1:8" ht="15" hidden="1" customHeight="1" x14ac:dyDescent="0.25">
      <c r="A2519">
        <v>20021</v>
      </c>
      <c r="B2519" t="s">
        <v>10</v>
      </c>
      <c r="C2519" t="s">
        <v>5415</v>
      </c>
      <c r="D2519" t="str">
        <f t="shared" si="172"/>
        <v>04</v>
      </c>
      <c r="E2519" t="s">
        <v>5416</v>
      </c>
      <c r="F2519" t="str">
        <f t="shared" si="170"/>
        <v>8708601</v>
      </c>
      <c r="H2519">
        <v>1</v>
      </c>
    </row>
    <row r="2520" spans="1:8" ht="15" hidden="1" customHeight="1" x14ac:dyDescent="0.25">
      <c r="A2520">
        <v>20026</v>
      </c>
      <c r="B2520" t="s">
        <v>10</v>
      </c>
      <c r="C2520" t="s">
        <v>5417</v>
      </c>
      <c r="D2520" t="str">
        <f t="shared" si="172"/>
        <v>05</v>
      </c>
      <c r="E2520" t="s">
        <v>5418</v>
      </c>
      <c r="F2520" t="str">
        <f t="shared" si="170"/>
        <v>8708601</v>
      </c>
      <c r="H2520">
        <v>1</v>
      </c>
    </row>
    <row r="2521" spans="1:8" ht="15" hidden="1" customHeight="1" x14ac:dyDescent="0.25">
      <c r="A2521">
        <v>20030</v>
      </c>
      <c r="B2521" t="s">
        <v>10</v>
      </c>
      <c r="C2521" t="s">
        <v>5419</v>
      </c>
      <c r="D2521" t="str">
        <f t="shared" si="172"/>
        <v>06</v>
      </c>
      <c r="E2521" t="s">
        <v>5420</v>
      </c>
      <c r="F2521" t="str">
        <f t="shared" si="170"/>
        <v>8708601</v>
      </c>
      <c r="H2521">
        <v>1</v>
      </c>
    </row>
    <row r="2522" spans="1:8" ht="15" hidden="1" customHeight="1" x14ac:dyDescent="0.25">
      <c r="A2522">
        <v>20032</v>
      </c>
      <c r="B2522" t="s">
        <v>10</v>
      </c>
      <c r="C2522" t="s">
        <v>5421</v>
      </c>
      <c r="D2522" t="str">
        <f t="shared" si="172"/>
        <v>07</v>
      </c>
      <c r="E2522" t="s">
        <v>5422</v>
      </c>
      <c r="F2522" t="str">
        <f t="shared" si="170"/>
        <v>8708601</v>
      </c>
      <c r="H2522">
        <v>1</v>
      </c>
    </row>
    <row r="2523" spans="1:8" ht="15" hidden="1" customHeight="1" x14ac:dyDescent="0.25">
      <c r="A2523">
        <v>20035</v>
      </c>
      <c r="B2523" t="s">
        <v>10</v>
      </c>
      <c r="C2523" t="s">
        <v>5423</v>
      </c>
      <c r="D2523" t="str">
        <f t="shared" si="172"/>
        <v>08</v>
      </c>
      <c r="E2523" t="s">
        <v>5424</v>
      </c>
      <c r="F2523" t="str">
        <f t="shared" si="170"/>
        <v>8708601</v>
      </c>
      <c r="H2523">
        <v>1</v>
      </c>
    </row>
    <row r="2524" spans="1:8" ht="15" hidden="1" customHeight="1" x14ac:dyDescent="0.25">
      <c r="A2524">
        <v>20037</v>
      </c>
      <c r="B2524" t="s">
        <v>10</v>
      </c>
      <c r="C2524" t="s">
        <v>5425</v>
      </c>
      <c r="D2524" t="str">
        <f t="shared" si="172"/>
        <v>09</v>
      </c>
      <c r="E2524" t="s">
        <v>5426</v>
      </c>
      <c r="F2524" t="str">
        <f t="shared" si="170"/>
        <v>8708601</v>
      </c>
      <c r="H2524">
        <v>1</v>
      </c>
    </row>
    <row r="2525" spans="1:8" ht="15" hidden="1" customHeight="1" x14ac:dyDescent="0.25">
      <c r="A2525">
        <v>20039</v>
      </c>
      <c r="B2525" t="s">
        <v>10</v>
      </c>
      <c r="C2525" t="s">
        <v>5427</v>
      </c>
      <c r="D2525" t="str">
        <f t="shared" si="172"/>
        <v>10</v>
      </c>
      <c r="E2525" t="s">
        <v>5428</v>
      </c>
      <c r="F2525" t="str">
        <f t="shared" si="170"/>
        <v>8708601</v>
      </c>
      <c r="H2525">
        <v>1</v>
      </c>
    </row>
    <row r="2526" spans="1:8" ht="15" hidden="1" customHeight="1" x14ac:dyDescent="0.25">
      <c r="A2526">
        <v>20043</v>
      </c>
      <c r="B2526" t="s">
        <v>10</v>
      </c>
      <c r="C2526" t="s">
        <v>5429</v>
      </c>
      <c r="D2526" t="str">
        <f t="shared" si="172"/>
        <v>11</v>
      </c>
      <c r="E2526" t="s">
        <v>5430</v>
      </c>
      <c r="F2526" t="str">
        <f t="shared" si="170"/>
        <v>8708601</v>
      </c>
      <c r="H2526">
        <v>1</v>
      </c>
    </row>
    <row r="2527" spans="1:8" ht="15" hidden="1" customHeight="1" x14ac:dyDescent="0.25">
      <c r="A2527">
        <v>20045</v>
      </c>
      <c r="B2527" t="s">
        <v>10</v>
      </c>
      <c r="C2527" t="s">
        <v>5431</v>
      </c>
      <c r="D2527" t="str">
        <f t="shared" si="172"/>
        <v>12</v>
      </c>
      <c r="E2527" t="s">
        <v>5432</v>
      </c>
      <c r="F2527" t="str">
        <f t="shared" si="170"/>
        <v>8708601</v>
      </c>
      <c r="H2527">
        <v>1</v>
      </c>
    </row>
    <row r="2528" spans="1:8" ht="15" hidden="1" customHeight="1" x14ac:dyDescent="0.25">
      <c r="A2528">
        <v>20048</v>
      </c>
      <c r="B2528" t="s">
        <v>10</v>
      </c>
      <c r="C2528" t="s">
        <v>5433</v>
      </c>
      <c r="D2528" t="str">
        <f t="shared" si="172"/>
        <v>13</v>
      </c>
      <c r="E2528" t="s">
        <v>5434</v>
      </c>
      <c r="F2528" t="str">
        <f t="shared" si="170"/>
        <v>8708601</v>
      </c>
      <c r="H2528">
        <v>1</v>
      </c>
    </row>
    <row r="2529" spans="1:8" ht="15" hidden="1" customHeight="1" x14ac:dyDescent="0.25">
      <c r="A2529">
        <v>20050</v>
      </c>
      <c r="B2529" t="s">
        <v>10</v>
      </c>
      <c r="C2529" t="s">
        <v>5435</v>
      </c>
      <c r="D2529" t="str">
        <f t="shared" si="172"/>
        <v>14</v>
      </c>
      <c r="E2529" t="s">
        <v>5436</v>
      </c>
      <c r="F2529" t="str">
        <f t="shared" si="170"/>
        <v>8708601</v>
      </c>
      <c r="H2529">
        <v>1</v>
      </c>
    </row>
    <row r="2530" spans="1:8" ht="15" hidden="1" customHeight="1" x14ac:dyDescent="0.25">
      <c r="A2530">
        <v>20053</v>
      </c>
      <c r="B2530" t="s">
        <v>10</v>
      </c>
      <c r="C2530" t="s">
        <v>5437</v>
      </c>
      <c r="D2530" t="str">
        <f t="shared" si="172"/>
        <v>15</v>
      </c>
      <c r="E2530" t="s">
        <v>5438</v>
      </c>
      <c r="F2530" t="str">
        <f t="shared" si="170"/>
        <v>8708601</v>
      </c>
      <c r="H2530">
        <v>1</v>
      </c>
    </row>
    <row r="2531" spans="1:8" ht="15" hidden="1" customHeight="1" x14ac:dyDescent="0.25">
      <c r="A2531">
        <v>20055</v>
      </c>
      <c r="B2531" t="s">
        <v>10</v>
      </c>
      <c r="C2531" t="s">
        <v>5439</v>
      </c>
      <c r="D2531" t="str">
        <f t="shared" si="172"/>
        <v>16</v>
      </c>
      <c r="E2531" t="s">
        <v>5440</v>
      </c>
      <c r="F2531" t="str">
        <f t="shared" si="170"/>
        <v>8708601</v>
      </c>
      <c r="H2531">
        <v>1</v>
      </c>
    </row>
    <row r="2532" spans="1:8" ht="15" hidden="1" customHeight="1" x14ac:dyDescent="0.25">
      <c r="A2532">
        <v>20057</v>
      </c>
      <c r="B2532" t="s">
        <v>10</v>
      </c>
      <c r="C2532" t="s">
        <v>5441</v>
      </c>
      <c r="D2532" t="str">
        <f t="shared" si="172"/>
        <v>17</v>
      </c>
      <c r="E2532" t="s">
        <v>5442</v>
      </c>
      <c r="F2532" t="str">
        <f t="shared" si="170"/>
        <v>8708601</v>
      </c>
      <c r="H2532">
        <v>1</v>
      </c>
    </row>
    <row r="2533" spans="1:8" ht="15" hidden="1" customHeight="1" x14ac:dyDescent="0.25">
      <c r="A2533">
        <v>20332</v>
      </c>
      <c r="B2533" t="s">
        <v>7</v>
      </c>
      <c r="C2533" t="s">
        <v>5743</v>
      </c>
      <c r="D2533" t="s">
        <v>6840</v>
      </c>
      <c r="E2533" t="s">
        <v>5744</v>
      </c>
      <c r="F2533" t="str">
        <f t="shared" si="170"/>
        <v>8708610</v>
      </c>
      <c r="H2533">
        <f>SUBTOTAL(9,H2534:H2542)</f>
        <v>0</v>
      </c>
    </row>
    <row r="2534" spans="1:8" ht="15" hidden="1" customHeight="1" x14ac:dyDescent="0.25">
      <c r="A2534">
        <v>20333</v>
      </c>
      <c r="B2534" t="s">
        <v>10</v>
      </c>
      <c r="C2534" t="s">
        <v>5745</v>
      </c>
      <c r="D2534" t="str">
        <f t="shared" ref="D2534:D2542" si="173">IF(RIGHT(LEFT(C2534,9),2)="##","",RIGHT(LEFT(C2534,10),2))</f>
        <v>03</v>
      </c>
      <c r="E2534" t="s">
        <v>5746</v>
      </c>
      <c r="F2534" t="str">
        <f t="shared" si="170"/>
        <v>8708610</v>
      </c>
      <c r="H2534">
        <v>1</v>
      </c>
    </row>
    <row r="2535" spans="1:8" ht="15" hidden="1" customHeight="1" x14ac:dyDescent="0.25">
      <c r="A2535">
        <v>20334</v>
      </c>
      <c r="B2535" t="s">
        <v>10</v>
      </c>
      <c r="C2535" t="s">
        <v>5747</v>
      </c>
      <c r="D2535" t="str">
        <f t="shared" si="173"/>
        <v>04</v>
      </c>
      <c r="E2535" t="s">
        <v>5748</v>
      </c>
      <c r="F2535" t="str">
        <f t="shared" si="170"/>
        <v>8708610</v>
      </c>
      <c r="H2535">
        <v>1</v>
      </c>
    </row>
    <row r="2536" spans="1:8" ht="15" hidden="1" customHeight="1" x14ac:dyDescent="0.25">
      <c r="A2536">
        <v>20335</v>
      </c>
      <c r="B2536" t="s">
        <v>10</v>
      </c>
      <c r="C2536" t="s">
        <v>5749</v>
      </c>
      <c r="D2536" t="str">
        <f t="shared" si="173"/>
        <v>05</v>
      </c>
      <c r="E2536" t="s">
        <v>5750</v>
      </c>
      <c r="F2536" t="str">
        <f t="shared" si="170"/>
        <v>8708610</v>
      </c>
      <c r="H2536">
        <v>1</v>
      </c>
    </row>
    <row r="2537" spans="1:8" ht="15" hidden="1" customHeight="1" x14ac:dyDescent="0.25">
      <c r="A2537">
        <v>20337</v>
      </c>
      <c r="B2537" t="s">
        <v>10</v>
      </c>
      <c r="C2537" t="s">
        <v>5751</v>
      </c>
      <c r="D2537" t="str">
        <f t="shared" si="173"/>
        <v>06</v>
      </c>
      <c r="E2537" t="s">
        <v>5752</v>
      </c>
      <c r="F2537" t="str">
        <f t="shared" si="170"/>
        <v>8708610</v>
      </c>
      <c r="H2537">
        <v>1</v>
      </c>
    </row>
    <row r="2538" spans="1:8" ht="15" hidden="1" customHeight="1" x14ac:dyDescent="0.25">
      <c r="A2538">
        <v>20339</v>
      </c>
      <c r="B2538" t="s">
        <v>10</v>
      </c>
      <c r="C2538" t="s">
        <v>5753</v>
      </c>
      <c r="D2538" t="str">
        <f t="shared" si="173"/>
        <v>07</v>
      </c>
      <c r="E2538" t="s">
        <v>5754</v>
      </c>
      <c r="F2538" t="str">
        <f t="shared" si="170"/>
        <v>8708610</v>
      </c>
      <c r="H2538">
        <v>1</v>
      </c>
    </row>
    <row r="2539" spans="1:8" ht="15" hidden="1" customHeight="1" x14ac:dyDescent="0.25">
      <c r="A2539">
        <v>20341</v>
      </c>
      <c r="B2539" t="s">
        <v>10</v>
      </c>
      <c r="C2539" t="s">
        <v>5755</v>
      </c>
      <c r="D2539" t="str">
        <f t="shared" si="173"/>
        <v>08</v>
      </c>
      <c r="E2539" t="s">
        <v>5756</v>
      </c>
      <c r="F2539" t="str">
        <f t="shared" si="170"/>
        <v>8708610</v>
      </c>
      <c r="H2539">
        <v>1</v>
      </c>
    </row>
    <row r="2540" spans="1:8" ht="15" hidden="1" customHeight="1" x14ac:dyDescent="0.25">
      <c r="A2540">
        <v>20342</v>
      </c>
      <c r="B2540" t="s">
        <v>10</v>
      </c>
      <c r="C2540" t="s">
        <v>5757</v>
      </c>
      <c r="D2540" t="str">
        <f t="shared" si="173"/>
        <v>09</v>
      </c>
      <c r="E2540" t="s">
        <v>5758</v>
      </c>
      <c r="F2540" t="str">
        <f t="shared" si="170"/>
        <v>8708610</v>
      </c>
      <c r="H2540">
        <v>1</v>
      </c>
    </row>
    <row r="2541" spans="1:8" ht="15" hidden="1" customHeight="1" x14ac:dyDescent="0.25">
      <c r="A2541">
        <v>20345</v>
      </c>
      <c r="B2541" t="s">
        <v>10</v>
      </c>
      <c r="C2541" t="s">
        <v>5759</v>
      </c>
      <c r="D2541" t="str">
        <f t="shared" si="173"/>
        <v>10</v>
      </c>
      <c r="E2541" t="s">
        <v>5760</v>
      </c>
      <c r="F2541" t="str">
        <f t="shared" si="170"/>
        <v>8708610</v>
      </c>
      <c r="H2541">
        <v>1</v>
      </c>
    </row>
    <row r="2542" spans="1:8" ht="15" hidden="1" customHeight="1" x14ac:dyDescent="0.25">
      <c r="A2542">
        <v>20347</v>
      </c>
      <c r="B2542" t="s">
        <v>10</v>
      </c>
      <c r="C2542" t="s">
        <v>5761</v>
      </c>
      <c r="D2542" t="str">
        <f t="shared" si="173"/>
        <v>11</v>
      </c>
      <c r="E2542" t="s">
        <v>5762</v>
      </c>
      <c r="F2542" t="str">
        <f t="shared" si="170"/>
        <v>8708610</v>
      </c>
      <c r="H2542">
        <v>1</v>
      </c>
    </row>
    <row r="2543" spans="1:8" ht="15" hidden="1" customHeight="1" x14ac:dyDescent="0.25">
      <c r="A2543">
        <v>20320</v>
      </c>
      <c r="B2543" t="s">
        <v>7</v>
      </c>
      <c r="C2543" t="s">
        <v>5729</v>
      </c>
      <c r="D2543" t="s">
        <v>6840</v>
      </c>
      <c r="E2543" t="s">
        <v>5730</v>
      </c>
      <c r="F2543" t="str">
        <f t="shared" si="170"/>
        <v>8708609</v>
      </c>
      <c r="H2543">
        <f>SUBTOTAL(9,H2544:H2549)</f>
        <v>0</v>
      </c>
    </row>
    <row r="2544" spans="1:8" ht="15" hidden="1" customHeight="1" x14ac:dyDescent="0.25">
      <c r="A2544">
        <v>20321</v>
      </c>
      <c r="B2544" t="s">
        <v>10</v>
      </c>
      <c r="C2544" t="s">
        <v>5731</v>
      </c>
      <c r="D2544" t="str">
        <f t="shared" ref="D2544:D2549" si="174">IF(RIGHT(LEFT(C2544,9),2)="##","",RIGHT(LEFT(C2544,10),2))</f>
        <v>03</v>
      </c>
      <c r="E2544" t="s">
        <v>5732</v>
      </c>
      <c r="F2544" t="str">
        <f t="shared" si="170"/>
        <v>8708609</v>
      </c>
      <c r="H2544">
        <v>1</v>
      </c>
    </row>
    <row r="2545" spans="1:8" ht="15" hidden="1" customHeight="1" x14ac:dyDescent="0.25">
      <c r="A2545">
        <v>20323</v>
      </c>
      <c r="B2545" t="s">
        <v>10</v>
      </c>
      <c r="C2545" t="s">
        <v>5733</v>
      </c>
      <c r="D2545" t="str">
        <f t="shared" si="174"/>
        <v>05</v>
      </c>
      <c r="E2545" t="s">
        <v>5734</v>
      </c>
      <c r="F2545" t="str">
        <f t="shared" si="170"/>
        <v>8708609</v>
      </c>
      <c r="H2545">
        <v>1</v>
      </c>
    </row>
    <row r="2546" spans="1:8" ht="15" hidden="1" customHeight="1" x14ac:dyDescent="0.25">
      <c r="A2546">
        <v>20324</v>
      </c>
      <c r="B2546" t="s">
        <v>10</v>
      </c>
      <c r="C2546" t="s">
        <v>5735</v>
      </c>
      <c r="D2546" t="str">
        <f t="shared" si="174"/>
        <v>07</v>
      </c>
      <c r="E2546" t="s">
        <v>5736</v>
      </c>
      <c r="F2546" t="str">
        <f t="shared" si="170"/>
        <v>8708609</v>
      </c>
      <c r="H2546">
        <v>1</v>
      </c>
    </row>
    <row r="2547" spans="1:8" ht="15" hidden="1" customHeight="1" x14ac:dyDescent="0.25">
      <c r="A2547">
        <v>20326</v>
      </c>
      <c r="B2547" t="s">
        <v>10</v>
      </c>
      <c r="C2547" t="s">
        <v>5737</v>
      </c>
      <c r="D2547" t="str">
        <f t="shared" si="174"/>
        <v>08</v>
      </c>
      <c r="E2547" t="s">
        <v>5738</v>
      </c>
      <c r="F2547" t="str">
        <f t="shared" si="170"/>
        <v>8708609</v>
      </c>
      <c r="H2547">
        <v>1</v>
      </c>
    </row>
    <row r="2548" spans="1:8" ht="15" hidden="1" customHeight="1" x14ac:dyDescent="0.25">
      <c r="A2548">
        <v>20328</v>
      </c>
      <c r="B2548" t="s">
        <v>10</v>
      </c>
      <c r="C2548" t="s">
        <v>5739</v>
      </c>
      <c r="D2548" t="str">
        <f t="shared" si="174"/>
        <v>09</v>
      </c>
      <c r="E2548" t="s">
        <v>5740</v>
      </c>
      <c r="F2548" t="str">
        <f t="shared" si="170"/>
        <v>8708609</v>
      </c>
      <c r="H2548">
        <v>1</v>
      </c>
    </row>
    <row r="2549" spans="1:8" ht="15" hidden="1" customHeight="1" x14ac:dyDescent="0.25">
      <c r="A2549">
        <v>20330</v>
      </c>
      <c r="B2549" t="s">
        <v>10</v>
      </c>
      <c r="C2549" t="s">
        <v>5741</v>
      </c>
      <c r="D2549" t="str">
        <f t="shared" si="174"/>
        <v>11</v>
      </c>
      <c r="E2549" t="s">
        <v>5742</v>
      </c>
      <c r="F2549" t="str">
        <f t="shared" si="170"/>
        <v>8708609</v>
      </c>
      <c r="H2549">
        <v>1</v>
      </c>
    </row>
    <row r="2550" spans="1:8" ht="15" hidden="1" customHeight="1" x14ac:dyDescent="0.25">
      <c r="A2550">
        <v>20291</v>
      </c>
      <c r="B2550" t="s">
        <v>7</v>
      </c>
      <c r="C2550" t="s">
        <v>5699</v>
      </c>
      <c r="D2550" t="s">
        <v>6840</v>
      </c>
      <c r="E2550" t="s">
        <v>5700</v>
      </c>
      <c r="F2550" t="str">
        <f t="shared" si="170"/>
        <v>8708608</v>
      </c>
      <c r="H2550">
        <f>SUBTOTAL(9,H2551:H2564)</f>
        <v>0</v>
      </c>
    </row>
    <row r="2551" spans="1:8" ht="15" hidden="1" customHeight="1" x14ac:dyDescent="0.25">
      <c r="A2551">
        <v>20292</v>
      </c>
      <c r="B2551" t="s">
        <v>10</v>
      </c>
      <c r="C2551" t="s">
        <v>5701</v>
      </c>
      <c r="D2551" t="str">
        <f t="shared" ref="D2551:D2564" si="175">IF(RIGHT(LEFT(C2551,9),2)="##","",RIGHT(LEFT(C2551,10),2))</f>
        <v>01</v>
      </c>
      <c r="E2551" t="s">
        <v>5702</v>
      </c>
      <c r="F2551" t="str">
        <f t="shared" si="170"/>
        <v>8708608</v>
      </c>
      <c r="H2551">
        <v>1</v>
      </c>
    </row>
    <row r="2552" spans="1:8" ht="15" hidden="1" customHeight="1" x14ac:dyDescent="0.25">
      <c r="A2552">
        <v>20297</v>
      </c>
      <c r="B2552" t="s">
        <v>10</v>
      </c>
      <c r="C2552" t="s">
        <v>5703</v>
      </c>
      <c r="D2552" t="str">
        <f t="shared" si="175"/>
        <v>02</v>
      </c>
      <c r="E2552" t="s">
        <v>5704</v>
      </c>
      <c r="F2552" t="str">
        <f t="shared" si="170"/>
        <v>8708608</v>
      </c>
      <c r="H2552">
        <v>1</v>
      </c>
    </row>
    <row r="2553" spans="1:8" ht="15" hidden="1" customHeight="1" x14ac:dyDescent="0.25">
      <c r="A2553">
        <v>20298</v>
      </c>
      <c r="B2553" t="s">
        <v>10</v>
      </c>
      <c r="C2553" t="s">
        <v>5705</v>
      </c>
      <c r="D2553" t="str">
        <f t="shared" si="175"/>
        <v>03</v>
      </c>
      <c r="E2553" t="s">
        <v>5706</v>
      </c>
      <c r="F2553" t="str">
        <f t="shared" si="170"/>
        <v>8708608</v>
      </c>
      <c r="H2553">
        <v>1</v>
      </c>
    </row>
    <row r="2554" spans="1:8" ht="15" hidden="1" customHeight="1" x14ac:dyDescent="0.25">
      <c r="A2554">
        <v>20300</v>
      </c>
      <c r="B2554" t="s">
        <v>10</v>
      </c>
      <c r="C2554" t="s">
        <v>5707</v>
      </c>
      <c r="D2554" t="str">
        <f t="shared" si="175"/>
        <v>04</v>
      </c>
      <c r="E2554" t="s">
        <v>5708</v>
      </c>
      <c r="F2554" t="str">
        <f t="shared" si="170"/>
        <v>8708608</v>
      </c>
      <c r="H2554">
        <v>1</v>
      </c>
    </row>
    <row r="2555" spans="1:8" ht="15" hidden="1" customHeight="1" x14ac:dyDescent="0.25">
      <c r="A2555">
        <v>20303</v>
      </c>
      <c r="B2555" t="s">
        <v>10</v>
      </c>
      <c r="C2555" t="s">
        <v>5709</v>
      </c>
      <c r="D2555" t="str">
        <f t="shared" si="175"/>
        <v>05</v>
      </c>
      <c r="E2555" t="s">
        <v>5710</v>
      </c>
      <c r="F2555" t="str">
        <f t="shared" si="170"/>
        <v>8708608</v>
      </c>
      <c r="H2555">
        <v>1</v>
      </c>
    </row>
    <row r="2556" spans="1:8" ht="15" hidden="1" customHeight="1" x14ac:dyDescent="0.25">
      <c r="A2556">
        <v>20305</v>
      </c>
      <c r="B2556" t="s">
        <v>10</v>
      </c>
      <c r="C2556" t="s">
        <v>5711</v>
      </c>
      <c r="D2556" t="str">
        <f t="shared" si="175"/>
        <v>06</v>
      </c>
      <c r="E2556" t="s">
        <v>5712</v>
      </c>
      <c r="F2556" t="str">
        <f t="shared" si="170"/>
        <v>8708608</v>
      </c>
      <c r="H2556">
        <v>1</v>
      </c>
    </row>
    <row r="2557" spans="1:8" ht="15" hidden="1" customHeight="1" x14ac:dyDescent="0.25">
      <c r="A2557">
        <v>20307</v>
      </c>
      <c r="B2557" t="s">
        <v>10</v>
      </c>
      <c r="C2557" t="s">
        <v>5713</v>
      </c>
      <c r="D2557" t="str">
        <f t="shared" si="175"/>
        <v>07</v>
      </c>
      <c r="E2557" t="s">
        <v>5714</v>
      </c>
      <c r="F2557" t="str">
        <f t="shared" si="170"/>
        <v>8708608</v>
      </c>
      <c r="H2557">
        <v>1</v>
      </c>
    </row>
    <row r="2558" spans="1:8" ht="15" hidden="1" customHeight="1" x14ac:dyDescent="0.25">
      <c r="A2558">
        <v>20312</v>
      </c>
      <c r="B2558" t="s">
        <v>10</v>
      </c>
      <c r="C2558" t="s">
        <v>5715</v>
      </c>
      <c r="D2558" t="str">
        <f t="shared" si="175"/>
        <v>08</v>
      </c>
      <c r="E2558" t="s">
        <v>5716</v>
      </c>
      <c r="F2558" t="str">
        <f t="shared" si="170"/>
        <v>8708608</v>
      </c>
      <c r="H2558">
        <v>1</v>
      </c>
    </row>
    <row r="2559" spans="1:8" ht="15" hidden="1" customHeight="1" x14ac:dyDescent="0.25">
      <c r="A2559">
        <v>20314</v>
      </c>
      <c r="B2559" t="s">
        <v>10</v>
      </c>
      <c r="C2559" t="s">
        <v>5717</v>
      </c>
      <c r="D2559" t="str">
        <f t="shared" si="175"/>
        <v>09</v>
      </c>
      <c r="E2559" t="s">
        <v>5718</v>
      </c>
      <c r="F2559" t="str">
        <f t="shared" si="170"/>
        <v>8708608</v>
      </c>
      <c r="H2559">
        <v>1</v>
      </c>
    </row>
    <row r="2560" spans="1:8" ht="15" hidden="1" customHeight="1" x14ac:dyDescent="0.25">
      <c r="A2560">
        <v>20315</v>
      </c>
      <c r="B2560" t="s">
        <v>10</v>
      </c>
      <c r="C2560" t="s">
        <v>5719</v>
      </c>
      <c r="D2560" t="str">
        <f t="shared" si="175"/>
        <v>10</v>
      </c>
      <c r="E2560" t="s">
        <v>5720</v>
      </c>
      <c r="F2560" t="str">
        <f t="shared" si="170"/>
        <v>8708608</v>
      </c>
      <c r="H2560">
        <v>1</v>
      </c>
    </row>
    <row r="2561" spans="1:8" ht="15" hidden="1" customHeight="1" x14ac:dyDescent="0.25">
      <c r="A2561">
        <v>20316</v>
      </c>
      <c r="B2561" t="s">
        <v>10</v>
      </c>
      <c r="C2561" t="s">
        <v>5721</v>
      </c>
      <c r="D2561" t="str">
        <f t="shared" si="175"/>
        <v>11</v>
      </c>
      <c r="E2561" t="s">
        <v>5722</v>
      </c>
      <c r="F2561" t="str">
        <f t="shared" ref="F2561:F2624" si="176">LEFT(C2561,7)</f>
        <v>8708608</v>
      </c>
      <c r="H2561">
        <v>1</v>
      </c>
    </row>
    <row r="2562" spans="1:8" ht="15" hidden="1" customHeight="1" x14ac:dyDescent="0.25">
      <c r="A2562">
        <v>20317</v>
      </c>
      <c r="B2562" t="s">
        <v>10</v>
      </c>
      <c r="C2562" t="s">
        <v>5723</v>
      </c>
      <c r="D2562" t="str">
        <f t="shared" si="175"/>
        <v>12</v>
      </c>
      <c r="E2562" t="s">
        <v>5724</v>
      </c>
      <c r="F2562" t="str">
        <f t="shared" si="176"/>
        <v>8708608</v>
      </c>
      <c r="H2562">
        <v>1</v>
      </c>
    </row>
    <row r="2563" spans="1:8" ht="15" hidden="1" customHeight="1" x14ac:dyDescent="0.25">
      <c r="A2563">
        <v>20318</v>
      </c>
      <c r="B2563" t="s">
        <v>10</v>
      </c>
      <c r="C2563" t="s">
        <v>5725</v>
      </c>
      <c r="D2563" t="str">
        <f t="shared" si="175"/>
        <v>14</v>
      </c>
      <c r="E2563" t="s">
        <v>5726</v>
      </c>
      <c r="F2563" t="str">
        <f t="shared" si="176"/>
        <v>8708608</v>
      </c>
      <c r="H2563">
        <v>1</v>
      </c>
    </row>
    <row r="2564" spans="1:8" ht="15" hidden="1" customHeight="1" x14ac:dyDescent="0.25">
      <c r="A2564">
        <v>20319</v>
      </c>
      <c r="B2564" t="s">
        <v>10</v>
      </c>
      <c r="C2564" t="s">
        <v>5727</v>
      </c>
      <c r="D2564" t="str">
        <f t="shared" si="175"/>
        <v>15</v>
      </c>
      <c r="E2564" t="s">
        <v>5728</v>
      </c>
      <c r="F2564" t="str">
        <f t="shared" si="176"/>
        <v>8708608</v>
      </c>
      <c r="H2564">
        <v>1</v>
      </c>
    </row>
    <row r="2565" spans="1:8" ht="15" hidden="1" customHeight="1" x14ac:dyDescent="0.25">
      <c r="A2565">
        <v>20255</v>
      </c>
      <c r="B2565" t="s">
        <v>7</v>
      </c>
      <c r="C2565" t="s">
        <v>5677</v>
      </c>
      <c r="D2565" t="s">
        <v>6840</v>
      </c>
      <c r="E2565" t="s">
        <v>5678</v>
      </c>
      <c r="F2565" t="str">
        <f t="shared" si="176"/>
        <v>8708607</v>
      </c>
      <c r="H2565">
        <f>SUBTOTAL(9,H2566:H2575)</f>
        <v>0</v>
      </c>
    </row>
    <row r="2566" spans="1:8" ht="15" hidden="1" customHeight="1" x14ac:dyDescent="0.25">
      <c r="A2566">
        <v>20256</v>
      </c>
      <c r="B2566" t="s">
        <v>10</v>
      </c>
      <c r="C2566" t="s">
        <v>5679</v>
      </c>
      <c r="D2566" t="str">
        <f t="shared" ref="D2566:D2576" si="177">IF(RIGHT(LEFT(C2566,9),2)="##","",RIGHT(LEFT(C2566,10),2))</f>
        <v>01</v>
      </c>
      <c r="E2566" t="s">
        <v>5680</v>
      </c>
      <c r="F2566" t="str">
        <f t="shared" si="176"/>
        <v>8708607</v>
      </c>
      <c r="H2566">
        <v>1</v>
      </c>
    </row>
    <row r="2567" spans="1:8" ht="15" hidden="1" customHeight="1" x14ac:dyDescent="0.25">
      <c r="A2567">
        <v>20258</v>
      </c>
      <c r="B2567" t="s">
        <v>10</v>
      </c>
      <c r="C2567" t="s">
        <v>5681</v>
      </c>
      <c r="D2567" t="str">
        <f t="shared" si="177"/>
        <v>03</v>
      </c>
      <c r="E2567" t="s">
        <v>5682</v>
      </c>
      <c r="F2567" t="str">
        <f t="shared" si="176"/>
        <v>8708607</v>
      </c>
      <c r="H2567">
        <v>1</v>
      </c>
    </row>
    <row r="2568" spans="1:8" ht="15" hidden="1" customHeight="1" x14ac:dyDescent="0.25">
      <c r="A2568">
        <v>20263</v>
      </c>
      <c r="B2568" t="s">
        <v>10</v>
      </c>
      <c r="C2568" t="s">
        <v>5683</v>
      </c>
      <c r="D2568" t="str">
        <f t="shared" si="177"/>
        <v>04</v>
      </c>
      <c r="E2568" t="s">
        <v>5684</v>
      </c>
      <c r="F2568" t="str">
        <f t="shared" si="176"/>
        <v>8708607</v>
      </c>
      <c r="H2568">
        <v>1</v>
      </c>
    </row>
    <row r="2569" spans="1:8" hidden="1" x14ac:dyDescent="0.25">
      <c r="A2569">
        <v>20265</v>
      </c>
      <c r="B2569" t="s">
        <v>10</v>
      </c>
      <c r="C2569" t="s">
        <v>5685</v>
      </c>
      <c r="D2569" t="str">
        <f t="shared" si="177"/>
        <v>05</v>
      </c>
      <c r="E2569" t="s">
        <v>5686</v>
      </c>
      <c r="F2569" t="str">
        <f t="shared" si="176"/>
        <v>8708607</v>
      </c>
      <c r="H2569">
        <v>1</v>
      </c>
    </row>
    <row r="2570" spans="1:8" ht="15" hidden="1" customHeight="1" x14ac:dyDescent="0.25">
      <c r="A2570">
        <v>20267</v>
      </c>
      <c r="B2570" t="s">
        <v>10</v>
      </c>
      <c r="C2570" t="s">
        <v>5687</v>
      </c>
      <c r="D2570" t="str">
        <f t="shared" si="177"/>
        <v>06</v>
      </c>
      <c r="E2570" t="s">
        <v>5688</v>
      </c>
      <c r="F2570" t="str">
        <f t="shared" si="176"/>
        <v>8708607</v>
      </c>
      <c r="H2570">
        <v>1</v>
      </c>
    </row>
    <row r="2571" spans="1:8" ht="15" hidden="1" customHeight="1" x14ac:dyDescent="0.25">
      <c r="A2571">
        <v>20272</v>
      </c>
      <c r="B2571" t="s">
        <v>10</v>
      </c>
      <c r="C2571" t="s">
        <v>5689</v>
      </c>
      <c r="D2571" t="str">
        <f t="shared" si="177"/>
        <v>07</v>
      </c>
      <c r="E2571" t="s">
        <v>5690</v>
      </c>
      <c r="F2571" t="str">
        <f t="shared" si="176"/>
        <v>8708607</v>
      </c>
      <c r="H2571">
        <v>1</v>
      </c>
    </row>
    <row r="2572" spans="1:8" ht="15" hidden="1" customHeight="1" x14ac:dyDescent="0.25">
      <c r="A2572">
        <v>20277</v>
      </c>
      <c r="B2572" t="s">
        <v>10</v>
      </c>
      <c r="C2572" t="s">
        <v>5691</v>
      </c>
      <c r="D2572" t="str">
        <f t="shared" si="177"/>
        <v>08</v>
      </c>
      <c r="E2572" t="s">
        <v>5692</v>
      </c>
      <c r="F2572" t="str">
        <f t="shared" si="176"/>
        <v>8708607</v>
      </c>
      <c r="H2572">
        <v>1</v>
      </c>
    </row>
    <row r="2573" spans="1:8" hidden="1" x14ac:dyDescent="0.25">
      <c r="A2573">
        <v>20282</v>
      </c>
      <c r="B2573" t="s">
        <v>10</v>
      </c>
      <c r="C2573" t="s">
        <v>5693</v>
      </c>
      <c r="D2573" t="str">
        <f t="shared" si="177"/>
        <v>09</v>
      </c>
      <c r="E2573" t="s">
        <v>5694</v>
      </c>
      <c r="F2573" t="str">
        <f t="shared" si="176"/>
        <v>8708607</v>
      </c>
      <c r="H2573">
        <v>1</v>
      </c>
    </row>
    <row r="2574" spans="1:8" hidden="1" x14ac:dyDescent="0.25">
      <c r="A2574">
        <v>20287</v>
      </c>
      <c r="B2574" t="s">
        <v>10</v>
      </c>
      <c r="C2574" t="s">
        <v>5695</v>
      </c>
      <c r="D2574" t="str">
        <f t="shared" si="177"/>
        <v>10</v>
      </c>
      <c r="E2574" t="s">
        <v>5696</v>
      </c>
      <c r="F2574" t="str">
        <f t="shared" si="176"/>
        <v>8708607</v>
      </c>
      <c r="H2574">
        <v>1</v>
      </c>
    </row>
    <row r="2575" spans="1:8" hidden="1" x14ac:dyDescent="0.25">
      <c r="A2575">
        <v>20289</v>
      </c>
      <c r="B2575" t="s">
        <v>10</v>
      </c>
      <c r="C2575" t="s">
        <v>5697</v>
      </c>
      <c r="D2575" t="str">
        <f t="shared" si="177"/>
        <v>11</v>
      </c>
      <c r="E2575" t="s">
        <v>5698</v>
      </c>
      <c r="F2575" t="str">
        <f t="shared" si="176"/>
        <v>8708607</v>
      </c>
      <c r="H2575">
        <v>1</v>
      </c>
    </row>
    <row r="2576" spans="1:8" hidden="1" x14ac:dyDescent="0.25">
      <c r="A2576">
        <v>16582</v>
      </c>
      <c r="B2576" t="s">
        <v>4</v>
      </c>
      <c r="C2576" t="s">
        <v>1562</v>
      </c>
      <c r="D2576" t="str">
        <f t="shared" si="177"/>
        <v/>
      </c>
      <c r="E2576" t="s">
        <v>1563</v>
      </c>
      <c r="F2576" t="str">
        <f t="shared" si="176"/>
        <v>8703099</v>
      </c>
    </row>
    <row r="2577" spans="1:8" hidden="1" x14ac:dyDescent="0.25">
      <c r="A2577">
        <v>20412</v>
      </c>
      <c r="B2577" t="s">
        <v>7</v>
      </c>
      <c r="C2577" t="s">
        <v>5823</v>
      </c>
      <c r="D2577" t="s">
        <v>6840</v>
      </c>
      <c r="E2577" t="s">
        <v>5824</v>
      </c>
      <c r="F2577" t="str">
        <f t="shared" si="176"/>
        <v>8708634</v>
      </c>
      <c r="H2577">
        <f>SUBTOTAL(9,H2578:H2579)</f>
        <v>0</v>
      </c>
    </row>
    <row r="2578" spans="1:8" ht="15" hidden="1" customHeight="1" x14ac:dyDescent="0.25">
      <c r="A2578">
        <v>20413</v>
      </c>
      <c r="B2578" t="s">
        <v>10</v>
      </c>
      <c r="C2578" t="s">
        <v>5825</v>
      </c>
      <c r="D2578" t="str">
        <f t="shared" ref="D2578:D2584" si="178">IF(RIGHT(LEFT(C2578,9),2)="##","",RIGHT(LEFT(C2578,10),2))</f>
        <v>03</v>
      </c>
      <c r="E2578" t="s">
        <v>5826</v>
      </c>
      <c r="F2578" t="str">
        <f t="shared" si="176"/>
        <v>8708634</v>
      </c>
      <c r="H2578">
        <v>1</v>
      </c>
    </row>
    <row r="2579" spans="1:8" ht="15" hidden="1" customHeight="1" x14ac:dyDescent="0.25">
      <c r="A2579">
        <v>20415</v>
      </c>
      <c r="B2579" t="s">
        <v>10</v>
      </c>
      <c r="C2579" t="s">
        <v>5827</v>
      </c>
      <c r="D2579" t="str">
        <f t="shared" si="178"/>
        <v>09</v>
      </c>
      <c r="E2579" t="s">
        <v>5828</v>
      </c>
      <c r="F2579" t="str">
        <f t="shared" si="176"/>
        <v>8708634</v>
      </c>
      <c r="H2579">
        <v>1</v>
      </c>
    </row>
    <row r="2580" spans="1:8" ht="15" hidden="1" customHeight="1" x14ac:dyDescent="0.25">
      <c r="A2580">
        <v>19932</v>
      </c>
      <c r="B2580" t="s">
        <v>4</v>
      </c>
      <c r="C2580" t="s">
        <v>5341</v>
      </c>
      <c r="D2580" t="str">
        <f t="shared" si="178"/>
        <v/>
      </c>
      <c r="E2580" t="s">
        <v>5342</v>
      </c>
      <c r="F2580" t="str">
        <f t="shared" si="176"/>
        <v>8708313</v>
      </c>
    </row>
    <row r="2581" spans="1:8" ht="15" hidden="1" customHeight="1" x14ac:dyDescent="0.25">
      <c r="A2581">
        <v>19919</v>
      </c>
      <c r="B2581" t="s">
        <v>4</v>
      </c>
      <c r="C2581" t="s">
        <v>5337</v>
      </c>
      <c r="D2581" t="str">
        <f t="shared" si="178"/>
        <v/>
      </c>
      <c r="E2581" t="s">
        <v>5338</v>
      </c>
      <c r="F2581" t="str">
        <f t="shared" si="176"/>
        <v>8708312</v>
      </c>
    </row>
    <row r="2582" spans="1:8" ht="15" hidden="1" customHeight="1" x14ac:dyDescent="0.25">
      <c r="A2582">
        <v>19346</v>
      </c>
      <c r="B2582" t="s">
        <v>4</v>
      </c>
      <c r="C2582" t="s">
        <v>4625</v>
      </c>
      <c r="D2582" t="str">
        <f t="shared" si="178"/>
        <v/>
      </c>
      <c r="E2582" t="s">
        <v>4626</v>
      </c>
      <c r="F2582" t="str">
        <f t="shared" si="176"/>
        <v>8708311</v>
      </c>
    </row>
    <row r="2583" spans="1:8" ht="15" hidden="1" customHeight="1" x14ac:dyDescent="0.25">
      <c r="A2583">
        <v>19925</v>
      </c>
      <c r="B2583" t="s">
        <v>4</v>
      </c>
      <c r="C2583" t="s">
        <v>5339</v>
      </c>
      <c r="D2583" t="str">
        <f t="shared" si="178"/>
        <v/>
      </c>
      <c r="E2583" t="s">
        <v>5340</v>
      </c>
      <c r="F2583" t="str">
        <f t="shared" si="176"/>
        <v>8708315</v>
      </c>
    </row>
    <row r="2584" spans="1:8" ht="15" hidden="1" customHeight="1" x14ac:dyDescent="0.25">
      <c r="A2584">
        <v>17269</v>
      </c>
      <c r="B2584" t="s">
        <v>4</v>
      </c>
      <c r="C2584" t="s">
        <v>2063</v>
      </c>
      <c r="D2584" t="str">
        <f t="shared" si="178"/>
        <v/>
      </c>
      <c r="E2584" t="s">
        <v>2064</v>
      </c>
      <c r="F2584" t="str">
        <f t="shared" si="176"/>
        <v>8708226</v>
      </c>
    </row>
    <row r="2585" spans="1:8" ht="15" hidden="1" customHeight="1" x14ac:dyDescent="0.25">
      <c r="A2585">
        <v>20232</v>
      </c>
      <c r="B2585" t="s">
        <v>7</v>
      </c>
      <c r="C2585" t="s">
        <v>5653</v>
      </c>
      <c r="D2585" t="s">
        <v>6840</v>
      </c>
      <c r="E2585" t="s">
        <v>5654</v>
      </c>
      <c r="F2585" t="str">
        <f t="shared" si="176"/>
        <v>8708603</v>
      </c>
      <c r="H2585">
        <f>SUBTOTAL(9,H2586:H2596)</f>
        <v>0</v>
      </c>
    </row>
    <row r="2586" spans="1:8" ht="15" hidden="1" customHeight="1" x14ac:dyDescent="0.25">
      <c r="A2586">
        <v>20233</v>
      </c>
      <c r="B2586" t="s">
        <v>10</v>
      </c>
      <c r="C2586" t="s">
        <v>5655</v>
      </c>
      <c r="D2586" t="str">
        <f t="shared" ref="D2586:D2596" si="179">IF(RIGHT(LEFT(C2586,9),2)="##","",RIGHT(LEFT(C2586,10),2))</f>
        <v>03</v>
      </c>
      <c r="E2586" t="s">
        <v>5656</v>
      </c>
      <c r="F2586" t="str">
        <f t="shared" si="176"/>
        <v>8708603</v>
      </c>
      <c r="H2586">
        <v>1</v>
      </c>
    </row>
    <row r="2587" spans="1:8" ht="15" hidden="1" customHeight="1" x14ac:dyDescent="0.25">
      <c r="A2587">
        <v>20237</v>
      </c>
      <c r="B2587" t="s">
        <v>10</v>
      </c>
      <c r="C2587" t="s">
        <v>5657</v>
      </c>
      <c r="D2587" t="str">
        <f t="shared" si="179"/>
        <v>05</v>
      </c>
      <c r="E2587" t="s">
        <v>5658</v>
      </c>
      <c r="F2587" t="str">
        <f t="shared" si="176"/>
        <v>8708603</v>
      </c>
      <c r="H2587">
        <v>1</v>
      </c>
    </row>
    <row r="2588" spans="1:8" ht="15" hidden="1" customHeight="1" x14ac:dyDescent="0.25">
      <c r="A2588">
        <v>20239</v>
      </c>
      <c r="B2588" t="s">
        <v>10</v>
      </c>
      <c r="C2588" t="s">
        <v>5659</v>
      </c>
      <c r="D2588" t="str">
        <f t="shared" si="179"/>
        <v>06</v>
      </c>
      <c r="E2588" t="s">
        <v>5660</v>
      </c>
      <c r="F2588" t="str">
        <f t="shared" si="176"/>
        <v>8708603</v>
      </c>
      <c r="H2588">
        <v>1</v>
      </c>
    </row>
    <row r="2589" spans="1:8" ht="15" hidden="1" customHeight="1" x14ac:dyDescent="0.25">
      <c r="A2589">
        <v>20241</v>
      </c>
      <c r="B2589" t="s">
        <v>10</v>
      </c>
      <c r="C2589" t="s">
        <v>5661</v>
      </c>
      <c r="D2589" t="str">
        <f t="shared" si="179"/>
        <v>07</v>
      </c>
      <c r="E2589" t="s">
        <v>5662</v>
      </c>
      <c r="F2589" t="str">
        <f t="shared" si="176"/>
        <v>8708603</v>
      </c>
      <c r="H2589">
        <v>1</v>
      </c>
    </row>
    <row r="2590" spans="1:8" ht="15" hidden="1" customHeight="1" x14ac:dyDescent="0.25">
      <c r="A2590">
        <v>20243</v>
      </c>
      <c r="B2590" t="s">
        <v>10</v>
      </c>
      <c r="C2590" t="s">
        <v>5663</v>
      </c>
      <c r="D2590" t="str">
        <f t="shared" si="179"/>
        <v>08</v>
      </c>
      <c r="E2590" t="s">
        <v>5664</v>
      </c>
      <c r="F2590" t="str">
        <f t="shared" si="176"/>
        <v>8708603</v>
      </c>
      <c r="H2590">
        <v>1</v>
      </c>
    </row>
    <row r="2591" spans="1:8" ht="15" hidden="1" customHeight="1" x14ac:dyDescent="0.25">
      <c r="A2591">
        <v>20245</v>
      </c>
      <c r="B2591" t="s">
        <v>10</v>
      </c>
      <c r="C2591" t="s">
        <v>5665</v>
      </c>
      <c r="D2591" t="str">
        <f t="shared" si="179"/>
        <v>09</v>
      </c>
      <c r="E2591" t="s">
        <v>5666</v>
      </c>
      <c r="F2591" t="str">
        <f t="shared" si="176"/>
        <v>8708603</v>
      </c>
      <c r="H2591">
        <v>1</v>
      </c>
    </row>
    <row r="2592" spans="1:8" ht="15" hidden="1" customHeight="1" x14ac:dyDescent="0.25">
      <c r="A2592">
        <v>20247</v>
      </c>
      <c r="B2592" t="s">
        <v>10</v>
      </c>
      <c r="C2592" t="s">
        <v>5667</v>
      </c>
      <c r="D2592" t="str">
        <f t="shared" si="179"/>
        <v>10</v>
      </c>
      <c r="E2592" t="s">
        <v>5668</v>
      </c>
      <c r="F2592" t="str">
        <f t="shared" si="176"/>
        <v>8708603</v>
      </c>
      <c r="H2592">
        <v>1</v>
      </c>
    </row>
    <row r="2593" spans="1:8" ht="15" hidden="1" customHeight="1" x14ac:dyDescent="0.25">
      <c r="A2593">
        <v>20249</v>
      </c>
      <c r="B2593" t="s">
        <v>10</v>
      </c>
      <c r="C2593" t="s">
        <v>5669</v>
      </c>
      <c r="D2593" t="str">
        <f t="shared" si="179"/>
        <v>11</v>
      </c>
      <c r="E2593" t="s">
        <v>5670</v>
      </c>
      <c r="F2593" t="str">
        <f t="shared" si="176"/>
        <v>8708603</v>
      </c>
      <c r="H2593">
        <v>1</v>
      </c>
    </row>
    <row r="2594" spans="1:8" ht="15" hidden="1" customHeight="1" x14ac:dyDescent="0.25">
      <c r="A2594">
        <v>20251</v>
      </c>
      <c r="B2594" t="s">
        <v>10</v>
      </c>
      <c r="C2594" t="s">
        <v>5671</v>
      </c>
      <c r="D2594" t="str">
        <f t="shared" si="179"/>
        <v>15</v>
      </c>
      <c r="E2594" t="s">
        <v>5672</v>
      </c>
      <c r="F2594" t="str">
        <f t="shared" si="176"/>
        <v>8708603</v>
      </c>
      <c r="H2594">
        <v>1</v>
      </c>
    </row>
    <row r="2595" spans="1:8" ht="15" hidden="1" customHeight="1" x14ac:dyDescent="0.25">
      <c r="A2595">
        <v>20253</v>
      </c>
      <c r="B2595" t="s">
        <v>10</v>
      </c>
      <c r="C2595" t="s">
        <v>5673</v>
      </c>
      <c r="D2595" t="str">
        <f t="shared" si="179"/>
        <v>16</v>
      </c>
      <c r="E2595" t="s">
        <v>5674</v>
      </c>
      <c r="F2595" t="str">
        <f t="shared" si="176"/>
        <v>8708603</v>
      </c>
      <c r="H2595">
        <v>1</v>
      </c>
    </row>
    <row r="2596" spans="1:8" ht="15" hidden="1" customHeight="1" x14ac:dyDescent="0.25">
      <c r="A2596">
        <v>20254</v>
      </c>
      <c r="B2596" t="s">
        <v>10</v>
      </c>
      <c r="C2596" t="s">
        <v>5675</v>
      </c>
      <c r="D2596" t="str">
        <f t="shared" si="179"/>
        <v>17</v>
      </c>
      <c r="E2596" t="s">
        <v>5676</v>
      </c>
      <c r="F2596" t="str">
        <f t="shared" si="176"/>
        <v>8708603</v>
      </c>
      <c r="H2596">
        <v>1</v>
      </c>
    </row>
    <row r="2597" spans="1:8" ht="15" hidden="1" customHeight="1" x14ac:dyDescent="0.25">
      <c r="A2597">
        <v>14620</v>
      </c>
      <c r="B2597" t="s">
        <v>7</v>
      </c>
      <c r="C2597" t="s">
        <v>8</v>
      </c>
      <c r="D2597" t="s">
        <v>6840</v>
      </c>
      <c r="E2597" t="s">
        <v>9</v>
      </c>
      <c r="F2597" t="str">
        <f t="shared" si="176"/>
        <v>8708100</v>
      </c>
      <c r="H2597">
        <f>SUBTOTAL(9,H2598:H2601)</f>
        <v>0</v>
      </c>
    </row>
    <row r="2598" spans="1:8" ht="15" hidden="1" customHeight="1" x14ac:dyDescent="0.25">
      <c r="A2598">
        <v>14621</v>
      </c>
      <c r="B2598" t="s">
        <v>10</v>
      </c>
      <c r="C2598" t="s">
        <v>11</v>
      </c>
      <c r="D2598" t="str">
        <f>IF(RIGHT(LEFT(C2598,9),2)="##","",RIGHT(LEFT(C2598,10),2))</f>
        <v>04</v>
      </c>
      <c r="E2598" t="s">
        <v>12</v>
      </c>
      <c r="F2598" t="str">
        <f t="shared" si="176"/>
        <v>8708100</v>
      </c>
      <c r="H2598">
        <v>1</v>
      </c>
    </row>
    <row r="2599" spans="1:8" ht="15" hidden="1" customHeight="1" x14ac:dyDescent="0.25">
      <c r="A2599">
        <v>14627</v>
      </c>
      <c r="B2599" t="s">
        <v>10</v>
      </c>
      <c r="C2599" t="s">
        <v>13</v>
      </c>
      <c r="D2599" t="str">
        <f>IF(RIGHT(LEFT(C2599,9),2)="##","",RIGHT(LEFT(C2599,10),2))</f>
        <v>06</v>
      </c>
      <c r="E2599" t="s">
        <v>14</v>
      </c>
      <c r="F2599" t="str">
        <f t="shared" si="176"/>
        <v>8708100</v>
      </c>
      <c r="H2599">
        <v>1</v>
      </c>
    </row>
    <row r="2600" spans="1:8" ht="15" hidden="1" customHeight="1" x14ac:dyDescent="0.25">
      <c r="A2600">
        <v>14633</v>
      </c>
      <c r="B2600" t="s">
        <v>10</v>
      </c>
      <c r="C2600" t="s">
        <v>15</v>
      </c>
      <c r="D2600" t="str">
        <f>IF(RIGHT(LEFT(C2600,9),2)="##","",RIGHT(LEFT(C2600,10),2))</f>
        <v>09</v>
      </c>
      <c r="E2600" t="s">
        <v>16</v>
      </c>
      <c r="F2600" t="str">
        <f t="shared" si="176"/>
        <v>8708100</v>
      </c>
      <c r="H2600">
        <v>1</v>
      </c>
    </row>
    <row r="2601" spans="1:8" ht="15" hidden="1" customHeight="1" x14ac:dyDescent="0.25">
      <c r="A2601">
        <v>14638</v>
      </c>
      <c r="B2601" t="s">
        <v>10</v>
      </c>
      <c r="C2601" t="s">
        <v>17</v>
      </c>
      <c r="D2601" t="str">
        <f>IF(RIGHT(LEFT(C2601,9),2)="##","",RIGHT(LEFT(C2601,10),2))</f>
        <v>21</v>
      </c>
      <c r="E2601" t="s">
        <v>18</v>
      </c>
      <c r="F2601" t="str">
        <f t="shared" si="176"/>
        <v>8708100</v>
      </c>
      <c r="H2601">
        <v>1</v>
      </c>
    </row>
    <row r="2602" spans="1:8" ht="15" hidden="1" customHeight="1" x14ac:dyDescent="0.25">
      <c r="A2602">
        <v>17637</v>
      </c>
      <c r="B2602" t="s">
        <v>7</v>
      </c>
      <c r="C2602" t="s">
        <v>2379</v>
      </c>
      <c r="D2602" t="s">
        <v>6840</v>
      </c>
      <c r="E2602" t="s">
        <v>2380</v>
      </c>
      <c r="F2602" t="str">
        <f t="shared" si="176"/>
        <v>8708227</v>
      </c>
      <c r="H2602">
        <f>SUBTOTAL(9,H2603:H2607)</f>
        <v>0</v>
      </c>
    </row>
    <row r="2603" spans="1:8" ht="15" hidden="1" customHeight="1" x14ac:dyDescent="0.25">
      <c r="A2603">
        <v>17638</v>
      </c>
      <c r="B2603" t="s">
        <v>10</v>
      </c>
      <c r="C2603" t="s">
        <v>2381</v>
      </c>
      <c r="D2603" t="str">
        <f>IF(RIGHT(LEFT(C2603,9),2)="##","",RIGHT(LEFT(C2603,10),2))</f>
        <v>04</v>
      </c>
      <c r="E2603" t="s">
        <v>2382</v>
      </c>
      <c r="F2603" t="str">
        <f t="shared" si="176"/>
        <v>8708227</v>
      </c>
      <c r="H2603">
        <v>1</v>
      </c>
    </row>
    <row r="2604" spans="1:8" ht="15" hidden="1" customHeight="1" x14ac:dyDescent="0.25">
      <c r="A2604">
        <v>17648</v>
      </c>
      <c r="B2604" t="s">
        <v>10</v>
      </c>
      <c r="C2604" t="s">
        <v>2383</v>
      </c>
      <c r="D2604" t="str">
        <f>IF(RIGHT(LEFT(C2604,9),2)="##","",RIGHT(LEFT(C2604,10),2))</f>
        <v>06</v>
      </c>
      <c r="E2604" t="s">
        <v>2384</v>
      </c>
      <c r="F2604" t="str">
        <f t="shared" si="176"/>
        <v>8708227</v>
      </c>
      <c r="H2604">
        <v>1</v>
      </c>
    </row>
    <row r="2605" spans="1:8" ht="15" hidden="1" customHeight="1" x14ac:dyDescent="0.25">
      <c r="A2605">
        <v>17649</v>
      </c>
      <c r="B2605" t="s">
        <v>10</v>
      </c>
      <c r="C2605" t="s">
        <v>2385</v>
      </c>
      <c r="D2605" t="str">
        <f>IF(RIGHT(LEFT(C2605,9),2)="##","",RIGHT(LEFT(C2605,10),2))</f>
        <v>09</v>
      </c>
      <c r="E2605" t="s">
        <v>2386</v>
      </c>
      <c r="F2605" t="str">
        <f t="shared" si="176"/>
        <v>8708227</v>
      </c>
      <c r="H2605">
        <v>1</v>
      </c>
    </row>
    <row r="2606" spans="1:8" ht="15" hidden="1" customHeight="1" x14ac:dyDescent="0.25">
      <c r="A2606">
        <v>17650</v>
      </c>
      <c r="B2606" t="s">
        <v>10</v>
      </c>
      <c r="C2606" t="s">
        <v>2387</v>
      </c>
      <c r="D2606" t="str">
        <f>IF(RIGHT(LEFT(C2606,9),2)="##","",RIGHT(LEFT(C2606,10),2))</f>
        <v>13</v>
      </c>
      <c r="E2606" t="s">
        <v>2388</v>
      </c>
      <c r="F2606" t="str">
        <f t="shared" si="176"/>
        <v>8708227</v>
      </c>
      <c r="H2606">
        <v>1</v>
      </c>
    </row>
    <row r="2607" spans="1:8" ht="15" hidden="1" customHeight="1" x14ac:dyDescent="0.25">
      <c r="A2607">
        <v>17651</v>
      </c>
      <c r="B2607" t="s">
        <v>10</v>
      </c>
      <c r="C2607" t="s">
        <v>2389</v>
      </c>
      <c r="D2607" t="str">
        <f>IF(RIGHT(LEFT(C2607,9),2)="##","",RIGHT(LEFT(C2607,10),2))</f>
        <v>18</v>
      </c>
      <c r="E2607" t="s">
        <v>2390</v>
      </c>
      <c r="F2607" t="str">
        <f t="shared" si="176"/>
        <v>8708227</v>
      </c>
      <c r="H2607">
        <v>1</v>
      </c>
    </row>
    <row r="2608" spans="1:8" ht="15" hidden="1" customHeight="1" x14ac:dyDescent="0.25">
      <c r="A2608">
        <v>20431</v>
      </c>
      <c r="B2608" t="s">
        <v>7</v>
      </c>
      <c r="C2608" t="s">
        <v>5833</v>
      </c>
      <c r="D2608" t="s">
        <v>6840</v>
      </c>
      <c r="E2608" t="s">
        <v>5834</v>
      </c>
      <c r="F2608" t="str">
        <f t="shared" si="176"/>
        <v>8708643</v>
      </c>
      <c r="H2608">
        <f>SUBTOTAL(9,H2609:H2612)</f>
        <v>0</v>
      </c>
    </row>
    <row r="2609" spans="1:8" ht="15" hidden="1" customHeight="1" x14ac:dyDescent="0.25">
      <c r="A2609">
        <v>20432</v>
      </c>
      <c r="B2609" t="s">
        <v>10</v>
      </c>
      <c r="C2609" t="s">
        <v>5835</v>
      </c>
      <c r="D2609" t="str">
        <f>IF(RIGHT(LEFT(C2609,9),2)="##","",RIGHT(LEFT(C2609,10),2))</f>
        <v>03</v>
      </c>
      <c r="E2609" t="s">
        <v>5836</v>
      </c>
      <c r="F2609" t="str">
        <f t="shared" si="176"/>
        <v>8708643</v>
      </c>
      <c r="H2609">
        <v>1</v>
      </c>
    </row>
    <row r="2610" spans="1:8" ht="15" hidden="1" customHeight="1" x14ac:dyDescent="0.25">
      <c r="A2610">
        <v>20433</v>
      </c>
      <c r="B2610" t="s">
        <v>10</v>
      </c>
      <c r="C2610" t="s">
        <v>5837</v>
      </c>
      <c r="D2610" t="str">
        <f>IF(RIGHT(LEFT(C2610,9),2)="##","",RIGHT(LEFT(C2610,10),2))</f>
        <v>06</v>
      </c>
      <c r="E2610" t="s">
        <v>5838</v>
      </c>
      <c r="F2610" t="str">
        <f t="shared" si="176"/>
        <v>8708643</v>
      </c>
      <c r="H2610">
        <v>1</v>
      </c>
    </row>
    <row r="2611" spans="1:8" ht="15" hidden="1" customHeight="1" x14ac:dyDescent="0.25">
      <c r="A2611">
        <v>20434</v>
      </c>
      <c r="B2611" t="s">
        <v>10</v>
      </c>
      <c r="C2611" t="s">
        <v>5839</v>
      </c>
      <c r="D2611" t="str">
        <f>IF(RIGHT(LEFT(C2611,9),2)="##","",RIGHT(LEFT(C2611,10),2))</f>
        <v>07</v>
      </c>
      <c r="E2611" t="s">
        <v>5840</v>
      </c>
      <c r="F2611" t="str">
        <f t="shared" si="176"/>
        <v>8708643</v>
      </c>
      <c r="H2611">
        <v>1</v>
      </c>
    </row>
    <row r="2612" spans="1:8" ht="15" hidden="1" customHeight="1" x14ac:dyDescent="0.25">
      <c r="A2612">
        <v>20436</v>
      </c>
      <c r="B2612" t="s">
        <v>10</v>
      </c>
      <c r="C2612" t="s">
        <v>5841</v>
      </c>
      <c r="D2612" t="str">
        <f>IF(RIGHT(LEFT(C2612,9),2)="##","",RIGHT(LEFT(C2612,10),2))</f>
        <v>09</v>
      </c>
      <c r="E2612" t="s">
        <v>5842</v>
      </c>
      <c r="F2612" t="str">
        <f t="shared" si="176"/>
        <v>8708643</v>
      </c>
      <c r="H2612">
        <v>1</v>
      </c>
    </row>
    <row r="2613" spans="1:8" ht="15" hidden="1" customHeight="1" x14ac:dyDescent="0.25">
      <c r="A2613">
        <v>16588</v>
      </c>
      <c r="B2613" t="s">
        <v>7</v>
      </c>
      <c r="C2613" t="s">
        <v>1564</v>
      </c>
      <c r="D2613" t="s">
        <v>6840</v>
      </c>
      <c r="E2613" t="s">
        <v>1565</v>
      </c>
      <c r="F2613" t="str">
        <f t="shared" si="176"/>
        <v>8708117</v>
      </c>
      <c r="H2613">
        <f>SUBTOTAL(9,H2614:H2616)</f>
        <v>0</v>
      </c>
    </row>
    <row r="2614" spans="1:8" ht="15" hidden="1" customHeight="1" x14ac:dyDescent="0.25">
      <c r="A2614">
        <v>16589</v>
      </c>
      <c r="B2614" t="s">
        <v>10</v>
      </c>
      <c r="C2614" t="s">
        <v>1566</v>
      </c>
      <c r="D2614" t="str">
        <f>IF(RIGHT(LEFT(C2614,9),2)="##","",RIGHT(LEFT(C2614,10),2))</f>
        <v>04</v>
      </c>
      <c r="E2614" t="s">
        <v>1567</v>
      </c>
      <c r="F2614" t="str">
        <f t="shared" si="176"/>
        <v>8708117</v>
      </c>
      <c r="H2614">
        <v>1</v>
      </c>
    </row>
    <row r="2615" spans="1:8" ht="15" hidden="1" customHeight="1" x14ac:dyDescent="0.25">
      <c r="A2615">
        <v>16595</v>
      </c>
      <c r="B2615" t="s">
        <v>10</v>
      </c>
      <c r="C2615" t="s">
        <v>1568</v>
      </c>
      <c r="D2615" t="str">
        <f>IF(RIGHT(LEFT(C2615,9),2)="##","",RIGHT(LEFT(C2615,10),2))</f>
        <v>09</v>
      </c>
      <c r="E2615" t="s">
        <v>1569</v>
      </c>
      <c r="F2615" t="str">
        <f t="shared" si="176"/>
        <v>8708117</v>
      </c>
      <c r="H2615">
        <v>1</v>
      </c>
    </row>
    <row r="2616" spans="1:8" hidden="1" x14ac:dyDescent="0.25">
      <c r="A2616">
        <v>16596</v>
      </c>
      <c r="B2616" t="s">
        <v>10</v>
      </c>
      <c r="C2616" t="s">
        <v>1570</v>
      </c>
      <c r="D2616" t="str">
        <f>IF(RIGHT(LEFT(C2616,9),2)="##","",RIGHT(LEFT(C2616,10),2))</f>
        <v>13</v>
      </c>
      <c r="E2616" t="s">
        <v>1571</v>
      </c>
      <c r="F2616" t="str">
        <f t="shared" si="176"/>
        <v>8708117</v>
      </c>
      <c r="H2616">
        <v>1</v>
      </c>
    </row>
    <row r="2617" spans="1:8" ht="15" hidden="1" customHeight="1" x14ac:dyDescent="0.25">
      <c r="A2617">
        <v>16831</v>
      </c>
      <c r="B2617" t="s">
        <v>7</v>
      </c>
      <c r="C2617" t="s">
        <v>1736</v>
      </c>
      <c r="D2617" t="s">
        <v>6840</v>
      </c>
      <c r="E2617" t="s">
        <v>1737</v>
      </c>
      <c r="F2617" t="str">
        <f t="shared" si="176"/>
        <v>8708121</v>
      </c>
      <c r="H2617">
        <f>SUBTOTAL(9,H2618:H2622)</f>
        <v>0</v>
      </c>
    </row>
    <row r="2618" spans="1:8" ht="15" hidden="1" customHeight="1" x14ac:dyDescent="0.25">
      <c r="A2618">
        <v>16832</v>
      </c>
      <c r="B2618" t="s">
        <v>10</v>
      </c>
      <c r="C2618" t="s">
        <v>1738</v>
      </c>
      <c r="D2618" t="str">
        <f t="shared" ref="D2618:D2623" si="180">IF(RIGHT(LEFT(C2618,9),2)="##","",RIGHT(LEFT(C2618,10),2))</f>
        <v>04</v>
      </c>
      <c r="E2618" t="s">
        <v>1739</v>
      </c>
      <c r="F2618" t="str">
        <f t="shared" si="176"/>
        <v>8708121</v>
      </c>
      <c r="H2618">
        <v>1</v>
      </c>
    </row>
    <row r="2619" spans="1:8" ht="15" hidden="1" customHeight="1" x14ac:dyDescent="0.25">
      <c r="A2619">
        <v>16841</v>
      </c>
      <c r="B2619" t="s">
        <v>10</v>
      </c>
      <c r="C2619" t="s">
        <v>1740</v>
      </c>
      <c r="D2619" t="str">
        <f t="shared" si="180"/>
        <v>06</v>
      </c>
      <c r="E2619" t="s">
        <v>1741</v>
      </c>
      <c r="F2619" t="str">
        <f t="shared" si="176"/>
        <v>8708121</v>
      </c>
      <c r="H2619">
        <v>1</v>
      </c>
    </row>
    <row r="2620" spans="1:8" ht="15" hidden="1" customHeight="1" x14ac:dyDescent="0.25">
      <c r="A2620">
        <v>16842</v>
      </c>
      <c r="B2620" t="s">
        <v>10</v>
      </c>
      <c r="C2620" t="s">
        <v>1742</v>
      </c>
      <c r="D2620" t="str">
        <f t="shared" si="180"/>
        <v>09</v>
      </c>
      <c r="E2620" t="s">
        <v>1743</v>
      </c>
      <c r="F2620" t="str">
        <f t="shared" si="176"/>
        <v>8708121</v>
      </c>
      <c r="H2620">
        <v>1</v>
      </c>
    </row>
    <row r="2621" spans="1:8" ht="15" hidden="1" customHeight="1" x14ac:dyDescent="0.25">
      <c r="A2621">
        <v>16843</v>
      </c>
      <c r="B2621" t="s">
        <v>10</v>
      </c>
      <c r="C2621" t="s">
        <v>1744</v>
      </c>
      <c r="D2621" t="str">
        <f t="shared" si="180"/>
        <v>13</v>
      </c>
      <c r="E2621" t="s">
        <v>1745</v>
      </c>
      <c r="F2621" t="str">
        <f t="shared" si="176"/>
        <v>8708121</v>
      </c>
      <c r="H2621">
        <v>1</v>
      </c>
    </row>
    <row r="2622" spans="1:8" ht="15" hidden="1" customHeight="1" x14ac:dyDescent="0.25">
      <c r="A2622">
        <v>16844</v>
      </c>
      <c r="B2622" t="s">
        <v>10</v>
      </c>
      <c r="C2622" t="s">
        <v>1746</v>
      </c>
      <c r="D2622" t="str">
        <f t="shared" si="180"/>
        <v>18</v>
      </c>
      <c r="E2622" t="s">
        <v>1747</v>
      </c>
      <c r="F2622" t="str">
        <f t="shared" si="176"/>
        <v>8708121</v>
      </c>
      <c r="H2622">
        <v>1</v>
      </c>
    </row>
    <row r="2623" spans="1:8" ht="15" hidden="1" customHeight="1" x14ac:dyDescent="0.25">
      <c r="A2623">
        <v>20420</v>
      </c>
      <c r="B2623" t="s">
        <v>4</v>
      </c>
      <c r="C2623" t="s">
        <v>5829</v>
      </c>
      <c r="D2623" t="str">
        <f t="shared" si="180"/>
        <v/>
      </c>
      <c r="E2623" t="s">
        <v>5830</v>
      </c>
      <c r="F2623" t="str">
        <f t="shared" si="176"/>
        <v>8708640</v>
      </c>
    </row>
    <row r="2624" spans="1:8" ht="15" hidden="1" customHeight="1" x14ac:dyDescent="0.25">
      <c r="A2624">
        <v>20437</v>
      </c>
      <c r="B2624" t="s">
        <v>7</v>
      </c>
      <c r="C2624" t="s">
        <v>5843</v>
      </c>
      <c r="D2624" t="s">
        <v>6840</v>
      </c>
      <c r="E2624" t="s">
        <v>5844</v>
      </c>
      <c r="F2624" t="str">
        <f t="shared" si="176"/>
        <v>8708550</v>
      </c>
      <c r="H2624">
        <f>SUBTOTAL(9,H2625:H2635)</f>
        <v>0</v>
      </c>
    </row>
    <row r="2625" spans="1:8" hidden="1" x14ac:dyDescent="0.25">
      <c r="A2625">
        <v>20438</v>
      </c>
      <c r="B2625" t="s">
        <v>10</v>
      </c>
      <c r="C2625" t="s">
        <v>5845</v>
      </c>
      <c r="D2625" t="str">
        <f t="shared" ref="D2625:D2632" si="181">IF(RIGHT(LEFT(C2625,9),2)="##","",RIGHT(LEFT(C2625,10),2))</f>
        <v>03</v>
      </c>
      <c r="E2625" t="s">
        <v>5846</v>
      </c>
      <c r="F2625" t="str">
        <f t="shared" ref="F2625:F2688" si="182">LEFT(C2625,7)</f>
        <v>8708550</v>
      </c>
      <c r="H2625">
        <v>1</v>
      </c>
    </row>
    <row r="2626" spans="1:8" ht="15" hidden="1" customHeight="1" x14ac:dyDescent="0.25">
      <c r="A2626">
        <v>20440</v>
      </c>
      <c r="B2626" t="s">
        <v>10</v>
      </c>
      <c r="C2626" t="s">
        <v>5847</v>
      </c>
      <c r="D2626" t="str">
        <f t="shared" si="181"/>
        <v>04</v>
      </c>
      <c r="E2626" t="s">
        <v>5848</v>
      </c>
      <c r="F2626" t="str">
        <f t="shared" si="182"/>
        <v>8708550</v>
      </c>
      <c r="H2626">
        <v>1</v>
      </c>
    </row>
    <row r="2627" spans="1:8" ht="15" hidden="1" customHeight="1" x14ac:dyDescent="0.25">
      <c r="A2627">
        <v>20442</v>
      </c>
      <c r="B2627" t="s">
        <v>10</v>
      </c>
      <c r="C2627" t="s">
        <v>5849</v>
      </c>
      <c r="D2627" t="str">
        <f t="shared" si="181"/>
        <v>06</v>
      </c>
      <c r="E2627" t="s">
        <v>5850</v>
      </c>
      <c r="F2627" t="str">
        <f t="shared" si="182"/>
        <v>8708550</v>
      </c>
      <c r="H2627">
        <v>1</v>
      </c>
    </row>
    <row r="2628" spans="1:8" ht="15" hidden="1" customHeight="1" x14ac:dyDescent="0.25">
      <c r="A2628">
        <v>20444</v>
      </c>
      <c r="B2628" t="s">
        <v>10</v>
      </c>
      <c r="C2628" t="s">
        <v>5851</v>
      </c>
      <c r="D2628" t="str">
        <f t="shared" si="181"/>
        <v>07</v>
      </c>
      <c r="E2628" t="s">
        <v>5852</v>
      </c>
      <c r="F2628" t="str">
        <f t="shared" si="182"/>
        <v>8708550</v>
      </c>
      <c r="H2628">
        <v>1</v>
      </c>
    </row>
    <row r="2629" spans="1:8" ht="15" hidden="1" customHeight="1" x14ac:dyDescent="0.25">
      <c r="A2629">
        <v>20446</v>
      </c>
      <c r="B2629" t="s">
        <v>10</v>
      </c>
      <c r="C2629" t="s">
        <v>5853</v>
      </c>
      <c r="D2629" t="str">
        <f t="shared" si="181"/>
        <v>08</v>
      </c>
      <c r="E2629" t="s">
        <v>5854</v>
      </c>
      <c r="F2629" t="str">
        <f t="shared" si="182"/>
        <v>8708550</v>
      </c>
      <c r="H2629">
        <v>1</v>
      </c>
    </row>
    <row r="2630" spans="1:8" ht="15" hidden="1" customHeight="1" x14ac:dyDescent="0.25">
      <c r="A2630">
        <v>20448</v>
      </c>
      <c r="B2630" t="s">
        <v>10</v>
      </c>
      <c r="C2630" t="s">
        <v>5855</v>
      </c>
      <c r="D2630" t="str">
        <f t="shared" si="181"/>
        <v>09</v>
      </c>
      <c r="E2630" t="s">
        <v>5856</v>
      </c>
      <c r="F2630" t="str">
        <f t="shared" si="182"/>
        <v>8708550</v>
      </c>
      <c r="H2630">
        <v>1</v>
      </c>
    </row>
    <row r="2631" spans="1:8" ht="15" hidden="1" customHeight="1" x14ac:dyDescent="0.25">
      <c r="A2631">
        <v>20450</v>
      </c>
      <c r="B2631" t="s">
        <v>10</v>
      </c>
      <c r="C2631" t="s">
        <v>5857</v>
      </c>
      <c r="D2631" t="str">
        <f t="shared" si="181"/>
        <v>10</v>
      </c>
      <c r="E2631" t="s">
        <v>5858</v>
      </c>
      <c r="F2631" t="str">
        <f t="shared" si="182"/>
        <v>8708550</v>
      </c>
      <c r="H2631">
        <v>1</v>
      </c>
    </row>
    <row r="2632" spans="1:8" ht="15" hidden="1" customHeight="1" x14ac:dyDescent="0.25">
      <c r="A2632">
        <v>17411</v>
      </c>
      <c r="B2632" t="s">
        <v>4</v>
      </c>
      <c r="C2632" t="s">
        <v>2135</v>
      </c>
      <c r="D2632" t="str">
        <f t="shared" si="181"/>
        <v/>
      </c>
      <c r="E2632" t="s">
        <v>2136</v>
      </c>
      <c r="F2632" t="str">
        <f t="shared" si="182"/>
        <v>8706002</v>
      </c>
    </row>
    <row r="2633" spans="1:8" ht="15" hidden="1" customHeight="1" x14ac:dyDescent="0.25">
      <c r="A2633">
        <v>20459</v>
      </c>
      <c r="B2633" t="s">
        <v>7</v>
      </c>
      <c r="C2633" t="s">
        <v>5867</v>
      </c>
      <c r="D2633" t="s">
        <v>6840</v>
      </c>
      <c r="E2633" t="s">
        <v>5868</v>
      </c>
      <c r="F2633" t="str">
        <f t="shared" si="182"/>
        <v>8708604</v>
      </c>
      <c r="H2633">
        <f>SUBTOTAL(9,H2634:H2643)</f>
        <v>0</v>
      </c>
    </row>
    <row r="2634" spans="1:8" ht="15" hidden="1" customHeight="1" x14ac:dyDescent="0.25">
      <c r="A2634">
        <v>20460</v>
      </c>
      <c r="B2634" t="s">
        <v>10</v>
      </c>
      <c r="C2634" t="s">
        <v>5869</v>
      </c>
      <c r="D2634" t="str">
        <f t="shared" ref="D2634:D2646" si="183">IF(RIGHT(LEFT(C2634,9),2)="##","",RIGHT(LEFT(C2634,10),2))</f>
        <v>01</v>
      </c>
      <c r="E2634" t="s">
        <v>5870</v>
      </c>
      <c r="F2634" t="str">
        <f t="shared" si="182"/>
        <v>8708604</v>
      </c>
      <c r="H2634">
        <v>1</v>
      </c>
    </row>
    <row r="2635" spans="1:8" ht="15" hidden="1" customHeight="1" x14ac:dyDescent="0.25">
      <c r="A2635">
        <v>20462</v>
      </c>
      <c r="B2635" t="s">
        <v>10</v>
      </c>
      <c r="C2635" t="s">
        <v>5871</v>
      </c>
      <c r="D2635" t="str">
        <f t="shared" si="183"/>
        <v>02</v>
      </c>
      <c r="E2635" t="s">
        <v>5872</v>
      </c>
      <c r="F2635" t="str">
        <f t="shared" si="182"/>
        <v>8708604</v>
      </c>
      <c r="H2635">
        <v>1</v>
      </c>
    </row>
    <row r="2636" spans="1:8" ht="15" hidden="1" customHeight="1" x14ac:dyDescent="0.25">
      <c r="A2636">
        <v>20464</v>
      </c>
      <c r="B2636" t="s">
        <v>10</v>
      </c>
      <c r="C2636" t="s">
        <v>5873</v>
      </c>
      <c r="D2636" t="str">
        <f t="shared" si="183"/>
        <v>03</v>
      </c>
      <c r="E2636" t="s">
        <v>5874</v>
      </c>
      <c r="F2636" t="str">
        <f t="shared" si="182"/>
        <v>8708604</v>
      </c>
      <c r="H2636">
        <v>1</v>
      </c>
    </row>
    <row r="2637" spans="1:8" hidden="1" x14ac:dyDescent="0.25">
      <c r="A2637">
        <v>20465</v>
      </c>
      <c r="B2637" t="s">
        <v>10</v>
      </c>
      <c r="C2637" t="s">
        <v>5875</v>
      </c>
      <c r="D2637" t="str">
        <f t="shared" si="183"/>
        <v>04</v>
      </c>
      <c r="E2637" t="s">
        <v>5876</v>
      </c>
      <c r="F2637" t="str">
        <f t="shared" si="182"/>
        <v>8708604</v>
      </c>
      <c r="H2637">
        <v>1</v>
      </c>
    </row>
    <row r="2638" spans="1:8" hidden="1" x14ac:dyDescent="0.25">
      <c r="A2638">
        <v>20466</v>
      </c>
      <c r="B2638" t="s">
        <v>10</v>
      </c>
      <c r="C2638" t="s">
        <v>5877</v>
      </c>
      <c r="D2638" t="str">
        <f t="shared" si="183"/>
        <v>05</v>
      </c>
      <c r="E2638" t="s">
        <v>5878</v>
      </c>
      <c r="F2638" t="str">
        <f t="shared" si="182"/>
        <v>8708604</v>
      </c>
      <c r="H2638">
        <v>1</v>
      </c>
    </row>
    <row r="2639" spans="1:8" hidden="1" x14ac:dyDescent="0.25">
      <c r="A2639">
        <v>20468</v>
      </c>
      <c r="B2639" t="s">
        <v>10</v>
      </c>
      <c r="C2639" t="s">
        <v>5879</v>
      </c>
      <c r="D2639" t="str">
        <f t="shared" si="183"/>
        <v>06</v>
      </c>
      <c r="E2639" t="s">
        <v>5880</v>
      </c>
      <c r="F2639" t="str">
        <f t="shared" si="182"/>
        <v>8708604</v>
      </c>
      <c r="H2639">
        <v>1</v>
      </c>
    </row>
    <row r="2640" spans="1:8" ht="15" hidden="1" customHeight="1" x14ac:dyDescent="0.25">
      <c r="A2640">
        <v>20469</v>
      </c>
      <c r="B2640" t="s">
        <v>10</v>
      </c>
      <c r="C2640" t="s">
        <v>5881</v>
      </c>
      <c r="D2640" t="str">
        <f t="shared" si="183"/>
        <v>07</v>
      </c>
      <c r="E2640" t="s">
        <v>5882</v>
      </c>
      <c r="F2640" t="str">
        <f t="shared" si="182"/>
        <v>8708604</v>
      </c>
      <c r="H2640">
        <v>1</v>
      </c>
    </row>
    <row r="2641" spans="1:8" hidden="1" x14ac:dyDescent="0.25">
      <c r="A2641">
        <v>20470</v>
      </c>
      <c r="B2641" t="s">
        <v>10</v>
      </c>
      <c r="C2641" t="s">
        <v>5883</v>
      </c>
      <c r="D2641" t="str">
        <f t="shared" si="183"/>
        <v>08</v>
      </c>
      <c r="E2641" t="s">
        <v>5884</v>
      </c>
      <c r="F2641" t="str">
        <f t="shared" si="182"/>
        <v>8708604</v>
      </c>
      <c r="H2641">
        <v>1</v>
      </c>
    </row>
    <row r="2642" spans="1:8" hidden="1" x14ac:dyDescent="0.25">
      <c r="A2642">
        <v>20471</v>
      </c>
      <c r="B2642" t="s">
        <v>10</v>
      </c>
      <c r="C2642" t="s">
        <v>5885</v>
      </c>
      <c r="D2642" t="str">
        <f t="shared" si="183"/>
        <v>09</v>
      </c>
      <c r="E2642" t="s">
        <v>5886</v>
      </c>
      <c r="F2642" t="str">
        <f t="shared" si="182"/>
        <v>8708604</v>
      </c>
      <c r="H2642">
        <v>1</v>
      </c>
    </row>
    <row r="2643" spans="1:8" hidden="1" x14ac:dyDescent="0.25">
      <c r="A2643">
        <v>20472</v>
      </c>
      <c r="B2643" t="s">
        <v>10</v>
      </c>
      <c r="C2643" t="s">
        <v>5887</v>
      </c>
      <c r="D2643" t="str">
        <f t="shared" si="183"/>
        <v>11</v>
      </c>
      <c r="E2643" t="s">
        <v>5888</v>
      </c>
      <c r="F2643" t="str">
        <f t="shared" si="182"/>
        <v>8708604</v>
      </c>
      <c r="H2643">
        <v>1</v>
      </c>
    </row>
    <row r="2644" spans="1:8" hidden="1" x14ac:dyDescent="0.25">
      <c r="A2644">
        <v>16607</v>
      </c>
      <c r="B2644" t="s">
        <v>4</v>
      </c>
      <c r="C2644" t="s">
        <v>1574</v>
      </c>
      <c r="D2644" t="str">
        <f t="shared" si="183"/>
        <v/>
      </c>
      <c r="E2644" t="s">
        <v>1575</v>
      </c>
      <c r="F2644" t="str">
        <f t="shared" si="182"/>
        <v>8708105</v>
      </c>
    </row>
    <row r="2645" spans="1:8" hidden="1" x14ac:dyDescent="0.25">
      <c r="A2645">
        <v>20582</v>
      </c>
      <c r="B2645" t="s">
        <v>4</v>
      </c>
      <c r="C2645" t="s">
        <v>5957</v>
      </c>
      <c r="D2645" t="str">
        <f t="shared" si="183"/>
        <v/>
      </c>
      <c r="E2645" t="s">
        <v>5958</v>
      </c>
      <c r="F2645" t="str">
        <f t="shared" si="182"/>
        <v>8708249</v>
      </c>
    </row>
    <row r="2646" spans="1:8" hidden="1" x14ac:dyDescent="0.25">
      <c r="A2646">
        <v>16554</v>
      </c>
      <c r="B2646" t="s">
        <v>4</v>
      </c>
      <c r="C2646" t="s">
        <v>1554</v>
      </c>
      <c r="D2646" t="str">
        <f t="shared" si="183"/>
        <v/>
      </c>
      <c r="E2646" t="s">
        <v>1555</v>
      </c>
      <c r="F2646" t="str">
        <f t="shared" si="182"/>
        <v>8708053</v>
      </c>
    </row>
    <row r="2647" spans="1:8" hidden="1" x14ac:dyDescent="0.25">
      <c r="A2647">
        <v>17251</v>
      </c>
      <c r="B2647" t="s">
        <v>4</v>
      </c>
      <c r="C2647" t="s">
        <v>2061</v>
      </c>
      <c r="E2647" t="s">
        <v>2062</v>
      </c>
      <c r="F2647" t="str">
        <f t="shared" si="182"/>
        <v>8708054</v>
      </c>
    </row>
    <row r="2648" spans="1:8" hidden="1" x14ac:dyDescent="0.25">
      <c r="A2648">
        <v>20617</v>
      </c>
      <c r="B2648" t="s">
        <v>4</v>
      </c>
      <c r="C2648" t="s">
        <v>5991</v>
      </c>
      <c r="D2648" t="str">
        <f t="shared" ref="D2648:D2711" si="184">IF(RIGHT(LEFT(C2648,9),2)="##","",RIGHT(LEFT(C2648,10),2))</f>
        <v/>
      </c>
      <c r="E2648" t="s">
        <v>5992</v>
      </c>
      <c r="F2648" t="str">
        <f t="shared" si="182"/>
        <v>8708045</v>
      </c>
    </row>
    <row r="2649" spans="1:8" hidden="1" x14ac:dyDescent="0.25">
      <c r="A2649">
        <v>20173</v>
      </c>
      <c r="B2649" t="s">
        <v>4</v>
      </c>
      <c r="C2649" t="s">
        <v>5611</v>
      </c>
      <c r="D2649" t="str">
        <f t="shared" si="184"/>
        <v/>
      </c>
      <c r="E2649" t="s">
        <v>5612</v>
      </c>
      <c r="F2649" t="str">
        <f t="shared" si="182"/>
        <v>8520513</v>
      </c>
    </row>
    <row r="2650" spans="1:8" hidden="1" x14ac:dyDescent="0.25">
      <c r="A2650">
        <v>16550</v>
      </c>
      <c r="B2650" t="s">
        <v>4</v>
      </c>
      <c r="C2650" t="s">
        <v>1552</v>
      </c>
      <c r="D2650" t="str">
        <f t="shared" si="184"/>
        <v/>
      </c>
      <c r="E2650" t="s">
        <v>1553</v>
      </c>
      <c r="F2650" t="str">
        <f t="shared" si="182"/>
        <v>8708211</v>
      </c>
    </row>
    <row r="2651" spans="1:8" hidden="1" x14ac:dyDescent="0.25">
      <c r="A2651">
        <v>15259</v>
      </c>
      <c r="B2651" t="s">
        <v>4</v>
      </c>
      <c r="C2651" t="s">
        <v>719</v>
      </c>
      <c r="D2651" t="str">
        <f t="shared" si="184"/>
        <v/>
      </c>
      <c r="E2651" t="s">
        <v>720</v>
      </c>
      <c r="F2651" t="str">
        <f t="shared" si="182"/>
        <v>8703699</v>
      </c>
    </row>
    <row r="2652" spans="1:8" hidden="1" x14ac:dyDescent="0.25">
      <c r="A2652">
        <v>21029</v>
      </c>
      <c r="B2652" t="s">
        <v>4</v>
      </c>
      <c r="C2652" t="s">
        <v>6431</v>
      </c>
      <c r="D2652" t="str">
        <f t="shared" si="184"/>
        <v/>
      </c>
      <c r="E2652" t="s">
        <v>6432</v>
      </c>
      <c r="F2652" t="str">
        <f t="shared" si="182"/>
        <v>8703779</v>
      </c>
    </row>
    <row r="2653" spans="1:8" hidden="1" x14ac:dyDescent="0.25">
      <c r="A2653">
        <v>16029</v>
      </c>
      <c r="B2653" t="s">
        <v>4</v>
      </c>
      <c r="C2653" t="s">
        <v>1260</v>
      </c>
      <c r="D2653" t="str">
        <f t="shared" si="184"/>
        <v/>
      </c>
      <c r="E2653" t="s">
        <v>1261</v>
      </c>
      <c r="F2653" t="str">
        <f t="shared" si="182"/>
        <v>8703553</v>
      </c>
    </row>
    <row r="2654" spans="1:8" hidden="1" x14ac:dyDescent="0.25">
      <c r="A2654">
        <v>15319</v>
      </c>
      <c r="B2654" t="s">
        <v>4</v>
      </c>
      <c r="C2654" t="s">
        <v>747</v>
      </c>
      <c r="D2654" t="str">
        <f t="shared" si="184"/>
        <v/>
      </c>
      <c r="E2654" t="s">
        <v>748</v>
      </c>
      <c r="F2654" t="str">
        <f t="shared" si="182"/>
        <v>8703017</v>
      </c>
      <c r="H2654">
        <v>2</v>
      </c>
    </row>
    <row r="2655" spans="1:8" hidden="1" x14ac:dyDescent="0.25">
      <c r="A2655">
        <v>15909</v>
      </c>
      <c r="B2655" t="s">
        <v>4</v>
      </c>
      <c r="C2655" t="s">
        <v>1196</v>
      </c>
      <c r="D2655" t="str">
        <f t="shared" si="184"/>
        <v/>
      </c>
      <c r="E2655" t="s">
        <v>1197</v>
      </c>
      <c r="F2655" t="str">
        <f t="shared" si="182"/>
        <v>8703641</v>
      </c>
    </row>
    <row r="2656" spans="1:8" hidden="1" x14ac:dyDescent="0.25">
      <c r="A2656">
        <v>15904</v>
      </c>
      <c r="B2656" t="s">
        <v>4</v>
      </c>
      <c r="C2656" t="s">
        <v>1194</v>
      </c>
      <c r="D2656" t="str">
        <f t="shared" si="184"/>
        <v/>
      </c>
      <c r="E2656" t="s">
        <v>1195</v>
      </c>
      <c r="F2656" t="str">
        <f t="shared" si="182"/>
        <v>8703110</v>
      </c>
    </row>
    <row r="2657" spans="1:6" hidden="1" x14ac:dyDescent="0.25">
      <c r="A2657">
        <v>15913</v>
      </c>
      <c r="B2657" t="s">
        <v>4</v>
      </c>
      <c r="C2657" t="s">
        <v>1198</v>
      </c>
      <c r="D2657" t="str">
        <f t="shared" si="184"/>
        <v/>
      </c>
      <c r="E2657" t="s">
        <v>1199</v>
      </c>
      <c r="F2657" t="str">
        <f t="shared" si="182"/>
        <v>8703376</v>
      </c>
    </row>
    <row r="2658" spans="1:6" hidden="1" x14ac:dyDescent="0.25">
      <c r="A2658">
        <v>16822</v>
      </c>
      <c r="B2658" t="s">
        <v>4</v>
      </c>
      <c r="C2658" t="s">
        <v>1734</v>
      </c>
      <c r="D2658" t="str">
        <f t="shared" si="184"/>
        <v/>
      </c>
      <c r="E2658" t="s">
        <v>1735</v>
      </c>
      <c r="F2658" t="str">
        <f t="shared" si="182"/>
        <v>8703162</v>
      </c>
    </row>
    <row r="2659" spans="1:6" hidden="1" x14ac:dyDescent="0.25">
      <c r="A2659">
        <v>20684</v>
      </c>
      <c r="B2659" t="s">
        <v>4</v>
      </c>
      <c r="C2659" t="s">
        <v>6037</v>
      </c>
      <c r="D2659" t="str">
        <f t="shared" si="184"/>
        <v/>
      </c>
      <c r="E2659" t="s">
        <v>6038</v>
      </c>
      <c r="F2659" t="str">
        <f t="shared" si="182"/>
        <v>8703665</v>
      </c>
    </row>
    <row r="2660" spans="1:6" hidden="1" x14ac:dyDescent="0.25">
      <c r="A2660">
        <v>19369</v>
      </c>
      <c r="B2660" t="s">
        <v>4</v>
      </c>
      <c r="C2660" t="s">
        <v>4641</v>
      </c>
      <c r="D2660" t="str">
        <f t="shared" si="184"/>
        <v/>
      </c>
      <c r="E2660" t="s">
        <v>4642</v>
      </c>
      <c r="F2660" t="str">
        <f t="shared" si="182"/>
        <v>8708196</v>
      </c>
    </row>
    <row r="2661" spans="1:6" hidden="1" x14ac:dyDescent="0.25">
      <c r="A2661">
        <v>17300</v>
      </c>
      <c r="B2661" t="s">
        <v>4</v>
      </c>
      <c r="C2661" t="s">
        <v>2077</v>
      </c>
      <c r="D2661" t="str">
        <f t="shared" si="184"/>
        <v/>
      </c>
      <c r="E2661" t="s">
        <v>2078</v>
      </c>
      <c r="F2661" t="str">
        <f t="shared" si="182"/>
        <v>8703252</v>
      </c>
    </row>
    <row r="2662" spans="1:6" hidden="1" x14ac:dyDescent="0.25">
      <c r="A2662">
        <v>16790</v>
      </c>
      <c r="B2662" t="s">
        <v>4</v>
      </c>
      <c r="C2662" t="s">
        <v>1712</v>
      </c>
      <c r="D2662" t="str">
        <f t="shared" si="184"/>
        <v/>
      </c>
      <c r="E2662" t="s">
        <v>1713</v>
      </c>
      <c r="F2662" t="str">
        <f t="shared" si="182"/>
        <v>8703200</v>
      </c>
    </row>
    <row r="2663" spans="1:6" hidden="1" x14ac:dyDescent="0.25">
      <c r="A2663">
        <v>19973</v>
      </c>
      <c r="B2663" t="s">
        <v>4</v>
      </c>
      <c r="C2663" t="s">
        <v>5371</v>
      </c>
      <c r="D2663" t="str">
        <f t="shared" si="184"/>
        <v/>
      </c>
      <c r="E2663" t="s">
        <v>5372</v>
      </c>
      <c r="F2663" t="str">
        <f t="shared" si="182"/>
        <v>8708046</v>
      </c>
    </row>
    <row r="2664" spans="1:6" hidden="1" x14ac:dyDescent="0.25">
      <c r="A2664">
        <v>19968</v>
      </c>
      <c r="B2664" t="s">
        <v>4</v>
      </c>
      <c r="C2664" t="s">
        <v>5369</v>
      </c>
      <c r="D2664" t="str">
        <f t="shared" si="184"/>
        <v/>
      </c>
      <c r="E2664" t="s">
        <v>5370</v>
      </c>
      <c r="F2664" t="str">
        <f t="shared" si="182"/>
        <v>8708048</v>
      </c>
    </row>
    <row r="2665" spans="1:6" hidden="1" x14ac:dyDescent="0.25">
      <c r="A2665">
        <v>19978</v>
      </c>
      <c r="B2665" t="s">
        <v>4</v>
      </c>
      <c r="C2665" t="s">
        <v>5373</v>
      </c>
      <c r="D2665" t="str">
        <f t="shared" si="184"/>
        <v/>
      </c>
      <c r="E2665" t="s">
        <v>5374</v>
      </c>
      <c r="F2665" t="str">
        <f t="shared" si="182"/>
        <v>8708047</v>
      </c>
    </row>
    <row r="2666" spans="1:6" hidden="1" x14ac:dyDescent="0.25">
      <c r="A2666">
        <v>16532</v>
      </c>
      <c r="B2666" t="s">
        <v>4</v>
      </c>
      <c r="C2666" t="s">
        <v>1548</v>
      </c>
      <c r="D2666" t="str">
        <f t="shared" si="184"/>
        <v/>
      </c>
      <c r="E2666" t="s">
        <v>1549</v>
      </c>
      <c r="F2666" t="str">
        <f t="shared" si="182"/>
        <v>8708049</v>
      </c>
    </row>
    <row r="2667" spans="1:6" hidden="1" x14ac:dyDescent="0.25">
      <c r="A2667">
        <v>19983</v>
      </c>
      <c r="B2667" t="s">
        <v>4</v>
      </c>
      <c r="C2667" t="s">
        <v>5375</v>
      </c>
      <c r="D2667" t="str">
        <f t="shared" si="184"/>
        <v/>
      </c>
      <c r="E2667" t="s">
        <v>5376</v>
      </c>
      <c r="F2667" t="str">
        <f t="shared" si="182"/>
        <v>8708044</v>
      </c>
    </row>
    <row r="2668" spans="1:6" hidden="1" x14ac:dyDescent="0.25">
      <c r="A2668">
        <v>15969</v>
      </c>
      <c r="B2668" t="s">
        <v>4</v>
      </c>
      <c r="C2668" t="s">
        <v>1222</v>
      </c>
      <c r="D2668" t="str">
        <f t="shared" si="184"/>
        <v/>
      </c>
      <c r="E2668" t="s">
        <v>1223</v>
      </c>
      <c r="F2668" t="str">
        <f t="shared" si="182"/>
        <v>8703018</v>
      </c>
    </row>
    <row r="2669" spans="1:6" hidden="1" x14ac:dyDescent="0.25">
      <c r="A2669">
        <v>19603</v>
      </c>
      <c r="B2669" t="s">
        <v>4</v>
      </c>
      <c r="C2669" t="s">
        <v>4955</v>
      </c>
      <c r="D2669" t="str">
        <f t="shared" si="184"/>
        <v/>
      </c>
      <c r="E2669" t="s">
        <v>4956</v>
      </c>
      <c r="F2669" t="str">
        <f t="shared" si="182"/>
        <v>8708198</v>
      </c>
    </row>
    <row r="2670" spans="1:6" hidden="1" x14ac:dyDescent="0.25">
      <c r="A2670">
        <v>19375</v>
      </c>
      <c r="B2670" t="s">
        <v>4</v>
      </c>
      <c r="C2670" t="s">
        <v>4643</v>
      </c>
      <c r="D2670" t="str">
        <f t="shared" si="184"/>
        <v/>
      </c>
      <c r="E2670" t="s">
        <v>4644</v>
      </c>
      <c r="F2670" t="str">
        <f t="shared" si="182"/>
        <v>8703197</v>
      </c>
    </row>
    <row r="2671" spans="1:6" hidden="1" x14ac:dyDescent="0.25">
      <c r="A2671">
        <v>15323</v>
      </c>
      <c r="B2671" t="s">
        <v>4</v>
      </c>
      <c r="C2671" t="s">
        <v>749</v>
      </c>
      <c r="D2671" t="str">
        <f t="shared" si="184"/>
        <v/>
      </c>
      <c r="E2671" t="s">
        <v>750</v>
      </c>
      <c r="F2671" t="str">
        <f t="shared" si="182"/>
        <v>8703250</v>
      </c>
    </row>
    <row r="2672" spans="1:6" hidden="1" x14ac:dyDescent="0.25">
      <c r="A2672">
        <v>15289</v>
      </c>
      <c r="B2672" t="s">
        <v>4</v>
      </c>
      <c r="C2672" t="s">
        <v>737</v>
      </c>
      <c r="D2672" t="str">
        <f t="shared" si="184"/>
        <v/>
      </c>
      <c r="E2672" t="s">
        <v>738</v>
      </c>
      <c r="F2672" t="str">
        <f t="shared" si="182"/>
        <v>8521303</v>
      </c>
    </row>
    <row r="2673" spans="1:9" hidden="1" x14ac:dyDescent="0.25">
      <c r="A2673">
        <v>19792</v>
      </c>
      <c r="B2673" t="s">
        <v>4</v>
      </c>
      <c r="C2673" t="s">
        <v>5215</v>
      </c>
      <c r="D2673" t="str">
        <f t="shared" si="184"/>
        <v/>
      </c>
      <c r="E2673" t="s">
        <v>5216</v>
      </c>
      <c r="F2673" t="str">
        <f t="shared" si="182"/>
        <v>8520110</v>
      </c>
    </row>
    <row r="2674" spans="1:9" hidden="1" x14ac:dyDescent="0.25">
      <c r="A2674">
        <v>20570</v>
      </c>
      <c r="B2674" t="s">
        <v>4</v>
      </c>
      <c r="C2674" t="s">
        <v>5953</v>
      </c>
      <c r="D2674" t="str">
        <f t="shared" si="184"/>
        <v/>
      </c>
      <c r="E2674" t="s">
        <v>5954</v>
      </c>
      <c r="F2674" t="str">
        <f t="shared" si="182"/>
        <v>8520813</v>
      </c>
    </row>
    <row r="2675" spans="1:9" hidden="1" x14ac:dyDescent="0.25">
      <c r="A2675">
        <v>16853</v>
      </c>
      <c r="B2675" t="s">
        <v>4</v>
      </c>
      <c r="C2675" t="s">
        <v>1758</v>
      </c>
      <c r="D2675" t="str">
        <f t="shared" si="184"/>
        <v/>
      </c>
      <c r="E2675" t="s">
        <v>1759</v>
      </c>
      <c r="F2675" t="str">
        <f t="shared" si="182"/>
        <v>8521301</v>
      </c>
    </row>
    <row r="2676" spans="1:9" hidden="1" x14ac:dyDescent="0.25">
      <c r="A2676">
        <v>15418</v>
      </c>
      <c r="B2676" t="s">
        <v>4</v>
      </c>
      <c r="C2676" t="s">
        <v>835</v>
      </c>
      <c r="D2676" t="str">
        <f t="shared" si="184"/>
        <v/>
      </c>
      <c r="E2676" t="s">
        <v>836</v>
      </c>
      <c r="F2676" t="str">
        <f t="shared" si="182"/>
        <v>8521302</v>
      </c>
    </row>
    <row r="2677" spans="1:9" hidden="1" x14ac:dyDescent="0.25">
      <c r="A2677">
        <v>16254</v>
      </c>
      <c r="B2677" t="s">
        <v>4</v>
      </c>
      <c r="C2677" t="s">
        <v>1380</v>
      </c>
      <c r="D2677" t="str">
        <f t="shared" si="184"/>
        <v/>
      </c>
      <c r="E2677" t="s">
        <v>1381</v>
      </c>
      <c r="F2677" t="str">
        <f t="shared" si="182"/>
        <v>8520372</v>
      </c>
    </row>
    <row r="2678" spans="1:9" hidden="1" x14ac:dyDescent="0.25">
      <c r="A2678">
        <v>17127</v>
      </c>
      <c r="B2678" t="s">
        <v>4</v>
      </c>
      <c r="C2678" t="s">
        <v>1979</v>
      </c>
      <c r="D2678" t="str">
        <f t="shared" si="184"/>
        <v/>
      </c>
      <c r="E2678" t="s">
        <v>1980</v>
      </c>
      <c r="F2678" t="str">
        <f t="shared" si="182"/>
        <v>8520866</v>
      </c>
    </row>
    <row r="2679" spans="1:9" hidden="1" x14ac:dyDescent="0.25">
      <c r="A2679">
        <v>16259</v>
      </c>
      <c r="B2679" t="s">
        <v>4</v>
      </c>
      <c r="C2679" t="s">
        <v>1382</v>
      </c>
      <c r="D2679" t="str">
        <f t="shared" si="184"/>
        <v/>
      </c>
      <c r="E2679" t="s">
        <v>1383</v>
      </c>
      <c r="F2679" t="str">
        <f t="shared" si="182"/>
        <v>8521305</v>
      </c>
    </row>
    <row r="2680" spans="1:9" ht="15" hidden="1" customHeight="1" x14ac:dyDescent="0.25">
      <c r="A2680">
        <v>15294</v>
      </c>
      <c r="B2680" t="s">
        <v>4</v>
      </c>
      <c r="C2680" t="s">
        <v>739</v>
      </c>
      <c r="D2680" t="str">
        <f t="shared" si="184"/>
        <v/>
      </c>
      <c r="E2680" t="s">
        <v>740</v>
      </c>
      <c r="F2680" t="str">
        <f t="shared" si="182"/>
        <v>8521304</v>
      </c>
    </row>
    <row r="2681" spans="1:9" ht="15" hidden="1" customHeight="1" x14ac:dyDescent="0.25">
      <c r="A2681">
        <v>20195</v>
      </c>
      <c r="B2681" t="s">
        <v>4</v>
      </c>
      <c r="C2681" t="s">
        <v>5631</v>
      </c>
      <c r="D2681" t="str">
        <f t="shared" si="184"/>
        <v/>
      </c>
      <c r="E2681" t="s">
        <v>5632</v>
      </c>
      <c r="F2681" t="str">
        <f t="shared" si="182"/>
        <v>8520209</v>
      </c>
    </row>
    <row r="2682" spans="1:9" ht="15" hidden="1" customHeight="1" x14ac:dyDescent="0.25">
      <c r="A2682">
        <v>15426</v>
      </c>
      <c r="B2682" t="s">
        <v>4</v>
      </c>
      <c r="C2682" t="s">
        <v>837</v>
      </c>
      <c r="D2682" t="str">
        <f t="shared" si="184"/>
        <v/>
      </c>
      <c r="E2682" t="s">
        <v>838</v>
      </c>
      <c r="F2682" t="str">
        <f t="shared" si="182"/>
        <v>8521306</v>
      </c>
    </row>
    <row r="2683" spans="1:9" ht="15" hidden="1" customHeight="1" x14ac:dyDescent="0.25">
      <c r="A2683">
        <v>20546</v>
      </c>
      <c r="B2683" t="s">
        <v>4</v>
      </c>
      <c r="C2683" t="s">
        <v>5947</v>
      </c>
      <c r="D2683" t="str">
        <f t="shared" si="184"/>
        <v/>
      </c>
      <c r="E2683" t="s">
        <v>5948</v>
      </c>
      <c r="F2683" t="str">
        <f t="shared" si="182"/>
        <v>8520102</v>
      </c>
    </row>
    <row r="2684" spans="1:9" ht="15" hidden="1" customHeight="1" x14ac:dyDescent="0.25">
      <c r="A2684">
        <v>18921</v>
      </c>
      <c r="B2684" t="s">
        <v>4</v>
      </c>
      <c r="C2684" t="s">
        <v>4075</v>
      </c>
      <c r="D2684" t="str">
        <f t="shared" si="184"/>
        <v/>
      </c>
      <c r="E2684" t="s">
        <v>4076</v>
      </c>
      <c r="F2684" t="str">
        <f t="shared" si="182"/>
        <v>8505075</v>
      </c>
      <c r="H2684">
        <v>1</v>
      </c>
    </row>
    <row r="2685" spans="1:9" ht="15" hidden="1" customHeight="1" x14ac:dyDescent="0.25">
      <c r="A2685">
        <v>16400</v>
      </c>
      <c r="B2685" t="s">
        <v>4</v>
      </c>
      <c r="C2685" t="s">
        <v>1456</v>
      </c>
      <c r="D2685" t="str">
        <f t="shared" si="184"/>
        <v/>
      </c>
      <c r="E2685" t="s">
        <v>1457</v>
      </c>
      <c r="F2685" t="str">
        <f t="shared" si="182"/>
        <v>7707547</v>
      </c>
      <c r="H2685">
        <v>1</v>
      </c>
    </row>
    <row r="2686" spans="1:9" ht="15" customHeight="1" x14ac:dyDescent="0.25">
      <c r="A2686">
        <v>14898</v>
      </c>
      <c r="B2686" t="s">
        <v>7</v>
      </c>
      <c r="C2686" t="s">
        <v>281</v>
      </c>
      <c r="D2686" t="str">
        <f t="shared" si="184"/>
        <v/>
      </c>
      <c r="E2686" t="s">
        <v>282</v>
      </c>
      <c r="F2686" t="str">
        <f t="shared" si="182"/>
        <v>1130495</v>
      </c>
      <c r="H2686">
        <v>3</v>
      </c>
      <c r="I2686">
        <v>1</v>
      </c>
    </row>
    <row r="2687" spans="1:9" ht="15" hidden="1" customHeight="1" x14ac:dyDescent="0.25">
      <c r="A2687">
        <v>14906</v>
      </c>
      <c r="B2687" t="s">
        <v>10</v>
      </c>
      <c r="C2687" t="s">
        <v>289</v>
      </c>
      <c r="D2687" t="str">
        <f t="shared" si="184"/>
        <v/>
      </c>
      <c r="E2687" t="s">
        <v>290</v>
      </c>
      <c r="F2687" t="str">
        <f t="shared" si="182"/>
        <v>1130495</v>
      </c>
    </row>
    <row r="2688" spans="1:9" ht="15" hidden="1" customHeight="1" x14ac:dyDescent="0.25">
      <c r="A2688">
        <v>14905</v>
      </c>
      <c r="B2688" t="s">
        <v>10</v>
      </c>
      <c r="C2688" t="s">
        <v>287</v>
      </c>
      <c r="D2688" t="str">
        <f t="shared" si="184"/>
        <v/>
      </c>
      <c r="E2688" t="s">
        <v>288</v>
      </c>
      <c r="F2688" t="str">
        <f t="shared" si="182"/>
        <v>1130495</v>
      </c>
    </row>
    <row r="2689" spans="1:9" ht="15" hidden="1" customHeight="1" x14ac:dyDescent="0.25">
      <c r="A2689">
        <v>14904</v>
      </c>
      <c r="B2689" t="s">
        <v>10</v>
      </c>
      <c r="C2689" t="s">
        <v>285</v>
      </c>
      <c r="D2689" t="str">
        <f t="shared" si="184"/>
        <v/>
      </c>
      <c r="E2689" t="s">
        <v>286</v>
      </c>
      <c r="F2689" t="str">
        <f t="shared" ref="F2689:F2719" si="185">LEFT(C2689,7)</f>
        <v>1130495</v>
      </c>
    </row>
    <row r="2690" spans="1:9" ht="15" hidden="1" customHeight="1" x14ac:dyDescent="0.25">
      <c r="A2690">
        <v>14907</v>
      </c>
      <c r="B2690" t="s">
        <v>10</v>
      </c>
      <c r="C2690" t="s">
        <v>291</v>
      </c>
      <c r="D2690" t="str">
        <f t="shared" si="184"/>
        <v/>
      </c>
      <c r="E2690" t="s">
        <v>292</v>
      </c>
      <c r="F2690" t="str">
        <f t="shared" si="185"/>
        <v>1130495</v>
      </c>
    </row>
    <row r="2691" spans="1:9" ht="15" hidden="1" customHeight="1" x14ac:dyDescent="0.25">
      <c r="A2691">
        <v>14899</v>
      </c>
      <c r="B2691" t="s">
        <v>10</v>
      </c>
      <c r="C2691" t="s">
        <v>283</v>
      </c>
      <c r="D2691" t="str">
        <f t="shared" si="184"/>
        <v/>
      </c>
      <c r="E2691" t="s">
        <v>284</v>
      </c>
      <c r="F2691" t="str">
        <f t="shared" si="185"/>
        <v>1130495</v>
      </c>
    </row>
    <row r="2692" spans="1:9" ht="15" hidden="1" customHeight="1" x14ac:dyDescent="0.25">
      <c r="A2692">
        <v>14908</v>
      </c>
      <c r="B2692" t="s">
        <v>10</v>
      </c>
      <c r="C2692" t="s">
        <v>293</v>
      </c>
      <c r="D2692" t="str">
        <f t="shared" si="184"/>
        <v/>
      </c>
      <c r="E2692" t="s">
        <v>294</v>
      </c>
      <c r="F2692" t="str">
        <f t="shared" si="185"/>
        <v>1130495</v>
      </c>
    </row>
    <row r="2693" spans="1:9" ht="15" customHeight="1" x14ac:dyDescent="0.25">
      <c r="A2693">
        <v>19100</v>
      </c>
      <c r="B2693" t="s">
        <v>7</v>
      </c>
      <c r="C2693" t="s">
        <v>4290</v>
      </c>
      <c r="D2693" t="str">
        <f t="shared" si="184"/>
        <v/>
      </c>
      <c r="E2693" t="s">
        <v>4291</v>
      </c>
      <c r="F2693" t="str">
        <f t="shared" si="185"/>
        <v>1130008</v>
      </c>
      <c r="H2693">
        <v>2</v>
      </c>
      <c r="I2693">
        <v>1</v>
      </c>
    </row>
    <row r="2694" spans="1:9" ht="15" hidden="1" customHeight="1" x14ac:dyDescent="0.25">
      <c r="A2694">
        <v>19111</v>
      </c>
      <c r="B2694" t="s">
        <v>10</v>
      </c>
      <c r="C2694" t="s">
        <v>4306</v>
      </c>
      <c r="D2694" t="str">
        <f t="shared" si="184"/>
        <v/>
      </c>
      <c r="E2694" t="s">
        <v>4307</v>
      </c>
      <c r="F2694" t="str">
        <f t="shared" si="185"/>
        <v>1130008</v>
      </c>
    </row>
    <row r="2695" spans="1:9" ht="15" hidden="1" customHeight="1" x14ac:dyDescent="0.25">
      <c r="A2695">
        <v>19108</v>
      </c>
      <c r="B2695" t="s">
        <v>10</v>
      </c>
      <c r="C2695" t="s">
        <v>4300</v>
      </c>
      <c r="D2695" t="str">
        <f t="shared" si="184"/>
        <v/>
      </c>
      <c r="E2695" t="s">
        <v>4301</v>
      </c>
      <c r="F2695" t="str">
        <f t="shared" si="185"/>
        <v>1130008</v>
      </c>
    </row>
    <row r="2696" spans="1:9" ht="15" hidden="1" customHeight="1" x14ac:dyDescent="0.25">
      <c r="A2696">
        <v>19107</v>
      </c>
      <c r="B2696" t="s">
        <v>10</v>
      </c>
      <c r="C2696" t="s">
        <v>4298</v>
      </c>
      <c r="D2696" t="str">
        <f t="shared" si="184"/>
        <v/>
      </c>
      <c r="E2696" t="s">
        <v>4299</v>
      </c>
      <c r="F2696" t="str">
        <f t="shared" si="185"/>
        <v>1130008</v>
      </c>
    </row>
    <row r="2697" spans="1:9" ht="15" hidden="1" customHeight="1" x14ac:dyDescent="0.25">
      <c r="A2697">
        <v>19106</v>
      </c>
      <c r="B2697" t="s">
        <v>10</v>
      </c>
      <c r="C2697" t="s">
        <v>4296</v>
      </c>
      <c r="D2697" t="str">
        <f t="shared" si="184"/>
        <v/>
      </c>
      <c r="E2697" t="s">
        <v>4297</v>
      </c>
      <c r="F2697" t="str">
        <f t="shared" si="185"/>
        <v>1130008</v>
      </c>
    </row>
    <row r="2698" spans="1:9" ht="15" hidden="1" customHeight="1" x14ac:dyDescent="0.25">
      <c r="A2698">
        <v>19109</v>
      </c>
      <c r="B2698" t="s">
        <v>10</v>
      </c>
      <c r="C2698" t="s">
        <v>4302</v>
      </c>
      <c r="D2698" t="str">
        <f t="shared" si="184"/>
        <v/>
      </c>
      <c r="E2698" t="s">
        <v>4303</v>
      </c>
      <c r="F2698" t="str">
        <f t="shared" si="185"/>
        <v>1130008</v>
      </c>
    </row>
    <row r="2699" spans="1:9" ht="15" hidden="1" customHeight="1" x14ac:dyDescent="0.25">
      <c r="A2699">
        <v>19105</v>
      </c>
      <c r="B2699" t="s">
        <v>10</v>
      </c>
      <c r="C2699" t="s">
        <v>4294</v>
      </c>
      <c r="D2699" t="str">
        <f t="shared" si="184"/>
        <v/>
      </c>
      <c r="E2699" t="s">
        <v>4295</v>
      </c>
      <c r="F2699" t="str">
        <f t="shared" si="185"/>
        <v>1130008</v>
      </c>
    </row>
    <row r="2700" spans="1:9" ht="15" hidden="1" customHeight="1" x14ac:dyDescent="0.25">
      <c r="A2700">
        <v>19110</v>
      </c>
      <c r="B2700" t="s">
        <v>10</v>
      </c>
      <c r="C2700" t="s">
        <v>4304</v>
      </c>
      <c r="D2700" t="str">
        <f t="shared" si="184"/>
        <v/>
      </c>
      <c r="E2700" t="s">
        <v>4305</v>
      </c>
      <c r="F2700" t="str">
        <f t="shared" si="185"/>
        <v>1130008</v>
      </c>
    </row>
    <row r="2701" spans="1:9" ht="15" hidden="1" customHeight="1" x14ac:dyDescent="0.25">
      <c r="A2701">
        <v>19101</v>
      </c>
      <c r="B2701" t="s">
        <v>10</v>
      </c>
      <c r="C2701" t="s">
        <v>4292</v>
      </c>
      <c r="D2701" t="str">
        <f t="shared" si="184"/>
        <v/>
      </c>
      <c r="E2701" t="s">
        <v>4293</v>
      </c>
      <c r="F2701" t="str">
        <f t="shared" si="185"/>
        <v>1130008</v>
      </c>
    </row>
    <row r="2702" spans="1:9" ht="15" customHeight="1" x14ac:dyDescent="0.25">
      <c r="A2702">
        <v>19089</v>
      </c>
      <c r="B2702" t="s">
        <v>7</v>
      </c>
      <c r="C2702" t="s">
        <v>4274</v>
      </c>
      <c r="D2702" t="str">
        <f t="shared" si="184"/>
        <v/>
      </c>
      <c r="E2702" t="s">
        <v>4275</v>
      </c>
      <c r="F2702" t="str">
        <f t="shared" si="185"/>
        <v>1130009</v>
      </c>
      <c r="H2702">
        <v>2</v>
      </c>
      <c r="I2702">
        <v>1</v>
      </c>
    </row>
    <row r="2703" spans="1:9" ht="15" hidden="1" customHeight="1" x14ac:dyDescent="0.25">
      <c r="A2703">
        <v>19097</v>
      </c>
      <c r="B2703" t="s">
        <v>10</v>
      </c>
      <c r="C2703" t="s">
        <v>4284</v>
      </c>
      <c r="D2703" t="str">
        <f t="shared" si="184"/>
        <v/>
      </c>
      <c r="E2703" t="s">
        <v>4285</v>
      </c>
      <c r="F2703" t="str">
        <f t="shared" si="185"/>
        <v>1130009</v>
      </c>
    </row>
    <row r="2704" spans="1:9" hidden="1" x14ac:dyDescent="0.25">
      <c r="A2704">
        <v>19096</v>
      </c>
      <c r="B2704" t="s">
        <v>10</v>
      </c>
      <c r="C2704" t="s">
        <v>4282</v>
      </c>
      <c r="D2704" t="str">
        <f t="shared" si="184"/>
        <v/>
      </c>
      <c r="E2704" t="s">
        <v>4283</v>
      </c>
      <c r="F2704" t="str">
        <f t="shared" si="185"/>
        <v>1130009</v>
      </c>
    </row>
    <row r="2705" spans="1:8" ht="15" hidden="1" customHeight="1" x14ac:dyDescent="0.25">
      <c r="A2705">
        <v>19095</v>
      </c>
      <c r="B2705" t="s">
        <v>10</v>
      </c>
      <c r="C2705" t="s">
        <v>4280</v>
      </c>
      <c r="D2705" t="str">
        <f t="shared" si="184"/>
        <v/>
      </c>
      <c r="E2705" t="s">
        <v>4281</v>
      </c>
      <c r="F2705" t="str">
        <f t="shared" si="185"/>
        <v>1130009</v>
      </c>
    </row>
    <row r="2706" spans="1:8" ht="15" hidden="1" customHeight="1" x14ac:dyDescent="0.25">
      <c r="A2706">
        <v>19098</v>
      </c>
      <c r="B2706" t="s">
        <v>10</v>
      </c>
      <c r="C2706" t="s">
        <v>4286</v>
      </c>
      <c r="D2706" t="str">
        <f t="shared" si="184"/>
        <v/>
      </c>
      <c r="E2706" t="s">
        <v>4287</v>
      </c>
      <c r="F2706" t="str">
        <f t="shared" si="185"/>
        <v>1130009</v>
      </c>
    </row>
    <row r="2707" spans="1:8" ht="15" hidden="1" customHeight="1" x14ac:dyDescent="0.25">
      <c r="A2707">
        <v>19094</v>
      </c>
      <c r="B2707" t="s">
        <v>10</v>
      </c>
      <c r="C2707" t="s">
        <v>4278</v>
      </c>
      <c r="D2707" t="str">
        <f t="shared" si="184"/>
        <v/>
      </c>
      <c r="E2707" t="s">
        <v>4279</v>
      </c>
      <c r="F2707" t="str">
        <f t="shared" si="185"/>
        <v>1130009</v>
      </c>
    </row>
    <row r="2708" spans="1:8" ht="15" hidden="1" customHeight="1" x14ac:dyDescent="0.25">
      <c r="A2708">
        <v>19099</v>
      </c>
      <c r="B2708" t="s">
        <v>10</v>
      </c>
      <c r="C2708" t="s">
        <v>4288</v>
      </c>
      <c r="D2708" t="str">
        <f t="shared" si="184"/>
        <v/>
      </c>
      <c r="E2708" t="s">
        <v>4289</v>
      </c>
      <c r="F2708" t="str">
        <f t="shared" si="185"/>
        <v>1130009</v>
      </c>
    </row>
    <row r="2709" spans="1:8" ht="15" hidden="1" customHeight="1" x14ac:dyDescent="0.25">
      <c r="A2709">
        <v>19090</v>
      </c>
      <c r="B2709" t="s">
        <v>10</v>
      </c>
      <c r="C2709" t="s">
        <v>4276</v>
      </c>
      <c r="D2709" t="str">
        <f t="shared" si="184"/>
        <v/>
      </c>
      <c r="E2709" t="s">
        <v>4277</v>
      </c>
      <c r="F2709" t="str">
        <f t="shared" si="185"/>
        <v>1130009</v>
      </c>
    </row>
    <row r="2710" spans="1:8" ht="15" hidden="1" customHeight="1" x14ac:dyDescent="0.25">
      <c r="A2710">
        <v>15337</v>
      </c>
      <c r="B2710" t="s">
        <v>4</v>
      </c>
      <c r="C2710" t="s">
        <v>755</v>
      </c>
      <c r="D2710" t="str">
        <f t="shared" si="184"/>
        <v/>
      </c>
      <c r="E2710" t="s">
        <v>756</v>
      </c>
      <c r="F2710" t="str">
        <f t="shared" si="185"/>
        <v>8503984</v>
      </c>
      <c r="H2710">
        <v>1</v>
      </c>
    </row>
    <row r="2711" spans="1:8" ht="15" customHeight="1" x14ac:dyDescent="0.25">
      <c r="A2711">
        <v>20842</v>
      </c>
      <c r="B2711" t="s">
        <v>7</v>
      </c>
      <c r="C2711" t="s">
        <v>6183</v>
      </c>
      <c r="D2711" t="str">
        <f t="shared" si="184"/>
        <v/>
      </c>
      <c r="E2711" t="s">
        <v>6184</v>
      </c>
      <c r="F2711" t="str">
        <f t="shared" si="185"/>
        <v>1120455</v>
      </c>
      <c r="H2711">
        <v>3</v>
      </c>
    </row>
    <row r="2712" spans="1:8" ht="15" hidden="1" customHeight="1" x14ac:dyDescent="0.25">
      <c r="A2712">
        <v>20843</v>
      </c>
      <c r="B2712" t="s">
        <v>10</v>
      </c>
      <c r="C2712" t="s">
        <v>6185</v>
      </c>
      <c r="D2712" t="str">
        <f t="shared" ref="D2712:D2775" si="186">IF(RIGHT(LEFT(C2712,9),2)="##","",RIGHT(LEFT(C2712,10),2))</f>
        <v/>
      </c>
      <c r="E2712" t="s">
        <v>6186</v>
      </c>
      <c r="F2712" t="str">
        <f t="shared" si="185"/>
        <v>1120455</v>
      </c>
    </row>
    <row r="2713" spans="1:8" ht="15" hidden="1" customHeight="1" x14ac:dyDescent="0.25">
      <c r="A2713">
        <v>20848</v>
      </c>
      <c r="B2713" t="s">
        <v>10</v>
      </c>
      <c r="C2713" t="s">
        <v>6187</v>
      </c>
      <c r="D2713" t="str">
        <f t="shared" si="186"/>
        <v/>
      </c>
      <c r="E2713" t="s">
        <v>6188</v>
      </c>
      <c r="F2713" t="str">
        <f t="shared" si="185"/>
        <v>1120455</v>
      </c>
    </row>
    <row r="2714" spans="1:8" ht="15" hidden="1" customHeight="1" x14ac:dyDescent="0.25">
      <c r="A2714">
        <v>20849</v>
      </c>
      <c r="B2714" t="s">
        <v>10</v>
      </c>
      <c r="C2714" t="s">
        <v>6189</v>
      </c>
      <c r="D2714" t="str">
        <f t="shared" si="186"/>
        <v/>
      </c>
      <c r="E2714" t="s">
        <v>6190</v>
      </c>
      <c r="F2714" t="str">
        <f t="shared" si="185"/>
        <v>1120455</v>
      </c>
    </row>
    <row r="2715" spans="1:8" ht="15" hidden="1" customHeight="1" x14ac:dyDescent="0.25">
      <c r="A2715">
        <v>20850</v>
      </c>
      <c r="B2715" t="s">
        <v>10</v>
      </c>
      <c r="C2715" t="s">
        <v>6191</v>
      </c>
      <c r="D2715" t="str">
        <f t="shared" si="186"/>
        <v/>
      </c>
      <c r="E2715" t="s">
        <v>6192</v>
      </c>
      <c r="F2715" t="str">
        <f t="shared" si="185"/>
        <v>1120455</v>
      </c>
    </row>
    <row r="2716" spans="1:8" ht="15" hidden="1" customHeight="1" x14ac:dyDescent="0.25">
      <c r="A2716">
        <v>20851</v>
      </c>
      <c r="B2716" t="s">
        <v>10</v>
      </c>
      <c r="C2716" t="s">
        <v>6193</v>
      </c>
      <c r="D2716" t="str">
        <f t="shared" si="186"/>
        <v/>
      </c>
      <c r="E2716" t="s">
        <v>6194</v>
      </c>
      <c r="F2716" t="str">
        <f t="shared" si="185"/>
        <v>1120455</v>
      </c>
    </row>
    <row r="2717" spans="1:8" ht="15" hidden="1" customHeight="1" x14ac:dyDescent="0.25">
      <c r="A2717">
        <v>20852</v>
      </c>
      <c r="B2717" t="s">
        <v>10</v>
      </c>
      <c r="C2717" t="s">
        <v>6195</v>
      </c>
      <c r="D2717" t="str">
        <f t="shared" si="186"/>
        <v/>
      </c>
      <c r="E2717" t="s">
        <v>6196</v>
      </c>
      <c r="F2717" t="str">
        <f t="shared" si="185"/>
        <v>1120455</v>
      </c>
    </row>
    <row r="2718" spans="1:8" ht="15" hidden="1" customHeight="1" x14ac:dyDescent="0.25">
      <c r="A2718">
        <v>20853</v>
      </c>
      <c r="B2718" t="s">
        <v>10</v>
      </c>
      <c r="C2718" t="s">
        <v>6197</v>
      </c>
      <c r="D2718" t="str">
        <f t="shared" si="186"/>
        <v/>
      </c>
      <c r="E2718" t="s">
        <v>6198</v>
      </c>
      <c r="F2718" t="str">
        <f t="shared" si="185"/>
        <v>1120455</v>
      </c>
    </row>
    <row r="2719" spans="1:8" ht="15" hidden="1" customHeight="1" x14ac:dyDescent="0.25">
      <c r="A2719">
        <v>20854</v>
      </c>
      <c r="B2719" t="s">
        <v>10</v>
      </c>
      <c r="C2719" t="s">
        <v>6199</v>
      </c>
      <c r="D2719" t="str">
        <f t="shared" si="186"/>
        <v/>
      </c>
      <c r="E2719" t="s">
        <v>6200</v>
      </c>
      <c r="F2719" t="str">
        <f t="shared" si="185"/>
        <v>1120455</v>
      </c>
    </row>
    <row r="2720" spans="1:8" ht="15" customHeight="1" x14ac:dyDescent="0.25">
      <c r="A2720">
        <v>20855</v>
      </c>
      <c r="B2720" t="s">
        <v>7</v>
      </c>
      <c r="C2720" t="s">
        <v>6201</v>
      </c>
      <c r="D2720" t="str">
        <f t="shared" si="186"/>
        <v/>
      </c>
      <c r="E2720" t="s">
        <v>6202</v>
      </c>
      <c r="F2720" t="s">
        <v>6932</v>
      </c>
      <c r="H2720">
        <v>3</v>
      </c>
    </row>
    <row r="2721" spans="1:9" ht="15" hidden="1" customHeight="1" x14ac:dyDescent="0.25">
      <c r="A2721">
        <v>20856</v>
      </c>
      <c r="B2721" t="s">
        <v>10</v>
      </c>
      <c r="C2721" t="s">
        <v>6203</v>
      </c>
      <c r="D2721" t="str">
        <f t="shared" si="186"/>
        <v/>
      </c>
      <c r="E2721" t="s">
        <v>6204</v>
      </c>
      <c r="F2721" t="str">
        <f t="shared" ref="F2721:F2732" si="187">LEFT(C2721,7)</f>
        <v>1123456</v>
      </c>
    </row>
    <row r="2722" spans="1:9" ht="15" hidden="1" customHeight="1" x14ac:dyDescent="0.25">
      <c r="A2722">
        <v>20857</v>
      </c>
      <c r="B2722" t="s">
        <v>10</v>
      </c>
      <c r="C2722" t="s">
        <v>6205</v>
      </c>
      <c r="D2722" t="str">
        <f t="shared" si="186"/>
        <v/>
      </c>
      <c r="E2722" t="s">
        <v>6206</v>
      </c>
      <c r="F2722" t="str">
        <f t="shared" si="187"/>
        <v>1123456</v>
      </c>
    </row>
    <row r="2723" spans="1:9" ht="15" hidden="1" customHeight="1" x14ac:dyDescent="0.25">
      <c r="A2723">
        <v>20858</v>
      </c>
      <c r="B2723" t="s">
        <v>10</v>
      </c>
      <c r="C2723" t="s">
        <v>6207</v>
      </c>
      <c r="D2723" t="str">
        <f t="shared" si="186"/>
        <v/>
      </c>
      <c r="E2723" t="s">
        <v>6208</v>
      </c>
      <c r="F2723" t="str">
        <f t="shared" si="187"/>
        <v>1123456</v>
      </c>
    </row>
    <row r="2724" spans="1:9" ht="15" hidden="1" customHeight="1" x14ac:dyDescent="0.25">
      <c r="A2724">
        <v>18623</v>
      </c>
      <c r="B2724" t="s">
        <v>10</v>
      </c>
      <c r="C2724" t="s">
        <v>3818</v>
      </c>
      <c r="D2724" t="str">
        <f t="shared" si="186"/>
        <v/>
      </c>
      <c r="E2724" t="s">
        <v>3819</v>
      </c>
      <c r="F2724" t="str">
        <f t="shared" si="187"/>
        <v>1120780</v>
      </c>
    </row>
    <row r="2725" spans="1:9" ht="15" hidden="1" customHeight="1" x14ac:dyDescent="0.25">
      <c r="A2725">
        <v>18627</v>
      </c>
      <c r="B2725" t="s">
        <v>10</v>
      </c>
      <c r="C2725" t="s">
        <v>3820</v>
      </c>
      <c r="D2725" t="str">
        <f t="shared" si="186"/>
        <v/>
      </c>
      <c r="E2725" t="s">
        <v>3821</v>
      </c>
      <c r="F2725" t="str">
        <f t="shared" si="187"/>
        <v>1120780</v>
      </c>
    </row>
    <row r="2726" spans="1:9" ht="15" hidden="1" customHeight="1" x14ac:dyDescent="0.25">
      <c r="A2726">
        <v>18628</v>
      </c>
      <c r="B2726" t="s">
        <v>10</v>
      </c>
      <c r="C2726" t="s">
        <v>3822</v>
      </c>
      <c r="D2726" t="str">
        <f t="shared" si="186"/>
        <v/>
      </c>
      <c r="E2726" t="s">
        <v>3823</v>
      </c>
      <c r="F2726" t="str">
        <f t="shared" si="187"/>
        <v>1120780</v>
      </c>
    </row>
    <row r="2727" spans="1:9" ht="15" hidden="1" customHeight="1" x14ac:dyDescent="0.25">
      <c r="A2727">
        <v>18629</v>
      </c>
      <c r="B2727" t="s">
        <v>10</v>
      </c>
      <c r="C2727" t="s">
        <v>3824</v>
      </c>
      <c r="D2727" t="str">
        <f t="shared" si="186"/>
        <v/>
      </c>
      <c r="E2727" t="s">
        <v>3825</v>
      </c>
      <c r="F2727" t="str">
        <f t="shared" si="187"/>
        <v>1120780</v>
      </c>
    </row>
    <row r="2728" spans="1:9" ht="15" hidden="1" customHeight="1" x14ac:dyDescent="0.25">
      <c r="A2728">
        <v>18630</v>
      </c>
      <c r="B2728" t="s">
        <v>10</v>
      </c>
      <c r="C2728" t="s">
        <v>3826</v>
      </c>
      <c r="D2728" t="str">
        <f t="shared" si="186"/>
        <v/>
      </c>
      <c r="E2728" t="s">
        <v>3827</v>
      </c>
      <c r="F2728" t="str">
        <f t="shared" si="187"/>
        <v>1120780</v>
      </c>
    </row>
    <row r="2729" spans="1:9" ht="15" hidden="1" customHeight="1" x14ac:dyDescent="0.25">
      <c r="A2729">
        <v>18631</v>
      </c>
      <c r="B2729" t="s">
        <v>10</v>
      </c>
      <c r="C2729" t="s">
        <v>3828</v>
      </c>
      <c r="D2729" t="str">
        <f t="shared" si="186"/>
        <v/>
      </c>
      <c r="E2729" t="s">
        <v>3829</v>
      </c>
      <c r="F2729" t="str">
        <f t="shared" si="187"/>
        <v>1120780</v>
      </c>
    </row>
    <row r="2730" spans="1:9" ht="15" hidden="1" customHeight="1" x14ac:dyDescent="0.25">
      <c r="A2730">
        <v>18632</v>
      </c>
      <c r="B2730" t="s">
        <v>10</v>
      </c>
      <c r="C2730" t="s">
        <v>3830</v>
      </c>
      <c r="D2730" t="str">
        <f t="shared" si="186"/>
        <v/>
      </c>
      <c r="E2730" t="s">
        <v>3831</v>
      </c>
      <c r="F2730" t="str">
        <f t="shared" si="187"/>
        <v>1120780</v>
      </c>
    </row>
    <row r="2731" spans="1:9" ht="15" hidden="1" customHeight="1" x14ac:dyDescent="0.25">
      <c r="A2731">
        <v>18633</v>
      </c>
      <c r="B2731" t="s">
        <v>10</v>
      </c>
      <c r="C2731" t="s">
        <v>3832</v>
      </c>
      <c r="D2731" t="str">
        <f t="shared" si="186"/>
        <v/>
      </c>
      <c r="E2731" t="s">
        <v>3833</v>
      </c>
      <c r="F2731" t="str">
        <f t="shared" si="187"/>
        <v>1120780</v>
      </c>
    </row>
    <row r="2732" spans="1:9" ht="15" customHeight="1" x14ac:dyDescent="0.25">
      <c r="A2732">
        <v>18622</v>
      </c>
      <c r="B2732" t="s">
        <v>7</v>
      </c>
      <c r="C2732" t="s">
        <v>3817</v>
      </c>
      <c r="D2732" t="str">
        <f t="shared" si="186"/>
        <v/>
      </c>
      <c r="E2732" t="s">
        <v>6933</v>
      </c>
      <c r="F2732" t="str">
        <f t="shared" si="187"/>
        <v>1120780</v>
      </c>
      <c r="H2732">
        <v>3</v>
      </c>
      <c r="I2732">
        <v>1</v>
      </c>
    </row>
    <row r="2733" spans="1:9" ht="15" customHeight="1" x14ac:dyDescent="0.25">
      <c r="A2733">
        <v>20004</v>
      </c>
      <c r="B2733" t="s">
        <v>7</v>
      </c>
      <c r="C2733" t="s">
        <v>5391</v>
      </c>
      <c r="D2733" t="str">
        <f t="shared" si="186"/>
        <v/>
      </c>
      <c r="E2733" t="s">
        <v>5392</v>
      </c>
      <c r="F2733" t="s">
        <v>6934</v>
      </c>
      <c r="H2733">
        <v>3</v>
      </c>
      <c r="I2733">
        <v>1</v>
      </c>
    </row>
    <row r="2734" spans="1:9" ht="15" hidden="1" customHeight="1" x14ac:dyDescent="0.25">
      <c r="A2734">
        <v>20005</v>
      </c>
      <c r="B2734" t="s">
        <v>10</v>
      </c>
      <c r="C2734" t="s">
        <v>5393</v>
      </c>
      <c r="D2734" t="str">
        <f t="shared" si="186"/>
        <v/>
      </c>
      <c r="E2734" t="s">
        <v>5394</v>
      </c>
      <c r="F2734" t="str">
        <f t="shared" ref="F2734:F2745" si="188">LEFT(C2734,7)</f>
        <v>1120781</v>
      </c>
    </row>
    <row r="2735" spans="1:9" ht="15" hidden="1" customHeight="1" x14ac:dyDescent="0.25">
      <c r="A2735">
        <v>20009</v>
      </c>
      <c r="B2735" t="s">
        <v>10</v>
      </c>
      <c r="C2735" t="s">
        <v>5395</v>
      </c>
      <c r="D2735" t="str">
        <f t="shared" si="186"/>
        <v/>
      </c>
      <c r="E2735" t="s">
        <v>5396</v>
      </c>
      <c r="F2735" t="str">
        <f t="shared" si="188"/>
        <v>1120781</v>
      </c>
    </row>
    <row r="2736" spans="1:9" ht="15" hidden="1" customHeight="1" x14ac:dyDescent="0.25">
      <c r="A2736">
        <v>20010</v>
      </c>
      <c r="B2736" t="s">
        <v>10</v>
      </c>
      <c r="C2736" t="s">
        <v>5397</v>
      </c>
      <c r="D2736" t="str">
        <f t="shared" si="186"/>
        <v/>
      </c>
      <c r="E2736" t="s">
        <v>5398</v>
      </c>
      <c r="F2736" t="str">
        <f t="shared" si="188"/>
        <v>1120781</v>
      </c>
    </row>
    <row r="2737" spans="1:9" ht="15" customHeight="1" x14ac:dyDescent="0.25">
      <c r="A2737">
        <v>17808</v>
      </c>
      <c r="B2737" t="s">
        <v>7</v>
      </c>
      <c r="C2737" t="s">
        <v>2623</v>
      </c>
      <c r="D2737" t="str">
        <f t="shared" si="186"/>
        <v/>
      </c>
      <c r="E2737" t="s">
        <v>2624</v>
      </c>
      <c r="F2737" t="str">
        <f t="shared" si="188"/>
        <v>1120764</v>
      </c>
      <c r="H2737">
        <v>2</v>
      </c>
      <c r="I2737">
        <v>1</v>
      </c>
    </row>
    <row r="2738" spans="1:9" ht="15" hidden="1" customHeight="1" x14ac:dyDescent="0.25">
      <c r="A2738">
        <v>17809</v>
      </c>
      <c r="B2738" t="s">
        <v>10</v>
      </c>
      <c r="C2738" t="s">
        <v>2625</v>
      </c>
      <c r="D2738" t="str">
        <f t="shared" si="186"/>
        <v/>
      </c>
      <c r="E2738" t="s">
        <v>2626</v>
      </c>
      <c r="F2738" t="str">
        <f t="shared" si="188"/>
        <v>1120764</v>
      </c>
    </row>
    <row r="2739" spans="1:9" ht="15" hidden="1" customHeight="1" x14ac:dyDescent="0.25">
      <c r="A2739">
        <v>17813</v>
      </c>
      <c r="B2739" t="s">
        <v>10</v>
      </c>
      <c r="C2739" t="s">
        <v>2627</v>
      </c>
      <c r="D2739" t="str">
        <f t="shared" si="186"/>
        <v/>
      </c>
      <c r="E2739" t="s">
        <v>2628</v>
      </c>
      <c r="F2739" t="str">
        <f t="shared" si="188"/>
        <v>1120764</v>
      </c>
    </row>
    <row r="2740" spans="1:9" ht="15" hidden="1" customHeight="1" x14ac:dyDescent="0.25">
      <c r="A2740">
        <v>17814</v>
      </c>
      <c r="B2740" t="s">
        <v>10</v>
      </c>
      <c r="C2740" t="s">
        <v>2629</v>
      </c>
      <c r="D2740" t="str">
        <f t="shared" si="186"/>
        <v/>
      </c>
      <c r="E2740" t="s">
        <v>2630</v>
      </c>
      <c r="F2740" t="str">
        <f t="shared" si="188"/>
        <v>1120764</v>
      </c>
    </row>
    <row r="2741" spans="1:9" ht="15" hidden="1" customHeight="1" x14ac:dyDescent="0.25">
      <c r="A2741">
        <v>17815</v>
      </c>
      <c r="B2741" t="s">
        <v>10</v>
      </c>
      <c r="C2741" t="s">
        <v>2631</v>
      </c>
      <c r="D2741" t="str">
        <f t="shared" si="186"/>
        <v/>
      </c>
      <c r="E2741" t="s">
        <v>2632</v>
      </c>
      <c r="F2741" t="str">
        <f t="shared" si="188"/>
        <v>1120764</v>
      </c>
    </row>
    <row r="2742" spans="1:9" ht="15" hidden="1" customHeight="1" x14ac:dyDescent="0.25">
      <c r="A2742">
        <v>17816</v>
      </c>
      <c r="B2742" t="s">
        <v>10</v>
      </c>
      <c r="C2742" t="s">
        <v>2633</v>
      </c>
      <c r="D2742" t="str">
        <f t="shared" si="186"/>
        <v/>
      </c>
      <c r="E2742" t="s">
        <v>2634</v>
      </c>
      <c r="F2742" t="str">
        <f t="shared" si="188"/>
        <v>1120764</v>
      </c>
    </row>
    <row r="2743" spans="1:9" ht="15" hidden="1" customHeight="1" x14ac:dyDescent="0.25">
      <c r="A2743">
        <v>17817</v>
      </c>
      <c r="B2743" t="s">
        <v>10</v>
      </c>
      <c r="C2743" t="s">
        <v>2635</v>
      </c>
      <c r="D2743" t="str">
        <f t="shared" si="186"/>
        <v/>
      </c>
      <c r="E2743" t="s">
        <v>2636</v>
      </c>
      <c r="F2743" t="str">
        <f t="shared" si="188"/>
        <v>1120764</v>
      </c>
    </row>
    <row r="2744" spans="1:9" ht="15" hidden="1" customHeight="1" x14ac:dyDescent="0.25">
      <c r="A2744">
        <v>17818</v>
      </c>
      <c r="B2744" t="s">
        <v>10</v>
      </c>
      <c r="C2744" t="s">
        <v>2637</v>
      </c>
      <c r="D2744" t="str">
        <f t="shared" si="186"/>
        <v/>
      </c>
      <c r="E2744" t="s">
        <v>2638</v>
      </c>
      <c r="F2744" t="str">
        <f t="shared" si="188"/>
        <v>1120764</v>
      </c>
    </row>
    <row r="2745" spans="1:9" ht="15" hidden="1" customHeight="1" x14ac:dyDescent="0.25">
      <c r="A2745">
        <v>17819</v>
      </c>
      <c r="B2745" t="s">
        <v>10</v>
      </c>
      <c r="C2745" t="s">
        <v>2639</v>
      </c>
      <c r="D2745" t="str">
        <f t="shared" si="186"/>
        <v/>
      </c>
      <c r="E2745" t="s">
        <v>2640</v>
      </c>
      <c r="F2745" t="str">
        <f t="shared" si="188"/>
        <v>1120764</v>
      </c>
    </row>
    <row r="2746" spans="1:9" ht="15" customHeight="1" x14ac:dyDescent="0.25">
      <c r="A2746">
        <v>17836</v>
      </c>
      <c r="B2746" t="s">
        <v>7</v>
      </c>
      <c r="C2746" t="s">
        <v>2667</v>
      </c>
      <c r="D2746" t="str">
        <f t="shared" si="186"/>
        <v/>
      </c>
      <c r="E2746" t="s">
        <v>2668</v>
      </c>
      <c r="F2746" t="s">
        <v>6935</v>
      </c>
      <c r="H2746">
        <v>2</v>
      </c>
      <c r="I2746">
        <v>1</v>
      </c>
    </row>
    <row r="2747" spans="1:9" ht="15" hidden="1" customHeight="1" x14ac:dyDescent="0.25">
      <c r="A2747">
        <v>17837</v>
      </c>
      <c r="B2747" t="s">
        <v>10</v>
      </c>
      <c r="C2747" t="s">
        <v>2669</v>
      </c>
      <c r="D2747" t="str">
        <f t="shared" si="186"/>
        <v/>
      </c>
      <c r="E2747" t="s">
        <v>2670</v>
      </c>
      <c r="F2747" t="str">
        <f>LEFT(C2747,7)</f>
        <v>1120772</v>
      </c>
    </row>
    <row r="2748" spans="1:9" ht="15" hidden="1" customHeight="1" x14ac:dyDescent="0.25">
      <c r="A2748">
        <v>17841</v>
      </c>
      <c r="B2748" t="s">
        <v>10</v>
      </c>
      <c r="C2748" t="s">
        <v>2671</v>
      </c>
      <c r="D2748" t="str">
        <f t="shared" si="186"/>
        <v/>
      </c>
      <c r="E2748" t="s">
        <v>2672</v>
      </c>
      <c r="F2748" t="str">
        <f>LEFT(C2748,7)</f>
        <v>1120772</v>
      </c>
    </row>
    <row r="2749" spans="1:9" ht="15" hidden="1" customHeight="1" x14ac:dyDescent="0.25">
      <c r="A2749">
        <v>17842</v>
      </c>
      <c r="B2749" t="s">
        <v>10</v>
      </c>
      <c r="C2749" t="s">
        <v>2673</v>
      </c>
      <c r="D2749" t="str">
        <f t="shared" si="186"/>
        <v/>
      </c>
      <c r="E2749" t="s">
        <v>2674</v>
      </c>
      <c r="F2749" t="str">
        <f>LEFT(C2749,7)</f>
        <v>1120772</v>
      </c>
    </row>
    <row r="2750" spans="1:9" ht="15" customHeight="1" x14ac:dyDescent="0.25">
      <c r="A2750">
        <v>17843</v>
      </c>
      <c r="B2750" t="s">
        <v>7</v>
      </c>
      <c r="C2750" t="s">
        <v>2675</v>
      </c>
      <c r="D2750" t="str">
        <f t="shared" si="186"/>
        <v/>
      </c>
      <c r="E2750" t="s">
        <v>2676</v>
      </c>
      <c r="F2750" t="s">
        <v>6935</v>
      </c>
      <c r="H2750">
        <v>2</v>
      </c>
      <c r="I2750">
        <v>1</v>
      </c>
    </row>
    <row r="2751" spans="1:9" ht="15" hidden="1" customHeight="1" x14ac:dyDescent="0.25">
      <c r="A2751">
        <v>17844</v>
      </c>
      <c r="B2751" t="s">
        <v>10</v>
      </c>
      <c r="C2751" t="s">
        <v>2677</v>
      </c>
      <c r="D2751" t="str">
        <f t="shared" si="186"/>
        <v/>
      </c>
      <c r="E2751" t="s">
        <v>2678</v>
      </c>
      <c r="F2751" t="str">
        <f>LEFT(C2751,7)</f>
        <v>1120773</v>
      </c>
    </row>
    <row r="2752" spans="1:9" ht="15" hidden="1" customHeight="1" x14ac:dyDescent="0.25">
      <c r="A2752">
        <v>17845</v>
      </c>
      <c r="B2752" t="s">
        <v>10</v>
      </c>
      <c r="C2752" t="s">
        <v>2679</v>
      </c>
      <c r="D2752" t="str">
        <f t="shared" si="186"/>
        <v/>
      </c>
      <c r="E2752" t="s">
        <v>2680</v>
      </c>
      <c r="F2752" t="str">
        <f>LEFT(C2752,7)</f>
        <v>1120773</v>
      </c>
    </row>
    <row r="2753" spans="1:9" ht="15" hidden="1" customHeight="1" x14ac:dyDescent="0.25">
      <c r="A2753">
        <v>17846</v>
      </c>
      <c r="B2753" t="s">
        <v>10</v>
      </c>
      <c r="C2753" t="s">
        <v>2681</v>
      </c>
      <c r="D2753" t="str">
        <f t="shared" si="186"/>
        <v/>
      </c>
      <c r="E2753" t="s">
        <v>2682</v>
      </c>
      <c r="F2753" t="str">
        <f>LEFT(C2753,7)</f>
        <v>1120773</v>
      </c>
    </row>
    <row r="2754" spans="1:9" ht="15" customHeight="1" x14ac:dyDescent="0.25">
      <c r="A2754">
        <v>17847</v>
      </c>
      <c r="B2754" t="s">
        <v>7</v>
      </c>
      <c r="C2754" t="s">
        <v>2683</v>
      </c>
      <c r="D2754" t="str">
        <f t="shared" si="186"/>
        <v/>
      </c>
      <c r="E2754" t="s">
        <v>2684</v>
      </c>
      <c r="F2754" t="s">
        <v>6935</v>
      </c>
      <c r="H2754">
        <v>2</v>
      </c>
      <c r="I2754">
        <v>1</v>
      </c>
    </row>
    <row r="2755" spans="1:9" ht="15" customHeight="1" x14ac:dyDescent="0.25">
      <c r="A2755">
        <v>17820</v>
      </c>
      <c r="B2755" t="s">
        <v>7</v>
      </c>
      <c r="C2755" t="s">
        <v>2641</v>
      </c>
      <c r="D2755" t="str">
        <f t="shared" si="186"/>
        <v/>
      </c>
      <c r="E2755" t="s">
        <v>2642</v>
      </c>
      <c r="F2755" t="str">
        <f t="shared" ref="F2755:F2763" si="189">LEFT(C2755,7)</f>
        <v>1120840</v>
      </c>
      <c r="H2755">
        <v>5</v>
      </c>
      <c r="I2755">
        <v>1</v>
      </c>
    </row>
    <row r="2756" spans="1:9" ht="15" hidden="1" customHeight="1" x14ac:dyDescent="0.25">
      <c r="A2756">
        <v>17821</v>
      </c>
      <c r="B2756" t="s">
        <v>10</v>
      </c>
      <c r="C2756" t="s">
        <v>2643</v>
      </c>
      <c r="D2756" t="str">
        <f t="shared" si="186"/>
        <v/>
      </c>
      <c r="E2756" t="s">
        <v>2644</v>
      </c>
      <c r="F2756" t="str">
        <f t="shared" si="189"/>
        <v>1120840</v>
      </c>
    </row>
    <row r="2757" spans="1:9" ht="15" hidden="1" customHeight="1" x14ac:dyDescent="0.25">
      <c r="A2757">
        <v>17822</v>
      </c>
      <c r="B2757" t="s">
        <v>10</v>
      </c>
      <c r="C2757" t="s">
        <v>2645</v>
      </c>
      <c r="D2757" t="str">
        <f t="shared" si="186"/>
        <v/>
      </c>
      <c r="E2757" t="s">
        <v>2646</v>
      </c>
      <c r="F2757" t="str">
        <f t="shared" si="189"/>
        <v>1120840</v>
      </c>
    </row>
    <row r="2758" spans="1:9" ht="15" hidden="1" customHeight="1" x14ac:dyDescent="0.25">
      <c r="A2758">
        <v>17823</v>
      </c>
      <c r="B2758" t="s">
        <v>10</v>
      </c>
      <c r="C2758" t="s">
        <v>2647</v>
      </c>
      <c r="D2758" t="str">
        <f t="shared" si="186"/>
        <v/>
      </c>
      <c r="E2758" t="s">
        <v>2648</v>
      </c>
      <c r="F2758" t="str">
        <f t="shared" si="189"/>
        <v>1120840</v>
      </c>
    </row>
    <row r="2759" spans="1:9" ht="15" hidden="1" customHeight="1" x14ac:dyDescent="0.25">
      <c r="A2759">
        <v>17824</v>
      </c>
      <c r="B2759" t="s">
        <v>10</v>
      </c>
      <c r="C2759" t="s">
        <v>2649</v>
      </c>
      <c r="D2759" t="str">
        <f t="shared" si="186"/>
        <v/>
      </c>
      <c r="E2759" t="s">
        <v>2650</v>
      </c>
      <c r="F2759" t="str">
        <f t="shared" si="189"/>
        <v>1120840</v>
      </c>
    </row>
    <row r="2760" spans="1:9" ht="15" hidden="1" customHeight="1" x14ac:dyDescent="0.25">
      <c r="A2760">
        <v>17825</v>
      </c>
      <c r="B2760" t="s">
        <v>10</v>
      </c>
      <c r="C2760" t="s">
        <v>2651</v>
      </c>
      <c r="D2760" t="str">
        <f t="shared" si="186"/>
        <v/>
      </c>
      <c r="E2760" t="s">
        <v>2652</v>
      </c>
      <c r="F2760" t="str">
        <f t="shared" si="189"/>
        <v>1120840</v>
      </c>
    </row>
    <row r="2761" spans="1:9" ht="15" hidden="1" customHeight="1" x14ac:dyDescent="0.25">
      <c r="A2761">
        <v>17826</v>
      </c>
      <c r="B2761" t="s">
        <v>10</v>
      </c>
      <c r="C2761" t="s">
        <v>2653</v>
      </c>
      <c r="D2761" t="str">
        <f t="shared" si="186"/>
        <v/>
      </c>
      <c r="E2761" t="s">
        <v>2654</v>
      </c>
      <c r="F2761" t="str">
        <f t="shared" si="189"/>
        <v>1120840</v>
      </c>
    </row>
    <row r="2762" spans="1:9" ht="15" hidden="1" customHeight="1" x14ac:dyDescent="0.25">
      <c r="A2762">
        <v>17827</v>
      </c>
      <c r="B2762" t="s">
        <v>10</v>
      </c>
      <c r="C2762" t="s">
        <v>2655</v>
      </c>
      <c r="D2762" t="str">
        <f t="shared" si="186"/>
        <v/>
      </c>
      <c r="E2762" t="s">
        <v>2656</v>
      </c>
      <c r="F2762" t="str">
        <f t="shared" si="189"/>
        <v>1120840</v>
      </c>
    </row>
    <row r="2763" spans="1:9" ht="15" hidden="1" customHeight="1" x14ac:dyDescent="0.25">
      <c r="A2763">
        <v>17828</v>
      </c>
      <c r="B2763" t="s">
        <v>10</v>
      </c>
      <c r="C2763" t="s">
        <v>2657</v>
      </c>
      <c r="D2763" t="str">
        <f t="shared" si="186"/>
        <v/>
      </c>
      <c r="E2763" t="s">
        <v>2658</v>
      </c>
      <c r="F2763" t="str">
        <f t="shared" si="189"/>
        <v>1120840</v>
      </c>
    </row>
    <row r="2764" spans="1:9" ht="15" customHeight="1" x14ac:dyDescent="0.25">
      <c r="A2764">
        <v>17849</v>
      </c>
      <c r="B2764" t="s">
        <v>7</v>
      </c>
      <c r="C2764" t="s">
        <v>2685</v>
      </c>
      <c r="D2764" t="str">
        <f t="shared" si="186"/>
        <v/>
      </c>
      <c r="E2764" t="s">
        <v>2686</v>
      </c>
      <c r="F2764" t="s">
        <v>6936</v>
      </c>
      <c r="H2764">
        <v>5</v>
      </c>
      <c r="I2764">
        <v>1</v>
      </c>
    </row>
    <row r="2765" spans="1:9" ht="15" hidden="1" customHeight="1" x14ac:dyDescent="0.25">
      <c r="A2765">
        <v>17850</v>
      </c>
      <c r="B2765" t="s">
        <v>10</v>
      </c>
      <c r="C2765" t="s">
        <v>2687</v>
      </c>
      <c r="D2765" t="str">
        <f t="shared" si="186"/>
        <v/>
      </c>
      <c r="E2765" t="s">
        <v>2688</v>
      </c>
      <c r="F2765" t="str">
        <f>LEFT(C2765,7)</f>
        <v>1120841</v>
      </c>
    </row>
    <row r="2766" spans="1:9" ht="15" hidden="1" customHeight="1" x14ac:dyDescent="0.25">
      <c r="A2766">
        <v>17851</v>
      </c>
      <c r="B2766" t="s">
        <v>10</v>
      </c>
      <c r="C2766" t="s">
        <v>2689</v>
      </c>
      <c r="D2766" t="str">
        <f t="shared" si="186"/>
        <v/>
      </c>
      <c r="E2766" t="s">
        <v>2690</v>
      </c>
      <c r="F2766" t="str">
        <f>LEFT(C2766,7)</f>
        <v>1120841</v>
      </c>
    </row>
    <row r="2767" spans="1:9" ht="15" hidden="1" customHeight="1" x14ac:dyDescent="0.25">
      <c r="A2767">
        <v>17852</v>
      </c>
      <c r="B2767" t="s">
        <v>10</v>
      </c>
      <c r="C2767" t="s">
        <v>2691</v>
      </c>
      <c r="D2767" t="str">
        <f t="shared" si="186"/>
        <v/>
      </c>
      <c r="E2767" t="s">
        <v>2692</v>
      </c>
      <c r="F2767" t="str">
        <f>LEFT(C2767,7)</f>
        <v>1120841</v>
      </c>
    </row>
    <row r="2768" spans="1:9" ht="15" customHeight="1" x14ac:dyDescent="0.25">
      <c r="A2768">
        <v>17849</v>
      </c>
      <c r="B2768" t="s">
        <v>7</v>
      </c>
      <c r="C2768" t="s">
        <v>7000</v>
      </c>
      <c r="D2768" t="str">
        <f t="shared" si="186"/>
        <v/>
      </c>
      <c r="E2768" t="s">
        <v>6998</v>
      </c>
      <c r="F2768" t="s">
        <v>6936</v>
      </c>
      <c r="H2768">
        <v>5</v>
      </c>
      <c r="I2768">
        <v>1</v>
      </c>
    </row>
    <row r="2769" spans="1:9" ht="15" customHeight="1" x14ac:dyDescent="0.25">
      <c r="A2769">
        <v>17849</v>
      </c>
      <c r="B2769" t="s">
        <v>7</v>
      </c>
      <c r="C2769" t="s">
        <v>7001</v>
      </c>
      <c r="D2769" t="str">
        <f t="shared" si="186"/>
        <v/>
      </c>
      <c r="E2769" t="s">
        <v>6999</v>
      </c>
      <c r="F2769" t="s">
        <v>6936</v>
      </c>
      <c r="H2769">
        <v>5</v>
      </c>
      <c r="I2769">
        <v>1</v>
      </c>
    </row>
    <row r="2770" spans="1:9" ht="15" customHeight="1" x14ac:dyDescent="0.25">
      <c r="A2770">
        <v>14761</v>
      </c>
      <c r="B2770" t="s">
        <v>7</v>
      </c>
      <c r="C2770" t="s">
        <v>163</v>
      </c>
      <c r="D2770" t="str">
        <f t="shared" si="186"/>
        <v/>
      </c>
      <c r="E2770" t="s">
        <v>164</v>
      </c>
      <c r="F2770" t="str">
        <f t="shared" ref="F2770:F2778" si="190">LEFT(C2770,7)</f>
        <v>1120280</v>
      </c>
      <c r="H2770">
        <v>5</v>
      </c>
      <c r="I2770">
        <v>1</v>
      </c>
    </row>
    <row r="2771" spans="1:9" ht="15" hidden="1" customHeight="1" x14ac:dyDescent="0.25">
      <c r="A2771">
        <v>14762</v>
      </c>
      <c r="B2771" t="s">
        <v>10</v>
      </c>
      <c r="C2771" t="s">
        <v>165</v>
      </c>
      <c r="D2771" t="str">
        <f t="shared" si="186"/>
        <v/>
      </c>
      <c r="E2771" t="s">
        <v>166</v>
      </c>
      <c r="F2771" t="str">
        <f t="shared" si="190"/>
        <v>1120280</v>
      </c>
    </row>
    <row r="2772" spans="1:9" ht="15" hidden="1" customHeight="1" x14ac:dyDescent="0.25">
      <c r="A2772">
        <v>14766</v>
      </c>
      <c r="B2772" t="s">
        <v>10</v>
      </c>
      <c r="C2772" t="s">
        <v>167</v>
      </c>
      <c r="D2772" t="str">
        <f t="shared" si="186"/>
        <v/>
      </c>
      <c r="E2772" t="s">
        <v>168</v>
      </c>
      <c r="F2772" t="str">
        <f t="shared" si="190"/>
        <v>1120280</v>
      </c>
    </row>
    <row r="2773" spans="1:9" ht="15" hidden="1" customHeight="1" x14ac:dyDescent="0.25">
      <c r="A2773">
        <v>14767</v>
      </c>
      <c r="B2773" t="s">
        <v>10</v>
      </c>
      <c r="C2773" t="s">
        <v>169</v>
      </c>
      <c r="D2773" t="str">
        <f t="shared" si="186"/>
        <v/>
      </c>
      <c r="E2773" t="s">
        <v>170</v>
      </c>
      <c r="F2773" t="str">
        <f t="shared" si="190"/>
        <v>1120280</v>
      </c>
    </row>
    <row r="2774" spans="1:9" ht="15" hidden="1" customHeight="1" x14ac:dyDescent="0.25">
      <c r="A2774">
        <v>14768</v>
      </c>
      <c r="B2774" t="s">
        <v>10</v>
      </c>
      <c r="C2774" t="s">
        <v>171</v>
      </c>
      <c r="D2774" t="str">
        <f t="shared" si="186"/>
        <v/>
      </c>
      <c r="E2774" t="s">
        <v>172</v>
      </c>
      <c r="F2774" t="str">
        <f t="shared" si="190"/>
        <v>1120280</v>
      </c>
    </row>
    <row r="2775" spans="1:9" ht="15" hidden="1" customHeight="1" x14ac:dyDescent="0.25">
      <c r="A2775">
        <v>14769</v>
      </c>
      <c r="B2775" t="s">
        <v>10</v>
      </c>
      <c r="C2775" t="s">
        <v>173</v>
      </c>
      <c r="D2775" t="str">
        <f t="shared" si="186"/>
        <v/>
      </c>
      <c r="E2775" t="s">
        <v>174</v>
      </c>
      <c r="F2775" t="str">
        <f t="shared" si="190"/>
        <v>1120280</v>
      </c>
    </row>
    <row r="2776" spans="1:9" ht="15" hidden="1" customHeight="1" x14ac:dyDescent="0.25">
      <c r="A2776">
        <v>14770</v>
      </c>
      <c r="B2776" t="s">
        <v>10</v>
      </c>
      <c r="C2776" t="s">
        <v>175</v>
      </c>
      <c r="D2776" t="str">
        <f t="shared" ref="D2776:D2839" si="191">IF(RIGHT(LEFT(C2776,9),2)="##","",RIGHT(LEFT(C2776,10),2))</f>
        <v/>
      </c>
      <c r="E2776" t="s">
        <v>176</v>
      </c>
      <c r="F2776" t="str">
        <f t="shared" si="190"/>
        <v>1120280</v>
      </c>
    </row>
    <row r="2777" spans="1:9" ht="15" hidden="1" customHeight="1" x14ac:dyDescent="0.25">
      <c r="A2777">
        <v>14771</v>
      </c>
      <c r="B2777" t="s">
        <v>10</v>
      </c>
      <c r="C2777" t="s">
        <v>177</v>
      </c>
      <c r="D2777" t="str">
        <f t="shared" si="191"/>
        <v/>
      </c>
      <c r="E2777" t="s">
        <v>178</v>
      </c>
      <c r="F2777" t="str">
        <f t="shared" si="190"/>
        <v>1120280</v>
      </c>
    </row>
    <row r="2778" spans="1:9" ht="15" hidden="1" customHeight="1" x14ac:dyDescent="0.25">
      <c r="A2778">
        <v>14772</v>
      </c>
      <c r="B2778" t="s">
        <v>10</v>
      </c>
      <c r="C2778" t="s">
        <v>179</v>
      </c>
      <c r="D2778" t="str">
        <f t="shared" si="191"/>
        <v/>
      </c>
      <c r="E2778" t="s">
        <v>180</v>
      </c>
      <c r="F2778" t="str">
        <f t="shared" si="190"/>
        <v>1120280</v>
      </c>
    </row>
    <row r="2779" spans="1:9" ht="15" customHeight="1" x14ac:dyDescent="0.25">
      <c r="A2779">
        <v>18341</v>
      </c>
      <c r="B2779" t="s">
        <v>7</v>
      </c>
      <c r="C2779" t="s">
        <v>3446</v>
      </c>
      <c r="D2779" t="str">
        <f t="shared" si="191"/>
        <v/>
      </c>
      <c r="E2779" t="s">
        <v>3447</v>
      </c>
      <c r="F2779" t="s">
        <v>6937</v>
      </c>
      <c r="H2779">
        <v>5</v>
      </c>
      <c r="I2779">
        <v>1</v>
      </c>
    </row>
    <row r="2780" spans="1:9" ht="15" hidden="1" customHeight="1" x14ac:dyDescent="0.25">
      <c r="A2780">
        <v>18342</v>
      </c>
      <c r="B2780" t="s">
        <v>10</v>
      </c>
      <c r="C2780" t="s">
        <v>3448</v>
      </c>
      <c r="D2780" t="str">
        <f t="shared" si="191"/>
        <v/>
      </c>
      <c r="E2780" t="s">
        <v>3449</v>
      </c>
      <c r="F2780" t="str">
        <f>LEFT(C2780,7)</f>
        <v>1120700</v>
      </c>
    </row>
    <row r="2781" spans="1:9" hidden="1" x14ac:dyDescent="0.25">
      <c r="A2781">
        <v>18346</v>
      </c>
      <c r="B2781" t="s">
        <v>10</v>
      </c>
      <c r="C2781" t="s">
        <v>3450</v>
      </c>
      <c r="D2781" t="str">
        <f t="shared" si="191"/>
        <v/>
      </c>
      <c r="E2781" t="s">
        <v>3451</v>
      </c>
      <c r="F2781" t="str">
        <f>LEFT(C2781,7)</f>
        <v>1120700</v>
      </c>
    </row>
    <row r="2782" spans="1:9" hidden="1" x14ac:dyDescent="0.25">
      <c r="A2782">
        <v>18347</v>
      </c>
      <c r="B2782" t="s">
        <v>10</v>
      </c>
      <c r="C2782" t="s">
        <v>3452</v>
      </c>
      <c r="D2782" t="str">
        <f t="shared" si="191"/>
        <v/>
      </c>
      <c r="E2782" t="s">
        <v>3453</v>
      </c>
      <c r="F2782" t="str">
        <f>LEFT(C2782,7)</f>
        <v>1120700</v>
      </c>
    </row>
    <row r="2783" spans="1:9" x14ac:dyDescent="0.25">
      <c r="A2783">
        <v>17829</v>
      </c>
      <c r="B2783" t="s">
        <v>7</v>
      </c>
      <c r="C2783" t="s">
        <v>2659</v>
      </c>
      <c r="D2783" t="str">
        <f t="shared" si="191"/>
        <v/>
      </c>
      <c r="E2783" t="s">
        <v>2660</v>
      </c>
      <c r="F2783" t="s">
        <v>6937</v>
      </c>
      <c r="H2783">
        <v>5</v>
      </c>
      <c r="I2783">
        <v>1</v>
      </c>
    </row>
    <row r="2784" spans="1:9" hidden="1" x14ac:dyDescent="0.25">
      <c r="A2784">
        <v>17830</v>
      </c>
      <c r="B2784" t="s">
        <v>10</v>
      </c>
      <c r="C2784" t="s">
        <v>2661</v>
      </c>
      <c r="D2784" t="str">
        <f t="shared" si="191"/>
        <v/>
      </c>
      <c r="E2784" t="s">
        <v>2662</v>
      </c>
      <c r="F2784" t="str">
        <f t="shared" ref="F2784:F2847" si="192">LEFT(C2784,7)</f>
        <v>1120485</v>
      </c>
    </row>
    <row r="2785" spans="1:8" hidden="1" x14ac:dyDescent="0.25">
      <c r="A2785">
        <v>17834</v>
      </c>
      <c r="B2785" t="s">
        <v>10</v>
      </c>
      <c r="C2785" t="s">
        <v>2663</v>
      </c>
      <c r="D2785" t="str">
        <f t="shared" si="191"/>
        <v/>
      </c>
      <c r="E2785" t="s">
        <v>2664</v>
      </c>
      <c r="F2785" t="str">
        <f t="shared" si="192"/>
        <v>1120485</v>
      </c>
    </row>
    <row r="2786" spans="1:8" hidden="1" x14ac:dyDescent="0.25">
      <c r="A2786">
        <v>17835</v>
      </c>
      <c r="B2786" t="s">
        <v>10</v>
      </c>
      <c r="C2786" t="s">
        <v>2665</v>
      </c>
      <c r="D2786" t="str">
        <f t="shared" si="191"/>
        <v/>
      </c>
      <c r="E2786" t="s">
        <v>2666</v>
      </c>
      <c r="F2786" t="str">
        <f t="shared" si="192"/>
        <v>1120485</v>
      </c>
    </row>
    <row r="2787" spans="1:8" hidden="1" x14ac:dyDescent="0.25">
      <c r="A2787">
        <v>16161</v>
      </c>
      <c r="B2787" t="s">
        <v>4</v>
      </c>
      <c r="C2787" t="s">
        <v>1330</v>
      </c>
      <c r="D2787" t="str">
        <f t="shared" si="191"/>
        <v/>
      </c>
      <c r="E2787" t="s">
        <v>1331</v>
      </c>
      <c r="F2787" t="str">
        <f t="shared" si="192"/>
        <v>8513303</v>
      </c>
      <c r="H2787">
        <v>1</v>
      </c>
    </row>
    <row r="2788" spans="1:8" hidden="1" x14ac:dyDescent="0.25">
      <c r="A2788">
        <v>15735</v>
      </c>
      <c r="B2788" t="s">
        <v>4</v>
      </c>
      <c r="C2788" t="s">
        <v>1098</v>
      </c>
      <c r="D2788" t="str">
        <f t="shared" si="191"/>
        <v/>
      </c>
      <c r="E2788" t="s">
        <v>1099</v>
      </c>
      <c r="F2788" t="str">
        <f t="shared" si="192"/>
        <v>8505329</v>
      </c>
    </row>
    <row r="2789" spans="1:8" hidden="1" x14ac:dyDescent="0.25">
      <c r="A2789">
        <v>15756</v>
      </c>
      <c r="B2789" t="s">
        <v>4</v>
      </c>
      <c r="C2789" t="s">
        <v>1110</v>
      </c>
      <c r="D2789" t="str">
        <f t="shared" si="191"/>
        <v/>
      </c>
      <c r="E2789" t="s">
        <v>1111</v>
      </c>
      <c r="F2789" t="str">
        <f t="shared" si="192"/>
        <v>8505224</v>
      </c>
    </row>
    <row r="2790" spans="1:8" hidden="1" x14ac:dyDescent="0.25">
      <c r="A2790">
        <v>17101</v>
      </c>
      <c r="B2790" t="s">
        <v>4</v>
      </c>
      <c r="C2790" t="s">
        <v>1953</v>
      </c>
      <c r="D2790" t="str">
        <f t="shared" si="191"/>
        <v/>
      </c>
      <c r="E2790" t="s">
        <v>1954</v>
      </c>
      <c r="F2790" t="str">
        <f t="shared" si="192"/>
        <v>7709065</v>
      </c>
      <c r="H2790">
        <v>1</v>
      </c>
    </row>
    <row r="2791" spans="1:8" hidden="1" x14ac:dyDescent="0.25">
      <c r="A2791">
        <v>17107</v>
      </c>
      <c r="B2791" t="s">
        <v>4</v>
      </c>
      <c r="C2791" t="s">
        <v>1957</v>
      </c>
      <c r="D2791" t="str">
        <f t="shared" si="191"/>
        <v/>
      </c>
      <c r="E2791" t="s">
        <v>1958</v>
      </c>
      <c r="F2791" t="str">
        <f t="shared" si="192"/>
        <v>7709068</v>
      </c>
      <c r="H2791">
        <v>1</v>
      </c>
    </row>
    <row r="2792" spans="1:8" hidden="1" x14ac:dyDescent="0.25">
      <c r="A2792">
        <v>15768</v>
      </c>
      <c r="B2792" t="s">
        <v>4</v>
      </c>
      <c r="C2792" t="s">
        <v>1118</v>
      </c>
      <c r="D2792" t="str">
        <f t="shared" si="191"/>
        <v/>
      </c>
      <c r="E2792" t="s">
        <v>1119</v>
      </c>
      <c r="F2792" t="str">
        <f t="shared" si="192"/>
        <v>8505196</v>
      </c>
    </row>
    <row r="2793" spans="1:8" hidden="1" x14ac:dyDescent="0.25">
      <c r="A2793">
        <v>17104</v>
      </c>
      <c r="B2793" t="s">
        <v>4</v>
      </c>
      <c r="C2793" t="s">
        <v>1955</v>
      </c>
      <c r="D2793" t="str">
        <f t="shared" si="191"/>
        <v/>
      </c>
      <c r="E2793" t="s">
        <v>1956</v>
      </c>
      <c r="F2793" t="str">
        <f t="shared" si="192"/>
        <v>7709064</v>
      </c>
      <c r="H2793">
        <v>1</v>
      </c>
    </row>
    <row r="2794" spans="1:8" hidden="1" x14ac:dyDescent="0.25">
      <c r="A2794">
        <v>15349</v>
      </c>
      <c r="B2794" t="s">
        <v>4</v>
      </c>
      <c r="C2794" t="s">
        <v>763</v>
      </c>
      <c r="D2794" t="str">
        <f t="shared" si="191"/>
        <v/>
      </c>
      <c r="E2794" t="s">
        <v>764</v>
      </c>
      <c r="F2794" t="str">
        <f t="shared" si="192"/>
        <v>7709069</v>
      </c>
      <c r="H2794">
        <v>1</v>
      </c>
    </row>
    <row r="2795" spans="1:8" hidden="1" x14ac:dyDescent="0.25">
      <c r="A2795">
        <v>15738</v>
      </c>
      <c r="B2795" t="s">
        <v>4</v>
      </c>
      <c r="C2795" t="s">
        <v>1100</v>
      </c>
      <c r="D2795" t="str">
        <f t="shared" si="191"/>
        <v/>
      </c>
      <c r="E2795" t="s">
        <v>1101</v>
      </c>
      <c r="F2795" t="str">
        <f t="shared" si="192"/>
        <v>8505243</v>
      </c>
    </row>
    <row r="2796" spans="1:8" hidden="1" x14ac:dyDescent="0.25">
      <c r="A2796">
        <v>15774</v>
      </c>
      <c r="B2796" t="s">
        <v>4</v>
      </c>
      <c r="C2796" t="s">
        <v>1122</v>
      </c>
      <c r="D2796" t="str">
        <f t="shared" si="191"/>
        <v/>
      </c>
      <c r="E2796" t="s">
        <v>1123</v>
      </c>
      <c r="F2796" t="str">
        <f t="shared" si="192"/>
        <v>8505367</v>
      </c>
    </row>
    <row r="2797" spans="1:8" hidden="1" x14ac:dyDescent="0.25">
      <c r="A2797">
        <v>17113</v>
      </c>
      <c r="B2797" t="s">
        <v>4</v>
      </c>
      <c r="C2797" t="s">
        <v>1961</v>
      </c>
      <c r="D2797" t="str">
        <f t="shared" si="191"/>
        <v/>
      </c>
      <c r="E2797" t="s">
        <v>1962</v>
      </c>
      <c r="F2797" t="str">
        <f t="shared" si="192"/>
        <v>7709066</v>
      </c>
      <c r="H2797">
        <v>1</v>
      </c>
    </row>
    <row r="2798" spans="1:8" hidden="1" x14ac:dyDescent="0.25">
      <c r="A2798">
        <v>17110</v>
      </c>
      <c r="B2798" t="s">
        <v>4</v>
      </c>
      <c r="C2798" t="s">
        <v>1959</v>
      </c>
      <c r="D2798" t="str">
        <f t="shared" si="191"/>
        <v/>
      </c>
      <c r="E2798" t="s">
        <v>1960</v>
      </c>
      <c r="F2798" t="str">
        <f t="shared" si="192"/>
        <v>7709067</v>
      </c>
      <c r="H2798">
        <v>1</v>
      </c>
    </row>
    <row r="2799" spans="1:8" hidden="1" x14ac:dyDescent="0.25">
      <c r="A2799">
        <v>16776</v>
      </c>
      <c r="B2799" t="s">
        <v>4</v>
      </c>
      <c r="C2799" t="s">
        <v>1706</v>
      </c>
      <c r="D2799" t="str">
        <f t="shared" si="191"/>
        <v/>
      </c>
      <c r="E2799" t="s">
        <v>1707</v>
      </c>
      <c r="F2799" t="str">
        <f t="shared" si="192"/>
        <v>8505130</v>
      </c>
      <c r="H2799">
        <v>1</v>
      </c>
    </row>
    <row r="2800" spans="1:8" hidden="1" x14ac:dyDescent="0.25">
      <c r="A2800">
        <v>15753</v>
      </c>
      <c r="B2800" t="s">
        <v>4</v>
      </c>
      <c r="C2800" t="s">
        <v>1108</v>
      </c>
      <c r="D2800" t="str">
        <f t="shared" si="191"/>
        <v/>
      </c>
      <c r="E2800" t="s">
        <v>1109</v>
      </c>
      <c r="F2800" t="str">
        <f t="shared" si="192"/>
        <v>8505156</v>
      </c>
      <c r="H2800">
        <v>1</v>
      </c>
    </row>
    <row r="2801" spans="1:8" hidden="1" x14ac:dyDescent="0.25">
      <c r="A2801">
        <v>15797</v>
      </c>
      <c r="B2801" t="s">
        <v>4</v>
      </c>
      <c r="C2801" t="s">
        <v>1142</v>
      </c>
      <c r="D2801" t="str">
        <f t="shared" si="191"/>
        <v/>
      </c>
      <c r="E2801" t="s">
        <v>1143</v>
      </c>
      <c r="F2801" t="str">
        <f t="shared" si="192"/>
        <v>8505157</v>
      </c>
      <c r="H2801">
        <v>1</v>
      </c>
    </row>
    <row r="2802" spans="1:8" hidden="1" x14ac:dyDescent="0.25">
      <c r="A2802">
        <v>15803</v>
      </c>
      <c r="B2802" t="s">
        <v>4</v>
      </c>
      <c r="C2802" t="s">
        <v>1144</v>
      </c>
      <c r="D2802" t="str">
        <f t="shared" si="191"/>
        <v/>
      </c>
      <c r="E2802" t="s">
        <v>1145</v>
      </c>
      <c r="F2802" t="str">
        <f t="shared" si="192"/>
        <v>8505158</v>
      </c>
    </row>
    <row r="2803" spans="1:8" ht="15" hidden="1" customHeight="1" x14ac:dyDescent="0.25">
      <c r="A2803">
        <v>15806</v>
      </c>
      <c r="B2803" t="s">
        <v>4</v>
      </c>
      <c r="C2803" t="s">
        <v>1146</v>
      </c>
      <c r="D2803" t="str">
        <f t="shared" si="191"/>
        <v/>
      </c>
      <c r="E2803" t="s">
        <v>1147</v>
      </c>
      <c r="F2803" t="str">
        <f t="shared" si="192"/>
        <v>8505139</v>
      </c>
    </row>
    <row r="2804" spans="1:8" ht="15" hidden="1" customHeight="1" x14ac:dyDescent="0.25">
      <c r="A2804">
        <v>17675</v>
      </c>
      <c r="B2804" t="s">
        <v>4</v>
      </c>
      <c r="C2804" t="s">
        <v>2419</v>
      </c>
      <c r="D2804" t="str">
        <f t="shared" si="191"/>
        <v/>
      </c>
      <c r="E2804" t="s">
        <v>2420</v>
      </c>
      <c r="F2804" t="str">
        <f t="shared" si="192"/>
        <v>8505789</v>
      </c>
    </row>
    <row r="2805" spans="1:8" ht="15" hidden="1" customHeight="1" x14ac:dyDescent="0.25">
      <c r="A2805">
        <v>16953</v>
      </c>
      <c r="B2805" t="s">
        <v>4</v>
      </c>
      <c r="C2805" t="s">
        <v>1852</v>
      </c>
      <c r="D2805" t="str">
        <f t="shared" si="191"/>
        <v/>
      </c>
      <c r="E2805" t="s">
        <v>1853</v>
      </c>
      <c r="F2805" t="str">
        <f t="shared" si="192"/>
        <v>7707266</v>
      </c>
      <c r="H2805">
        <v>1</v>
      </c>
    </row>
    <row r="2806" spans="1:8" ht="15" hidden="1" customHeight="1" x14ac:dyDescent="0.25">
      <c r="A2806">
        <v>16950</v>
      </c>
      <c r="B2806" t="s">
        <v>4</v>
      </c>
      <c r="C2806" t="s">
        <v>1850</v>
      </c>
      <c r="D2806" t="str">
        <f t="shared" si="191"/>
        <v/>
      </c>
      <c r="E2806" t="s">
        <v>1851</v>
      </c>
      <c r="F2806" t="str">
        <f t="shared" si="192"/>
        <v>8505101</v>
      </c>
      <c r="H2806">
        <v>1</v>
      </c>
    </row>
    <row r="2807" spans="1:8" ht="15" hidden="1" customHeight="1" x14ac:dyDescent="0.25">
      <c r="A2807">
        <v>15750</v>
      </c>
      <c r="B2807" t="s">
        <v>4</v>
      </c>
      <c r="C2807" t="s">
        <v>1106</v>
      </c>
      <c r="D2807" t="str">
        <f t="shared" si="191"/>
        <v/>
      </c>
      <c r="E2807" t="s">
        <v>1107</v>
      </c>
      <c r="F2807" t="str">
        <f t="shared" si="192"/>
        <v>8505074</v>
      </c>
      <c r="H2807">
        <v>1</v>
      </c>
    </row>
    <row r="2808" spans="1:8" ht="15" hidden="1" customHeight="1" x14ac:dyDescent="0.25">
      <c r="A2808">
        <v>15822</v>
      </c>
      <c r="B2808" t="s">
        <v>4</v>
      </c>
      <c r="C2808" t="s">
        <v>1156</v>
      </c>
      <c r="D2808" t="str">
        <f t="shared" si="191"/>
        <v/>
      </c>
      <c r="E2808" t="s">
        <v>6992</v>
      </c>
      <c r="F2808" t="str">
        <f t="shared" si="192"/>
        <v>8505023</v>
      </c>
      <c r="H2808">
        <v>1</v>
      </c>
    </row>
    <row r="2809" spans="1:8" ht="15" customHeight="1" x14ac:dyDescent="0.25">
      <c r="A2809">
        <v>15777</v>
      </c>
      <c r="B2809" t="s">
        <v>7</v>
      </c>
      <c r="C2809" t="s">
        <v>1124</v>
      </c>
      <c r="D2809" t="str">
        <f t="shared" si="191"/>
        <v/>
      </c>
      <c r="E2809" t="s">
        <v>1125</v>
      </c>
      <c r="F2809" t="str">
        <f t="shared" si="192"/>
        <v>8505220</v>
      </c>
    </row>
    <row r="2810" spans="1:8" hidden="1" x14ac:dyDescent="0.25">
      <c r="A2810">
        <v>15778</v>
      </c>
      <c r="B2810" t="s">
        <v>10</v>
      </c>
      <c r="C2810" t="s">
        <v>1126</v>
      </c>
      <c r="D2810" t="str">
        <f t="shared" si="191"/>
        <v/>
      </c>
      <c r="E2810" t="s">
        <v>1127</v>
      </c>
      <c r="F2810" t="str">
        <f t="shared" si="192"/>
        <v>8505220</v>
      </c>
    </row>
    <row r="2811" spans="1:8" hidden="1" x14ac:dyDescent="0.25">
      <c r="A2811">
        <v>15786</v>
      </c>
      <c r="B2811" t="s">
        <v>10</v>
      </c>
      <c r="C2811" t="s">
        <v>1128</v>
      </c>
      <c r="D2811" t="str">
        <f t="shared" si="191"/>
        <v/>
      </c>
      <c r="E2811" t="s">
        <v>1129</v>
      </c>
      <c r="F2811" t="str">
        <f t="shared" si="192"/>
        <v>8505220</v>
      </c>
    </row>
    <row r="2812" spans="1:8" hidden="1" x14ac:dyDescent="0.25">
      <c r="A2812">
        <v>15787</v>
      </c>
      <c r="B2812" t="s">
        <v>10</v>
      </c>
      <c r="C2812" t="s">
        <v>1130</v>
      </c>
      <c r="D2812" t="str">
        <f t="shared" si="191"/>
        <v/>
      </c>
      <c r="E2812" t="s">
        <v>1131</v>
      </c>
      <c r="F2812" t="str">
        <f t="shared" si="192"/>
        <v>8505220</v>
      </c>
    </row>
    <row r="2813" spans="1:8" hidden="1" x14ac:dyDescent="0.25">
      <c r="A2813">
        <v>15788</v>
      </c>
      <c r="B2813" t="s">
        <v>10</v>
      </c>
      <c r="C2813" t="s">
        <v>1132</v>
      </c>
      <c r="D2813" t="str">
        <f t="shared" si="191"/>
        <v/>
      </c>
      <c r="E2813" t="s">
        <v>1133</v>
      </c>
      <c r="F2813" t="str">
        <f t="shared" si="192"/>
        <v>8505220</v>
      </c>
    </row>
    <row r="2814" spans="1:8" hidden="1" x14ac:dyDescent="0.25">
      <c r="A2814">
        <v>15789</v>
      </c>
      <c r="B2814" t="s">
        <v>10</v>
      </c>
      <c r="C2814" t="s">
        <v>1134</v>
      </c>
      <c r="D2814" t="str">
        <f t="shared" si="191"/>
        <v/>
      </c>
      <c r="E2814" t="s">
        <v>1135</v>
      </c>
      <c r="F2814" t="str">
        <f t="shared" si="192"/>
        <v>8505220</v>
      </c>
    </row>
    <row r="2815" spans="1:8" hidden="1" x14ac:dyDescent="0.25">
      <c r="A2815">
        <v>15790</v>
      </c>
      <c r="B2815" t="s">
        <v>10</v>
      </c>
      <c r="C2815" t="s">
        <v>1136</v>
      </c>
      <c r="D2815" t="str">
        <f t="shared" si="191"/>
        <v/>
      </c>
      <c r="E2815" t="s">
        <v>1137</v>
      </c>
      <c r="F2815" t="str">
        <f t="shared" si="192"/>
        <v>8505220</v>
      </c>
    </row>
    <row r="2816" spans="1:8" ht="15" hidden="1" customHeight="1" x14ac:dyDescent="0.25">
      <c r="A2816">
        <v>15832</v>
      </c>
      <c r="B2816" t="s">
        <v>4</v>
      </c>
      <c r="C2816" t="s">
        <v>1161</v>
      </c>
      <c r="D2816" t="str">
        <f t="shared" si="191"/>
        <v/>
      </c>
      <c r="E2816" t="s">
        <v>1162</v>
      </c>
      <c r="F2816" t="str">
        <f t="shared" si="192"/>
        <v>8505120</v>
      </c>
      <c r="H2816">
        <v>1</v>
      </c>
    </row>
    <row r="2817" spans="1:8" ht="15" hidden="1" customHeight="1" x14ac:dyDescent="0.25">
      <c r="A2817">
        <v>20217</v>
      </c>
      <c r="B2817" t="s">
        <v>4</v>
      </c>
      <c r="C2817" t="s">
        <v>5643</v>
      </c>
      <c r="D2817" t="str">
        <f t="shared" si="191"/>
        <v/>
      </c>
      <c r="E2817" t="s">
        <v>5644</v>
      </c>
      <c r="F2817" t="str">
        <f t="shared" si="192"/>
        <v>8505134</v>
      </c>
      <c r="H2817">
        <v>1</v>
      </c>
    </row>
    <row r="2818" spans="1:8" ht="15" hidden="1" customHeight="1" x14ac:dyDescent="0.25">
      <c r="A2818">
        <v>20220</v>
      </c>
      <c r="B2818" t="s">
        <v>4</v>
      </c>
      <c r="C2818" t="s">
        <v>5645</v>
      </c>
      <c r="D2818" t="str">
        <f t="shared" si="191"/>
        <v/>
      </c>
      <c r="E2818" t="s">
        <v>5646</v>
      </c>
      <c r="F2818" t="str">
        <f t="shared" si="192"/>
        <v>8505135</v>
      </c>
      <c r="H2818">
        <v>1</v>
      </c>
    </row>
    <row r="2819" spans="1:8" ht="15" hidden="1" customHeight="1" x14ac:dyDescent="0.25">
      <c r="A2819">
        <v>20223</v>
      </c>
      <c r="B2819" t="s">
        <v>4</v>
      </c>
      <c r="C2819" t="s">
        <v>5647</v>
      </c>
      <c r="D2819" t="str">
        <f t="shared" si="191"/>
        <v/>
      </c>
      <c r="E2819" t="s">
        <v>5648</v>
      </c>
      <c r="F2819" t="str">
        <f t="shared" si="192"/>
        <v>8505136</v>
      </c>
      <c r="H2819">
        <v>1</v>
      </c>
    </row>
    <row r="2820" spans="1:8" ht="15" hidden="1" customHeight="1" x14ac:dyDescent="0.25">
      <c r="A2820">
        <v>20226</v>
      </c>
      <c r="B2820" t="s">
        <v>4</v>
      </c>
      <c r="C2820" t="s">
        <v>5649</v>
      </c>
      <c r="D2820" t="str">
        <f t="shared" si="191"/>
        <v/>
      </c>
      <c r="E2820" t="s">
        <v>5650</v>
      </c>
      <c r="F2820" t="str">
        <f t="shared" si="192"/>
        <v>8505137</v>
      </c>
      <c r="H2820">
        <v>1</v>
      </c>
    </row>
    <row r="2821" spans="1:8" ht="15" hidden="1" customHeight="1" x14ac:dyDescent="0.25">
      <c r="A2821">
        <v>20229</v>
      </c>
      <c r="B2821" t="s">
        <v>4</v>
      </c>
      <c r="C2821" t="s">
        <v>5651</v>
      </c>
      <c r="D2821" t="str">
        <f t="shared" si="191"/>
        <v/>
      </c>
      <c r="E2821" t="s">
        <v>5652</v>
      </c>
      <c r="F2821" t="str">
        <f t="shared" si="192"/>
        <v>8505138</v>
      </c>
      <c r="H2821">
        <v>1</v>
      </c>
    </row>
    <row r="2822" spans="1:8" ht="15" customHeight="1" x14ac:dyDescent="0.25">
      <c r="A2822">
        <v>15658</v>
      </c>
      <c r="B2822" t="s">
        <v>7</v>
      </c>
      <c r="C2822" t="s">
        <v>1022</v>
      </c>
      <c r="D2822" t="str">
        <f t="shared" si="191"/>
        <v/>
      </c>
      <c r="E2822" t="s">
        <v>1023</v>
      </c>
      <c r="F2822" t="str">
        <f t="shared" si="192"/>
        <v>8505014</v>
      </c>
    </row>
    <row r="2823" spans="1:8" ht="15" hidden="1" customHeight="1" x14ac:dyDescent="0.25">
      <c r="A2823">
        <v>15659</v>
      </c>
      <c r="B2823" t="s">
        <v>10</v>
      </c>
      <c r="C2823" t="s">
        <v>1024</v>
      </c>
      <c r="D2823" t="str">
        <f t="shared" si="191"/>
        <v/>
      </c>
      <c r="E2823" t="s">
        <v>1025</v>
      </c>
      <c r="F2823" t="str">
        <f t="shared" si="192"/>
        <v>8505014</v>
      </c>
    </row>
    <row r="2824" spans="1:8" ht="15" hidden="1" customHeight="1" x14ac:dyDescent="0.25">
      <c r="A2824">
        <v>15669</v>
      </c>
      <c r="B2824" t="s">
        <v>10</v>
      </c>
      <c r="C2824" t="s">
        <v>1026</v>
      </c>
      <c r="D2824" t="str">
        <f t="shared" si="191"/>
        <v/>
      </c>
      <c r="E2824" t="s">
        <v>1027</v>
      </c>
      <c r="F2824" t="str">
        <f t="shared" si="192"/>
        <v>8505014</v>
      </c>
    </row>
    <row r="2825" spans="1:8" hidden="1" x14ac:dyDescent="0.25">
      <c r="A2825">
        <v>15670</v>
      </c>
      <c r="B2825" t="s">
        <v>10</v>
      </c>
      <c r="C2825" t="s">
        <v>1028</v>
      </c>
      <c r="D2825" t="str">
        <f t="shared" si="191"/>
        <v/>
      </c>
      <c r="E2825" t="s">
        <v>1029</v>
      </c>
      <c r="F2825" t="str">
        <f t="shared" si="192"/>
        <v>8505014</v>
      </c>
    </row>
    <row r="2826" spans="1:8" hidden="1" x14ac:dyDescent="0.25">
      <c r="A2826">
        <v>15671</v>
      </c>
      <c r="B2826" t="s">
        <v>10</v>
      </c>
      <c r="C2826" t="s">
        <v>1030</v>
      </c>
      <c r="D2826" t="str">
        <f t="shared" si="191"/>
        <v/>
      </c>
      <c r="E2826" t="s">
        <v>1031</v>
      </c>
      <c r="F2826" t="str">
        <f t="shared" si="192"/>
        <v>8505014</v>
      </c>
    </row>
    <row r="2827" spans="1:8" hidden="1" x14ac:dyDescent="0.25">
      <c r="A2827">
        <v>15672</v>
      </c>
      <c r="B2827" t="s">
        <v>10</v>
      </c>
      <c r="C2827" t="s">
        <v>1032</v>
      </c>
      <c r="D2827" t="str">
        <f t="shared" si="191"/>
        <v/>
      </c>
      <c r="E2827" t="s">
        <v>1033</v>
      </c>
      <c r="F2827" t="str">
        <f t="shared" si="192"/>
        <v>8505014</v>
      </c>
    </row>
    <row r="2828" spans="1:8" hidden="1" x14ac:dyDescent="0.25">
      <c r="A2828">
        <v>15673</v>
      </c>
      <c r="B2828" t="s">
        <v>10</v>
      </c>
      <c r="C2828" t="s">
        <v>1034</v>
      </c>
      <c r="D2828" t="str">
        <f t="shared" si="191"/>
        <v/>
      </c>
      <c r="E2828" t="s">
        <v>1035</v>
      </c>
      <c r="F2828" t="str">
        <f t="shared" si="192"/>
        <v>8505014</v>
      </c>
    </row>
    <row r="2829" spans="1:8" hidden="1" x14ac:dyDescent="0.25">
      <c r="A2829">
        <v>15674</v>
      </c>
      <c r="B2829" t="s">
        <v>10</v>
      </c>
      <c r="C2829" t="s">
        <v>1036</v>
      </c>
      <c r="D2829" t="str">
        <f t="shared" si="191"/>
        <v/>
      </c>
      <c r="E2829" t="s">
        <v>1037</v>
      </c>
      <c r="F2829" t="str">
        <f t="shared" si="192"/>
        <v>8505014</v>
      </c>
    </row>
    <row r="2830" spans="1:8" hidden="1" x14ac:dyDescent="0.25">
      <c r="A2830">
        <v>15675</v>
      </c>
      <c r="B2830" t="s">
        <v>10</v>
      </c>
      <c r="C2830" t="s">
        <v>1038</v>
      </c>
      <c r="D2830" t="str">
        <f t="shared" si="191"/>
        <v/>
      </c>
      <c r="E2830" t="s">
        <v>1039</v>
      </c>
      <c r="F2830" t="str">
        <f t="shared" si="192"/>
        <v>8505014</v>
      </c>
    </row>
    <row r="2831" spans="1:8" hidden="1" x14ac:dyDescent="0.25">
      <c r="A2831">
        <v>18669</v>
      </c>
      <c r="B2831" t="s">
        <v>4</v>
      </c>
      <c r="C2831" t="s">
        <v>3858</v>
      </c>
      <c r="D2831" t="str">
        <f t="shared" si="191"/>
        <v/>
      </c>
      <c r="E2831" t="s">
        <v>3859</v>
      </c>
      <c r="F2831" t="str">
        <f t="shared" si="192"/>
        <v>8505140</v>
      </c>
      <c r="H2831">
        <v>1</v>
      </c>
    </row>
    <row r="2832" spans="1:8" hidden="1" x14ac:dyDescent="0.25">
      <c r="A2832">
        <v>15791</v>
      </c>
      <c r="B2832" t="s">
        <v>4</v>
      </c>
      <c r="C2832" t="s">
        <v>1138</v>
      </c>
      <c r="D2832" t="str">
        <f t="shared" si="191"/>
        <v/>
      </c>
      <c r="E2832" t="s">
        <v>1139</v>
      </c>
      <c r="F2832" t="str">
        <f t="shared" si="192"/>
        <v>8505131</v>
      </c>
      <c r="H2832">
        <v>1</v>
      </c>
    </row>
    <row r="2833" spans="1:8" hidden="1" x14ac:dyDescent="0.25">
      <c r="A2833">
        <v>15794</v>
      </c>
      <c r="B2833" t="s">
        <v>4</v>
      </c>
      <c r="C2833" t="s">
        <v>1140</v>
      </c>
      <c r="D2833" t="str">
        <f t="shared" si="191"/>
        <v/>
      </c>
      <c r="E2833" t="s">
        <v>1141</v>
      </c>
      <c r="F2833" t="str">
        <f t="shared" si="192"/>
        <v>8505109</v>
      </c>
      <c r="H2833">
        <v>1</v>
      </c>
    </row>
    <row r="2834" spans="1:8" hidden="1" x14ac:dyDescent="0.25">
      <c r="A2834">
        <v>15747</v>
      </c>
      <c r="B2834" t="s">
        <v>4</v>
      </c>
      <c r="C2834" t="s">
        <v>1104</v>
      </c>
      <c r="D2834" t="str">
        <f t="shared" si="191"/>
        <v/>
      </c>
      <c r="E2834" t="s">
        <v>1105</v>
      </c>
      <c r="F2834" t="str">
        <f t="shared" si="192"/>
        <v>8505127</v>
      </c>
      <c r="H2834">
        <v>1</v>
      </c>
    </row>
    <row r="2835" spans="1:8" hidden="1" x14ac:dyDescent="0.25">
      <c r="A2835">
        <v>15997</v>
      </c>
      <c r="B2835" t="s">
        <v>4</v>
      </c>
      <c r="C2835" t="s">
        <v>1244</v>
      </c>
      <c r="D2835" t="str">
        <f t="shared" si="191"/>
        <v/>
      </c>
      <c r="E2835" t="s">
        <v>1245</v>
      </c>
      <c r="F2835" t="str">
        <f t="shared" si="192"/>
        <v>5919165</v>
      </c>
      <c r="H2835">
        <v>5</v>
      </c>
    </row>
    <row r="2836" spans="1:8" hidden="1" x14ac:dyDescent="0.25">
      <c r="A2836">
        <v>17062</v>
      </c>
      <c r="B2836" t="s">
        <v>4</v>
      </c>
      <c r="C2836" t="s">
        <v>1924</v>
      </c>
      <c r="D2836" t="str">
        <f t="shared" si="191"/>
        <v/>
      </c>
      <c r="E2836" t="s">
        <v>1925</v>
      </c>
      <c r="F2836" t="str">
        <f t="shared" si="192"/>
        <v>8520626</v>
      </c>
      <c r="H2836">
        <v>6</v>
      </c>
    </row>
    <row r="2837" spans="1:8" hidden="1" x14ac:dyDescent="0.25">
      <c r="A2837">
        <v>19867</v>
      </c>
      <c r="B2837" t="s">
        <v>4</v>
      </c>
      <c r="C2837" t="s">
        <v>5295</v>
      </c>
      <c r="D2837" t="str">
        <f t="shared" si="191"/>
        <v/>
      </c>
      <c r="E2837" t="s">
        <v>5296</v>
      </c>
      <c r="F2837" t="str">
        <f t="shared" si="192"/>
        <v>8520629</v>
      </c>
      <c r="H2837">
        <v>1</v>
      </c>
    </row>
    <row r="2838" spans="1:8" ht="15" hidden="1" customHeight="1" x14ac:dyDescent="0.25">
      <c r="A2838">
        <v>16069</v>
      </c>
      <c r="B2838" t="s">
        <v>4</v>
      </c>
      <c r="C2838" t="s">
        <v>1288</v>
      </c>
      <c r="D2838" t="str">
        <f t="shared" si="191"/>
        <v/>
      </c>
      <c r="E2838" t="s">
        <v>1289</v>
      </c>
      <c r="F2838" t="str">
        <f t="shared" si="192"/>
        <v>8703557</v>
      </c>
    </row>
    <row r="2839" spans="1:8" ht="15" hidden="1" customHeight="1" x14ac:dyDescent="0.25">
      <c r="A2839">
        <v>16098</v>
      </c>
      <c r="B2839" t="s">
        <v>4</v>
      </c>
      <c r="C2839" t="s">
        <v>1298</v>
      </c>
      <c r="D2839" t="str">
        <f t="shared" si="191"/>
        <v/>
      </c>
      <c r="E2839" t="s">
        <v>1299</v>
      </c>
      <c r="F2839" t="str">
        <f t="shared" si="192"/>
        <v>8703208</v>
      </c>
    </row>
    <row r="2840" spans="1:8" ht="15" hidden="1" customHeight="1" x14ac:dyDescent="0.25">
      <c r="A2840">
        <v>19624</v>
      </c>
      <c r="B2840" t="s">
        <v>4</v>
      </c>
      <c r="C2840" t="s">
        <v>4987</v>
      </c>
      <c r="D2840" t="str">
        <f t="shared" ref="D2840:D2903" si="193">IF(RIGHT(LEFT(C2840,9),2)="##","",RIGHT(LEFT(C2840,10),2))</f>
        <v/>
      </c>
      <c r="E2840" t="s">
        <v>4988</v>
      </c>
      <c r="F2840" t="str">
        <f t="shared" si="192"/>
        <v>8703207</v>
      </c>
    </row>
    <row r="2841" spans="1:8" ht="15" hidden="1" customHeight="1" x14ac:dyDescent="0.25">
      <c r="A2841">
        <v>15431</v>
      </c>
      <c r="B2841" t="s">
        <v>4</v>
      </c>
      <c r="C2841" t="s">
        <v>839</v>
      </c>
      <c r="D2841" t="str">
        <f t="shared" si="193"/>
        <v/>
      </c>
      <c r="E2841" t="s">
        <v>840</v>
      </c>
      <c r="F2841" t="str">
        <f t="shared" si="192"/>
        <v>8703206</v>
      </c>
    </row>
    <row r="2842" spans="1:8" hidden="1" x14ac:dyDescent="0.25">
      <c r="A2842">
        <v>17036</v>
      </c>
      <c r="B2842" t="s">
        <v>4</v>
      </c>
      <c r="C2842" t="s">
        <v>1912</v>
      </c>
      <c r="D2842" t="str">
        <f t="shared" si="193"/>
        <v/>
      </c>
      <c r="E2842" t="s">
        <v>1913</v>
      </c>
      <c r="F2842" t="str">
        <f t="shared" si="192"/>
        <v>8703205</v>
      </c>
    </row>
    <row r="2843" spans="1:8" hidden="1" x14ac:dyDescent="0.25">
      <c r="A2843">
        <v>20659</v>
      </c>
      <c r="B2843" t="s">
        <v>4</v>
      </c>
      <c r="C2843" t="s">
        <v>6029</v>
      </c>
      <c r="D2843" t="str">
        <f t="shared" si="193"/>
        <v/>
      </c>
      <c r="E2843" t="s">
        <v>6030</v>
      </c>
      <c r="F2843" t="str">
        <f t="shared" si="192"/>
        <v>8703656</v>
      </c>
    </row>
    <row r="2844" spans="1:8" x14ac:dyDescent="0.25">
      <c r="A2844">
        <v>14680</v>
      </c>
      <c r="B2844" t="s">
        <v>7</v>
      </c>
      <c r="C2844" t="s">
        <v>47</v>
      </c>
      <c r="D2844" t="str">
        <f t="shared" si="193"/>
        <v/>
      </c>
      <c r="E2844" t="s">
        <v>48</v>
      </c>
      <c r="F2844" t="str">
        <f t="shared" si="192"/>
        <v>8703036</v>
      </c>
      <c r="H2844">
        <v>5</v>
      </c>
    </row>
    <row r="2845" spans="1:8" hidden="1" x14ac:dyDescent="0.25">
      <c r="A2845">
        <v>14681</v>
      </c>
      <c r="B2845" t="s">
        <v>10</v>
      </c>
      <c r="C2845" t="s">
        <v>49</v>
      </c>
      <c r="D2845" t="str">
        <f t="shared" si="193"/>
        <v/>
      </c>
      <c r="E2845" t="s">
        <v>50</v>
      </c>
      <c r="F2845" t="str">
        <f t="shared" si="192"/>
        <v>8703036</v>
      </c>
    </row>
    <row r="2846" spans="1:8" hidden="1" x14ac:dyDescent="0.25">
      <c r="A2846">
        <v>14687</v>
      </c>
      <c r="B2846" t="s">
        <v>10</v>
      </c>
      <c r="C2846" t="s">
        <v>51</v>
      </c>
      <c r="D2846" t="str">
        <f t="shared" si="193"/>
        <v/>
      </c>
      <c r="E2846" t="s">
        <v>52</v>
      </c>
      <c r="F2846" t="str">
        <f t="shared" si="192"/>
        <v>8703036</v>
      </c>
    </row>
    <row r="2847" spans="1:8" hidden="1" x14ac:dyDescent="0.25">
      <c r="A2847">
        <v>14688</v>
      </c>
      <c r="B2847" t="s">
        <v>10</v>
      </c>
      <c r="C2847" t="s">
        <v>53</v>
      </c>
      <c r="D2847" t="str">
        <f t="shared" si="193"/>
        <v/>
      </c>
      <c r="E2847" t="s">
        <v>54</v>
      </c>
      <c r="F2847" t="str">
        <f t="shared" si="192"/>
        <v>8703036</v>
      </c>
    </row>
    <row r="2848" spans="1:8" hidden="1" x14ac:dyDescent="0.25">
      <c r="A2848">
        <v>15591</v>
      </c>
      <c r="B2848" t="s">
        <v>4</v>
      </c>
      <c r="C2848" t="s">
        <v>953</v>
      </c>
      <c r="D2848" t="str">
        <f t="shared" si="193"/>
        <v/>
      </c>
      <c r="E2848" t="s">
        <v>954</v>
      </c>
      <c r="F2848" t="str">
        <f t="shared" ref="F2848:F2911" si="194">LEFT(C2848,7)</f>
        <v>8703051</v>
      </c>
    </row>
    <row r="2849" spans="1:8" hidden="1" x14ac:dyDescent="0.25">
      <c r="A2849">
        <v>15932</v>
      </c>
      <c r="B2849" t="s">
        <v>4</v>
      </c>
      <c r="C2849" t="s">
        <v>1206</v>
      </c>
      <c r="D2849" t="str">
        <f t="shared" si="193"/>
        <v/>
      </c>
      <c r="E2849" t="s">
        <v>1207</v>
      </c>
      <c r="F2849" t="str">
        <f t="shared" si="194"/>
        <v>8703811</v>
      </c>
    </row>
    <row r="2850" spans="1:8" hidden="1" x14ac:dyDescent="0.25">
      <c r="A2850">
        <v>16231</v>
      </c>
      <c r="B2850" t="s">
        <v>4</v>
      </c>
      <c r="C2850" t="s">
        <v>1370</v>
      </c>
      <c r="D2850" t="str">
        <f t="shared" si="193"/>
        <v/>
      </c>
      <c r="E2850" t="s">
        <v>1371</v>
      </c>
      <c r="F2850" t="str">
        <f t="shared" si="194"/>
        <v>8703103</v>
      </c>
    </row>
    <row r="2851" spans="1:8" hidden="1" x14ac:dyDescent="0.25">
      <c r="A2851">
        <v>17376</v>
      </c>
      <c r="B2851" t="s">
        <v>4</v>
      </c>
      <c r="C2851" t="s">
        <v>2115</v>
      </c>
      <c r="D2851" t="str">
        <f t="shared" si="193"/>
        <v/>
      </c>
      <c r="E2851" t="s">
        <v>2116</v>
      </c>
      <c r="F2851" t="str">
        <f t="shared" si="194"/>
        <v>8703157</v>
      </c>
    </row>
    <row r="2852" spans="1:8" hidden="1" x14ac:dyDescent="0.25">
      <c r="A2852">
        <v>16651</v>
      </c>
      <c r="B2852" t="s">
        <v>4</v>
      </c>
      <c r="C2852" t="s">
        <v>1586</v>
      </c>
      <c r="D2852" t="str">
        <f t="shared" si="193"/>
        <v/>
      </c>
      <c r="E2852" t="s">
        <v>1587</v>
      </c>
      <c r="F2852" t="str">
        <f t="shared" si="194"/>
        <v>8703107</v>
      </c>
    </row>
    <row r="2853" spans="1:8" ht="15" hidden="1" customHeight="1" x14ac:dyDescent="0.25">
      <c r="A2853">
        <v>15923</v>
      </c>
      <c r="B2853" t="s">
        <v>4</v>
      </c>
      <c r="C2853" t="s">
        <v>1202</v>
      </c>
      <c r="D2853" t="str">
        <f t="shared" si="193"/>
        <v/>
      </c>
      <c r="E2853" t="s">
        <v>1203</v>
      </c>
      <c r="F2853" t="str">
        <f t="shared" si="194"/>
        <v>8703702</v>
      </c>
    </row>
    <row r="2854" spans="1:8" ht="15" hidden="1" customHeight="1" x14ac:dyDescent="0.25">
      <c r="A2854">
        <v>19152</v>
      </c>
      <c r="B2854" t="s">
        <v>4</v>
      </c>
      <c r="C2854" t="s">
        <v>4609</v>
      </c>
      <c r="D2854" t="str">
        <f t="shared" si="193"/>
        <v/>
      </c>
      <c r="E2854" t="s">
        <v>4354</v>
      </c>
      <c r="F2854" t="str">
        <f t="shared" si="194"/>
        <v>8703241</v>
      </c>
    </row>
    <row r="2855" spans="1:8" ht="15" hidden="1" customHeight="1" x14ac:dyDescent="0.25">
      <c r="A2855">
        <v>19146</v>
      </c>
      <c r="B2855" t="s">
        <v>4</v>
      </c>
      <c r="C2855" t="s">
        <v>4352</v>
      </c>
      <c r="D2855" t="str">
        <f t="shared" si="193"/>
        <v/>
      </c>
      <c r="E2855" t="s">
        <v>4353</v>
      </c>
      <c r="F2855" t="str">
        <f t="shared" si="194"/>
        <v>8703240</v>
      </c>
    </row>
    <row r="2856" spans="1:8" hidden="1" x14ac:dyDescent="0.25">
      <c r="A2856">
        <v>14616</v>
      </c>
      <c r="B2856" t="s">
        <v>4</v>
      </c>
      <c r="C2856" t="s">
        <v>5</v>
      </c>
      <c r="D2856" t="str">
        <f t="shared" si="193"/>
        <v/>
      </c>
      <c r="E2856" t="s">
        <v>6</v>
      </c>
      <c r="F2856" t="str">
        <f t="shared" si="194"/>
        <v>8703004</v>
      </c>
      <c r="H2856">
        <v>2</v>
      </c>
    </row>
    <row r="2857" spans="1:8" hidden="1" x14ac:dyDescent="0.25">
      <c r="A2857">
        <v>15255</v>
      </c>
      <c r="B2857" t="s">
        <v>4</v>
      </c>
      <c r="C2857" t="s">
        <v>717</v>
      </c>
      <c r="D2857" t="str">
        <f t="shared" si="193"/>
        <v/>
      </c>
      <c r="E2857" t="s">
        <v>718</v>
      </c>
      <c r="F2857" t="str">
        <f t="shared" si="194"/>
        <v>8703500</v>
      </c>
    </row>
    <row r="2858" spans="1:8" hidden="1" x14ac:dyDescent="0.25">
      <c r="A2858">
        <v>19987</v>
      </c>
      <c r="B2858" t="s">
        <v>4</v>
      </c>
      <c r="C2858" t="s">
        <v>5377</v>
      </c>
      <c r="D2858" t="str">
        <f t="shared" si="193"/>
        <v/>
      </c>
      <c r="E2858" t="s">
        <v>5378</v>
      </c>
      <c r="F2858" t="str">
        <f t="shared" si="194"/>
        <v>8703900</v>
      </c>
    </row>
    <row r="2859" spans="1:8" x14ac:dyDescent="0.25">
      <c r="A2859">
        <v>15943</v>
      </c>
      <c r="B2859" t="s">
        <v>7</v>
      </c>
      <c r="C2859" t="s">
        <v>1210</v>
      </c>
      <c r="D2859" t="str">
        <f t="shared" si="193"/>
        <v/>
      </c>
      <c r="E2859" t="s">
        <v>1211</v>
      </c>
      <c r="F2859" t="str">
        <f t="shared" si="194"/>
        <v>8707113</v>
      </c>
      <c r="H2859">
        <v>3</v>
      </c>
    </row>
    <row r="2860" spans="1:8" hidden="1" x14ac:dyDescent="0.25">
      <c r="A2860">
        <v>15944</v>
      </c>
      <c r="B2860" t="s">
        <v>10</v>
      </c>
      <c r="C2860" t="s">
        <v>1212</v>
      </c>
      <c r="D2860" t="str">
        <f t="shared" si="193"/>
        <v/>
      </c>
      <c r="E2860" t="s">
        <v>1213</v>
      </c>
      <c r="F2860" t="str">
        <f t="shared" si="194"/>
        <v>8707113</v>
      </c>
    </row>
    <row r="2861" spans="1:8" hidden="1" x14ac:dyDescent="0.25">
      <c r="A2861">
        <v>15948</v>
      </c>
      <c r="B2861" t="s">
        <v>10</v>
      </c>
      <c r="C2861" t="s">
        <v>1214</v>
      </c>
      <c r="D2861" t="str">
        <f t="shared" si="193"/>
        <v/>
      </c>
      <c r="E2861" t="s">
        <v>1215</v>
      </c>
      <c r="F2861" t="str">
        <f t="shared" si="194"/>
        <v>8707113</v>
      </c>
    </row>
    <row r="2862" spans="1:8" hidden="1" x14ac:dyDescent="0.25">
      <c r="A2862">
        <v>20689</v>
      </c>
      <c r="B2862" t="s">
        <v>4</v>
      </c>
      <c r="C2862" t="s">
        <v>6039</v>
      </c>
      <c r="D2862" t="str">
        <f t="shared" si="193"/>
        <v/>
      </c>
      <c r="E2862" t="s">
        <v>6040</v>
      </c>
      <c r="F2862" t="str">
        <f t="shared" si="194"/>
        <v>8703667</v>
      </c>
    </row>
    <row r="2863" spans="1:8" hidden="1" x14ac:dyDescent="0.25">
      <c r="A2863">
        <v>20665</v>
      </c>
      <c r="B2863" t="s">
        <v>4</v>
      </c>
      <c r="C2863" t="s">
        <v>6031</v>
      </c>
      <c r="D2863" t="str">
        <f t="shared" si="193"/>
        <v/>
      </c>
      <c r="E2863" t="s">
        <v>6032</v>
      </c>
      <c r="F2863" t="str">
        <f t="shared" si="194"/>
        <v>8703658</v>
      </c>
    </row>
    <row r="2864" spans="1:8" hidden="1" x14ac:dyDescent="0.25">
      <c r="A2864">
        <v>19332</v>
      </c>
      <c r="B2864" t="s">
        <v>4</v>
      </c>
      <c r="C2864" t="s">
        <v>4609</v>
      </c>
      <c r="D2864" t="str">
        <f t="shared" si="193"/>
        <v/>
      </c>
      <c r="E2864" t="s">
        <v>4610</v>
      </c>
      <c r="F2864" t="str">
        <f t="shared" si="194"/>
        <v>8703241</v>
      </c>
    </row>
    <row r="2865" spans="1:8" hidden="1" x14ac:dyDescent="0.25">
      <c r="A2865">
        <v>16089</v>
      </c>
      <c r="B2865" t="s">
        <v>4</v>
      </c>
      <c r="C2865" t="s">
        <v>1296</v>
      </c>
      <c r="D2865" t="str">
        <f t="shared" si="193"/>
        <v/>
      </c>
      <c r="E2865" t="s">
        <v>1297</v>
      </c>
      <c r="F2865" t="str">
        <f t="shared" si="194"/>
        <v>8703960</v>
      </c>
    </row>
    <row r="2866" spans="1:8" hidden="1" x14ac:dyDescent="0.25">
      <c r="A2866">
        <v>20707</v>
      </c>
      <c r="B2866" t="s">
        <v>4</v>
      </c>
      <c r="C2866" t="s">
        <v>6045</v>
      </c>
      <c r="D2866" t="str">
        <f t="shared" si="193"/>
        <v/>
      </c>
      <c r="E2866" t="s">
        <v>6046</v>
      </c>
      <c r="F2866" t="str">
        <f t="shared" si="194"/>
        <v>8703679</v>
      </c>
    </row>
    <row r="2867" spans="1:8" hidden="1" x14ac:dyDescent="0.25">
      <c r="A2867">
        <v>20671</v>
      </c>
      <c r="B2867" t="s">
        <v>4</v>
      </c>
      <c r="C2867" t="s">
        <v>6033</v>
      </c>
      <c r="D2867" t="str">
        <f t="shared" si="193"/>
        <v/>
      </c>
      <c r="E2867" t="s">
        <v>6034</v>
      </c>
      <c r="F2867" t="str">
        <f t="shared" si="194"/>
        <v>8703660</v>
      </c>
    </row>
    <row r="2868" spans="1:8" hidden="1" x14ac:dyDescent="0.25">
      <c r="A2868">
        <v>21023</v>
      </c>
      <c r="B2868" t="s">
        <v>4</v>
      </c>
      <c r="C2868" t="s">
        <v>6429</v>
      </c>
      <c r="D2868" t="str">
        <f t="shared" si="193"/>
        <v/>
      </c>
      <c r="E2868" t="s">
        <v>6430</v>
      </c>
      <c r="F2868" t="str">
        <f t="shared" si="194"/>
        <v>8703245</v>
      </c>
    </row>
    <row r="2869" spans="1:8" hidden="1" x14ac:dyDescent="0.25">
      <c r="A2869">
        <v>20677</v>
      </c>
      <c r="B2869" t="s">
        <v>4</v>
      </c>
      <c r="C2869" t="s">
        <v>6035</v>
      </c>
      <c r="D2869" t="str">
        <f t="shared" si="193"/>
        <v/>
      </c>
      <c r="E2869" t="s">
        <v>6036</v>
      </c>
      <c r="F2869" t="str">
        <f t="shared" si="194"/>
        <v>8703662</v>
      </c>
    </row>
    <row r="2870" spans="1:8" hidden="1" x14ac:dyDescent="0.25">
      <c r="A2870">
        <v>17324</v>
      </c>
      <c r="B2870" t="s">
        <v>4</v>
      </c>
      <c r="C2870" t="s">
        <v>2089</v>
      </c>
      <c r="D2870" t="str">
        <f t="shared" si="193"/>
        <v/>
      </c>
      <c r="E2870" t="s">
        <v>2090</v>
      </c>
      <c r="F2870" t="str">
        <f t="shared" si="194"/>
        <v>8703956</v>
      </c>
    </row>
    <row r="2871" spans="1:8" hidden="1" x14ac:dyDescent="0.25">
      <c r="A2871">
        <v>20701</v>
      </c>
      <c r="B2871" t="s">
        <v>4</v>
      </c>
      <c r="C2871" t="s">
        <v>6043</v>
      </c>
      <c r="D2871" t="str">
        <f t="shared" si="193"/>
        <v/>
      </c>
      <c r="E2871" t="s">
        <v>6044</v>
      </c>
      <c r="F2871" t="str">
        <f t="shared" si="194"/>
        <v>8703671</v>
      </c>
    </row>
    <row r="2872" spans="1:8" hidden="1" x14ac:dyDescent="0.25">
      <c r="A2872">
        <v>20651</v>
      </c>
      <c r="B2872" t="s">
        <v>4</v>
      </c>
      <c r="C2872" t="s">
        <v>6027</v>
      </c>
      <c r="D2872" t="str">
        <f t="shared" si="193"/>
        <v/>
      </c>
      <c r="E2872" t="s">
        <v>6028</v>
      </c>
      <c r="F2872" t="str">
        <f t="shared" si="194"/>
        <v>8703573</v>
      </c>
    </row>
    <row r="2873" spans="1:8" hidden="1" x14ac:dyDescent="0.25">
      <c r="A2873">
        <v>19996</v>
      </c>
      <c r="B2873" t="s">
        <v>4</v>
      </c>
      <c r="C2873" t="s">
        <v>5381</v>
      </c>
      <c r="D2873" t="str">
        <f t="shared" si="193"/>
        <v/>
      </c>
      <c r="E2873" t="s">
        <v>5382</v>
      </c>
      <c r="F2873" t="str">
        <f t="shared" si="194"/>
        <v>8703300</v>
      </c>
    </row>
    <row r="2874" spans="1:8" ht="15" hidden="1" customHeight="1" x14ac:dyDescent="0.25">
      <c r="A2874">
        <v>18557</v>
      </c>
      <c r="B2874" t="s">
        <v>4</v>
      </c>
      <c r="C2874" t="s">
        <v>3757</v>
      </c>
      <c r="D2874" t="str">
        <f t="shared" si="193"/>
        <v/>
      </c>
      <c r="E2874" t="s">
        <v>3758</v>
      </c>
      <c r="F2874" t="str">
        <f t="shared" si="194"/>
        <v>8703502</v>
      </c>
    </row>
    <row r="2875" spans="1:8" ht="15" hidden="1" customHeight="1" x14ac:dyDescent="0.25">
      <c r="A2875">
        <v>15927</v>
      </c>
      <c r="B2875" t="s">
        <v>4</v>
      </c>
      <c r="C2875" t="s">
        <v>1204</v>
      </c>
      <c r="D2875" t="str">
        <f t="shared" si="193"/>
        <v/>
      </c>
      <c r="E2875" t="s">
        <v>1205</v>
      </c>
      <c r="F2875" t="str">
        <f t="shared" si="194"/>
        <v>8703812</v>
      </c>
    </row>
    <row r="2876" spans="1:8" ht="15" hidden="1" customHeight="1" x14ac:dyDescent="0.25">
      <c r="A2876">
        <v>15937</v>
      </c>
      <c r="B2876" t="s">
        <v>4</v>
      </c>
      <c r="C2876" t="s">
        <v>1208</v>
      </c>
      <c r="D2876" t="str">
        <f t="shared" si="193"/>
        <v/>
      </c>
      <c r="E2876" t="s">
        <v>1209</v>
      </c>
      <c r="F2876" t="str">
        <f t="shared" si="194"/>
        <v>8703550</v>
      </c>
    </row>
    <row r="2877" spans="1:8" hidden="1" x14ac:dyDescent="0.25">
      <c r="A2877">
        <v>15894</v>
      </c>
      <c r="B2877" t="s">
        <v>4</v>
      </c>
      <c r="C2877" t="s">
        <v>1190</v>
      </c>
      <c r="D2877" t="str">
        <f t="shared" si="193"/>
        <v/>
      </c>
      <c r="E2877" t="s">
        <v>1191</v>
      </c>
      <c r="F2877" t="str">
        <f t="shared" si="194"/>
        <v>8703810</v>
      </c>
    </row>
    <row r="2878" spans="1:8" hidden="1" x14ac:dyDescent="0.25">
      <c r="A2878">
        <v>15890</v>
      </c>
      <c r="B2878" t="s">
        <v>4</v>
      </c>
      <c r="C2878" t="s">
        <v>1188</v>
      </c>
      <c r="D2878" t="str">
        <f t="shared" si="193"/>
        <v/>
      </c>
      <c r="E2878" t="s">
        <v>1189</v>
      </c>
      <c r="F2878" t="str">
        <f t="shared" si="194"/>
        <v>8703615</v>
      </c>
    </row>
    <row r="2879" spans="1:8" ht="15" hidden="1" customHeight="1" x14ac:dyDescent="0.25">
      <c r="A2879">
        <v>15900</v>
      </c>
      <c r="B2879" t="s">
        <v>4</v>
      </c>
      <c r="C2879" t="s">
        <v>1192</v>
      </c>
      <c r="D2879" t="str">
        <f t="shared" si="193"/>
        <v/>
      </c>
      <c r="E2879" t="s">
        <v>1193</v>
      </c>
      <c r="F2879" t="str">
        <f t="shared" si="194"/>
        <v>8703619</v>
      </c>
    </row>
    <row r="2880" spans="1:8" ht="15" customHeight="1" x14ac:dyDescent="0.25">
      <c r="A2880">
        <v>18004</v>
      </c>
      <c r="B2880" t="s">
        <v>7</v>
      </c>
      <c r="C2880" t="s">
        <v>2939</v>
      </c>
      <c r="D2880" t="str">
        <f t="shared" si="193"/>
        <v/>
      </c>
      <c r="E2880" t="s">
        <v>2940</v>
      </c>
      <c r="F2880" t="str">
        <f t="shared" si="194"/>
        <v>8703926</v>
      </c>
      <c r="H2880">
        <v>5</v>
      </c>
    </row>
    <row r="2881" spans="1:8" ht="15" hidden="1" customHeight="1" x14ac:dyDescent="0.25">
      <c r="A2881">
        <v>18005</v>
      </c>
      <c r="B2881" t="s">
        <v>10</v>
      </c>
      <c r="C2881" t="s">
        <v>2941</v>
      </c>
      <c r="D2881" t="str">
        <f t="shared" si="193"/>
        <v/>
      </c>
      <c r="E2881" t="s">
        <v>2942</v>
      </c>
      <c r="F2881" t="str">
        <f t="shared" si="194"/>
        <v>8703926</v>
      </c>
    </row>
    <row r="2882" spans="1:8" ht="15" hidden="1" customHeight="1" x14ac:dyDescent="0.25">
      <c r="A2882">
        <v>18011</v>
      </c>
      <c r="B2882" t="s">
        <v>10</v>
      </c>
      <c r="C2882" t="s">
        <v>2943</v>
      </c>
      <c r="D2882" t="str">
        <f t="shared" si="193"/>
        <v/>
      </c>
      <c r="E2882" t="s">
        <v>2944</v>
      </c>
      <c r="F2882" t="str">
        <f t="shared" si="194"/>
        <v>8703926</v>
      </c>
    </row>
    <row r="2883" spans="1:8" ht="15" hidden="1" customHeight="1" x14ac:dyDescent="0.25">
      <c r="A2883">
        <v>20695</v>
      </c>
      <c r="B2883" t="s">
        <v>4</v>
      </c>
      <c r="C2883" t="s">
        <v>6041</v>
      </c>
      <c r="D2883" t="str">
        <f t="shared" si="193"/>
        <v/>
      </c>
      <c r="E2883" t="s">
        <v>6042</v>
      </c>
      <c r="F2883" t="str">
        <f t="shared" si="194"/>
        <v>8703669</v>
      </c>
    </row>
    <row r="2884" spans="1:8" ht="15" hidden="1" customHeight="1" x14ac:dyDescent="0.25">
      <c r="A2884">
        <v>15252</v>
      </c>
      <c r="B2884" t="s">
        <v>4</v>
      </c>
      <c r="C2884" t="s">
        <v>715</v>
      </c>
      <c r="D2884" t="str">
        <f t="shared" si="193"/>
        <v/>
      </c>
      <c r="E2884" t="s">
        <v>716</v>
      </c>
      <c r="F2884" t="str">
        <f t="shared" si="194"/>
        <v>8703041</v>
      </c>
    </row>
    <row r="2885" spans="1:8" ht="15" customHeight="1" x14ac:dyDescent="0.25">
      <c r="A2885">
        <v>18965</v>
      </c>
      <c r="B2885" t="s">
        <v>7</v>
      </c>
      <c r="C2885" t="s">
        <v>4123</v>
      </c>
      <c r="D2885" t="str">
        <f t="shared" si="193"/>
        <v/>
      </c>
      <c r="E2885" t="s">
        <v>4124</v>
      </c>
      <c r="F2885" t="str">
        <f t="shared" si="194"/>
        <v>8703038</v>
      </c>
      <c r="H2885">
        <v>6</v>
      </c>
    </row>
    <row r="2886" spans="1:8" ht="15" hidden="1" customHeight="1" x14ac:dyDescent="0.25">
      <c r="A2886">
        <v>18966</v>
      </c>
      <c r="B2886" t="s">
        <v>10</v>
      </c>
      <c r="C2886" t="s">
        <v>4125</v>
      </c>
      <c r="D2886" t="str">
        <f t="shared" si="193"/>
        <v/>
      </c>
      <c r="E2886" t="s">
        <v>4126</v>
      </c>
      <c r="F2886" t="str">
        <f t="shared" si="194"/>
        <v>8703038</v>
      </c>
    </row>
    <row r="2887" spans="1:8" ht="15" hidden="1" customHeight="1" x14ac:dyDescent="0.25">
      <c r="A2887">
        <v>18973</v>
      </c>
      <c r="B2887" t="s">
        <v>10</v>
      </c>
      <c r="C2887" t="s">
        <v>4127</v>
      </c>
      <c r="D2887" t="str">
        <f t="shared" si="193"/>
        <v/>
      </c>
      <c r="E2887" t="s">
        <v>4128</v>
      </c>
      <c r="F2887" t="str">
        <f t="shared" si="194"/>
        <v>8703038</v>
      </c>
    </row>
    <row r="2888" spans="1:8" ht="15" hidden="1" customHeight="1" x14ac:dyDescent="0.25">
      <c r="A2888">
        <v>18974</v>
      </c>
      <c r="B2888" t="s">
        <v>10</v>
      </c>
      <c r="C2888" t="s">
        <v>4129</v>
      </c>
      <c r="D2888" t="str">
        <f t="shared" si="193"/>
        <v/>
      </c>
      <c r="E2888" t="s">
        <v>4130</v>
      </c>
      <c r="F2888" t="str">
        <f t="shared" si="194"/>
        <v>8703038</v>
      </c>
    </row>
    <row r="2889" spans="1:8" x14ac:dyDescent="0.25">
      <c r="A2889">
        <v>14673</v>
      </c>
      <c r="B2889" t="s">
        <v>7</v>
      </c>
      <c r="C2889" t="s">
        <v>41</v>
      </c>
      <c r="D2889" t="str">
        <f t="shared" si="193"/>
        <v/>
      </c>
      <c r="E2889" t="s">
        <v>42</v>
      </c>
      <c r="F2889" t="str">
        <f t="shared" si="194"/>
        <v>8703504</v>
      </c>
      <c r="H2889">
        <v>4</v>
      </c>
    </row>
    <row r="2890" spans="1:8" hidden="1" x14ac:dyDescent="0.25">
      <c r="A2890">
        <v>14674</v>
      </c>
      <c r="B2890" t="s">
        <v>10</v>
      </c>
      <c r="C2890" t="s">
        <v>43</v>
      </c>
      <c r="D2890" t="str">
        <f t="shared" si="193"/>
        <v/>
      </c>
      <c r="E2890" t="s">
        <v>44</v>
      </c>
      <c r="F2890" t="str">
        <f t="shared" si="194"/>
        <v>8703504</v>
      </c>
    </row>
    <row r="2891" spans="1:8" hidden="1" x14ac:dyDescent="0.25">
      <c r="A2891">
        <v>14679</v>
      </c>
      <c r="B2891" t="s">
        <v>10</v>
      </c>
      <c r="C2891" t="s">
        <v>45</v>
      </c>
      <c r="D2891" t="str">
        <f t="shared" si="193"/>
        <v/>
      </c>
      <c r="E2891" t="s">
        <v>46</v>
      </c>
      <c r="F2891" t="str">
        <f t="shared" si="194"/>
        <v>8703504</v>
      </c>
    </row>
    <row r="2892" spans="1:8" x14ac:dyDescent="0.25">
      <c r="A2892">
        <v>17996</v>
      </c>
      <c r="B2892" t="s">
        <v>7</v>
      </c>
      <c r="C2892" t="s">
        <v>2933</v>
      </c>
      <c r="D2892" t="str">
        <f t="shared" si="193"/>
        <v/>
      </c>
      <c r="E2892" t="s">
        <v>2934</v>
      </c>
      <c r="F2892" t="str">
        <f t="shared" si="194"/>
        <v>8703925</v>
      </c>
      <c r="H2892">
        <v>5</v>
      </c>
    </row>
    <row r="2893" spans="1:8" hidden="1" x14ac:dyDescent="0.25">
      <c r="A2893">
        <v>17997</v>
      </c>
      <c r="B2893" t="s">
        <v>10</v>
      </c>
      <c r="C2893" t="s">
        <v>2935</v>
      </c>
      <c r="D2893" t="str">
        <f t="shared" si="193"/>
        <v/>
      </c>
      <c r="E2893" t="s">
        <v>2936</v>
      </c>
      <c r="F2893" t="str">
        <f t="shared" si="194"/>
        <v>8703925</v>
      </c>
    </row>
    <row r="2894" spans="1:8" hidden="1" x14ac:dyDescent="0.25">
      <c r="A2894">
        <v>18003</v>
      </c>
      <c r="B2894" t="s">
        <v>10</v>
      </c>
      <c r="C2894" t="s">
        <v>2937</v>
      </c>
      <c r="D2894" t="str">
        <f t="shared" si="193"/>
        <v/>
      </c>
      <c r="E2894" t="s">
        <v>2938</v>
      </c>
      <c r="F2894" t="str">
        <f t="shared" si="194"/>
        <v>8703925</v>
      </c>
    </row>
    <row r="2895" spans="1:8" hidden="1" x14ac:dyDescent="0.25">
      <c r="A2895">
        <v>16074</v>
      </c>
      <c r="B2895" t="s">
        <v>4</v>
      </c>
      <c r="C2895" t="s">
        <v>1290</v>
      </c>
      <c r="D2895" t="str">
        <f t="shared" si="193"/>
        <v/>
      </c>
      <c r="E2895" t="s">
        <v>1291</v>
      </c>
      <c r="F2895" t="str">
        <f t="shared" si="194"/>
        <v>8703509</v>
      </c>
    </row>
    <row r="2896" spans="1:8" hidden="1" x14ac:dyDescent="0.25">
      <c r="A2896">
        <v>16134</v>
      </c>
      <c r="B2896" t="s">
        <v>4</v>
      </c>
      <c r="C2896" t="s">
        <v>1318</v>
      </c>
      <c r="D2896" t="str">
        <f t="shared" si="193"/>
        <v/>
      </c>
      <c r="E2896" t="s">
        <v>1319</v>
      </c>
      <c r="F2896" t="str">
        <f t="shared" si="194"/>
        <v>8703506</v>
      </c>
    </row>
    <row r="2897" spans="1:8" ht="15" hidden="1" customHeight="1" x14ac:dyDescent="0.25">
      <c r="A2897">
        <v>16127</v>
      </c>
      <c r="B2897" t="s">
        <v>4</v>
      </c>
      <c r="C2897" t="s">
        <v>1316</v>
      </c>
      <c r="D2897" t="str">
        <f t="shared" si="193"/>
        <v/>
      </c>
      <c r="E2897" t="s">
        <v>1317</v>
      </c>
      <c r="F2897" t="str">
        <f t="shared" si="194"/>
        <v>8703604</v>
      </c>
    </row>
    <row r="2898" spans="1:8" ht="15" hidden="1" customHeight="1" x14ac:dyDescent="0.25">
      <c r="A2898">
        <v>15248</v>
      </c>
      <c r="B2898" t="s">
        <v>4</v>
      </c>
      <c r="C2898" t="s">
        <v>713</v>
      </c>
      <c r="D2898" t="str">
        <f t="shared" si="193"/>
        <v/>
      </c>
      <c r="E2898" t="s">
        <v>714</v>
      </c>
      <c r="F2898" t="str">
        <f t="shared" si="194"/>
        <v>8703042</v>
      </c>
    </row>
    <row r="2899" spans="1:8" ht="15" hidden="1" customHeight="1" x14ac:dyDescent="0.25">
      <c r="A2899">
        <v>17672</v>
      </c>
      <c r="B2899" t="s">
        <v>4</v>
      </c>
      <c r="C2899" t="s">
        <v>2417</v>
      </c>
      <c r="D2899" t="str">
        <f t="shared" si="193"/>
        <v/>
      </c>
      <c r="E2899" t="s">
        <v>2418</v>
      </c>
      <c r="F2899" t="str">
        <f t="shared" si="194"/>
        <v>8703955</v>
      </c>
    </row>
    <row r="2900" spans="1:8" ht="15" hidden="1" customHeight="1" x14ac:dyDescent="0.25">
      <c r="A2900">
        <v>20177</v>
      </c>
      <c r="B2900" t="s">
        <v>4</v>
      </c>
      <c r="C2900" t="s">
        <v>5613</v>
      </c>
      <c r="D2900" t="str">
        <f t="shared" si="193"/>
        <v/>
      </c>
      <c r="E2900" t="s">
        <v>5614</v>
      </c>
      <c r="F2900" t="str">
        <f t="shared" si="194"/>
        <v>8708001</v>
      </c>
    </row>
    <row r="2901" spans="1:8" ht="15" hidden="1" customHeight="1" x14ac:dyDescent="0.25">
      <c r="A2901">
        <v>19160</v>
      </c>
      <c r="B2901" t="s">
        <v>4</v>
      </c>
      <c r="C2901" t="s">
        <v>4355</v>
      </c>
      <c r="D2901" t="str">
        <f t="shared" si="193"/>
        <v/>
      </c>
      <c r="E2901" t="s">
        <v>4356</v>
      </c>
      <c r="F2901" t="str">
        <f t="shared" si="194"/>
        <v>8708272</v>
      </c>
    </row>
    <row r="2902" spans="1:8" ht="15" hidden="1" customHeight="1" x14ac:dyDescent="0.25">
      <c r="A2902">
        <v>17239</v>
      </c>
      <c r="B2902" t="s">
        <v>4</v>
      </c>
      <c r="C2902" t="s">
        <v>2057</v>
      </c>
      <c r="D2902" t="str">
        <f t="shared" si="193"/>
        <v/>
      </c>
      <c r="E2902" t="s">
        <v>2058</v>
      </c>
      <c r="F2902" t="str">
        <f t="shared" si="194"/>
        <v>8708070</v>
      </c>
    </row>
    <row r="2903" spans="1:8" ht="15" customHeight="1" x14ac:dyDescent="0.25">
      <c r="A2903">
        <v>20865</v>
      </c>
      <c r="B2903" t="s">
        <v>7</v>
      </c>
      <c r="C2903" t="s">
        <v>6211</v>
      </c>
      <c r="D2903" t="str">
        <f t="shared" si="193"/>
        <v/>
      </c>
      <c r="E2903" t="s">
        <v>6212</v>
      </c>
      <c r="F2903" t="str">
        <f t="shared" si="194"/>
        <v>2220030</v>
      </c>
      <c r="H2903">
        <v>3</v>
      </c>
    </row>
    <row r="2904" spans="1:8" ht="15" hidden="1" customHeight="1" x14ac:dyDescent="0.25">
      <c r="A2904">
        <v>20874</v>
      </c>
      <c r="B2904" t="s">
        <v>10</v>
      </c>
      <c r="C2904" t="s">
        <v>6221</v>
      </c>
      <c r="D2904" t="str">
        <f t="shared" ref="D2904:D2967" si="195">IF(RIGHT(LEFT(C2904,9),2)="##","",RIGHT(LEFT(C2904,10),2))</f>
        <v/>
      </c>
      <c r="E2904" t="s">
        <v>6222</v>
      </c>
      <c r="F2904" t="str">
        <f t="shared" si="194"/>
        <v>2220030</v>
      </c>
    </row>
    <row r="2905" spans="1:8" ht="15" hidden="1" customHeight="1" x14ac:dyDescent="0.25">
      <c r="A2905">
        <v>20873</v>
      </c>
      <c r="B2905" t="s">
        <v>10</v>
      </c>
      <c r="C2905" t="s">
        <v>6219</v>
      </c>
      <c r="D2905" t="str">
        <f t="shared" si="195"/>
        <v/>
      </c>
      <c r="E2905" t="s">
        <v>6220</v>
      </c>
      <c r="F2905" t="str">
        <f t="shared" si="194"/>
        <v>2220030</v>
      </c>
    </row>
    <row r="2906" spans="1:8" ht="15" hidden="1" customHeight="1" x14ac:dyDescent="0.25">
      <c r="A2906">
        <v>20872</v>
      </c>
      <c r="B2906" t="s">
        <v>10</v>
      </c>
      <c r="C2906" t="s">
        <v>6217</v>
      </c>
      <c r="D2906" t="str">
        <f t="shared" si="195"/>
        <v/>
      </c>
      <c r="E2906" t="s">
        <v>6218</v>
      </c>
      <c r="F2906" t="str">
        <f t="shared" si="194"/>
        <v>2220030</v>
      </c>
    </row>
    <row r="2907" spans="1:8" ht="15" hidden="1" customHeight="1" x14ac:dyDescent="0.25">
      <c r="A2907">
        <v>20875</v>
      </c>
      <c r="B2907" t="s">
        <v>10</v>
      </c>
      <c r="C2907" t="s">
        <v>6223</v>
      </c>
      <c r="D2907" t="str">
        <f t="shared" si="195"/>
        <v/>
      </c>
      <c r="E2907" t="s">
        <v>6224</v>
      </c>
      <c r="F2907" t="str">
        <f t="shared" si="194"/>
        <v>2220030</v>
      </c>
    </row>
    <row r="2908" spans="1:8" ht="15" hidden="1" customHeight="1" x14ac:dyDescent="0.25">
      <c r="A2908">
        <v>20871</v>
      </c>
      <c r="B2908" t="s">
        <v>10</v>
      </c>
      <c r="C2908" t="s">
        <v>6215</v>
      </c>
      <c r="D2908" t="str">
        <f t="shared" si="195"/>
        <v/>
      </c>
      <c r="E2908" t="s">
        <v>6216</v>
      </c>
      <c r="F2908" t="str">
        <f t="shared" si="194"/>
        <v>2220030</v>
      </c>
    </row>
    <row r="2909" spans="1:8" ht="15" hidden="1" customHeight="1" x14ac:dyDescent="0.25">
      <c r="A2909">
        <v>20876</v>
      </c>
      <c r="B2909" t="s">
        <v>10</v>
      </c>
      <c r="C2909" t="s">
        <v>6225</v>
      </c>
      <c r="D2909" t="str">
        <f t="shared" si="195"/>
        <v/>
      </c>
      <c r="E2909" t="s">
        <v>6226</v>
      </c>
      <c r="F2909" t="str">
        <f t="shared" si="194"/>
        <v>2220030</v>
      </c>
    </row>
    <row r="2910" spans="1:8" ht="15" hidden="1" customHeight="1" x14ac:dyDescent="0.25">
      <c r="A2910">
        <v>20866</v>
      </c>
      <c r="B2910" t="s">
        <v>10</v>
      </c>
      <c r="C2910" t="s">
        <v>6213</v>
      </c>
      <c r="D2910" t="str">
        <f t="shared" si="195"/>
        <v/>
      </c>
      <c r="E2910" t="s">
        <v>6214</v>
      </c>
      <c r="F2910" t="str">
        <f t="shared" si="194"/>
        <v>2220030</v>
      </c>
    </row>
    <row r="2911" spans="1:8" ht="15" customHeight="1" x14ac:dyDescent="0.25">
      <c r="A2911">
        <v>20877</v>
      </c>
      <c r="B2911" t="s">
        <v>7</v>
      </c>
      <c r="C2911" t="s">
        <v>6227</v>
      </c>
      <c r="D2911" t="str">
        <f t="shared" si="195"/>
        <v/>
      </c>
      <c r="E2911" t="s">
        <v>6228</v>
      </c>
      <c r="F2911" t="str">
        <f t="shared" si="194"/>
        <v>2220034</v>
      </c>
      <c r="H2911">
        <v>2</v>
      </c>
    </row>
    <row r="2912" spans="1:8" ht="15" hidden="1" customHeight="1" x14ac:dyDescent="0.25">
      <c r="A2912">
        <v>20885</v>
      </c>
      <c r="B2912" t="s">
        <v>10</v>
      </c>
      <c r="C2912" t="s">
        <v>6237</v>
      </c>
      <c r="D2912" t="str">
        <f t="shared" si="195"/>
        <v/>
      </c>
      <c r="E2912" t="s">
        <v>6238</v>
      </c>
      <c r="F2912" t="str">
        <f t="shared" ref="F2912:F2975" si="196">LEFT(C2912,7)</f>
        <v>2220034</v>
      </c>
    </row>
    <row r="2913" spans="1:8" ht="15" hidden="1" customHeight="1" x14ac:dyDescent="0.25">
      <c r="A2913">
        <v>20884</v>
      </c>
      <c r="B2913" t="s">
        <v>10</v>
      </c>
      <c r="C2913" t="s">
        <v>6235</v>
      </c>
      <c r="D2913" t="str">
        <f t="shared" si="195"/>
        <v/>
      </c>
      <c r="E2913" t="s">
        <v>6236</v>
      </c>
      <c r="F2913" t="str">
        <f t="shared" si="196"/>
        <v>2220034</v>
      </c>
    </row>
    <row r="2914" spans="1:8" ht="15" hidden="1" customHeight="1" x14ac:dyDescent="0.25">
      <c r="A2914">
        <v>20883</v>
      </c>
      <c r="B2914" t="s">
        <v>10</v>
      </c>
      <c r="C2914" t="s">
        <v>6233</v>
      </c>
      <c r="D2914" t="str">
        <f t="shared" si="195"/>
        <v/>
      </c>
      <c r="E2914" t="s">
        <v>6234</v>
      </c>
      <c r="F2914" t="str">
        <f t="shared" si="196"/>
        <v>2220034</v>
      </c>
    </row>
    <row r="2915" spans="1:8" ht="15" hidden="1" customHeight="1" x14ac:dyDescent="0.25">
      <c r="A2915">
        <v>20886</v>
      </c>
      <c r="B2915" t="s">
        <v>10</v>
      </c>
      <c r="C2915" t="s">
        <v>6239</v>
      </c>
      <c r="D2915" t="str">
        <f t="shared" si="195"/>
        <v/>
      </c>
      <c r="E2915" t="s">
        <v>6240</v>
      </c>
      <c r="F2915" t="str">
        <f t="shared" si="196"/>
        <v>2220034</v>
      </c>
    </row>
    <row r="2916" spans="1:8" ht="15" hidden="1" customHeight="1" x14ac:dyDescent="0.25">
      <c r="A2916">
        <v>20882</v>
      </c>
      <c r="B2916" t="s">
        <v>10</v>
      </c>
      <c r="C2916" t="s">
        <v>6231</v>
      </c>
      <c r="D2916" t="str">
        <f t="shared" si="195"/>
        <v/>
      </c>
      <c r="E2916" t="s">
        <v>6232</v>
      </c>
      <c r="F2916" t="str">
        <f t="shared" si="196"/>
        <v>2220034</v>
      </c>
    </row>
    <row r="2917" spans="1:8" ht="15" hidden="1" customHeight="1" x14ac:dyDescent="0.25">
      <c r="A2917">
        <v>20887</v>
      </c>
      <c r="B2917" t="s">
        <v>10</v>
      </c>
      <c r="C2917" t="s">
        <v>6241</v>
      </c>
      <c r="D2917" t="str">
        <f t="shared" si="195"/>
        <v/>
      </c>
      <c r="E2917" t="s">
        <v>6242</v>
      </c>
      <c r="F2917" t="str">
        <f t="shared" si="196"/>
        <v>2220034</v>
      </c>
    </row>
    <row r="2918" spans="1:8" ht="15" hidden="1" customHeight="1" x14ac:dyDescent="0.25">
      <c r="A2918">
        <v>20878</v>
      </c>
      <c r="B2918" t="s">
        <v>10</v>
      </c>
      <c r="C2918" t="s">
        <v>6229</v>
      </c>
      <c r="D2918" t="str">
        <f t="shared" si="195"/>
        <v/>
      </c>
      <c r="E2918" t="s">
        <v>6230</v>
      </c>
      <c r="F2918" t="str">
        <f t="shared" si="196"/>
        <v>2220034</v>
      </c>
    </row>
    <row r="2919" spans="1:8" ht="15" customHeight="1" x14ac:dyDescent="0.25">
      <c r="A2919">
        <v>20896</v>
      </c>
      <c r="B2919" t="s">
        <v>7</v>
      </c>
      <c r="C2919" t="s">
        <v>6259</v>
      </c>
      <c r="D2919" t="str">
        <f t="shared" si="195"/>
        <v/>
      </c>
      <c r="E2919" t="s">
        <v>6260</v>
      </c>
      <c r="F2919" t="str">
        <f t="shared" si="196"/>
        <v>2220032</v>
      </c>
      <c r="H2919">
        <v>3</v>
      </c>
    </row>
    <row r="2920" spans="1:8" ht="15" hidden="1" customHeight="1" x14ac:dyDescent="0.25">
      <c r="A2920">
        <v>20901</v>
      </c>
      <c r="B2920" t="s">
        <v>10</v>
      </c>
      <c r="C2920" t="s">
        <v>6269</v>
      </c>
      <c r="D2920" t="str">
        <f t="shared" si="195"/>
        <v/>
      </c>
      <c r="E2920" t="s">
        <v>6270</v>
      </c>
      <c r="F2920" t="str">
        <f t="shared" si="196"/>
        <v>2220032</v>
      </c>
    </row>
    <row r="2921" spans="1:8" ht="15" hidden="1" customHeight="1" x14ac:dyDescent="0.25">
      <c r="A2921">
        <v>20900</v>
      </c>
      <c r="B2921" t="s">
        <v>10</v>
      </c>
      <c r="C2921" t="s">
        <v>6267</v>
      </c>
      <c r="D2921" t="str">
        <f t="shared" si="195"/>
        <v/>
      </c>
      <c r="E2921" t="s">
        <v>6268</v>
      </c>
      <c r="F2921" t="str">
        <f t="shared" si="196"/>
        <v>2220032</v>
      </c>
    </row>
    <row r="2922" spans="1:8" ht="15" hidden="1" customHeight="1" x14ac:dyDescent="0.25">
      <c r="A2922">
        <v>20899</v>
      </c>
      <c r="B2922" t="s">
        <v>10</v>
      </c>
      <c r="C2922" t="s">
        <v>6265</v>
      </c>
      <c r="D2922" t="str">
        <f t="shared" si="195"/>
        <v/>
      </c>
      <c r="E2922" t="s">
        <v>6266</v>
      </c>
      <c r="F2922" t="str">
        <f t="shared" si="196"/>
        <v>2220032</v>
      </c>
    </row>
    <row r="2923" spans="1:8" ht="15" hidden="1" customHeight="1" x14ac:dyDescent="0.25">
      <c r="A2923">
        <v>20902</v>
      </c>
      <c r="B2923" t="s">
        <v>10</v>
      </c>
      <c r="C2923" t="s">
        <v>6271</v>
      </c>
      <c r="D2923" t="str">
        <f t="shared" si="195"/>
        <v/>
      </c>
      <c r="E2923" t="s">
        <v>6272</v>
      </c>
      <c r="F2923" t="str">
        <f t="shared" si="196"/>
        <v>2220032</v>
      </c>
    </row>
    <row r="2924" spans="1:8" ht="15" hidden="1" customHeight="1" x14ac:dyDescent="0.25">
      <c r="A2924">
        <v>20898</v>
      </c>
      <c r="B2924" t="s">
        <v>10</v>
      </c>
      <c r="C2924" t="s">
        <v>6263</v>
      </c>
      <c r="D2924" t="str">
        <f t="shared" si="195"/>
        <v/>
      </c>
      <c r="E2924" t="s">
        <v>6264</v>
      </c>
      <c r="F2924" t="str">
        <f t="shared" si="196"/>
        <v>2220032</v>
      </c>
    </row>
    <row r="2925" spans="1:8" ht="15" hidden="1" customHeight="1" x14ac:dyDescent="0.25">
      <c r="A2925">
        <v>20903</v>
      </c>
      <c r="B2925" t="s">
        <v>10</v>
      </c>
      <c r="C2925" t="s">
        <v>6273</v>
      </c>
      <c r="D2925" t="str">
        <f t="shared" si="195"/>
        <v/>
      </c>
      <c r="E2925" t="s">
        <v>6274</v>
      </c>
      <c r="F2925" t="str">
        <f t="shared" si="196"/>
        <v>2220032</v>
      </c>
    </row>
    <row r="2926" spans="1:8" ht="15" hidden="1" customHeight="1" x14ac:dyDescent="0.25">
      <c r="A2926">
        <v>20897</v>
      </c>
      <c r="B2926" t="s">
        <v>10</v>
      </c>
      <c r="C2926" t="s">
        <v>6261</v>
      </c>
      <c r="D2926" t="str">
        <f t="shared" si="195"/>
        <v/>
      </c>
      <c r="E2926" t="s">
        <v>6262</v>
      </c>
      <c r="F2926" t="str">
        <f t="shared" si="196"/>
        <v>2220032</v>
      </c>
    </row>
    <row r="2927" spans="1:8" ht="15" customHeight="1" x14ac:dyDescent="0.25">
      <c r="A2927">
        <v>20888</v>
      </c>
      <c r="B2927" t="s">
        <v>7</v>
      </c>
      <c r="C2927" t="s">
        <v>6243</v>
      </c>
      <c r="D2927" t="str">
        <f t="shared" si="195"/>
        <v/>
      </c>
      <c r="E2927" t="s">
        <v>6244</v>
      </c>
      <c r="F2927" t="str">
        <f t="shared" si="196"/>
        <v>2220037</v>
      </c>
      <c r="H2927">
        <v>3</v>
      </c>
    </row>
    <row r="2928" spans="1:8" ht="15" hidden="1" customHeight="1" x14ac:dyDescent="0.25">
      <c r="A2928">
        <v>20893</v>
      </c>
      <c r="B2928" t="s">
        <v>10</v>
      </c>
      <c r="C2928" t="s">
        <v>6253</v>
      </c>
      <c r="D2928" t="str">
        <f t="shared" si="195"/>
        <v/>
      </c>
      <c r="E2928" t="s">
        <v>6254</v>
      </c>
      <c r="F2928" t="str">
        <f t="shared" si="196"/>
        <v>2220037</v>
      </c>
    </row>
    <row r="2929" spans="1:8" hidden="1" x14ac:dyDescent="0.25">
      <c r="A2929">
        <v>20892</v>
      </c>
      <c r="B2929" t="s">
        <v>10</v>
      </c>
      <c r="C2929" t="s">
        <v>6251</v>
      </c>
      <c r="D2929" t="str">
        <f t="shared" si="195"/>
        <v/>
      </c>
      <c r="E2929" t="s">
        <v>6252</v>
      </c>
      <c r="F2929" t="str">
        <f t="shared" si="196"/>
        <v>2220037</v>
      </c>
    </row>
    <row r="2930" spans="1:8" ht="15" hidden="1" customHeight="1" x14ac:dyDescent="0.25">
      <c r="A2930">
        <v>20891</v>
      </c>
      <c r="B2930" t="s">
        <v>10</v>
      </c>
      <c r="C2930" t="s">
        <v>6249</v>
      </c>
      <c r="D2930" t="str">
        <f t="shared" si="195"/>
        <v/>
      </c>
      <c r="E2930" t="s">
        <v>6250</v>
      </c>
      <c r="F2930" t="str">
        <f t="shared" si="196"/>
        <v>2220037</v>
      </c>
    </row>
    <row r="2931" spans="1:8" ht="15" hidden="1" customHeight="1" x14ac:dyDescent="0.25">
      <c r="A2931">
        <v>20894</v>
      </c>
      <c r="B2931" t="s">
        <v>10</v>
      </c>
      <c r="C2931" t="s">
        <v>6255</v>
      </c>
      <c r="D2931" t="str">
        <f t="shared" si="195"/>
        <v/>
      </c>
      <c r="E2931" t="s">
        <v>6256</v>
      </c>
      <c r="F2931" t="str">
        <f t="shared" si="196"/>
        <v>2220037</v>
      </c>
    </row>
    <row r="2932" spans="1:8" ht="15" hidden="1" customHeight="1" x14ac:dyDescent="0.25">
      <c r="A2932">
        <v>20890</v>
      </c>
      <c r="B2932" t="s">
        <v>10</v>
      </c>
      <c r="C2932" t="s">
        <v>6247</v>
      </c>
      <c r="D2932" t="str">
        <f t="shared" si="195"/>
        <v/>
      </c>
      <c r="E2932" t="s">
        <v>6248</v>
      </c>
      <c r="F2932" t="str">
        <f t="shared" si="196"/>
        <v>2220037</v>
      </c>
    </row>
    <row r="2933" spans="1:8" ht="15" hidden="1" customHeight="1" x14ac:dyDescent="0.25">
      <c r="A2933">
        <v>20895</v>
      </c>
      <c r="B2933" t="s">
        <v>10</v>
      </c>
      <c r="C2933" t="s">
        <v>6257</v>
      </c>
      <c r="D2933" t="str">
        <f t="shared" si="195"/>
        <v/>
      </c>
      <c r="E2933" t="s">
        <v>6258</v>
      </c>
      <c r="F2933" t="str">
        <f t="shared" si="196"/>
        <v>2220037</v>
      </c>
    </row>
    <row r="2934" spans="1:8" ht="15" hidden="1" customHeight="1" x14ac:dyDescent="0.25">
      <c r="A2934">
        <v>20889</v>
      </c>
      <c r="B2934" t="s">
        <v>10</v>
      </c>
      <c r="C2934" t="s">
        <v>6245</v>
      </c>
      <c r="D2934" t="str">
        <f t="shared" si="195"/>
        <v/>
      </c>
      <c r="E2934" t="s">
        <v>6246</v>
      </c>
      <c r="F2934" t="str">
        <f t="shared" si="196"/>
        <v>2220037</v>
      </c>
    </row>
    <row r="2935" spans="1:8" ht="15" hidden="1" customHeight="1" x14ac:dyDescent="0.25">
      <c r="A2935">
        <v>15346</v>
      </c>
      <c r="B2935" t="s">
        <v>4</v>
      </c>
      <c r="C2935" t="s">
        <v>761</v>
      </c>
      <c r="D2935" t="str">
        <f t="shared" si="195"/>
        <v/>
      </c>
      <c r="E2935" t="s">
        <v>762</v>
      </c>
      <c r="F2935" t="str">
        <f t="shared" si="196"/>
        <v>7709062</v>
      </c>
      <c r="H2935">
        <v>1</v>
      </c>
    </row>
    <row r="2936" spans="1:8" ht="15" customHeight="1" x14ac:dyDescent="0.25">
      <c r="A2936">
        <v>17170</v>
      </c>
      <c r="B2936" t="s">
        <v>7</v>
      </c>
      <c r="C2936" t="s">
        <v>2009</v>
      </c>
      <c r="D2936" t="str">
        <f t="shared" si="195"/>
        <v/>
      </c>
      <c r="E2936" t="s">
        <v>2010</v>
      </c>
      <c r="F2936" t="str">
        <f t="shared" si="196"/>
        <v>1407093</v>
      </c>
      <c r="H2936">
        <v>5</v>
      </c>
    </row>
    <row r="2937" spans="1:8" ht="15" hidden="1" customHeight="1" x14ac:dyDescent="0.25">
      <c r="A2937">
        <v>17171</v>
      </c>
      <c r="B2937" t="s">
        <v>10</v>
      </c>
      <c r="C2937" t="s">
        <v>2011</v>
      </c>
      <c r="D2937" t="str">
        <f t="shared" si="195"/>
        <v/>
      </c>
      <c r="E2937" t="s">
        <v>2012</v>
      </c>
      <c r="F2937" t="str">
        <f t="shared" si="196"/>
        <v>1407093</v>
      </c>
    </row>
    <row r="2938" spans="1:8" ht="15" hidden="1" customHeight="1" x14ac:dyDescent="0.25">
      <c r="A2938">
        <v>17177</v>
      </c>
      <c r="B2938" t="s">
        <v>10</v>
      </c>
      <c r="C2938" t="s">
        <v>2013</v>
      </c>
      <c r="D2938" t="str">
        <f t="shared" si="195"/>
        <v/>
      </c>
      <c r="E2938" t="s">
        <v>2014</v>
      </c>
      <c r="F2938" t="str">
        <f t="shared" si="196"/>
        <v>1407093</v>
      </c>
    </row>
    <row r="2939" spans="1:8" ht="15" hidden="1" customHeight="1" x14ac:dyDescent="0.25">
      <c r="A2939">
        <v>17178</v>
      </c>
      <c r="B2939" t="s">
        <v>10</v>
      </c>
      <c r="C2939" t="s">
        <v>2015</v>
      </c>
      <c r="D2939" t="str">
        <f t="shared" si="195"/>
        <v/>
      </c>
      <c r="E2939" t="s">
        <v>2016</v>
      </c>
      <c r="F2939" t="str">
        <f t="shared" si="196"/>
        <v>1407093</v>
      </c>
    </row>
    <row r="2940" spans="1:8" ht="15" hidden="1" customHeight="1" x14ac:dyDescent="0.25">
      <c r="A2940">
        <v>17179</v>
      </c>
      <c r="B2940" t="s">
        <v>10</v>
      </c>
      <c r="C2940" t="s">
        <v>2017</v>
      </c>
      <c r="D2940" t="str">
        <f t="shared" si="195"/>
        <v/>
      </c>
      <c r="E2940" t="s">
        <v>2018</v>
      </c>
      <c r="F2940" t="str">
        <f t="shared" si="196"/>
        <v>1407093</v>
      </c>
    </row>
    <row r="2941" spans="1:8" hidden="1" x14ac:dyDescent="0.25">
      <c r="A2941">
        <v>17180</v>
      </c>
      <c r="B2941" t="s">
        <v>10</v>
      </c>
      <c r="C2941" t="s">
        <v>2019</v>
      </c>
      <c r="D2941" t="str">
        <f t="shared" si="195"/>
        <v/>
      </c>
      <c r="E2941" t="s">
        <v>2020</v>
      </c>
      <c r="F2941" t="str">
        <f t="shared" si="196"/>
        <v>1407093</v>
      </c>
    </row>
    <row r="2942" spans="1:8" hidden="1" x14ac:dyDescent="0.25">
      <c r="A2942">
        <v>17181</v>
      </c>
      <c r="B2942" t="s">
        <v>10</v>
      </c>
      <c r="C2942" t="s">
        <v>2021</v>
      </c>
      <c r="D2942" t="str">
        <f t="shared" si="195"/>
        <v/>
      </c>
      <c r="E2942" t="s">
        <v>2022</v>
      </c>
      <c r="F2942" t="str">
        <f t="shared" si="196"/>
        <v>1407093</v>
      </c>
    </row>
    <row r="2943" spans="1:8" hidden="1" x14ac:dyDescent="0.25">
      <c r="A2943">
        <v>17182</v>
      </c>
      <c r="B2943" t="s">
        <v>10</v>
      </c>
      <c r="C2943" t="s">
        <v>2023</v>
      </c>
      <c r="D2943" t="str">
        <f t="shared" si="195"/>
        <v/>
      </c>
      <c r="E2943" t="s">
        <v>2024</v>
      </c>
      <c r="F2943" t="str">
        <f t="shared" si="196"/>
        <v>1407093</v>
      </c>
    </row>
    <row r="2944" spans="1:8" hidden="1" x14ac:dyDescent="0.25">
      <c r="A2944">
        <v>17183</v>
      </c>
      <c r="B2944" t="s">
        <v>10</v>
      </c>
      <c r="C2944" t="s">
        <v>2025</v>
      </c>
      <c r="D2944" t="str">
        <f t="shared" si="195"/>
        <v/>
      </c>
      <c r="E2944" t="s">
        <v>2026</v>
      </c>
      <c r="F2944" t="str">
        <f t="shared" si="196"/>
        <v>1407093</v>
      </c>
    </row>
    <row r="2945" spans="1:6" hidden="1" x14ac:dyDescent="0.25">
      <c r="A2945">
        <v>17184</v>
      </c>
      <c r="B2945" t="s">
        <v>10</v>
      </c>
      <c r="C2945" t="s">
        <v>2027</v>
      </c>
      <c r="D2945" t="str">
        <f t="shared" si="195"/>
        <v/>
      </c>
      <c r="E2945" t="s">
        <v>2028</v>
      </c>
      <c r="F2945" t="str">
        <f t="shared" si="196"/>
        <v>1407093</v>
      </c>
    </row>
    <row r="2946" spans="1:6" hidden="1" x14ac:dyDescent="0.25">
      <c r="A2946">
        <v>17185</v>
      </c>
      <c r="B2946" t="s">
        <v>10</v>
      </c>
      <c r="C2946" t="s">
        <v>2029</v>
      </c>
      <c r="D2946" t="str">
        <f t="shared" si="195"/>
        <v/>
      </c>
      <c r="E2946" t="s">
        <v>2030</v>
      </c>
      <c r="F2946" t="str">
        <f t="shared" si="196"/>
        <v>1407093</v>
      </c>
    </row>
    <row r="2947" spans="1:6" hidden="1" x14ac:dyDescent="0.25">
      <c r="A2947">
        <v>20712</v>
      </c>
      <c r="B2947" t="s">
        <v>4</v>
      </c>
      <c r="C2947" t="s">
        <v>6047</v>
      </c>
      <c r="D2947" t="str">
        <f t="shared" si="195"/>
        <v/>
      </c>
      <c r="E2947" t="s">
        <v>6048</v>
      </c>
      <c r="F2947" t="str">
        <f t="shared" si="196"/>
        <v>8705568</v>
      </c>
    </row>
    <row r="2948" spans="1:6" hidden="1" x14ac:dyDescent="0.25">
      <c r="A2948">
        <v>20718</v>
      </c>
      <c r="B2948" t="s">
        <v>4</v>
      </c>
      <c r="C2948" t="s">
        <v>6049</v>
      </c>
      <c r="D2948" t="str">
        <f t="shared" si="195"/>
        <v/>
      </c>
      <c r="E2948" t="s">
        <v>6050</v>
      </c>
      <c r="F2948" t="str">
        <f t="shared" si="196"/>
        <v>8705661</v>
      </c>
    </row>
    <row r="2949" spans="1:6" hidden="1" x14ac:dyDescent="0.25">
      <c r="A2949">
        <v>20725</v>
      </c>
      <c r="B2949" t="s">
        <v>4</v>
      </c>
      <c r="C2949" t="s">
        <v>6051</v>
      </c>
      <c r="D2949" t="str">
        <f t="shared" si="195"/>
        <v/>
      </c>
      <c r="E2949" t="s">
        <v>6052</v>
      </c>
      <c r="F2949" t="str">
        <f t="shared" si="196"/>
        <v>8705683</v>
      </c>
    </row>
    <row r="2950" spans="1:6" hidden="1" x14ac:dyDescent="0.25">
      <c r="A2950">
        <v>15165</v>
      </c>
      <c r="B2950" t="s">
        <v>4</v>
      </c>
      <c r="C2950" t="s">
        <v>607</v>
      </c>
      <c r="D2950" t="str">
        <f t="shared" si="195"/>
        <v/>
      </c>
      <c r="E2950" t="s">
        <v>608</v>
      </c>
      <c r="F2950" t="str">
        <f t="shared" si="196"/>
        <v>8705018</v>
      </c>
    </row>
    <row r="2951" spans="1:6" hidden="1" x14ac:dyDescent="0.25">
      <c r="A2951">
        <v>17346</v>
      </c>
      <c r="B2951" t="s">
        <v>4</v>
      </c>
      <c r="C2951" t="s">
        <v>2109</v>
      </c>
      <c r="D2951" t="str">
        <f t="shared" si="195"/>
        <v/>
      </c>
      <c r="E2951" t="s">
        <v>2110</v>
      </c>
      <c r="F2951" t="str">
        <f t="shared" si="196"/>
        <v>8705552</v>
      </c>
    </row>
    <row r="2952" spans="1:6" hidden="1" x14ac:dyDescent="0.25">
      <c r="A2952">
        <v>21076</v>
      </c>
      <c r="B2952" t="s">
        <v>4</v>
      </c>
      <c r="C2952" t="s">
        <v>6493</v>
      </c>
      <c r="D2952" t="str">
        <f t="shared" si="195"/>
        <v/>
      </c>
      <c r="E2952" t="s">
        <v>6494</v>
      </c>
      <c r="F2952" t="str">
        <f t="shared" si="196"/>
        <v>8705913</v>
      </c>
    </row>
    <row r="2953" spans="1:6" hidden="1" x14ac:dyDescent="0.25">
      <c r="A2953">
        <v>21082</v>
      </c>
      <c r="B2953" t="s">
        <v>4</v>
      </c>
      <c r="C2953" t="s">
        <v>6495</v>
      </c>
      <c r="D2953" t="str">
        <f t="shared" si="195"/>
        <v/>
      </c>
      <c r="E2953" t="s">
        <v>6496</v>
      </c>
      <c r="F2953" t="str">
        <f t="shared" si="196"/>
        <v>8705113</v>
      </c>
    </row>
    <row r="2954" spans="1:6" hidden="1" x14ac:dyDescent="0.25">
      <c r="A2954">
        <v>16919</v>
      </c>
      <c r="B2954" t="s">
        <v>4</v>
      </c>
      <c r="C2954" t="s">
        <v>1836</v>
      </c>
      <c r="D2954" t="str">
        <f t="shared" si="195"/>
        <v/>
      </c>
      <c r="E2954" t="s">
        <v>1837</v>
      </c>
      <c r="F2954" t="str">
        <f t="shared" si="196"/>
        <v>8705750</v>
      </c>
    </row>
    <row r="2955" spans="1:6" hidden="1" x14ac:dyDescent="0.25">
      <c r="A2955">
        <v>15169</v>
      </c>
      <c r="B2955" t="s">
        <v>4</v>
      </c>
      <c r="C2955" t="s">
        <v>609</v>
      </c>
      <c r="D2955" t="str">
        <f t="shared" si="195"/>
        <v/>
      </c>
      <c r="E2955" t="s">
        <v>610</v>
      </c>
      <c r="F2955" t="str">
        <f t="shared" si="196"/>
        <v>8705551</v>
      </c>
    </row>
    <row r="2956" spans="1:6" hidden="1" x14ac:dyDescent="0.25">
      <c r="A2956">
        <v>16924</v>
      </c>
      <c r="B2956" t="s">
        <v>4</v>
      </c>
      <c r="C2956" t="s">
        <v>1838</v>
      </c>
      <c r="D2956" t="str">
        <f t="shared" si="195"/>
        <v/>
      </c>
      <c r="E2956" t="s">
        <v>1839</v>
      </c>
      <c r="F2956" t="str">
        <f t="shared" si="196"/>
        <v>8705550</v>
      </c>
    </row>
    <row r="2957" spans="1:6" hidden="1" x14ac:dyDescent="0.25">
      <c r="A2957">
        <v>15958</v>
      </c>
      <c r="B2957" t="s">
        <v>4</v>
      </c>
      <c r="C2957" t="s">
        <v>1218</v>
      </c>
      <c r="D2957" t="str">
        <f t="shared" si="195"/>
        <v/>
      </c>
      <c r="E2957" t="s">
        <v>1219</v>
      </c>
      <c r="F2957" t="str">
        <f t="shared" si="196"/>
        <v>8705555</v>
      </c>
    </row>
    <row r="2958" spans="1:6" hidden="1" x14ac:dyDescent="0.25">
      <c r="A2958">
        <v>16219</v>
      </c>
      <c r="B2958" t="s">
        <v>4</v>
      </c>
      <c r="C2958" t="s">
        <v>1366</v>
      </c>
      <c r="D2958" t="str">
        <f t="shared" si="195"/>
        <v/>
      </c>
      <c r="E2958" t="s">
        <v>1367</v>
      </c>
      <c r="F2958" t="str">
        <f t="shared" si="196"/>
        <v>8703108</v>
      </c>
    </row>
    <row r="2959" spans="1:6" hidden="1" x14ac:dyDescent="0.25">
      <c r="A2959">
        <v>16025</v>
      </c>
      <c r="B2959" t="s">
        <v>4</v>
      </c>
      <c r="C2959" t="s">
        <v>1258</v>
      </c>
      <c r="D2959" t="str">
        <f t="shared" si="195"/>
        <v/>
      </c>
      <c r="E2959" t="s">
        <v>1259</v>
      </c>
      <c r="F2959" t="str">
        <f t="shared" si="196"/>
        <v>8705556</v>
      </c>
    </row>
    <row r="2960" spans="1:6" hidden="1" x14ac:dyDescent="0.25">
      <c r="A2960">
        <v>15408</v>
      </c>
      <c r="B2960" t="s">
        <v>4</v>
      </c>
      <c r="C2960" t="s">
        <v>831</v>
      </c>
      <c r="D2960" t="str">
        <f t="shared" si="195"/>
        <v/>
      </c>
      <c r="E2960" t="s">
        <v>832</v>
      </c>
      <c r="F2960" t="str">
        <f t="shared" si="196"/>
        <v>8705370</v>
      </c>
    </row>
    <row r="2961" spans="1:8" hidden="1" x14ac:dyDescent="0.25">
      <c r="A2961">
        <v>15352</v>
      </c>
      <c r="B2961" t="s">
        <v>4</v>
      </c>
      <c r="C2961" t="s">
        <v>765</v>
      </c>
      <c r="D2961" t="str">
        <f t="shared" si="195"/>
        <v/>
      </c>
      <c r="E2961" t="s">
        <v>766</v>
      </c>
      <c r="F2961" t="str">
        <f t="shared" si="196"/>
        <v>8705100</v>
      </c>
    </row>
    <row r="2962" spans="1:8" hidden="1" x14ac:dyDescent="0.25">
      <c r="A2962">
        <v>17189</v>
      </c>
      <c r="B2962" t="s">
        <v>4</v>
      </c>
      <c r="C2962" t="s">
        <v>2033</v>
      </c>
      <c r="D2962" t="str">
        <f t="shared" si="195"/>
        <v/>
      </c>
      <c r="E2962" t="s">
        <v>2034</v>
      </c>
      <c r="F2962" t="str">
        <f t="shared" si="196"/>
        <v>8705072</v>
      </c>
    </row>
    <row r="2963" spans="1:8" hidden="1" x14ac:dyDescent="0.25">
      <c r="A2963">
        <v>15161</v>
      </c>
      <c r="B2963" t="s">
        <v>4</v>
      </c>
      <c r="C2963" t="s">
        <v>605</v>
      </c>
      <c r="D2963" t="str">
        <f t="shared" si="195"/>
        <v/>
      </c>
      <c r="E2963" t="s">
        <v>606</v>
      </c>
      <c r="F2963" t="str">
        <f t="shared" si="196"/>
        <v>8705019</v>
      </c>
    </row>
    <row r="2964" spans="1:8" hidden="1" x14ac:dyDescent="0.25">
      <c r="A2964">
        <v>15918</v>
      </c>
      <c r="B2964" t="s">
        <v>4</v>
      </c>
      <c r="C2964" t="s">
        <v>1200</v>
      </c>
      <c r="D2964" t="str">
        <f t="shared" si="195"/>
        <v/>
      </c>
      <c r="E2964" t="s">
        <v>1201</v>
      </c>
      <c r="F2964" t="str">
        <f t="shared" si="196"/>
        <v>8705001</v>
      </c>
    </row>
    <row r="2965" spans="1:8" hidden="1" x14ac:dyDescent="0.25">
      <c r="A2965">
        <v>20904</v>
      </c>
      <c r="B2965" t="s">
        <v>4</v>
      </c>
      <c r="C2965" t="s">
        <v>6275</v>
      </c>
      <c r="D2965" t="str">
        <f t="shared" si="195"/>
        <v/>
      </c>
      <c r="E2965" t="s">
        <v>6276</v>
      </c>
      <c r="F2965" t="str">
        <f t="shared" si="196"/>
        <v>8705914</v>
      </c>
    </row>
    <row r="2966" spans="1:8" hidden="1" x14ac:dyDescent="0.25">
      <c r="A2966">
        <v>15413</v>
      </c>
      <c r="B2966" t="s">
        <v>4</v>
      </c>
      <c r="C2966" t="s">
        <v>833</v>
      </c>
      <c r="D2966" t="str">
        <f t="shared" si="195"/>
        <v/>
      </c>
      <c r="E2966" t="s">
        <v>834</v>
      </c>
      <c r="F2966" t="str">
        <f t="shared" si="196"/>
        <v>8705459</v>
      </c>
    </row>
    <row r="2967" spans="1:8" hidden="1" x14ac:dyDescent="0.25">
      <c r="A2967">
        <v>16225</v>
      </c>
      <c r="B2967" t="s">
        <v>4</v>
      </c>
      <c r="C2967" t="s">
        <v>1368</v>
      </c>
      <c r="D2967" t="str">
        <f t="shared" si="195"/>
        <v/>
      </c>
      <c r="E2967" t="s">
        <v>1369</v>
      </c>
      <c r="F2967" t="str">
        <f t="shared" si="196"/>
        <v>8703104</v>
      </c>
    </row>
    <row r="2968" spans="1:8" hidden="1" x14ac:dyDescent="0.25">
      <c r="A2968">
        <v>15314</v>
      </c>
      <c r="B2968" t="s">
        <v>4</v>
      </c>
      <c r="C2968" t="s">
        <v>745</v>
      </c>
      <c r="D2968" t="str">
        <f t="shared" ref="D2968:D2981" si="197">IF(RIGHT(LEFT(C2968,9),2)="##","",RIGHT(LEFT(C2968,10),2))</f>
        <v/>
      </c>
      <c r="E2968" t="s">
        <v>746</v>
      </c>
      <c r="F2968" t="str">
        <f t="shared" si="196"/>
        <v>8702668</v>
      </c>
    </row>
    <row r="2969" spans="1:8" hidden="1" x14ac:dyDescent="0.25">
      <c r="A2969">
        <v>15367</v>
      </c>
      <c r="B2969" t="s">
        <v>4</v>
      </c>
      <c r="C2969" t="s">
        <v>771</v>
      </c>
      <c r="D2969" t="str">
        <f t="shared" si="197"/>
        <v/>
      </c>
      <c r="E2969" t="s">
        <v>772</v>
      </c>
      <c r="F2969" t="str">
        <f t="shared" si="196"/>
        <v>8501027</v>
      </c>
      <c r="H2969">
        <v>2</v>
      </c>
    </row>
    <row r="2970" spans="1:8" hidden="1" x14ac:dyDescent="0.25">
      <c r="A2970">
        <v>16142</v>
      </c>
      <c r="B2970" t="s">
        <v>4</v>
      </c>
      <c r="C2970" t="s">
        <v>1322</v>
      </c>
      <c r="D2970" t="str">
        <f t="shared" si="197"/>
        <v/>
      </c>
      <c r="E2970" t="s">
        <v>1323</v>
      </c>
      <c r="F2970" t="str">
        <f t="shared" si="196"/>
        <v>8501621</v>
      </c>
    </row>
    <row r="2971" spans="1:8" hidden="1" x14ac:dyDescent="0.25">
      <c r="A2971">
        <v>15310</v>
      </c>
      <c r="B2971" t="s">
        <v>4</v>
      </c>
      <c r="C2971" t="s">
        <v>743</v>
      </c>
      <c r="D2971" t="str">
        <f t="shared" si="197"/>
        <v/>
      </c>
      <c r="E2971" t="s">
        <v>744</v>
      </c>
      <c r="F2971" t="str">
        <f t="shared" si="196"/>
        <v>8501662</v>
      </c>
    </row>
    <row r="2972" spans="1:8" hidden="1" x14ac:dyDescent="0.25">
      <c r="A2972">
        <v>15964</v>
      </c>
      <c r="B2972" t="s">
        <v>4</v>
      </c>
      <c r="C2972" t="s">
        <v>1220</v>
      </c>
      <c r="D2972" t="str">
        <f t="shared" si="197"/>
        <v/>
      </c>
      <c r="E2972" t="s">
        <v>1221</v>
      </c>
      <c r="F2972" t="str">
        <f t="shared" si="196"/>
        <v>8501551</v>
      </c>
    </row>
    <row r="2973" spans="1:8" hidden="1" x14ac:dyDescent="0.25">
      <c r="A2973">
        <v>16108</v>
      </c>
      <c r="B2973" t="s">
        <v>4</v>
      </c>
      <c r="C2973" t="s">
        <v>1308</v>
      </c>
      <c r="D2973" t="str">
        <f t="shared" si="197"/>
        <v/>
      </c>
      <c r="E2973" t="s">
        <v>1309</v>
      </c>
      <c r="F2973" t="str">
        <f t="shared" si="196"/>
        <v>8707556</v>
      </c>
    </row>
    <row r="2974" spans="1:8" ht="15" hidden="1" customHeight="1" x14ac:dyDescent="0.25">
      <c r="A2974">
        <v>16117</v>
      </c>
      <c r="B2974" t="s">
        <v>4</v>
      </c>
      <c r="C2974" t="s">
        <v>1312</v>
      </c>
      <c r="D2974" t="str">
        <f t="shared" si="197"/>
        <v/>
      </c>
      <c r="E2974" t="s">
        <v>1313</v>
      </c>
      <c r="F2974" t="str">
        <f t="shared" si="196"/>
        <v>8707023</v>
      </c>
    </row>
    <row r="2975" spans="1:8" hidden="1" x14ac:dyDescent="0.25">
      <c r="A2975">
        <v>15158</v>
      </c>
      <c r="B2975" t="s">
        <v>4</v>
      </c>
      <c r="C2975" t="s">
        <v>603</v>
      </c>
      <c r="D2975" t="str">
        <f t="shared" si="197"/>
        <v/>
      </c>
      <c r="E2975" t="s">
        <v>604</v>
      </c>
      <c r="F2975" t="str">
        <f t="shared" si="196"/>
        <v>8707024</v>
      </c>
    </row>
    <row r="2976" spans="1:8" hidden="1" x14ac:dyDescent="0.25">
      <c r="A2976">
        <v>16663</v>
      </c>
      <c r="B2976" t="s">
        <v>4</v>
      </c>
      <c r="C2976" t="s">
        <v>1590</v>
      </c>
      <c r="D2976" t="str">
        <f t="shared" si="197"/>
        <v/>
      </c>
      <c r="E2976" t="s">
        <v>1591</v>
      </c>
      <c r="F2976" t="str">
        <f t="shared" ref="F2976:F3039" si="198">LEFT(C2976,7)</f>
        <v>8707721</v>
      </c>
    </row>
    <row r="2977" spans="1:8" hidden="1" x14ac:dyDescent="0.25">
      <c r="A2977">
        <v>17365</v>
      </c>
      <c r="B2977" t="s">
        <v>4</v>
      </c>
      <c r="C2977" t="s">
        <v>2111</v>
      </c>
      <c r="D2977" t="str">
        <f t="shared" si="197"/>
        <v/>
      </c>
      <c r="E2977" t="s">
        <v>2112</v>
      </c>
      <c r="F2977" t="str">
        <f t="shared" si="198"/>
        <v>8707026</v>
      </c>
    </row>
    <row r="2978" spans="1:8" hidden="1" x14ac:dyDescent="0.25">
      <c r="A2978">
        <v>16012</v>
      </c>
      <c r="B2978" t="s">
        <v>4</v>
      </c>
      <c r="C2978" t="s">
        <v>1252</v>
      </c>
      <c r="D2978" t="str">
        <f t="shared" si="197"/>
        <v/>
      </c>
      <c r="E2978" t="s">
        <v>1253</v>
      </c>
      <c r="F2978" t="str">
        <f t="shared" si="198"/>
        <v>8707555</v>
      </c>
    </row>
    <row r="2979" spans="1:8" hidden="1" x14ac:dyDescent="0.25">
      <c r="A2979">
        <v>16640</v>
      </c>
      <c r="B2979" t="s">
        <v>4</v>
      </c>
      <c r="C2979" t="s">
        <v>1582</v>
      </c>
      <c r="D2979" t="str">
        <f t="shared" si="197"/>
        <v/>
      </c>
      <c r="E2979" t="s">
        <v>1583</v>
      </c>
      <c r="F2979" t="str">
        <f t="shared" si="198"/>
        <v>8708011</v>
      </c>
    </row>
    <row r="2980" spans="1:8" hidden="1" x14ac:dyDescent="0.25">
      <c r="A2980">
        <v>16122</v>
      </c>
      <c r="B2980" t="s">
        <v>4</v>
      </c>
      <c r="C2980" t="s">
        <v>1314</v>
      </c>
      <c r="D2980" t="str">
        <f t="shared" si="197"/>
        <v/>
      </c>
      <c r="E2980" t="s">
        <v>1315</v>
      </c>
      <c r="F2980" t="str">
        <f t="shared" si="198"/>
        <v>8707509</v>
      </c>
    </row>
    <row r="2981" spans="1:8" hidden="1" x14ac:dyDescent="0.25">
      <c r="A2981">
        <v>15333</v>
      </c>
      <c r="B2981" t="s">
        <v>4</v>
      </c>
      <c r="C2981" t="s">
        <v>7014</v>
      </c>
      <c r="D2981" t="str">
        <f t="shared" si="197"/>
        <v/>
      </c>
      <c r="E2981" t="s">
        <v>7015</v>
      </c>
      <c r="F2981" t="str">
        <f t="shared" si="198"/>
        <v>8707750</v>
      </c>
    </row>
    <row r="2982" spans="1:8" hidden="1" x14ac:dyDescent="0.25">
      <c r="A2982">
        <v>17011</v>
      </c>
      <c r="B2982" t="s">
        <v>4</v>
      </c>
      <c r="C2982" t="s">
        <v>1906</v>
      </c>
      <c r="E2982" t="s">
        <v>1907</v>
      </c>
      <c r="F2982" t="str">
        <f t="shared" si="198"/>
        <v>8707552</v>
      </c>
    </row>
    <row r="2983" spans="1:8" hidden="1" x14ac:dyDescent="0.25">
      <c r="A2983">
        <v>15333</v>
      </c>
      <c r="B2983" t="s">
        <v>4</v>
      </c>
      <c r="C2983" t="s">
        <v>753</v>
      </c>
      <c r="D2983" t="str">
        <f t="shared" ref="D2983:D2995" si="199">IF(RIGHT(LEFT(C2983,9),2)="##","",RIGHT(LEFT(C2983,10),2))</f>
        <v/>
      </c>
      <c r="E2983" t="s">
        <v>754</v>
      </c>
      <c r="F2983" t="str">
        <f t="shared" si="198"/>
        <v>8707550</v>
      </c>
    </row>
    <row r="2984" spans="1:8" hidden="1" x14ac:dyDescent="0.25">
      <c r="A2984">
        <v>16113</v>
      </c>
      <c r="B2984" t="s">
        <v>4</v>
      </c>
      <c r="C2984" t="s">
        <v>1310</v>
      </c>
      <c r="D2984" t="str">
        <f t="shared" si="199"/>
        <v/>
      </c>
      <c r="E2984" t="s">
        <v>1311</v>
      </c>
      <c r="F2984" t="str">
        <f t="shared" si="198"/>
        <v>8707553</v>
      </c>
    </row>
    <row r="2985" spans="1:8" hidden="1" x14ac:dyDescent="0.25">
      <c r="A2985">
        <v>16373</v>
      </c>
      <c r="B2985" t="s">
        <v>4</v>
      </c>
      <c r="C2985" t="s">
        <v>1444</v>
      </c>
      <c r="D2985" t="str">
        <f t="shared" si="199"/>
        <v/>
      </c>
      <c r="E2985" t="s">
        <v>1445</v>
      </c>
      <c r="F2985" t="str">
        <f t="shared" si="198"/>
        <v>8705003</v>
      </c>
    </row>
    <row r="2986" spans="1:8" hidden="1" x14ac:dyDescent="0.25">
      <c r="A2986">
        <v>19895</v>
      </c>
      <c r="B2986" t="s">
        <v>4</v>
      </c>
      <c r="C2986" t="s">
        <v>5317</v>
      </c>
      <c r="D2986" t="str">
        <f t="shared" si="199"/>
        <v/>
      </c>
      <c r="E2986" t="s">
        <v>5318</v>
      </c>
      <c r="F2986" t="str">
        <f t="shared" si="198"/>
        <v>8705037</v>
      </c>
    </row>
    <row r="2987" spans="1:8" hidden="1" x14ac:dyDescent="0.25">
      <c r="A2987">
        <v>16562</v>
      </c>
      <c r="B2987" t="s">
        <v>4</v>
      </c>
      <c r="C2987" t="s">
        <v>1556</v>
      </c>
      <c r="D2987" t="str">
        <f t="shared" si="199"/>
        <v/>
      </c>
      <c r="E2987" t="s">
        <v>1557</v>
      </c>
      <c r="F2987" t="str">
        <f t="shared" si="198"/>
        <v>8708109</v>
      </c>
    </row>
    <row r="2988" spans="1:8" hidden="1" x14ac:dyDescent="0.25">
      <c r="A2988">
        <v>16016</v>
      </c>
      <c r="B2988" t="s">
        <v>4</v>
      </c>
      <c r="C2988" t="s">
        <v>1254</v>
      </c>
      <c r="D2988" t="str">
        <f t="shared" si="199"/>
        <v/>
      </c>
      <c r="E2988" t="s">
        <v>1255</v>
      </c>
      <c r="F2988" t="str">
        <f t="shared" si="198"/>
        <v>8705554</v>
      </c>
    </row>
    <row r="2989" spans="1:8" ht="15" hidden="1" customHeight="1" x14ac:dyDescent="0.25">
      <c r="A2989">
        <v>16749</v>
      </c>
      <c r="B2989" t="s">
        <v>4</v>
      </c>
      <c r="C2989" t="s">
        <v>1668</v>
      </c>
      <c r="D2989" t="str">
        <f t="shared" si="199"/>
        <v/>
      </c>
      <c r="E2989" t="s">
        <v>1669</v>
      </c>
      <c r="F2989" t="str">
        <f t="shared" si="198"/>
        <v>8705038</v>
      </c>
    </row>
    <row r="2990" spans="1:8" ht="15" hidden="1" customHeight="1" x14ac:dyDescent="0.25">
      <c r="A2990">
        <v>21118</v>
      </c>
      <c r="B2990" t="s">
        <v>4</v>
      </c>
      <c r="C2990" t="s">
        <v>6533</v>
      </c>
      <c r="D2990" t="str">
        <f t="shared" si="199"/>
        <v/>
      </c>
      <c r="E2990" t="s">
        <v>6534</v>
      </c>
      <c r="F2990" t="str">
        <f t="shared" si="198"/>
        <v>8705586</v>
      </c>
      <c r="H2990">
        <v>3</v>
      </c>
    </row>
    <row r="2991" spans="1:8" ht="15" hidden="1" customHeight="1" x14ac:dyDescent="0.25">
      <c r="A2991">
        <v>15357</v>
      </c>
      <c r="B2991" t="s">
        <v>4</v>
      </c>
      <c r="C2991" t="s">
        <v>767</v>
      </c>
      <c r="D2991" t="str">
        <f t="shared" si="199"/>
        <v/>
      </c>
      <c r="E2991" t="s">
        <v>768</v>
      </c>
      <c r="F2991" t="str">
        <f t="shared" si="198"/>
        <v>8705861</v>
      </c>
      <c r="H2991">
        <v>2</v>
      </c>
    </row>
    <row r="2992" spans="1:8" ht="15" hidden="1" customHeight="1" x14ac:dyDescent="0.25">
      <c r="A2992">
        <v>19079</v>
      </c>
      <c r="B2992" t="s">
        <v>4</v>
      </c>
      <c r="C2992" t="s">
        <v>4270</v>
      </c>
      <c r="D2992" t="str">
        <f t="shared" si="199"/>
        <v/>
      </c>
      <c r="E2992" t="s">
        <v>4271</v>
      </c>
      <c r="F2992" t="str">
        <f t="shared" si="198"/>
        <v>8705749</v>
      </c>
      <c r="H2992">
        <v>2</v>
      </c>
    </row>
    <row r="2993" spans="1:8" ht="15" hidden="1" customHeight="1" x14ac:dyDescent="0.25">
      <c r="A2993">
        <v>16020</v>
      </c>
      <c r="B2993" t="s">
        <v>4</v>
      </c>
      <c r="C2993" t="s">
        <v>1256</v>
      </c>
      <c r="D2993" t="str">
        <f t="shared" si="199"/>
        <v/>
      </c>
      <c r="E2993" t="s">
        <v>1257</v>
      </c>
      <c r="F2993" t="str">
        <f t="shared" si="198"/>
        <v>8705553</v>
      </c>
      <c r="H2993">
        <v>3</v>
      </c>
    </row>
    <row r="2994" spans="1:8" ht="15" hidden="1" customHeight="1" x14ac:dyDescent="0.25">
      <c r="A2994">
        <v>20575</v>
      </c>
      <c r="B2994" t="s">
        <v>4</v>
      </c>
      <c r="C2994" t="s">
        <v>5955</v>
      </c>
      <c r="D2994" t="str">
        <f t="shared" si="199"/>
        <v/>
      </c>
      <c r="E2994" t="s">
        <v>5956</v>
      </c>
      <c r="F2994" t="str">
        <f t="shared" si="198"/>
        <v>8708020</v>
      </c>
    </row>
    <row r="2995" spans="1:8" ht="15" hidden="1" customHeight="1" x14ac:dyDescent="0.25">
      <c r="A2995">
        <v>16079</v>
      </c>
      <c r="B2995" t="s">
        <v>4</v>
      </c>
      <c r="C2995" t="s">
        <v>1292</v>
      </c>
      <c r="D2995" t="str">
        <f t="shared" si="199"/>
        <v/>
      </c>
      <c r="E2995" t="s">
        <v>1293</v>
      </c>
      <c r="F2995" t="str">
        <f t="shared" si="198"/>
        <v>8708107</v>
      </c>
    </row>
    <row r="2996" spans="1:8" ht="15" hidden="1" customHeight="1" x14ac:dyDescent="0.25">
      <c r="A2996">
        <v>20164</v>
      </c>
      <c r="B2996" t="s">
        <v>7</v>
      </c>
      <c r="C2996" t="s">
        <v>5593</v>
      </c>
      <c r="D2996" t="s">
        <v>6840</v>
      </c>
      <c r="E2996" t="s">
        <v>5594</v>
      </c>
      <c r="F2996" t="str">
        <f t="shared" si="198"/>
        <v>8708815</v>
      </c>
      <c r="H2996">
        <f>SUBTOTAL(9,H2997:H3004)</f>
        <v>0</v>
      </c>
    </row>
    <row r="2997" spans="1:8" ht="15" hidden="1" customHeight="1" x14ac:dyDescent="0.25">
      <c r="A2997">
        <v>20165</v>
      </c>
      <c r="B2997" t="s">
        <v>10</v>
      </c>
      <c r="C2997" t="s">
        <v>5595</v>
      </c>
      <c r="D2997" t="str">
        <f t="shared" ref="D2997:D3014" si="200">IF(RIGHT(LEFT(C2997,9),2)="##","",RIGHT(LEFT(C2997,10),2))</f>
        <v>01</v>
      </c>
      <c r="E2997" t="s">
        <v>5596</v>
      </c>
      <c r="F2997" t="str">
        <f t="shared" si="198"/>
        <v>8708815</v>
      </c>
      <c r="H2997">
        <v>1</v>
      </c>
    </row>
    <row r="2998" spans="1:8" hidden="1" x14ac:dyDescent="0.25">
      <c r="A2998">
        <v>20166</v>
      </c>
      <c r="B2998" t="s">
        <v>10</v>
      </c>
      <c r="C2998" t="s">
        <v>5597</v>
      </c>
      <c r="D2998" t="str">
        <f t="shared" si="200"/>
        <v>03</v>
      </c>
      <c r="E2998" t="s">
        <v>5598</v>
      </c>
      <c r="F2998" t="str">
        <f t="shared" si="198"/>
        <v>8708815</v>
      </c>
      <c r="H2998">
        <v>1</v>
      </c>
    </row>
    <row r="2999" spans="1:8" hidden="1" x14ac:dyDescent="0.25">
      <c r="A2999">
        <v>20167</v>
      </c>
      <c r="B2999" t="s">
        <v>10</v>
      </c>
      <c r="C2999" t="s">
        <v>5599</v>
      </c>
      <c r="D2999" t="str">
        <f t="shared" si="200"/>
        <v>04</v>
      </c>
      <c r="E2999" t="s">
        <v>5600</v>
      </c>
      <c r="F2999" t="str">
        <f t="shared" si="198"/>
        <v>8708815</v>
      </c>
      <c r="H2999">
        <v>1</v>
      </c>
    </row>
    <row r="3000" spans="1:8" hidden="1" x14ac:dyDescent="0.25">
      <c r="A3000">
        <v>20168</v>
      </c>
      <c r="B3000" t="s">
        <v>10</v>
      </c>
      <c r="C3000" t="s">
        <v>5601</v>
      </c>
      <c r="D3000" t="str">
        <f t="shared" si="200"/>
        <v>06</v>
      </c>
      <c r="E3000" t="s">
        <v>5602</v>
      </c>
      <c r="F3000" t="str">
        <f t="shared" si="198"/>
        <v>8708815</v>
      </c>
      <c r="H3000">
        <v>1</v>
      </c>
    </row>
    <row r="3001" spans="1:8" hidden="1" x14ac:dyDescent="0.25">
      <c r="A3001">
        <v>20169</v>
      </c>
      <c r="B3001" t="s">
        <v>10</v>
      </c>
      <c r="C3001" t="s">
        <v>5603</v>
      </c>
      <c r="D3001" t="str">
        <f t="shared" si="200"/>
        <v>08</v>
      </c>
      <c r="E3001" t="s">
        <v>5604</v>
      </c>
      <c r="F3001" t="str">
        <f t="shared" si="198"/>
        <v>8708815</v>
      </c>
      <c r="H3001">
        <v>1</v>
      </c>
    </row>
    <row r="3002" spans="1:8" hidden="1" x14ac:dyDescent="0.25">
      <c r="A3002">
        <v>20170</v>
      </c>
      <c r="B3002" t="s">
        <v>10</v>
      </c>
      <c r="C3002" t="s">
        <v>5605</v>
      </c>
      <c r="D3002" t="str">
        <f t="shared" si="200"/>
        <v>09</v>
      </c>
      <c r="E3002" t="s">
        <v>5606</v>
      </c>
      <c r="F3002" t="str">
        <f t="shared" si="198"/>
        <v>8708815</v>
      </c>
      <c r="H3002">
        <v>1</v>
      </c>
    </row>
    <row r="3003" spans="1:8" hidden="1" x14ac:dyDescent="0.25">
      <c r="A3003">
        <v>20171</v>
      </c>
      <c r="B3003" t="s">
        <v>10</v>
      </c>
      <c r="C3003" t="s">
        <v>5607</v>
      </c>
      <c r="D3003" t="str">
        <f t="shared" si="200"/>
        <v>10</v>
      </c>
      <c r="E3003" t="s">
        <v>5608</v>
      </c>
      <c r="F3003" t="str">
        <f t="shared" si="198"/>
        <v>8708815</v>
      </c>
      <c r="H3003">
        <v>1</v>
      </c>
    </row>
    <row r="3004" spans="1:8" hidden="1" x14ac:dyDescent="0.25">
      <c r="A3004">
        <v>20172</v>
      </c>
      <c r="B3004" t="s">
        <v>10</v>
      </c>
      <c r="C3004" t="s">
        <v>5609</v>
      </c>
      <c r="D3004" t="str">
        <f t="shared" si="200"/>
        <v>11</v>
      </c>
      <c r="E3004" t="s">
        <v>5610</v>
      </c>
      <c r="F3004" t="str">
        <f t="shared" si="198"/>
        <v>8708815</v>
      </c>
      <c r="H3004">
        <v>1</v>
      </c>
    </row>
    <row r="3005" spans="1:8" hidden="1" x14ac:dyDescent="0.25">
      <c r="A3005">
        <v>15973</v>
      </c>
      <c r="B3005" t="s">
        <v>4</v>
      </c>
      <c r="C3005" t="s">
        <v>1224</v>
      </c>
      <c r="D3005" t="str">
        <f t="shared" si="200"/>
        <v/>
      </c>
      <c r="E3005" t="s">
        <v>1225</v>
      </c>
      <c r="F3005" t="str">
        <f t="shared" si="198"/>
        <v>8503224</v>
      </c>
    </row>
    <row r="3006" spans="1:8" hidden="1" x14ac:dyDescent="0.25">
      <c r="A3006">
        <v>19083</v>
      </c>
      <c r="B3006" t="s">
        <v>4</v>
      </c>
      <c r="C3006" t="s">
        <v>4272</v>
      </c>
      <c r="D3006" t="str">
        <f t="shared" si="200"/>
        <v/>
      </c>
      <c r="E3006" t="s">
        <v>4273</v>
      </c>
      <c r="F3006" t="str">
        <f t="shared" si="198"/>
        <v>8503111</v>
      </c>
    </row>
    <row r="3007" spans="1:8" hidden="1" x14ac:dyDescent="0.25">
      <c r="A3007">
        <v>16379</v>
      </c>
      <c r="B3007" t="s">
        <v>4</v>
      </c>
      <c r="C3007" t="s">
        <v>1446</v>
      </c>
      <c r="D3007" t="str">
        <f t="shared" si="200"/>
        <v/>
      </c>
      <c r="E3007" t="s">
        <v>1447</v>
      </c>
      <c r="F3007" t="str">
        <f t="shared" si="198"/>
        <v>8503639</v>
      </c>
    </row>
    <row r="3008" spans="1:8" ht="15" hidden="1" customHeight="1" x14ac:dyDescent="0.25">
      <c r="A3008">
        <v>16433</v>
      </c>
      <c r="B3008" t="s">
        <v>4</v>
      </c>
      <c r="C3008" t="s">
        <v>1484</v>
      </c>
      <c r="D3008" t="str">
        <f t="shared" si="200"/>
        <v/>
      </c>
      <c r="E3008" t="s">
        <v>1485</v>
      </c>
      <c r="F3008" t="str">
        <f t="shared" si="198"/>
        <v>8503820</v>
      </c>
    </row>
    <row r="3009" spans="1:8" ht="15" hidden="1" customHeight="1" x14ac:dyDescent="0.25">
      <c r="A3009">
        <v>17501</v>
      </c>
      <c r="B3009" t="s">
        <v>4</v>
      </c>
      <c r="C3009" t="s">
        <v>2201</v>
      </c>
      <c r="D3009" t="str">
        <f t="shared" si="200"/>
        <v/>
      </c>
      <c r="E3009" t="s">
        <v>2202</v>
      </c>
      <c r="F3009" t="str">
        <f t="shared" si="198"/>
        <v>8520004</v>
      </c>
    </row>
    <row r="3010" spans="1:8" ht="15" hidden="1" customHeight="1" x14ac:dyDescent="0.25">
      <c r="A3010">
        <v>20859</v>
      </c>
      <c r="B3010" t="s">
        <v>4</v>
      </c>
      <c r="C3010" t="s">
        <v>6209</v>
      </c>
      <c r="D3010" t="str">
        <f t="shared" si="200"/>
        <v/>
      </c>
      <c r="E3010" t="s">
        <v>6210</v>
      </c>
      <c r="F3010" t="str">
        <f t="shared" si="198"/>
        <v>8522999</v>
      </c>
    </row>
    <row r="3011" spans="1:8" ht="15" hidden="1" customHeight="1" x14ac:dyDescent="0.25">
      <c r="A3011">
        <v>16180</v>
      </c>
      <c r="B3011" t="s">
        <v>4</v>
      </c>
      <c r="C3011" t="s">
        <v>1338</v>
      </c>
      <c r="D3011" t="str">
        <f t="shared" si="200"/>
        <v/>
      </c>
      <c r="E3011" t="s">
        <v>1339</v>
      </c>
      <c r="F3011" t="str">
        <f t="shared" si="198"/>
        <v>8522011</v>
      </c>
    </row>
    <row r="3012" spans="1:8" ht="15" hidden="1" customHeight="1" x14ac:dyDescent="0.25">
      <c r="A3012">
        <v>20603</v>
      </c>
      <c r="B3012" t="s">
        <v>4</v>
      </c>
      <c r="C3012" t="s">
        <v>5985</v>
      </c>
      <c r="D3012" t="str">
        <f t="shared" si="200"/>
        <v/>
      </c>
      <c r="E3012" t="s">
        <v>5986</v>
      </c>
      <c r="F3012" t="str">
        <f t="shared" si="198"/>
        <v>8522030</v>
      </c>
    </row>
    <row r="3013" spans="1:8" ht="15" hidden="1" customHeight="1" x14ac:dyDescent="0.25">
      <c r="A3013">
        <v>16312</v>
      </c>
      <c r="B3013" t="s">
        <v>4</v>
      </c>
      <c r="C3013" t="s">
        <v>1414</v>
      </c>
      <c r="D3013" t="str">
        <f t="shared" si="200"/>
        <v/>
      </c>
      <c r="E3013" t="s">
        <v>1415</v>
      </c>
      <c r="F3013" t="str">
        <f t="shared" si="198"/>
        <v>7707571</v>
      </c>
      <c r="H3013">
        <v>1</v>
      </c>
    </row>
    <row r="3014" spans="1:8" ht="15" hidden="1" customHeight="1" x14ac:dyDescent="0.25">
      <c r="A3014">
        <v>20499</v>
      </c>
      <c r="B3014" t="s">
        <v>4</v>
      </c>
      <c r="C3014" t="s">
        <v>5925</v>
      </c>
      <c r="D3014" t="str">
        <f t="shared" si="200"/>
        <v/>
      </c>
      <c r="E3014" t="s">
        <v>5926</v>
      </c>
      <c r="F3014" t="str">
        <f t="shared" si="198"/>
        <v>8503303</v>
      </c>
    </row>
    <row r="3015" spans="1:8" hidden="1" x14ac:dyDescent="0.25">
      <c r="A3015">
        <v>21280</v>
      </c>
      <c r="B3015" t="s">
        <v>7</v>
      </c>
      <c r="C3015" t="s">
        <v>6785</v>
      </c>
      <c r="D3015" t="s">
        <v>6840</v>
      </c>
      <c r="E3015" t="s">
        <v>6786</v>
      </c>
      <c r="F3015" t="str">
        <f t="shared" si="198"/>
        <v>8303523</v>
      </c>
      <c r="H3015">
        <f>SUBTOTAL(9,H3016:H3021)</f>
        <v>0</v>
      </c>
    </row>
    <row r="3016" spans="1:8" hidden="1" x14ac:dyDescent="0.25">
      <c r="A3016">
        <v>21281</v>
      </c>
      <c r="B3016" t="s">
        <v>10</v>
      </c>
      <c r="C3016" t="s">
        <v>6787</v>
      </c>
      <c r="D3016" t="str">
        <f t="shared" ref="D3016:D3023" si="201">IF(RIGHT(LEFT(C3016,9),2)="##","",RIGHT(LEFT(C3016,10),2))</f>
        <v>04</v>
      </c>
      <c r="E3016" t="s">
        <v>6788</v>
      </c>
      <c r="F3016" t="str">
        <f t="shared" si="198"/>
        <v>8303523</v>
      </c>
      <c r="H3016">
        <v>1</v>
      </c>
    </row>
    <row r="3017" spans="1:8" hidden="1" x14ac:dyDescent="0.25">
      <c r="A3017">
        <v>21285</v>
      </c>
      <c r="B3017" t="s">
        <v>10</v>
      </c>
      <c r="C3017" t="s">
        <v>6789</v>
      </c>
      <c r="D3017" t="str">
        <f t="shared" si="201"/>
        <v>06</v>
      </c>
      <c r="E3017" t="s">
        <v>6790</v>
      </c>
      <c r="F3017" t="str">
        <f t="shared" si="198"/>
        <v>8303523</v>
      </c>
      <c r="H3017">
        <v>1</v>
      </c>
    </row>
    <row r="3018" spans="1:8" ht="15" hidden="1" customHeight="1" x14ac:dyDescent="0.25">
      <c r="A3018">
        <v>21288</v>
      </c>
      <c r="B3018" t="s">
        <v>10</v>
      </c>
      <c r="C3018" t="s">
        <v>6791</v>
      </c>
      <c r="D3018" t="str">
        <f t="shared" si="201"/>
        <v>08</v>
      </c>
      <c r="E3018" t="s">
        <v>6792</v>
      </c>
      <c r="F3018" t="str">
        <f t="shared" si="198"/>
        <v>8303523</v>
      </c>
      <c r="H3018">
        <v>1</v>
      </c>
    </row>
    <row r="3019" spans="1:8" ht="15" hidden="1" customHeight="1" x14ac:dyDescent="0.25">
      <c r="A3019">
        <v>21292</v>
      </c>
      <c r="B3019" t="s">
        <v>10</v>
      </c>
      <c r="C3019" t="s">
        <v>6793</v>
      </c>
      <c r="D3019" t="str">
        <f t="shared" si="201"/>
        <v>09</v>
      </c>
      <c r="E3019" t="s">
        <v>6794</v>
      </c>
      <c r="F3019" t="str">
        <f t="shared" si="198"/>
        <v>8303523</v>
      </c>
      <c r="H3019">
        <v>1</v>
      </c>
    </row>
    <row r="3020" spans="1:8" ht="15" hidden="1" customHeight="1" x14ac:dyDescent="0.25">
      <c r="A3020">
        <v>21295</v>
      </c>
      <c r="B3020" t="s">
        <v>10</v>
      </c>
      <c r="C3020" t="s">
        <v>6795</v>
      </c>
      <c r="D3020" t="str">
        <f t="shared" si="201"/>
        <v>13</v>
      </c>
      <c r="E3020" t="s">
        <v>6796</v>
      </c>
      <c r="F3020" t="str">
        <f t="shared" si="198"/>
        <v>8303523</v>
      </c>
      <c r="H3020">
        <v>1</v>
      </c>
    </row>
    <row r="3021" spans="1:8" ht="15" hidden="1" customHeight="1" x14ac:dyDescent="0.25">
      <c r="A3021">
        <v>21299</v>
      </c>
      <c r="B3021" t="s">
        <v>10</v>
      </c>
      <c r="C3021" t="s">
        <v>6797</v>
      </c>
      <c r="D3021" t="str">
        <f t="shared" si="201"/>
        <v>21</v>
      </c>
      <c r="E3021" t="s">
        <v>6798</v>
      </c>
      <c r="F3021" t="str">
        <f t="shared" si="198"/>
        <v>8303523</v>
      </c>
      <c r="H3021">
        <v>1</v>
      </c>
    </row>
    <row r="3022" spans="1:8" ht="15" hidden="1" customHeight="1" x14ac:dyDescent="0.25">
      <c r="A3022">
        <v>16627</v>
      </c>
      <c r="B3022" t="s">
        <v>4</v>
      </c>
      <c r="C3022" t="s">
        <v>1578</v>
      </c>
      <c r="D3022" t="str">
        <f t="shared" si="201"/>
        <v/>
      </c>
      <c r="E3022" t="s">
        <v>1579</v>
      </c>
      <c r="F3022" t="str">
        <f t="shared" si="198"/>
        <v>8503305</v>
      </c>
    </row>
    <row r="3023" spans="1:8" ht="15" hidden="1" customHeight="1" x14ac:dyDescent="0.25">
      <c r="A3023">
        <v>20490</v>
      </c>
      <c r="B3023" t="s">
        <v>4</v>
      </c>
      <c r="C3023" t="s">
        <v>5921</v>
      </c>
      <c r="D3023" t="str">
        <f t="shared" si="201"/>
        <v/>
      </c>
      <c r="E3023" t="s">
        <v>5922</v>
      </c>
      <c r="F3023" t="str">
        <f t="shared" si="198"/>
        <v>8303299</v>
      </c>
    </row>
    <row r="3024" spans="1:8" ht="15" customHeight="1" x14ac:dyDescent="0.25">
      <c r="A3024">
        <f>+A3023+1</f>
        <v>20491</v>
      </c>
      <c r="B3024" t="s">
        <v>7</v>
      </c>
      <c r="C3024" t="s">
        <v>7004</v>
      </c>
      <c r="E3024" t="s">
        <v>7005</v>
      </c>
      <c r="F3024" t="str">
        <f t="shared" si="198"/>
        <v>2103050</v>
      </c>
    </row>
    <row r="3025" spans="1:9" ht="15" customHeight="1" x14ac:dyDescent="0.25">
      <c r="A3025">
        <f>+A3024+1</f>
        <v>20492</v>
      </c>
      <c r="B3025" t="s">
        <v>7</v>
      </c>
      <c r="C3025" t="s">
        <v>7003</v>
      </c>
      <c r="E3025" t="s">
        <v>7002</v>
      </c>
      <c r="F3025" t="str">
        <f t="shared" si="198"/>
        <v>2103090</v>
      </c>
    </row>
    <row r="3026" spans="1:9" ht="15" customHeight="1" x14ac:dyDescent="0.25">
      <c r="A3026">
        <v>19175</v>
      </c>
      <c r="B3026" t="s">
        <v>7</v>
      </c>
      <c r="C3026" t="s">
        <v>4373</v>
      </c>
      <c r="D3026" t="str">
        <f t="shared" ref="D3026:D3089" si="202">IF(RIGHT(LEFT(C3026,9),2)="##","",RIGHT(LEFT(C3026,10),2))</f>
        <v/>
      </c>
      <c r="E3026" t="s">
        <v>4374</v>
      </c>
      <c r="F3026" t="str">
        <f t="shared" si="198"/>
        <v>2220333</v>
      </c>
      <c r="H3026">
        <v>1</v>
      </c>
      <c r="I3026">
        <v>1</v>
      </c>
    </row>
    <row r="3027" spans="1:9" ht="15" hidden="1" customHeight="1" x14ac:dyDescent="0.25">
      <c r="A3027">
        <v>19183</v>
      </c>
      <c r="B3027" t="s">
        <v>10</v>
      </c>
      <c r="C3027" t="s">
        <v>4389</v>
      </c>
      <c r="D3027" t="str">
        <f t="shared" si="202"/>
        <v/>
      </c>
      <c r="E3027" t="s">
        <v>4390</v>
      </c>
      <c r="F3027" t="str">
        <f t="shared" si="198"/>
        <v>2220333</v>
      </c>
    </row>
    <row r="3028" spans="1:9" ht="15" hidden="1" customHeight="1" x14ac:dyDescent="0.25">
      <c r="A3028">
        <v>19180</v>
      </c>
      <c r="B3028" t="s">
        <v>10</v>
      </c>
      <c r="C3028" t="s">
        <v>4383</v>
      </c>
      <c r="D3028" t="str">
        <f t="shared" si="202"/>
        <v/>
      </c>
      <c r="E3028" t="s">
        <v>4384</v>
      </c>
      <c r="F3028" t="str">
        <f t="shared" si="198"/>
        <v>2220333</v>
      </c>
    </row>
    <row r="3029" spans="1:9" ht="15" hidden="1" customHeight="1" x14ac:dyDescent="0.25">
      <c r="A3029">
        <v>19179</v>
      </c>
      <c r="B3029" t="s">
        <v>10</v>
      </c>
      <c r="C3029" t="s">
        <v>4381</v>
      </c>
      <c r="D3029" t="str">
        <f t="shared" si="202"/>
        <v/>
      </c>
      <c r="E3029" t="s">
        <v>4382</v>
      </c>
      <c r="F3029" t="str">
        <f t="shared" si="198"/>
        <v>2220333</v>
      </c>
    </row>
    <row r="3030" spans="1:9" ht="15" hidden="1" customHeight="1" x14ac:dyDescent="0.25">
      <c r="A3030">
        <v>19178</v>
      </c>
      <c r="B3030" t="s">
        <v>10</v>
      </c>
      <c r="C3030" t="s">
        <v>4379</v>
      </c>
      <c r="D3030" t="str">
        <f t="shared" si="202"/>
        <v/>
      </c>
      <c r="E3030" t="s">
        <v>4380</v>
      </c>
      <c r="F3030" t="str">
        <f t="shared" si="198"/>
        <v>2220333</v>
      </c>
    </row>
    <row r="3031" spans="1:9" ht="15" hidden="1" customHeight="1" x14ac:dyDescent="0.25">
      <c r="A3031">
        <v>19181</v>
      </c>
      <c r="B3031" t="s">
        <v>10</v>
      </c>
      <c r="C3031" t="s">
        <v>4385</v>
      </c>
      <c r="D3031" t="str">
        <f t="shared" si="202"/>
        <v/>
      </c>
      <c r="E3031" t="s">
        <v>4386</v>
      </c>
      <c r="F3031" t="str">
        <f t="shared" si="198"/>
        <v>2220333</v>
      </c>
    </row>
    <row r="3032" spans="1:9" ht="15" hidden="1" customHeight="1" x14ac:dyDescent="0.25">
      <c r="A3032">
        <v>19177</v>
      </c>
      <c r="B3032" t="s">
        <v>10</v>
      </c>
      <c r="C3032" t="s">
        <v>4377</v>
      </c>
      <c r="D3032" t="str">
        <f t="shared" si="202"/>
        <v/>
      </c>
      <c r="E3032" t="s">
        <v>4378</v>
      </c>
      <c r="F3032" t="str">
        <f t="shared" si="198"/>
        <v>2220333</v>
      </c>
    </row>
    <row r="3033" spans="1:9" ht="15" hidden="1" customHeight="1" x14ac:dyDescent="0.25">
      <c r="A3033">
        <v>19182</v>
      </c>
      <c r="B3033" t="s">
        <v>10</v>
      </c>
      <c r="C3033" t="s">
        <v>4387</v>
      </c>
      <c r="D3033" t="str">
        <f t="shared" si="202"/>
        <v/>
      </c>
      <c r="E3033" t="s">
        <v>4388</v>
      </c>
      <c r="F3033" t="str">
        <f t="shared" si="198"/>
        <v>2220333</v>
      </c>
    </row>
    <row r="3034" spans="1:9" ht="15" hidden="1" customHeight="1" x14ac:dyDescent="0.25">
      <c r="A3034">
        <v>19176</v>
      </c>
      <c r="B3034" t="s">
        <v>10</v>
      </c>
      <c r="C3034" t="s">
        <v>4375</v>
      </c>
      <c r="D3034" t="str">
        <f t="shared" si="202"/>
        <v/>
      </c>
      <c r="E3034" t="s">
        <v>4376</v>
      </c>
      <c r="F3034" t="str">
        <f t="shared" si="198"/>
        <v>2220333</v>
      </c>
    </row>
    <row r="3035" spans="1:9" ht="15" customHeight="1" x14ac:dyDescent="0.25">
      <c r="A3035">
        <v>19116</v>
      </c>
      <c r="B3035" t="s">
        <v>7</v>
      </c>
      <c r="C3035" t="s">
        <v>4310</v>
      </c>
      <c r="D3035" t="str">
        <f t="shared" si="202"/>
        <v/>
      </c>
      <c r="E3035" t="s">
        <v>4311</v>
      </c>
      <c r="F3035" t="str">
        <f t="shared" si="198"/>
        <v>2220292</v>
      </c>
      <c r="H3035">
        <v>4</v>
      </c>
      <c r="I3035">
        <v>1</v>
      </c>
    </row>
    <row r="3036" spans="1:9" ht="15" hidden="1" customHeight="1" x14ac:dyDescent="0.25">
      <c r="A3036">
        <v>19128</v>
      </c>
      <c r="B3036" t="s">
        <v>10</v>
      </c>
      <c r="C3036" t="s">
        <v>4326</v>
      </c>
      <c r="D3036" t="str">
        <f t="shared" si="202"/>
        <v/>
      </c>
      <c r="E3036" t="s">
        <v>4327</v>
      </c>
      <c r="F3036" t="str">
        <f t="shared" si="198"/>
        <v>2220292</v>
      </c>
    </row>
    <row r="3037" spans="1:9" ht="15" hidden="1" customHeight="1" x14ac:dyDescent="0.25">
      <c r="A3037">
        <v>19129</v>
      </c>
      <c r="B3037" t="s">
        <v>10</v>
      </c>
      <c r="C3037" t="s">
        <v>4328</v>
      </c>
      <c r="D3037" t="str">
        <f t="shared" si="202"/>
        <v/>
      </c>
      <c r="E3037" t="s">
        <v>4329</v>
      </c>
      <c r="F3037" t="str">
        <f t="shared" si="198"/>
        <v>2220292</v>
      </c>
    </row>
    <row r="3038" spans="1:9" ht="15" hidden="1" customHeight="1" x14ac:dyDescent="0.25">
      <c r="A3038">
        <v>19125</v>
      </c>
      <c r="B3038" t="s">
        <v>10</v>
      </c>
      <c r="C3038" t="s">
        <v>4320</v>
      </c>
      <c r="D3038" t="str">
        <f t="shared" si="202"/>
        <v/>
      </c>
      <c r="E3038" t="s">
        <v>4321</v>
      </c>
      <c r="F3038" t="str">
        <f t="shared" si="198"/>
        <v>2220292</v>
      </c>
    </row>
    <row r="3039" spans="1:9" ht="15" hidden="1" customHeight="1" x14ac:dyDescent="0.25">
      <c r="A3039">
        <v>19124</v>
      </c>
      <c r="B3039" t="s">
        <v>10</v>
      </c>
      <c r="C3039" t="s">
        <v>4318</v>
      </c>
      <c r="D3039" t="str">
        <f t="shared" si="202"/>
        <v/>
      </c>
      <c r="E3039" t="s">
        <v>4319</v>
      </c>
      <c r="F3039" t="str">
        <f t="shared" si="198"/>
        <v>2220292</v>
      </c>
    </row>
    <row r="3040" spans="1:9" ht="15" hidden="1" customHeight="1" x14ac:dyDescent="0.25">
      <c r="A3040">
        <v>19123</v>
      </c>
      <c r="B3040" t="s">
        <v>10</v>
      </c>
      <c r="C3040" t="s">
        <v>4316</v>
      </c>
      <c r="D3040" t="str">
        <f t="shared" si="202"/>
        <v/>
      </c>
      <c r="E3040" t="s">
        <v>4317</v>
      </c>
      <c r="F3040" t="str">
        <f t="shared" ref="F3040:F3053" si="203">LEFT(C3040,7)</f>
        <v>2220292</v>
      </c>
    </row>
    <row r="3041" spans="1:9" ht="15" hidden="1" customHeight="1" x14ac:dyDescent="0.25">
      <c r="A3041">
        <v>19126</v>
      </c>
      <c r="B3041" t="s">
        <v>10</v>
      </c>
      <c r="C3041" t="s">
        <v>4322</v>
      </c>
      <c r="D3041" t="str">
        <f t="shared" si="202"/>
        <v/>
      </c>
      <c r="E3041" t="s">
        <v>4323</v>
      </c>
      <c r="F3041" t="str">
        <f t="shared" si="203"/>
        <v>2220292</v>
      </c>
    </row>
    <row r="3042" spans="1:9" ht="15" hidden="1" customHeight="1" x14ac:dyDescent="0.25">
      <c r="A3042">
        <v>19122</v>
      </c>
      <c r="B3042" t="s">
        <v>10</v>
      </c>
      <c r="C3042" t="s">
        <v>4314</v>
      </c>
      <c r="D3042" t="str">
        <f t="shared" si="202"/>
        <v/>
      </c>
      <c r="E3042" t="s">
        <v>4315</v>
      </c>
      <c r="F3042" t="str">
        <f t="shared" si="203"/>
        <v>2220292</v>
      </c>
    </row>
    <row r="3043" spans="1:9" ht="15" hidden="1" customHeight="1" x14ac:dyDescent="0.25">
      <c r="A3043">
        <v>19127</v>
      </c>
      <c r="B3043" t="s">
        <v>10</v>
      </c>
      <c r="C3043" t="s">
        <v>4324</v>
      </c>
      <c r="D3043" t="str">
        <f t="shared" si="202"/>
        <v/>
      </c>
      <c r="E3043" t="s">
        <v>4325</v>
      </c>
      <c r="F3043" t="str">
        <f t="shared" si="203"/>
        <v>2220292</v>
      </c>
    </row>
    <row r="3044" spans="1:9" ht="15" hidden="1" customHeight="1" x14ac:dyDescent="0.25">
      <c r="A3044">
        <v>19117</v>
      </c>
      <c r="B3044" t="s">
        <v>10</v>
      </c>
      <c r="C3044" t="s">
        <v>4312</v>
      </c>
      <c r="D3044" t="str">
        <f t="shared" si="202"/>
        <v/>
      </c>
      <c r="E3044" t="s">
        <v>4313</v>
      </c>
      <c r="F3044" t="str">
        <f t="shared" si="203"/>
        <v>2220292</v>
      </c>
    </row>
    <row r="3045" spans="1:9" ht="15" customHeight="1" x14ac:dyDescent="0.25">
      <c r="A3045">
        <v>19200</v>
      </c>
      <c r="B3045" t="s">
        <v>7</v>
      </c>
      <c r="C3045" t="s">
        <v>4423</v>
      </c>
      <c r="D3045" t="str">
        <f t="shared" si="202"/>
        <v/>
      </c>
      <c r="E3045" t="s">
        <v>4424</v>
      </c>
      <c r="F3045" t="str">
        <f t="shared" si="203"/>
        <v>2220856</v>
      </c>
      <c r="H3045">
        <v>1</v>
      </c>
      <c r="I3045">
        <v>1</v>
      </c>
    </row>
    <row r="3046" spans="1:9" ht="15" customHeight="1" x14ac:dyDescent="0.25">
      <c r="A3046">
        <v>19167</v>
      </c>
      <c r="B3046" t="s">
        <v>7</v>
      </c>
      <c r="C3046" t="s">
        <v>4357</v>
      </c>
      <c r="D3046" t="str">
        <f t="shared" si="202"/>
        <v/>
      </c>
      <c r="E3046" t="s">
        <v>4358</v>
      </c>
      <c r="F3046" t="str">
        <f t="shared" si="203"/>
        <v>2220004</v>
      </c>
      <c r="H3046">
        <v>1</v>
      </c>
      <c r="I3046">
        <v>1</v>
      </c>
    </row>
    <row r="3047" spans="1:9" ht="15" hidden="1" customHeight="1" x14ac:dyDescent="0.25">
      <c r="A3047">
        <v>19174</v>
      </c>
      <c r="B3047" t="s">
        <v>10</v>
      </c>
      <c r="C3047" t="s">
        <v>4371</v>
      </c>
      <c r="D3047" t="str">
        <f t="shared" si="202"/>
        <v/>
      </c>
      <c r="E3047" t="s">
        <v>4372</v>
      </c>
      <c r="F3047" t="str">
        <f t="shared" si="203"/>
        <v>2220004</v>
      </c>
    </row>
    <row r="3048" spans="1:9" ht="15" hidden="1" customHeight="1" x14ac:dyDescent="0.25">
      <c r="A3048">
        <v>19171</v>
      </c>
      <c r="B3048" t="s">
        <v>10</v>
      </c>
      <c r="C3048" t="s">
        <v>4365</v>
      </c>
      <c r="D3048" t="str">
        <f t="shared" si="202"/>
        <v/>
      </c>
      <c r="E3048" t="s">
        <v>4366</v>
      </c>
      <c r="F3048" t="str">
        <f t="shared" si="203"/>
        <v>2220004</v>
      </c>
    </row>
    <row r="3049" spans="1:9" ht="15" hidden="1" customHeight="1" x14ac:dyDescent="0.25">
      <c r="A3049">
        <v>19170</v>
      </c>
      <c r="B3049" t="s">
        <v>10</v>
      </c>
      <c r="C3049" t="s">
        <v>4363</v>
      </c>
      <c r="D3049" t="str">
        <f t="shared" si="202"/>
        <v/>
      </c>
      <c r="E3049" t="s">
        <v>4364</v>
      </c>
      <c r="F3049" t="str">
        <f t="shared" si="203"/>
        <v>2220004</v>
      </c>
    </row>
    <row r="3050" spans="1:9" ht="15" hidden="1" customHeight="1" x14ac:dyDescent="0.25">
      <c r="A3050">
        <v>19169</v>
      </c>
      <c r="B3050" t="s">
        <v>10</v>
      </c>
      <c r="C3050" t="s">
        <v>4361</v>
      </c>
      <c r="D3050" t="str">
        <f t="shared" si="202"/>
        <v/>
      </c>
      <c r="E3050" t="s">
        <v>4362</v>
      </c>
      <c r="F3050" t="str">
        <f t="shared" si="203"/>
        <v>2220004</v>
      </c>
    </row>
    <row r="3051" spans="1:9" ht="15" hidden="1" customHeight="1" x14ac:dyDescent="0.25">
      <c r="A3051">
        <v>19172</v>
      </c>
      <c r="B3051" t="s">
        <v>10</v>
      </c>
      <c r="C3051" t="s">
        <v>4367</v>
      </c>
      <c r="D3051" t="str">
        <f t="shared" si="202"/>
        <v/>
      </c>
      <c r="E3051" t="s">
        <v>4368</v>
      </c>
      <c r="F3051" t="str">
        <f t="shared" si="203"/>
        <v>2220004</v>
      </c>
    </row>
    <row r="3052" spans="1:9" ht="15" hidden="1" customHeight="1" x14ac:dyDescent="0.25">
      <c r="A3052">
        <v>19168</v>
      </c>
      <c r="B3052" t="s">
        <v>10</v>
      </c>
      <c r="C3052" t="s">
        <v>4359</v>
      </c>
      <c r="D3052" t="str">
        <f t="shared" si="202"/>
        <v/>
      </c>
      <c r="E3052" t="s">
        <v>4360</v>
      </c>
      <c r="F3052" t="str">
        <f t="shared" si="203"/>
        <v>2220004</v>
      </c>
    </row>
    <row r="3053" spans="1:9" ht="15" hidden="1" customHeight="1" x14ac:dyDescent="0.25">
      <c r="A3053">
        <v>19173</v>
      </c>
      <c r="B3053" t="s">
        <v>10</v>
      </c>
      <c r="C3053" t="s">
        <v>4369</v>
      </c>
      <c r="D3053" t="str">
        <f t="shared" si="202"/>
        <v/>
      </c>
      <c r="E3053" t="s">
        <v>4370</v>
      </c>
      <c r="F3053" t="str">
        <f t="shared" si="203"/>
        <v>2220004</v>
      </c>
    </row>
    <row r="3054" spans="1:9" ht="15" customHeight="1" x14ac:dyDescent="0.25">
      <c r="A3054">
        <v>17987</v>
      </c>
      <c r="B3054" t="s">
        <v>7</v>
      </c>
      <c r="C3054" t="s">
        <v>2915</v>
      </c>
      <c r="D3054" t="str">
        <f t="shared" si="202"/>
        <v/>
      </c>
      <c r="E3054" t="s">
        <v>2916</v>
      </c>
      <c r="F3054" t="s">
        <v>6938</v>
      </c>
      <c r="H3054">
        <v>6</v>
      </c>
      <c r="I3054">
        <v>1</v>
      </c>
    </row>
    <row r="3055" spans="1:9" ht="15" hidden="1" customHeight="1" x14ac:dyDescent="0.25">
      <c r="A3055">
        <v>17988</v>
      </c>
      <c r="B3055" t="s">
        <v>10</v>
      </c>
      <c r="C3055" t="s">
        <v>2917</v>
      </c>
      <c r="D3055" t="str">
        <f t="shared" si="202"/>
        <v/>
      </c>
      <c r="E3055" t="s">
        <v>2918</v>
      </c>
      <c r="F3055" t="str">
        <f t="shared" ref="F3055:F3065" si="204">LEFT(C3055,7)</f>
        <v>2101499</v>
      </c>
    </row>
    <row r="3056" spans="1:9" ht="15" hidden="1" customHeight="1" x14ac:dyDescent="0.25">
      <c r="A3056">
        <v>17989</v>
      </c>
      <c r="B3056" t="s">
        <v>10</v>
      </c>
      <c r="C3056" t="s">
        <v>2919</v>
      </c>
      <c r="D3056" t="str">
        <f t="shared" si="202"/>
        <v/>
      </c>
      <c r="E3056" t="s">
        <v>2920</v>
      </c>
      <c r="F3056" t="str">
        <f t="shared" si="204"/>
        <v>2101499</v>
      </c>
    </row>
    <row r="3057" spans="1:9" ht="15" customHeight="1" x14ac:dyDescent="0.25">
      <c r="A3057">
        <v>15235</v>
      </c>
      <c r="B3057" t="s">
        <v>7</v>
      </c>
      <c r="C3057" t="s">
        <v>693</v>
      </c>
      <c r="D3057" t="str">
        <f t="shared" si="202"/>
        <v/>
      </c>
      <c r="E3057" t="s">
        <v>694</v>
      </c>
      <c r="F3057" t="str">
        <f t="shared" si="204"/>
        <v>2101495</v>
      </c>
      <c r="H3057">
        <v>6</v>
      </c>
      <c r="I3057">
        <v>1</v>
      </c>
    </row>
    <row r="3058" spans="1:9" ht="15" hidden="1" customHeight="1" x14ac:dyDescent="0.25">
      <c r="A3058">
        <v>15244</v>
      </c>
      <c r="B3058" t="s">
        <v>10</v>
      </c>
      <c r="C3058" t="s">
        <v>709</v>
      </c>
      <c r="D3058" t="str">
        <f t="shared" si="202"/>
        <v/>
      </c>
      <c r="E3058" t="s">
        <v>710</v>
      </c>
      <c r="F3058" t="str">
        <f t="shared" si="204"/>
        <v>2101495</v>
      </c>
    </row>
    <row r="3059" spans="1:9" ht="15" hidden="1" customHeight="1" x14ac:dyDescent="0.25">
      <c r="A3059">
        <v>15241</v>
      </c>
      <c r="B3059" t="s">
        <v>10</v>
      </c>
      <c r="C3059" t="s">
        <v>703</v>
      </c>
      <c r="D3059" t="str">
        <f t="shared" si="202"/>
        <v/>
      </c>
      <c r="E3059" t="s">
        <v>704</v>
      </c>
      <c r="F3059" t="str">
        <f t="shared" si="204"/>
        <v>2101495</v>
      </c>
    </row>
    <row r="3060" spans="1:9" ht="15" hidden="1" customHeight="1" x14ac:dyDescent="0.25">
      <c r="A3060">
        <v>15240</v>
      </c>
      <c r="B3060" t="s">
        <v>10</v>
      </c>
      <c r="C3060" t="s">
        <v>701</v>
      </c>
      <c r="D3060" t="str">
        <f t="shared" si="202"/>
        <v/>
      </c>
      <c r="E3060" t="s">
        <v>702</v>
      </c>
      <c r="F3060" t="str">
        <f t="shared" si="204"/>
        <v>2101495</v>
      </c>
    </row>
    <row r="3061" spans="1:9" ht="15" hidden="1" customHeight="1" x14ac:dyDescent="0.25">
      <c r="A3061">
        <v>15239</v>
      </c>
      <c r="B3061" t="s">
        <v>10</v>
      </c>
      <c r="C3061" t="s">
        <v>699</v>
      </c>
      <c r="D3061" t="str">
        <f t="shared" si="202"/>
        <v/>
      </c>
      <c r="E3061" t="s">
        <v>700</v>
      </c>
      <c r="F3061" t="str">
        <f t="shared" si="204"/>
        <v>2101495</v>
      </c>
    </row>
    <row r="3062" spans="1:9" ht="15" hidden="1" customHeight="1" x14ac:dyDescent="0.25">
      <c r="A3062">
        <v>15242</v>
      </c>
      <c r="B3062" t="s">
        <v>10</v>
      </c>
      <c r="C3062" t="s">
        <v>705</v>
      </c>
      <c r="D3062" t="str">
        <f t="shared" si="202"/>
        <v/>
      </c>
      <c r="E3062" t="s">
        <v>706</v>
      </c>
      <c r="F3062" t="str">
        <f t="shared" si="204"/>
        <v>2101495</v>
      </c>
    </row>
    <row r="3063" spans="1:9" ht="15" hidden="1" customHeight="1" x14ac:dyDescent="0.25">
      <c r="A3063">
        <v>15238</v>
      </c>
      <c r="B3063" t="s">
        <v>10</v>
      </c>
      <c r="C3063" t="s">
        <v>697</v>
      </c>
      <c r="D3063" t="str">
        <f t="shared" si="202"/>
        <v/>
      </c>
      <c r="E3063" t="s">
        <v>698</v>
      </c>
      <c r="F3063" t="str">
        <f t="shared" si="204"/>
        <v>2101495</v>
      </c>
    </row>
    <row r="3064" spans="1:9" ht="15" hidden="1" customHeight="1" x14ac:dyDescent="0.25">
      <c r="A3064">
        <v>15243</v>
      </c>
      <c r="B3064" t="s">
        <v>10</v>
      </c>
      <c r="C3064" t="s">
        <v>707</v>
      </c>
      <c r="D3064" t="str">
        <f t="shared" si="202"/>
        <v/>
      </c>
      <c r="E3064" t="s">
        <v>708</v>
      </c>
      <c r="F3064" t="str">
        <f t="shared" si="204"/>
        <v>2101495</v>
      </c>
    </row>
    <row r="3065" spans="1:9" ht="15" hidden="1" customHeight="1" x14ac:dyDescent="0.25">
      <c r="A3065">
        <v>15236</v>
      </c>
      <c r="B3065" t="s">
        <v>10</v>
      </c>
      <c r="C3065" t="s">
        <v>695</v>
      </c>
      <c r="D3065" t="str">
        <f t="shared" si="202"/>
        <v/>
      </c>
      <c r="E3065" t="s">
        <v>696</v>
      </c>
      <c r="F3065" t="str">
        <f t="shared" si="204"/>
        <v>2101495</v>
      </c>
    </row>
    <row r="3066" spans="1:9" ht="15" customHeight="1" x14ac:dyDescent="0.25">
      <c r="A3066">
        <v>19687</v>
      </c>
      <c r="B3066" t="s">
        <v>7</v>
      </c>
      <c r="C3066" t="s">
        <v>5067</v>
      </c>
      <c r="D3066" t="str">
        <f t="shared" si="202"/>
        <v/>
      </c>
      <c r="E3066" t="s">
        <v>5068</v>
      </c>
      <c r="F3066" t="s">
        <v>6939</v>
      </c>
      <c r="H3066">
        <v>5</v>
      </c>
      <c r="I3066">
        <v>1</v>
      </c>
    </row>
    <row r="3067" spans="1:9" ht="15" hidden="1" customHeight="1" x14ac:dyDescent="0.25">
      <c r="A3067">
        <v>19688</v>
      </c>
      <c r="B3067" t="s">
        <v>10</v>
      </c>
      <c r="C3067" t="s">
        <v>5069</v>
      </c>
      <c r="D3067" t="str">
        <f t="shared" si="202"/>
        <v/>
      </c>
      <c r="E3067" t="s">
        <v>5070</v>
      </c>
      <c r="F3067" t="str">
        <f t="shared" ref="F3067:F3077" si="205">LEFT(C3067,7)</f>
        <v>2101878</v>
      </c>
    </row>
    <row r="3068" spans="1:9" ht="15" hidden="1" customHeight="1" x14ac:dyDescent="0.25">
      <c r="A3068">
        <v>19689</v>
      </c>
      <c r="B3068" t="s">
        <v>10</v>
      </c>
      <c r="C3068" t="s">
        <v>5071</v>
      </c>
      <c r="D3068" t="str">
        <f t="shared" si="202"/>
        <v/>
      </c>
      <c r="E3068" t="s">
        <v>5072</v>
      </c>
      <c r="F3068" t="str">
        <f t="shared" si="205"/>
        <v>2101878</v>
      </c>
    </row>
    <row r="3069" spans="1:9" ht="15" customHeight="1" x14ac:dyDescent="0.25">
      <c r="A3069">
        <v>17695</v>
      </c>
      <c r="B3069" t="s">
        <v>7</v>
      </c>
      <c r="C3069" t="s">
        <v>2455</v>
      </c>
      <c r="D3069" t="str">
        <f t="shared" si="202"/>
        <v/>
      </c>
      <c r="E3069" t="s">
        <v>2456</v>
      </c>
      <c r="F3069" t="str">
        <f t="shared" si="205"/>
        <v>2101877</v>
      </c>
      <c r="H3069">
        <v>5</v>
      </c>
      <c r="I3069">
        <v>1</v>
      </c>
    </row>
    <row r="3070" spans="1:9" ht="15" hidden="1" customHeight="1" x14ac:dyDescent="0.25">
      <c r="A3070">
        <v>17705</v>
      </c>
      <c r="B3070" t="s">
        <v>10</v>
      </c>
      <c r="C3070" t="s">
        <v>2471</v>
      </c>
      <c r="D3070" t="str">
        <f t="shared" si="202"/>
        <v/>
      </c>
      <c r="E3070" t="s">
        <v>2472</v>
      </c>
      <c r="F3070" t="str">
        <f t="shared" si="205"/>
        <v>2101877</v>
      </c>
    </row>
    <row r="3071" spans="1:9" ht="15" hidden="1" customHeight="1" x14ac:dyDescent="0.25">
      <c r="A3071">
        <v>17702</v>
      </c>
      <c r="B3071" t="s">
        <v>10</v>
      </c>
      <c r="C3071" t="s">
        <v>2465</v>
      </c>
      <c r="D3071" t="str">
        <f t="shared" si="202"/>
        <v/>
      </c>
      <c r="E3071" t="s">
        <v>2466</v>
      </c>
      <c r="F3071" t="str">
        <f t="shared" si="205"/>
        <v>2101877</v>
      </c>
    </row>
    <row r="3072" spans="1:9" ht="15" hidden="1" customHeight="1" x14ac:dyDescent="0.25">
      <c r="A3072">
        <v>17701</v>
      </c>
      <c r="B3072" t="s">
        <v>10</v>
      </c>
      <c r="C3072" t="s">
        <v>2463</v>
      </c>
      <c r="D3072" t="str">
        <f t="shared" si="202"/>
        <v/>
      </c>
      <c r="E3072" t="s">
        <v>2464</v>
      </c>
      <c r="F3072" t="str">
        <f t="shared" si="205"/>
        <v>2101877</v>
      </c>
    </row>
    <row r="3073" spans="1:9" ht="15" hidden="1" customHeight="1" x14ac:dyDescent="0.25">
      <c r="A3073">
        <v>17700</v>
      </c>
      <c r="B3073" t="s">
        <v>10</v>
      </c>
      <c r="C3073" t="s">
        <v>2461</v>
      </c>
      <c r="D3073" t="str">
        <f t="shared" si="202"/>
        <v/>
      </c>
      <c r="E3073" t="s">
        <v>2462</v>
      </c>
      <c r="F3073" t="str">
        <f t="shared" si="205"/>
        <v>2101877</v>
      </c>
    </row>
    <row r="3074" spans="1:9" ht="15" hidden="1" customHeight="1" x14ac:dyDescent="0.25">
      <c r="A3074">
        <v>17703</v>
      </c>
      <c r="B3074" t="s">
        <v>10</v>
      </c>
      <c r="C3074" t="s">
        <v>2467</v>
      </c>
      <c r="D3074" t="str">
        <f t="shared" si="202"/>
        <v/>
      </c>
      <c r="E3074" t="s">
        <v>2468</v>
      </c>
      <c r="F3074" t="str">
        <f t="shared" si="205"/>
        <v>2101877</v>
      </c>
    </row>
    <row r="3075" spans="1:9" ht="15" hidden="1" customHeight="1" x14ac:dyDescent="0.25">
      <c r="A3075">
        <v>17699</v>
      </c>
      <c r="B3075" t="s">
        <v>10</v>
      </c>
      <c r="C3075" t="s">
        <v>2459</v>
      </c>
      <c r="D3075" t="str">
        <f t="shared" si="202"/>
        <v/>
      </c>
      <c r="E3075" t="s">
        <v>2460</v>
      </c>
      <c r="F3075" t="str">
        <f t="shared" si="205"/>
        <v>2101877</v>
      </c>
    </row>
    <row r="3076" spans="1:9" ht="15" hidden="1" customHeight="1" x14ac:dyDescent="0.25">
      <c r="A3076">
        <v>17704</v>
      </c>
      <c r="B3076" t="s">
        <v>10</v>
      </c>
      <c r="C3076" t="s">
        <v>2469</v>
      </c>
      <c r="D3076" t="str">
        <f t="shared" si="202"/>
        <v/>
      </c>
      <c r="E3076" t="s">
        <v>2470</v>
      </c>
      <c r="F3076" t="str">
        <f t="shared" si="205"/>
        <v>2101877</v>
      </c>
    </row>
    <row r="3077" spans="1:9" ht="15" hidden="1" customHeight="1" x14ac:dyDescent="0.25">
      <c r="A3077">
        <v>17696</v>
      </c>
      <c r="B3077" t="s">
        <v>10</v>
      </c>
      <c r="C3077" t="s">
        <v>2457</v>
      </c>
      <c r="D3077" t="str">
        <f t="shared" si="202"/>
        <v/>
      </c>
      <c r="E3077" t="s">
        <v>2458</v>
      </c>
      <c r="F3077" t="str">
        <f t="shared" si="205"/>
        <v>2101877</v>
      </c>
    </row>
    <row r="3078" spans="1:9" ht="15" customHeight="1" x14ac:dyDescent="0.25">
      <c r="A3078">
        <v>19599</v>
      </c>
      <c r="B3078" t="s">
        <v>7</v>
      </c>
      <c r="C3078" t="s">
        <v>4947</v>
      </c>
      <c r="D3078" t="str">
        <f t="shared" si="202"/>
        <v/>
      </c>
      <c r="E3078" t="s">
        <v>4948</v>
      </c>
      <c r="F3078" t="s">
        <v>6940</v>
      </c>
      <c r="H3078">
        <v>5</v>
      </c>
      <c r="I3078">
        <v>1</v>
      </c>
    </row>
    <row r="3079" spans="1:9" ht="15" hidden="1" customHeight="1" x14ac:dyDescent="0.25">
      <c r="A3079">
        <v>19600</v>
      </c>
      <c r="B3079" t="s">
        <v>10</v>
      </c>
      <c r="C3079" t="s">
        <v>4949</v>
      </c>
      <c r="D3079" t="str">
        <f t="shared" si="202"/>
        <v/>
      </c>
      <c r="E3079" t="s">
        <v>4950</v>
      </c>
      <c r="F3079" t="str">
        <f t="shared" ref="F3079:F3097" si="206">LEFT(C3079,7)</f>
        <v>2101117</v>
      </c>
    </row>
    <row r="3080" spans="1:9" ht="15" hidden="1" customHeight="1" x14ac:dyDescent="0.25">
      <c r="A3080">
        <v>19601</v>
      </c>
      <c r="B3080" t="s">
        <v>10</v>
      </c>
      <c r="C3080" t="s">
        <v>4951</v>
      </c>
      <c r="D3080" t="str">
        <f t="shared" si="202"/>
        <v/>
      </c>
      <c r="E3080" t="s">
        <v>4952</v>
      </c>
      <c r="F3080" t="str">
        <f t="shared" si="206"/>
        <v>2101117</v>
      </c>
    </row>
    <row r="3081" spans="1:9" ht="15" hidden="1" customHeight="1" x14ac:dyDescent="0.25">
      <c r="A3081">
        <v>19602</v>
      </c>
      <c r="B3081" t="s">
        <v>10</v>
      </c>
      <c r="C3081" t="s">
        <v>4953</v>
      </c>
      <c r="D3081" t="str">
        <f t="shared" si="202"/>
        <v/>
      </c>
      <c r="E3081" t="s">
        <v>4954</v>
      </c>
      <c r="F3081" t="str">
        <f t="shared" si="206"/>
        <v>2101117</v>
      </c>
    </row>
    <row r="3082" spans="1:9" ht="15" customHeight="1" x14ac:dyDescent="0.25">
      <c r="A3082">
        <v>19589</v>
      </c>
      <c r="B3082" t="s">
        <v>7</v>
      </c>
      <c r="C3082" t="s">
        <v>4931</v>
      </c>
      <c r="D3082" t="str">
        <f t="shared" si="202"/>
        <v/>
      </c>
      <c r="E3082" t="s">
        <v>4932</v>
      </c>
      <c r="F3082" t="str">
        <f t="shared" si="206"/>
        <v>2101100</v>
      </c>
      <c r="H3082">
        <v>5</v>
      </c>
      <c r="I3082">
        <v>1</v>
      </c>
    </row>
    <row r="3083" spans="1:9" ht="15" hidden="1" customHeight="1" x14ac:dyDescent="0.25">
      <c r="A3083">
        <v>19596</v>
      </c>
      <c r="B3083" t="s">
        <v>10</v>
      </c>
      <c r="C3083" t="s">
        <v>4941</v>
      </c>
      <c r="D3083" t="str">
        <f t="shared" si="202"/>
        <v/>
      </c>
      <c r="E3083" t="s">
        <v>4942</v>
      </c>
      <c r="F3083" t="str">
        <f t="shared" si="206"/>
        <v>2101100</v>
      </c>
    </row>
    <row r="3084" spans="1:9" ht="15" hidden="1" customHeight="1" x14ac:dyDescent="0.25">
      <c r="A3084">
        <v>19595</v>
      </c>
      <c r="B3084" t="s">
        <v>10</v>
      </c>
      <c r="C3084" t="s">
        <v>4939</v>
      </c>
      <c r="D3084" t="str">
        <f t="shared" si="202"/>
        <v/>
      </c>
      <c r="E3084" t="s">
        <v>4940</v>
      </c>
      <c r="F3084" t="str">
        <f t="shared" si="206"/>
        <v>2101100</v>
      </c>
    </row>
    <row r="3085" spans="1:9" ht="15" hidden="1" customHeight="1" x14ac:dyDescent="0.25">
      <c r="A3085">
        <v>19594</v>
      </c>
      <c r="B3085" t="s">
        <v>10</v>
      </c>
      <c r="C3085" t="s">
        <v>4937</v>
      </c>
      <c r="D3085" t="str">
        <f t="shared" si="202"/>
        <v/>
      </c>
      <c r="E3085" t="s">
        <v>4938</v>
      </c>
      <c r="F3085" t="str">
        <f t="shared" si="206"/>
        <v>2101100</v>
      </c>
    </row>
    <row r="3086" spans="1:9" ht="15" hidden="1" customHeight="1" x14ac:dyDescent="0.25">
      <c r="A3086">
        <v>19597</v>
      </c>
      <c r="B3086" t="s">
        <v>10</v>
      </c>
      <c r="C3086" t="s">
        <v>4943</v>
      </c>
      <c r="D3086" t="str">
        <f t="shared" si="202"/>
        <v/>
      </c>
      <c r="E3086" t="s">
        <v>4944</v>
      </c>
      <c r="F3086" t="str">
        <f t="shared" si="206"/>
        <v>2101100</v>
      </c>
    </row>
    <row r="3087" spans="1:9" ht="15" hidden="1" customHeight="1" x14ac:dyDescent="0.25">
      <c r="A3087">
        <v>19593</v>
      </c>
      <c r="B3087" t="s">
        <v>10</v>
      </c>
      <c r="C3087" t="s">
        <v>4935</v>
      </c>
      <c r="D3087" t="str">
        <f t="shared" si="202"/>
        <v/>
      </c>
      <c r="E3087" t="s">
        <v>4936</v>
      </c>
      <c r="F3087" t="str">
        <f t="shared" si="206"/>
        <v>2101100</v>
      </c>
    </row>
    <row r="3088" spans="1:9" ht="15" hidden="1" customHeight="1" x14ac:dyDescent="0.25">
      <c r="A3088">
        <v>19598</v>
      </c>
      <c r="B3088" t="s">
        <v>10</v>
      </c>
      <c r="C3088" t="s">
        <v>4945</v>
      </c>
      <c r="D3088" t="str">
        <f t="shared" si="202"/>
        <v/>
      </c>
      <c r="E3088" t="s">
        <v>4946</v>
      </c>
      <c r="F3088" t="str">
        <f t="shared" si="206"/>
        <v>2101100</v>
      </c>
    </row>
    <row r="3089" spans="1:9" ht="15" hidden="1" customHeight="1" x14ac:dyDescent="0.25">
      <c r="A3089">
        <v>19590</v>
      </c>
      <c r="B3089" t="s">
        <v>10</v>
      </c>
      <c r="C3089" t="s">
        <v>4933</v>
      </c>
      <c r="D3089" t="str">
        <f t="shared" si="202"/>
        <v/>
      </c>
      <c r="E3089" t="s">
        <v>4934</v>
      </c>
      <c r="F3089" t="str">
        <f t="shared" si="206"/>
        <v>2101100</v>
      </c>
    </row>
    <row r="3090" spans="1:9" ht="15" customHeight="1" x14ac:dyDescent="0.25">
      <c r="A3090">
        <v>16909</v>
      </c>
      <c r="B3090" t="s">
        <v>7</v>
      </c>
      <c r="C3090" t="s">
        <v>1820</v>
      </c>
      <c r="D3090" t="str">
        <f t="shared" ref="D3090:D3153" si="207">IF(RIGHT(LEFT(C3090,9),2)="##","",RIGHT(LEFT(C3090,10),2))</f>
        <v/>
      </c>
      <c r="E3090" t="s">
        <v>1821</v>
      </c>
      <c r="F3090" t="str">
        <f t="shared" si="206"/>
        <v>2101110</v>
      </c>
      <c r="H3090">
        <v>3</v>
      </c>
      <c r="I3090">
        <v>1</v>
      </c>
    </row>
    <row r="3091" spans="1:9" ht="15" hidden="1" customHeight="1" x14ac:dyDescent="0.25">
      <c r="A3091">
        <v>16916</v>
      </c>
      <c r="B3091" t="s">
        <v>10</v>
      </c>
      <c r="C3091" t="s">
        <v>1830</v>
      </c>
      <c r="D3091" t="str">
        <f t="shared" si="207"/>
        <v/>
      </c>
      <c r="E3091" t="s">
        <v>1831</v>
      </c>
      <c r="F3091" t="str">
        <f t="shared" si="206"/>
        <v>2101110</v>
      </c>
    </row>
    <row r="3092" spans="1:9" ht="15" hidden="1" customHeight="1" x14ac:dyDescent="0.25">
      <c r="A3092">
        <v>16915</v>
      </c>
      <c r="B3092" t="s">
        <v>10</v>
      </c>
      <c r="C3092" t="s">
        <v>1828</v>
      </c>
      <c r="D3092" t="str">
        <f t="shared" si="207"/>
        <v/>
      </c>
      <c r="E3092" t="s">
        <v>1829</v>
      </c>
      <c r="F3092" t="str">
        <f t="shared" si="206"/>
        <v>2101110</v>
      </c>
    </row>
    <row r="3093" spans="1:9" ht="15" hidden="1" customHeight="1" x14ac:dyDescent="0.25">
      <c r="A3093">
        <v>16914</v>
      </c>
      <c r="B3093" t="s">
        <v>10</v>
      </c>
      <c r="C3093" t="s">
        <v>1826</v>
      </c>
      <c r="D3093" t="str">
        <f t="shared" si="207"/>
        <v/>
      </c>
      <c r="E3093" t="s">
        <v>1827</v>
      </c>
      <c r="F3093" t="str">
        <f t="shared" si="206"/>
        <v>2101110</v>
      </c>
    </row>
    <row r="3094" spans="1:9" ht="15" hidden="1" customHeight="1" x14ac:dyDescent="0.25">
      <c r="A3094">
        <v>16917</v>
      </c>
      <c r="B3094" t="s">
        <v>10</v>
      </c>
      <c r="C3094" t="s">
        <v>1832</v>
      </c>
      <c r="D3094" t="str">
        <f t="shared" si="207"/>
        <v/>
      </c>
      <c r="E3094" t="s">
        <v>1833</v>
      </c>
      <c r="F3094" t="str">
        <f t="shared" si="206"/>
        <v>2101110</v>
      </c>
    </row>
    <row r="3095" spans="1:9" ht="15" hidden="1" customHeight="1" x14ac:dyDescent="0.25">
      <c r="A3095">
        <v>16913</v>
      </c>
      <c r="B3095" t="s">
        <v>10</v>
      </c>
      <c r="C3095" t="s">
        <v>1824</v>
      </c>
      <c r="D3095" t="str">
        <f t="shared" si="207"/>
        <v/>
      </c>
      <c r="E3095" t="s">
        <v>1825</v>
      </c>
      <c r="F3095" t="str">
        <f t="shared" si="206"/>
        <v>2101110</v>
      </c>
    </row>
    <row r="3096" spans="1:9" ht="15" hidden="1" customHeight="1" x14ac:dyDescent="0.25">
      <c r="A3096">
        <v>16918</v>
      </c>
      <c r="B3096" t="s">
        <v>10</v>
      </c>
      <c r="C3096" t="s">
        <v>1834</v>
      </c>
      <c r="D3096" t="str">
        <f t="shared" si="207"/>
        <v/>
      </c>
      <c r="E3096" t="s">
        <v>1835</v>
      </c>
      <c r="F3096" t="str">
        <f t="shared" si="206"/>
        <v>2101110</v>
      </c>
    </row>
    <row r="3097" spans="1:9" ht="15" hidden="1" customHeight="1" x14ac:dyDescent="0.25">
      <c r="A3097">
        <v>16910</v>
      </c>
      <c r="B3097" t="s">
        <v>10</v>
      </c>
      <c r="C3097" t="s">
        <v>1822</v>
      </c>
      <c r="D3097" t="str">
        <f t="shared" si="207"/>
        <v/>
      </c>
      <c r="E3097" t="s">
        <v>1823</v>
      </c>
      <c r="F3097" t="str">
        <f t="shared" si="206"/>
        <v>2101110</v>
      </c>
    </row>
    <row r="3098" spans="1:9" ht="15" customHeight="1" x14ac:dyDescent="0.25">
      <c r="A3098">
        <v>17993</v>
      </c>
      <c r="B3098" t="s">
        <v>7</v>
      </c>
      <c r="C3098" t="s">
        <v>2927</v>
      </c>
      <c r="D3098" t="str">
        <f t="shared" si="207"/>
        <v/>
      </c>
      <c r="E3098" t="s">
        <v>2928</v>
      </c>
      <c r="F3098" t="s">
        <v>6941</v>
      </c>
      <c r="H3098">
        <v>6</v>
      </c>
      <c r="I3098">
        <v>1</v>
      </c>
    </row>
    <row r="3099" spans="1:9" ht="15" hidden="1" customHeight="1" x14ac:dyDescent="0.25">
      <c r="A3099">
        <v>17994</v>
      </c>
      <c r="B3099" t="s">
        <v>10</v>
      </c>
      <c r="C3099" t="s">
        <v>2929</v>
      </c>
      <c r="D3099" t="str">
        <f t="shared" si="207"/>
        <v/>
      </c>
      <c r="E3099" t="s">
        <v>2930</v>
      </c>
      <c r="F3099" t="str">
        <f t="shared" ref="F3099:F3109" si="208">LEFT(C3099,7)</f>
        <v>2101799</v>
      </c>
    </row>
    <row r="3100" spans="1:9" ht="15" hidden="1" customHeight="1" x14ac:dyDescent="0.25">
      <c r="A3100">
        <v>17995</v>
      </c>
      <c r="B3100" t="s">
        <v>10</v>
      </c>
      <c r="C3100" t="s">
        <v>2931</v>
      </c>
      <c r="D3100" t="str">
        <f t="shared" si="207"/>
        <v/>
      </c>
      <c r="E3100" t="s">
        <v>2932</v>
      </c>
      <c r="F3100" t="str">
        <f t="shared" si="208"/>
        <v>2101799</v>
      </c>
    </row>
    <row r="3101" spans="1:9" ht="15" customHeight="1" x14ac:dyDescent="0.25">
      <c r="A3101">
        <v>17686</v>
      </c>
      <c r="B3101" t="s">
        <v>7</v>
      </c>
      <c r="C3101" t="s">
        <v>2437</v>
      </c>
      <c r="D3101" t="str">
        <f t="shared" si="207"/>
        <v/>
      </c>
      <c r="E3101" t="s">
        <v>2438</v>
      </c>
      <c r="F3101" t="str">
        <f t="shared" si="208"/>
        <v>2101750</v>
      </c>
      <c r="H3101">
        <v>6</v>
      </c>
      <c r="I3101">
        <v>1</v>
      </c>
    </row>
    <row r="3102" spans="1:9" ht="15" hidden="1" customHeight="1" x14ac:dyDescent="0.25">
      <c r="A3102">
        <v>17694</v>
      </c>
      <c r="B3102" t="s">
        <v>10</v>
      </c>
      <c r="C3102" t="s">
        <v>2453</v>
      </c>
      <c r="D3102" t="str">
        <f t="shared" si="207"/>
        <v/>
      </c>
      <c r="E3102" t="s">
        <v>2454</v>
      </c>
      <c r="F3102" t="str">
        <f t="shared" si="208"/>
        <v>2101750</v>
      </c>
    </row>
    <row r="3103" spans="1:9" ht="15" hidden="1" customHeight="1" x14ac:dyDescent="0.25">
      <c r="A3103">
        <v>17691</v>
      </c>
      <c r="B3103" t="s">
        <v>10</v>
      </c>
      <c r="C3103" t="s">
        <v>2447</v>
      </c>
      <c r="D3103" t="str">
        <f t="shared" si="207"/>
        <v/>
      </c>
      <c r="E3103" t="s">
        <v>2448</v>
      </c>
      <c r="F3103" t="str">
        <f t="shared" si="208"/>
        <v>2101750</v>
      </c>
    </row>
    <row r="3104" spans="1:9" ht="15" hidden="1" customHeight="1" x14ac:dyDescent="0.25">
      <c r="A3104">
        <v>17690</v>
      </c>
      <c r="B3104" t="s">
        <v>10</v>
      </c>
      <c r="C3104" t="s">
        <v>2445</v>
      </c>
      <c r="D3104" t="str">
        <f t="shared" si="207"/>
        <v/>
      </c>
      <c r="E3104" t="s">
        <v>2446</v>
      </c>
      <c r="F3104" t="str">
        <f t="shared" si="208"/>
        <v>2101750</v>
      </c>
    </row>
    <row r="3105" spans="1:9" ht="15" hidden="1" customHeight="1" x14ac:dyDescent="0.25">
      <c r="A3105">
        <v>17689</v>
      </c>
      <c r="B3105" t="s">
        <v>10</v>
      </c>
      <c r="C3105" t="s">
        <v>2443</v>
      </c>
      <c r="D3105" t="str">
        <f t="shared" si="207"/>
        <v/>
      </c>
      <c r="E3105" t="s">
        <v>2444</v>
      </c>
      <c r="F3105" t="str">
        <f t="shared" si="208"/>
        <v>2101750</v>
      </c>
    </row>
    <row r="3106" spans="1:9" ht="15" hidden="1" customHeight="1" x14ac:dyDescent="0.25">
      <c r="A3106">
        <v>17692</v>
      </c>
      <c r="B3106" t="s">
        <v>10</v>
      </c>
      <c r="C3106" t="s">
        <v>2449</v>
      </c>
      <c r="D3106" t="str">
        <f t="shared" si="207"/>
        <v/>
      </c>
      <c r="E3106" t="s">
        <v>2450</v>
      </c>
      <c r="F3106" t="str">
        <f t="shared" si="208"/>
        <v>2101750</v>
      </c>
    </row>
    <row r="3107" spans="1:9" ht="15" hidden="1" customHeight="1" x14ac:dyDescent="0.25">
      <c r="A3107">
        <v>17688</v>
      </c>
      <c r="B3107" t="s">
        <v>10</v>
      </c>
      <c r="C3107" t="s">
        <v>2441</v>
      </c>
      <c r="D3107" t="str">
        <f t="shared" si="207"/>
        <v/>
      </c>
      <c r="E3107" t="s">
        <v>2442</v>
      </c>
      <c r="F3107" t="str">
        <f t="shared" si="208"/>
        <v>2101750</v>
      </c>
    </row>
    <row r="3108" spans="1:9" ht="15" hidden="1" customHeight="1" x14ac:dyDescent="0.25">
      <c r="A3108">
        <v>17693</v>
      </c>
      <c r="B3108" t="s">
        <v>10</v>
      </c>
      <c r="C3108" t="s">
        <v>2451</v>
      </c>
      <c r="D3108" t="str">
        <f t="shared" si="207"/>
        <v/>
      </c>
      <c r="E3108" t="s">
        <v>2452</v>
      </c>
      <c r="F3108" t="str">
        <f t="shared" si="208"/>
        <v>2101750</v>
      </c>
    </row>
    <row r="3109" spans="1:9" ht="15" hidden="1" customHeight="1" x14ac:dyDescent="0.25">
      <c r="A3109">
        <v>17687</v>
      </c>
      <c r="B3109" t="s">
        <v>10</v>
      </c>
      <c r="C3109" t="s">
        <v>2439</v>
      </c>
      <c r="D3109" t="str">
        <f t="shared" si="207"/>
        <v/>
      </c>
      <c r="E3109" t="s">
        <v>2440</v>
      </c>
      <c r="F3109" t="str">
        <f t="shared" si="208"/>
        <v>2101750</v>
      </c>
    </row>
    <row r="3110" spans="1:9" ht="15" customHeight="1" x14ac:dyDescent="0.25">
      <c r="A3110">
        <v>17990</v>
      </c>
      <c r="B3110" t="s">
        <v>7</v>
      </c>
      <c r="C3110" t="s">
        <v>2921</v>
      </c>
      <c r="D3110" t="str">
        <f t="shared" si="207"/>
        <v/>
      </c>
      <c r="E3110" t="s">
        <v>2922</v>
      </c>
      <c r="F3110" t="s">
        <v>6942</v>
      </c>
      <c r="H3110">
        <v>6</v>
      </c>
      <c r="I3110">
        <v>1</v>
      </c>
    </row>
    <row r="3111" spans="1:9" ht="15" hidden="1" customHeight="1" x14ac:dyDescent="0.25">
      <c r="A3111">
        <v>17991</v>
      </c>
      <c r="B3111" t="s">
        <v>10</v>
      </c>
      <c r="C3111" t="s">
        <v>2923</v>
      </c>
      <c r="D3111" t="str">
        <f t="shared" si="207"/>
        <v/>
      </c>
      <c r="E3111" t="s">
        <v>2924</v>
      </c>
      <c r="F3111" t="str">
        <f t="shared" ref="F3111:F3142" si="209">LEFT(C3111,7)</f>
        <v>2101999</v>
      </c>
    </row>
    <row r="3112" spans="1:9" ht="15" hidden="1" customHeight="1" x14ac:dyDescent="0.25">
      <c r="A3112">
        <v>17992</v>
      </c>
      <c r="B3112" t="s">
        <v>10</v>
      </c>
      <c r="C3112" t="s">
        <v>2925</v>
      </c>
      <c r="D3112" t="str">
        <f t="shared" si="207"/>
        <v/>
      </c>
      <c r="E3112" t="s">
        <v>2926</v>
      </c>
      <c r="F3112" t="str">
        <f t="shared" si="209"/>
        <v>2101999</v>
      </c>
    </row>
    <row r="3113" spans="1:9" ht="15" customHeight="1" x14ac:dyDescent="0.25">
      <c r="A3113">
        <v>17678</v>
      </c>
      <c r="B3113" t="s">
        <v>7</v>
      </c>
      <c r="C3113" t="s">
        <v>2421</v>
      </c>
      <c r="D3113" t="str">
        <f t="shared" si="207"/>
        <v/>
      </c>
      <c r="E3113" t="s">
        <v>2422</v>
      </c>
      <c r="F3113" t="str">
        <f t="shared" si="209"/>
        <v>2101900</v>
      </c>
      <c r="H3113">
        <v>6</v>
      </c>
      <c r="I3113">
        <v>1</v>
      </c>
    </row>
    <row r="3114" spans="1:9" ht="15" hidden="1" customHeight="1" x14ac:dyDescent="0.25">
      <c r="A3114">
        <v>17683</v>
      </c>
      <c r="B3114" t="s">
        <v>10</v>
      </c>
      <c r="C3114" t="s">
        <v>2431</v>
      </c>
      <c r="D3114" t="str">
        <f t="shared" si="207"/>
        <v/>
      </c>
      <c r="E3114" t="s">
        <v>2432</v>
      </c>
      <c r="F3114" t="str">
        <f t="shared" si="209"/>
        <v>2101900</v>
      </c>
    </row>
    <row r="3115" spans="1:9" ht="15" hidden="1" customHeight="1" x14ac:dyDescent="0.25">
      <c r="A3115">
        <v>17682</v>
      </c>
      <c r="B3115" t="s">
        <v>10</v>
      </c>
      <c r="C3115" t="s">
        <v>2429</v>
      </c>
      <c r="D3115" t="str">
        <f t="shared" si="207"/>
        <v/>
      </c>
      <c r="E3115" t="s">
        <v>2430</v>
      </c>
      <c r="F3115" t="str">
        <f t="shared" si="209"/>
        <v>2101900</v>
      </c>
    </row>
    <row r="3116" spans="1:9" ht="15" hidden="1" customHeight="1" x14ac:dyDescent="0.25">
      <c r="A3116">
        <v>17681</v>
      </c>
      <c r="B3116" t="s">
        <v>10</v>
      </c>
      <c r="C3116" t="s">
        <v>2427</v>
      </c>
      <c r="D3116" t="str">
        <f t="shared" si="207"/>
        <v/>
      </c>
      <c r="E3116" t="s">
        <v>2428</v>
      </c>
      <c r="F3116" t="str">
        <f t="shared" si="209"/>
        <v>2101900</v>
      </c>
    </row>
    <row r="3117" spans="1:9" ht="15" hidden="1" customHeight="1" x14ac:dyDescent="0.25">
      <c r="A3117">
        <v>17684</v>
      </c>
      <c r="B3117" t="s">
        <v>10</v>
      </c>
      <c r="C3117" t="s">
        <v>2433</v>
      </c>
      <c r="D3117" t="str">
        <f t="shared" si="207"/>
        <v/>
      </c>
      <c r="E3117" t="s">
        <v>2434</v>
      </c>
      <c r="F3117" t="str">
        <f t="shared" si="209"/>
        <v>2101900</v>
      </c>
    </row>
    <row r="3118" spans="1:9" ht="15" hidden="1" customHeight="1" x14ac:dyDescent="0.25">
      <c r="A3118">
        <v>17680</v>
      </c>
      <c r="B3118" t="s">
        <v>10</v>
      </c>
      <c r="C3118" t="s">
        <v>2425</v>
      </c>
      <c r="D3118" t="str">
        <f t="shared" si="207"/>
        <v/>
      </c>
      <c r="E3118" t="s">
        <v>2426</v>
      </c>
      <c r="F3118" t="str">
        <f t="shared" si="209"/>
        <v>2101900</v>
      </c>
    </row>
    <row r="3119" spans="1:9" ht="15" hidden="1" customHeight="1" x14ac:dyDescent="0.25">
      <c r="A3119">
        <v>17685</v>
      </c>
      <c r="B3119" t="s">
        <v>10</v>
      </c>
      <c r="C3119" t="s">
        <v>2435</v>
      </c>
      <c r="D3119" t="str">
        <f t="shared" si="207"/>
        <v/>
      </c>
      <c r="E3119" t="s">
        <v>2436</v>
      </c>
      <c r="F3119" t="str">
        <f t="shared" si="209"/>
        <v>2101900</v>
      </c>
    </row>
    <row r="3120" spans="1:9" ht="15" hidden="1" customHeight="1" x14ac:dyDescent="0.25">
      <c r="A3120">
        <v>17679</v>
      </c>
      <c r="B3120" t="s">
        <v>10</v>
      </c>
      <c r="C3120" t="s">
        <v>2423</v>
      </c>
      <c r="D3120" t="str">
        <f t="shared" si="207"/>
        <v/>
      </c>
      <c r="E3120" t="s">
        <v>2424</v>
      </c>
      <c r="F3120" t="str">
        <f t="shared" si="209"/>
        <v>2101900</v>
      </c>
    </row>
    <row r="3121" spans="1:9" ht="15" customHeight="1" x14ac:dyDescent="0.25">
      <c r="A3121">
        <v>19690</v>
      </c>
      <c r="B3121" t="s">
        <v>7</v>
      </c>
      <c r="C3121" t="s">
        <v>5073</v>
      </c>
      <c r="D3121" t="str">
        <f t="shared" si="207"/>
        <v/>
      </c>
      <c r="E3121" t="s">
        <v>5074</v>
      </c>
      <c r="F3121" t="str">
        <f t="shared" si="209"/>
        <v>2220601</v>
      </c>
      <c r="H3121">
        <v>3</v>
      </c>
    </row>
    <row r="3122" spans="1:9" ht="15" hidden="1" customHeight="1" x14ac:dyDescent="0.25">
      <c r="A3122">
        <v>19694</v>
      </c>
      <c r="B3122" t="s">
        <v>10</v>
      </c>
      <c r="C3122" t="s">
        <v>5081</v>
      </c>
      <c r="D3122" t="str">
        <f t="shared" si="207"/>
        <v/>
      </c>
      <c r="E3122" t="s">
        <v>5082</v>
      </c>
      <c r="F3122" t="str">
        <f t="shared" si="209"/>
        <v>2220601</v>
      </c>
    </row>
    <row r="3123" spans="1:9" ht="15" hidden="1" customHeight="1" x14ac:dyDescent="0.25">
      <c r="A3123">
        <v>19693</v>
      </c>
      <c r="B3123" t="s">
        <v>10</v>
      </c>
      <c r="C3123" t="s">
        <v>5079</v>
      </c>
      <c r="D3123" t="str">
        <f t="shared" si="207"/>
        <v/>
      </c>
      <c r="E3123" t="s">
        <v>5080</v>
      </c>
      <c r="F3123" t="str">
        <f t="shared" si="209"/>
        <v>2220601</v>
      </c>
    </row>
    <row r="3124" spans="1:9" ht="15" hidden="1" customHeight="1" x14ac:dyDescent="0.25">
      <c r="A3124">
        <v>19692</v>
      </c>
      <c r="B3124" t="s">
        <v>10</v>
      </c>
      <c r="C3124" t="s">
        <v>5077</v>
      </c>
      <c r="D3124" t="str">
        <f t="shared" si="207"/>
        <v/>
      </c>
      <c r="E3124" t="s">
        <v>5078</v>
      </c>
      <c r="F3124" t="str">
        <f t="shared" si="209"/>
        <v>2220601</v>
      </c>
    </row>
    <row r="3125" spans="1:9" ht="15" hidden="1" customHeight="1" x14ac:dyDescent="0.25">
      <c r="A3125">
        <v>19695</v>
      </c>
      <c r="B3125" t="s">
        <v>10</v>
      </c>
      <c r="C3125" t="s">
        <v>5083</v>
      </c>
      <c r="D3125" t="str">
        <f t="shared" si="207"/>
        <v/>
      </c>
      <c r="E3125" t="s">
        <v>5084</v>
      </c>
      <c r="F3125" t="str">
        <f t="shared" si="209"/>
        <v>2220601</v>
      </c>
    </row>
    <row r="3126" spans="1:9" ht="15" hidden="1" customHeight="1" x14ac:dyDescent="0.25">
      <c r="A3126">
        <v>19691</v>
      </c>
      <c r="B3126" t="s">
        <v>10</v>
      </c>
      <c r="C3126" t="s">
        <v>5075</v>
      </c>
      <c r="D3126" t="str">
        <f t="shared" si="207"/>
        <v/>
      </c>
      <c r="E3126" t="s">
        <v>5076</v>
      </c>
      <c r="F3126" t="str">
        <f t="shared" si="209"/>
        <v>2220601</v>
      </c>
    </row>
    <row r="3127" spans="1:9" ht="15" hidden="1" customHeight="1" x14ac:dyDescent="0.25">
      <c r="A3127">
        <v>19696</v>
      </c>
      <c r="B3127" t="s">
        <v>10</v>
      </c>
      <c r="C3127" t="s">
        <v>5085</v>
      </c>
      <c r="D3127" t="str">
        <f t="shared" si="207"/>
        <v/>
      </c>
      <c r="E3127" t="s">
        <v>5086</v>
      </c>
      <c r="F3127" t="str">
        <f t="shared" si="209"/>
        <v>2220601</v>
      </c>
    </row>
    <row r="3128" spans="1:9" ht="15" customHeight="1" x14ac:dyDescent="0.25">
      <c r="A3128">
        <v>19192</v>
      </c>
      <c r="B3128" t="s">
        <v>7</v>
      </c>
      <c r="C3128" t="s">
        <v>4407</v>
      </c>
      <c r="D3128" t="str">
        <f t="shared" si="207"/>
        <v/>
      </c>
      <c r="E3128" t="s">
        <v>4408</v>
      </c>
      <c r="F3128" t="str">
        <f t="shared" si="209"/>
        <v>2220750</v>
      </c>
      <c r="H3128">
        <v>1</v>
      </c>
      <c r="I3128">
        <v>1</v>
      </c>
    </row>
    <row r="3129" spans="1:9" ht="15" hidden="1" customHeight="1" x14ac:dyDescent="0.25">
      <c r="A3129">
        <v>19197</v>
      </c>
      <c r="B3129" t="s">
        <v>10</v>
      </c>
      <c r="C3129" t="s">
        <v>4417</v>
      </c>
      <c r="D3129" t="str">
        <f t="shared" si="207"/>
        <v/>
      </c>
      <c r="E3129" t="s">
        <v>4418</v>
      </c>
      <c r="F3129" t="str">
        <f t="shared" si="209"/>
        <v>2220750</v>
      </c>
    </row>
    <row r="3130" spans="1:9" ht="15" hidden="1" customHeight="1" x14ac:dyDescent="0.25">
      <c r="A3130">
        <v>19196</v>
      </c>
      <c r="B3130" t="s">
        <v>10</v>
      </c>
      <c r="C3130" t="s">
        <v>4415</v>
      </c>
      <c r="D3130" t="str">
        <f t="shared" si="207"/>
        <v/>
      </c>
      <c r="E3130" t="s">
        <v>4416</v>
      </c>
      <c r="F3130" t="str">
        <f t="shared" si="209"/>
        <v>2220750</v>
      </c>
    </row>
    <row r="3131" spans="1:9" ht="15" hidden="1" customHeight="1" x14ac:dyDescent="0.25">
      <c r="A3131">
        <v>19195</v>
      </c>
      <c r="B3131" t="s">
        <v>10</v>
      </c>
      <c r="C3131" t="s">
        <v>4413</v>
      </c>
      <c r="D3131" t="str">
        <f t="shared" si="207"/>
        <v/>
      </c>
      <c r="E3131" t="s">
        <v>4414</v>
      </c>
      <c r="F3131" t="str">
        <f t="shared" si="209"/>
        <v>2220750</v>
      </c>
    </row>
    <row r="3132" spans="1:9" ht="15" hidden="1" customHeight="1" x14ac:dyDescent="0.25">
      <c r="A3132">
        <v>19198</v>
      </c>
      <c r="B3132" t="s">
        <v>10</v>
      </c>
      <c r="C3132" t="s">
        <v>4419</v>
      </c>
      <c r="D3132" t="str">
        <f t="shared" si="207"/>
        <v/>
      </c>
      <c r="E3132" t="s">
        <v>4420</v>
      </c>
      <c r="F3132" t="str">
        <f t="shared" si="209"/>
        <v>2220750</v>
      </c>
    </row>
    <row r="3133" spans="1:9" ht="15" hidden="1" customHeight="1" x14ac:dyDescent="0.25">
      <c r="A3133">
        <v>19194</v>
      </c>
      <c r="B3133" t="s">
        <v>10</v>
      </c>
      <c r="C3133" t="s">
        <v>4411</v>
      </c>
      <c r="D3133" t="str">
        <f t="shared" si="207"/>
        <v/>
      </c>
      <c r="E3133" t="s">
        <v>4412</v>
      </c>
      <c r="F3133" t="str">
        <f t="shared" si="209"/>
        <v>2220750</v>
      </c>
    </row>
    <row r="3134" spans="1:9" ht="15" hidden="1" customHeight="1" x14ac:dyDescent="0.25">
      <c r="A3134">
        <v>19199</v>
      </c>
      <c r="B3134" t="s">
        <v>10</v>
      </c>
      <c r="C3134" t="s">
        <v>4421</v>
      </c>
      <c r="D3134" t="str">
        <f t="shared" si="207"/>
        <v/>
      </c>
      <c r="E3134" t="s">
        <v>4422</v>
      </c>
      <c r="F3134" t="str">
        <f t="shared" si="209"/>
        <v>2220750</v>
      </c>
    </row>
    <row r="3135" spans="1:9" ht="15" hidden="1" customHeight="1" x14ac:dyDescent="0.25">
      <c r="A3135">
        <v>19193</v>
      </c>
      <c r="B3135" t="s">
        <v>10</v>
      </c>
      <c r="C3135" t="s">
        <v>4409</v>
      </c>
      <c r="D3135" t="str">
        <f t="shared" si="207"/>
        <v/>
      </c>
      <c r="E3135" t="s">
        <v>4410</v>
      </c>
      <c r="F3135" t="str">
        <f t="shared" si="209"/>
        <v>2220750</v>
      </c>
    </row>
    <row r="3136" spans="1:9" ht="15" customHeight="1" x14ac:dyDescent="0.25">
      <c r="A3136">
        <v>19184</v>
      </c>
      <c r="B3136" t="s">
        <v>7</v>
      </c>
      <c r="C3136" t="s">
        <v>4391</v>
      </c>
      <c r="D3136" t="str">
        <f t="shared" si="207"/>
        <v/>
      </c>
      <c r="E3136" t="s">
        <v>4392</v>
      </c>
      <c r="F3136" t="str">
        <f t="shared" si="209"/>
        <v>2220444</v>
      </c>
      <c r="H3136">
        <v>1</v>
      </c>
      <c r="I3136">
        <v>1</v>
      </c>
    </row>
    <row r="3137" spans="1:9" ht="15" hidden="1" customHeight="1" x14ac:dyDescent="0.25">
      <c r="A3137">
        <v>19189</v>
      </c>
      <c r="B3137" t="s">
        <v>10</v>
      </c>
      <c r="C3137" t="s">
        <v>4401</v>
      </c>
      <c r="D3137" t="str">
        <f t="shared" si="207"/>
        <v/>
      </c>
      <c r="E3137" t="s">
        <v>4402</v>
      </c>
      <c r="F3137" t="str">
        <f t="shared" si="209"/>
        <v>2220444</v>
      </c>
    </row>
    <row r="3138" spans="1:9" ht="15" hidden="1" customHeight="1" x14ac:dyDescent="0.25">
      <c r="A3138">
        <v>19188</v>
      </c>
      <c r="B3138" t="s">
        <v>10</v>
      </c>
      <c r="C3138" t="s">
        <v>4399</v>
      </c>
      <c r="D3138" t="str">
        <f t="shared" si="207"/>
        <v/>
      </c>
      <c r="E3138" t="s">
        <v>4400</v>
      </c>
      <c r="F3138" t="str">
        <f t="shared" si="209"/>
        <v>2220444</v>
      </c>
    </row>
    <row r="3139" spans="1:9" ht="15" hidden="1" customHeight="1" x14ac:dyDescent="0.25">
      <c r="A3139">
        <v>19187</v>
      </c>
      <c r="B3139" t="s">
        <v>10</v>
      </c>
      <c r="C3139" t="s">
        <v>4397</v>
      </c>
      <c r="D3139" t="str">
        <f t="shared" si="207"/>
        <v/>
      </c>
      <c r="E3139" t="s">
        <v>4398</v>
      </c>
      <c r="F3139" t="str">
        <f t="shared" si="209"/>
        <v>2220444</v>
      </c>
    </row>
    <row r="3140" spans="1:9" ht="15" hidden="1" customHeight="1" x14ac:dyDescent="0.25">
      <c r="A3140">
        <v>19190</v>
      </c>
      <c r="B3140" t="s">
        <v>10</v>
      </c>
      <c r="C3140" t="s">
        <v>4403</v>
      </c>
      <c r="D3140" t="str">
        <f t="shared" si="207"/>
        <v/>
      </c>
      <c r="E3140" t="s">
        <v>4404</v>
      </c>
      <c r="F3140" t="str">
        <f t="shared" si="209"/>
        <v>2220444</v>
      </c>
    </row>
    <row r="3141" spans="1:9" ht="15" hidden="1" customHeight="1" x14ac:dyDescent="0.25">
      <c r="A3141">
        <v>19186</v>
      </c>
      <c r="B3141" t="s">
        <v>10</v>
      </c>
      <c r="C3141" t="s">
        <v>4395</v>
      </c>
      <c r="D3141" t="str">
        <f t="shared" si="207"/>
        <v/>
      </c>
      <c r="E3141" t="s">
        <v>4396</v>
      </c>
      <c r="F3141" t="str">
        <f t="shared" si="209"/>
        <v>2220444</v>
      </c>
    </row>
    <row r="3142" spans="1:9" ht="15" hidden="1" customHeight="1" x14ac:dyDescent="0.25">
      <c r="A3142">
        <v>19191</v>
      </c>
      <c r="B3142" t="s">
        <v>10</v>
      </c>
      <c r="C3142" t="s">
        <v>4405</v>
      </c>
      <c r="D3142" t="str">
        <f t="shared" si="207"/>
        <v/>
      </c>
      <c r="E3142" t="s">
        <v>4406</v>
      </c>
      <c r="F3142" t="str">
        <f t="shared" si="209"/>
        <v>2220444</v>
      </c>
    </row>
    <row r="3143" spans="1:9" ht="15" hidden="1" customHeight="1" x14ac:dyDescent="0.25">
      <c r="A3143">
        <v>19185</v>
      </c>
      <c r="B3143" t="s">
        <v>10</v>
      </c>
      <c r="C3143" t="s">
        <v>4393</v>
      </c>
      <c r="D3143" t="str">
        <f t="shared" si="207"/>
        <v/>
      </c>
      <c r="E3143" t="s">
        <v>4394</v>
      </c>
      <c r="F3143" t="str">
        <f t="shared" ref="F3143:F3160" si="210">LEFT(C3143,7)</f>
        <v>2220444</v>
      </c>
    </row>
    <row r="3144" spans="1:9" ht="15" customHeight="1" x14ac:dyDescent="0.25">
      <c r="A3144">
        <v>19701</v>
      </c>
      <c r="B3144" t="s">
        <v>7</v>
      </c>
      <c r="C3144" t="s">
        <v>5095</v>
      </c>
      <c r="D3144" t="str">
        <f t="shared" si="207"/>
        <v/>
      </c>
      <c r="E3144" t="s">
        <v>5096</v>
      </c>
      <c r="F3144" t="str">
        <f t="shared" si="210"/>
        <v>2220456</v>
      </c>
      <c r="H3144">
        <v>4</v>
      </c>
      <c r="I3144">
        <v>1</v>
      </c>
    </row>
    <row r="3145" spans="1:9" ht="15" hidden="1" customHeight="1" x14ac:dyDescent="0.25">
      <c r="A3145">
        <v>19709</v>
      </c>
      <c r="B3145" t="s">
        <v>10</v>
      </c>
      <c r="C3145" t="s">
        <v>5111</v>
      </c>
      <c r="D3145" t="str">
        <f t="shared" si="207"/>
        <v/>
      </c>
      <c r="E3145" t="s">
        <v>5112</v>
      </c>
      <c r="F3145" t="str">
        <f t="shared" si="210"/>
        <v>2220456</v>
      </c>
    </row>
    <row r="3146" spans="1:9" ht="15" hidden="1" customHeight="1" x14ac:dyDescent="0.25">
      <c r="A3146">
        <v>19710</v>
      </c>
      <c r="B3146" t="s">
        <v>10</v>
      </c>
      <c r="C3146" t="s">
        <v>5113</v>
      </c>
      <c r="D3146" t="str">
        <f t="shared" si="207"/>
        <v/>
      </c>
      <c r="E3146" t="s">
        <v>5114</v>
      </c>
      <c r="F3146" t="str">
        <f t="shared" si="210"/>
        <v>2220456</v>
      </c>
    </row>
    <row r="3147" spans="1:9" ht="15" hidden="1" customHeight="1" x14ac:dyDescent="0.25">
      <c r="A3147">
        <v>19706</v>
      </c>
      <c r="B3147" t="s">
        <v>10</v>
      </c>
      <c r="C3147" t="s">
        <v>5105</v>
      </c>
      <c r="D3147" t="str">
        <f t="shared" si="207"/>
        <v/>
      </c>
      <c r="E3147" t="s">
        <v>5106</v>
      </c>
      <c r="F3147" t="str">
        <f t="shared" si="210"/>
        <v>2220456</v>
      </c>
    </row>
    <row r="3148" spans="1:9" ht="15" hidden="1" customHeight="1" x14ac:dyDescent="0.25">
      <c r="A3148">
        <v>19705</v>
      </c>
      <c r="B3148" t="s">
        <v>10</v>
      </c>
      <c r="C3148" t="s">
        <v>5103</v>
      </c>
      <c r="D3148" t="str">
        <f t="shared" si="207"/>
        <v/>
      </c>
      <c r="E3148" t="s">
        <v>5104</v>
      </c>
      <c r="F3148" t="str">
        <f t="shared" si="210"/>
        <v>2220456</v>
      </c>
    </row>
    <row r="3149" spans="1:9" ht="15" hidden="1" customHeight="1" x14ac:dyDescent="0.25">
      <c r="A3149">
        <v>19704</v>
      </c>
      <c r="B3149" t="s">
        <v>10</v>
      </c>
      <c r="C3149" t="s">
        <v>5101</v>
      </c>
      <c r="D3149" t="str">
        <f t="shared" si="207"/>
        <v/>
      </c>
      <c r="E3149" t="s">
        <v>5102</v>
      </c>
      <c r="F3149" t="str">
        <f t="shared" si="210"/>
        <v>2220456</v>
      </c>
    </row>
    <row r="3150" spans="1:9" ht="15" hidden="1" customHeight="1" x14ac:dyDescent="0.25">
      <c r="A3150">
        <v>19707</v>
      </c>
      <c r="B3150" t="s">
        <v>10</v>
      </c>
      <c r="C3150" t="s">
        <v>5107</v>
      </c>
      <c r="D3150" t="str">
        <f t="shared" si="207"/>
        <v/>
      </c>
      <c r="E3150" t="s">
        <v>5108</v>
      </c>
      <c r="F3150" t="str">
        <f t="shared" si="210"/>
        <v>2220456</v>
      </c>
    </row>
    <row r="3151" spans="1:9" ht="15" hidden="1" customHeight="1" x14ac:dyDescent="0.25">
      <c r="A3151">
        <v>19703</v>
      </c>
      <c r="B3151" t="s">
        <v>10</v>
      </c>
      <c r="C3151" t="s">
        <v>5099</v>
      </c>
      <c r="D3151" t="str">
        <f t="shared" si="207"/>
        <v/>
      </c>
      <c r="E3151" t="s">
        <v>5100</v>
      </c>
      <c r="F3151" t="str">
        <f t="shared" si="210"/>
        <v>2220456</v>
      </c>
    </row>
    <row r="3152" spans="1:9" ht="15" hidden="1" customHeight="1" x14ac:dyDescent="0.25">
      <c r="A3152">
        <v>19708</v>
      </c>
      <c r="B3152" t="s">
        <v>10</v>
      </c>
      <c r="C3152" t="s">
        <v>5109</v>
      </c>
      <c r="D3152" t="str">
        <f t="shared" si="207"/>
        <v/>
      </c>
      <c r="E3152" t="s">
        <v>5110</v>
      </c>
      <c r="F3152" t="str">
        <f t="shared" si="210"/>
        <v>2220456</v>
      </c>
    </row>
    <row r="3153" spans="1:9" ht="15" hidden="1" customHeight="1" x14ac:dyDescent="0.25">
      <c r="A3153">
        <v>19702</v>
      </c>
      <c r="B3153" t="s">
        <v>10</v>
      </c>
      <c r="C3153" t="s">
        <v>5097</v>
      </c>
      <c r="D3153" t="str">
        <f t="shared" si="207"/>
        <v/>
      </c>
      <c r="E3153" t="s">
        <v>5098</v>
      </c>
      <c r="F3153" t="str">
        <f t="shared" si="210"/>
        <v>2220456</v>
      </c>
    </row>
    <row r="3154" spans="1:9" ht="15" customHeight="1" x14ac:dyDescent="0.25">
      <c r="A3154">
        <v>16902</v>
      </c>
      <c r="B3154" t="s">
        <v>7</v>
      </c>
      <c r="C3154" t="s">
        <v>1806</v>
      </c>
      <c r="D3154" t="str">
        <f t="shared" ref="D3154:D3217" si="211">IF(RIGHT(LEFT(C3154,9),2)="##","",RIGHT(LEFT(C3154,10),2))</f>
        <v/>
      </c>
      <c r="E3154" t="s">
        <v>1807</v>
      </c>
      <c r="F3154" t="str">
        <f t="shared" si="210"/>
        <v>2101300</v>
      </c>
      <c r="H3154">
        <v>3</v>
      </c>
      <c r="I3154">
        <v>1</v>
      </c>
    </row>
    <row r="3155" spans="1:9" ht="15" hidden="1" customHeight="1" x14ac:dyDescent="0.25">
      <c r="A3155">
        <v>16906</v>
      </c>
      <c r="B3155" t="s">
        <v>10</v>
      </c>
      <c r="C3155" t="s">
        <v>1814</v>
      </c>
      <c r="D3155" t="str">
        <f t="shared" si="211"/>
        <v/>
      </c>
      <c r="E3155" t="s">
        <v>1815</v>
      </c>
      <c r="F3155" t="str">
        <f t="shared" si="210"/>
        <v>2101300</v>
      </c>
    </row>
    <row r="3156" spans="1:9" ht="15" hidden="1" customHeight="1" x14ac:dyDescent="0.25">
      <c r="A3156">
        <v>16905</v>
      </c>
      <c r="B3156" t="s">
        <v>10</v>
      </c>
      <c r="C3156" t="s">
        <v>1812</v>
      </c>
      <c r="D3156" t="str">
        <f t="shared" si="211"/>
        <v/>
      </c>
      <c r="E3156" t="s">
        <v>1813</v>
      </c>
      <c r="F3156" t="str">
        <f t="shared" si="210"/>
        <v>2101300</v>
      </c>
    </row>
    <row r="3157" spans="1:9" ht="15" hidden="1" customHeight="1" x14ac:dyDescent="0.25">
      <c r="A3157">
        <v>16904</v>
      </c>
      <c r="B3157" t="s">
        <v>10</v>
      </c>
      <c r="C3157" t="s">
        <v>1810</v>
      </c>
      <c r="D3157" t="str">
        <f t="shared" si="211"/>
        <v/>
      </c>
      <c r="E3157" t="s">
        <v>1811</v>
      </c>
      <c r="F3157" t="str">
        <f t="shared" si="210"/>
        <v>2101300</v>
      </c>
    </row>
    <row r="3158" spans="1:9" ht="15" hidden="1" customHeight="1" x14ac:dyDescent="0.25">
      <c r="A3158">
        <v>16907</v>
      </c>
      <c r="B3158" t="s">
        <v>10</v>
      </c>
      <c r="C3158" t="s">
        <v>1816</v>
      </c>
      <c r="D3158" t="str">
        <f t="shared" si="211"/>
        <v/>
      </c>
      <c r="E3158" t="s">
        <v>1817</v>
      </c>
      <c r="F3158" t="str">
        <f t="shared" si="210"/>
        <v>2101300</v>
      </c>
    </row>
    <row r="3159" spans="1:9" ht="15" hidden="1" customHeight="1" x14ac:dyDescent="0.25">
      <c r="A3159">
        <v>16903</v>
      </c>
      <c r="B3159" t="s">
        <v>10</v>
      </c>
      <c r="C3159" t="s">
        <v>1808</v>
      </c>
      <c r="D3159" t="str">
        <f t="shared" si="211"/>
        <v/>
      </c>
      <c r="E3159" t="s">
        <v>1809</v>
      </c>
      <c r="F3159" t="str">
        <f t="shared" si="210"/>
        <v>2101300</v>
      </c>
    </row>
    <row r="3160" spans="1:9" ht="15" hidden="1" customHeight="1" x14ac:dyDescent="0.25">
      <c r="A3160">
        <v>16908</v>
      </c>
      <c r="B3160" t="s">
        <v>10</v>
      </c>
      <c r="C3160" t="s">
        <v>1818</v>
      </c>
      <c r="D3160" t="str">
        <f t="shared" si="211"/>
        <v/>
      </c>
      <c r="E3160" t="s">
        <v>1819</v>
      </c>
      <c r="F3160" t="str">
        <f t="shared" si="210"/>
        <v>2101300</v>
      </c>
    </row>
    <row r="3161" spans="1:9" ht="15" customHeight="1" x14ac:dyDescent="0.25">
      <c r="A3161">
        <v>19663</v>
      </c>
      <c r="B3161" t="s">
        <v>7</v>
      </c>
      <c r="C3161" t="s">
        <v>5037</v>
      </c>
      <c r="D3161" t="str">
        <f t="shared" si="211"/>
        <v/>
      </c>
      <c r="E3161" t="s">
        <v>5038</v>
      </c>
      <c r="F3161" t="s">
        <v>6943</v>
      </c>
      <c r="H3161">
        <v>9</v>
      </c>
      <c r="I3161">
        <v>1</v>
      </c>
    </row>
    <row r="3162" spans="1:9" ht="15" hidden="1" customHeight="1" x14ac:dyDescent="0.25">
      <c r="A3162">
        <v>19664</v>
      </c>
      <c r="B3162" t="s">
        <v>10</v>
      </c>
      <c r="C3162" t="s">
        <v>5039</v>
      </c>
      <c r="D3162" t="str">
        <f t="shared" si="211"/>
        <v/>
      </c>
      <c r="E3162" t="s">
        <v>5040</v>
      </c>
      <c r="F3162" t="str">
        <f t="shared" ref="F3162:F3171" si="212">LEFT(C3162,7)</f>
        <v>2101551</v>
      </c>
    </row>
    <row r="3163" spans="1:9" ht="15" hidden="1" customHeight="1" x14ac:dyDescent="0.25">
      <c r="A3163">
        <v>19665</v>
      </c>
      <c r="B3163" t="s">
        <v>10</v>
      </c>
      <c r="C3163" t="s">
        <v>5041</v>
      </c>
      <c r="D3163" t="str">
        <f t="shared" si="211"/>
        <v/>
      </c>
      <c r="E3163" t="s">
        <v>5042</v>
      </c>
      <c r="F3163" t="str">
        <f t="shared" si="212"/>
        <v>2101551</v>
      </c>
    </row>
    <row r="3164" spans="1:9" ht="15" customHeight="1" x14ac:dyDescent="0.25">
      <c r="A3164">
        <v>16879</v>
      </c>
      <c r="B3164" t="s">
        <v>7</v>
      </c>
      <c r="C3164" t="s">
        <v>1776</v>
      </c>
      <c r="D3164" t="str">
        <f t="shared" si="211"/>
        <v/>
      </c>
      <c r="E3164" t="s">
        <v>1777</v>
      </c>
      <c r="F3164" t="str">
        <f t="shared" si="212"/>
        <v>2101550</v>
      </c>
      <c r="H3164">
        <v>9</v>
      </c>
      <c r="I3164">
        <v>1</v>
      </c>
    </row>
    <row r="3165" spans="1:9" ht="15" hidden="1" customHeight="1" x14ac:dyDescent="0.25">
      <c r="A3165">
        <v>16888</v>
      </c>
      <c r="B3165" t="s">
        <v>10</v>
      </c>
      <c r="C3165" t="s">
        <v>1786</v>
      </c>
      <c r="D3165" t="str">
        <f t="shared" si="211"/>
        <v/>
      </c>
      <c r="E3165" t="s">
        <v>1787</v>
      </c>
      <c r="F3165" t="str">
        <f t="shared" si="212"/>
        <v>2101550</v>
      </c>
    </row>
    <row r="3166" spans="1:9" ht="15" hidden="1" customHeight="1" x14ac:dyDescent="0.25">
      <c r="A3166">
        <v>16887</v>
      </c>
      <c r="B3166" t="s">
        <v>10</v>
      </c>
      <c r="C3166" t="s">
        <v>1784</v>
      </c>
      <c r="D3166" t="str">
        <f t="shared" si="211"/>
        <v/>
      </c>
      <c r="E3166" t="s">
        <v>1785</v>
      </c>
      <c r="F3166" t="str">
        <f t="shared" si="212"/>
        <v>2101550</v>
      </c>
    </row>
    <row r="3167" spans="1:9" ht="15" hidden="1" customHeight="1" x14ac:dyDescent="0.25">
      <c r="A3167">
        <v>16886</v>
      </c>
      <c r="B3167" t="s">
        <v>10</v>
      </c>
      <c r="C3167" t="s">
        <v>1782</v>
      </c>
      <c r="D3167" t="str">
        <f t="shared" si="211"/>
        <v/>
      </c>
      <c r="E3167" t="s">
        <v>1783</v>
      </c>
      <c r="F3167" t="str">
        <f t="shared" si="212"/>
        <v>2101550</v>
      </c>
    </row>
    <row r="3168" spans="1:9" ht="15" hidden="1" customHeight="1" x14ac:dyDescent="0.25">
      <c r="A3168">
        <v>16889</v>
      </c>
      <c r="B3168" t="s">
        <v>10</v>
      </c>
      <c r="C3168" t="s">
        <v>1788</v>
      </c>
      <c r="D3168" t="str">
        <f t="shared" si="211"/>
        <v/>
      </c>
      <c r="E3168" t="s">
        <v>1789</v>
      </c>
      <c r="F3168" t="str">
        <f t="shared" si="212"/>
        <v>2101550</v>
      </c>
    </row>
    <row r="3169" spans="1:9" ht="15" hidden="1" customHeight="1" x14ac:dyDescent="0.25">
      <c r="A3169">
        <v>16885</v>
      </c>
      <c r="B3169" t="s">
        <v>10</v>
      </c>
      <c r="C3169" t="s">
        <v>1780</v>
      </c>
      <c r="D3169" t="str">
        <f t="shared" si="211"/>
        <v/>
      </c>
      <c r="E3169" t="s">
        <v>1781</v>
      </c>
      <c r="F3169" t="str">
        <f t="shared" si="212"/>
        <v>2101550</v>
      </c>
    </row>
    <row r="3170" spans="1:9" ht="15" hidden="1" customHeight="1" x14ac:dyDescent="0.25">
      <c r="A3170">
        <v>16890</v>
      </c>
      <c r="B3170" t="s">
        <v>10</v>
      </c>
      <c r="C3170" t="s">
        <v>1790</v>
      </c>
      <c r="D3170" t="str">
        <f t="shared" si="211"/>
        <v/>
      </c>
      <c r="E3170" t="s">
        <v>1791</v>
      </c>
      <c r="F3170" t="str">
        <f t="shared" si="212"/>
        <v>2101550</v>
      </c>
    </row>
    <row r="3171" spans="1:9" ht="15" hidden="1" customHeight="1" x14ac:dyDescent="0.25">
      <c r="A3171">
        <v>16880</v>
      </c>
      <c r="B3171" t="s">
        <v>10</v>
      </c>
      <c r="C3171" t="s">
        <v>1778</v>
      </c>
      <c r="D3171" t="str">
        <f t="shared" si="211"/>
        <v/>
      </c>
      <c r="E3171" t="s">
        <v>1779</v>
      </c>
      <c r="F3171" t="str">
        <f t="shared" si="212"/>
        <v>2101550</v>
      </c>
    </row>
    <row r="3172" spans="1:9" ht="15" customHeight="1" x14ac:dyDescent="0.25">
      <c r="A3172">
        <v>19659</v>
      </c>
      <c r="B3172" t="s">
        <v>7</v>
      </c>
      <c r="C3172" t="s">
        <v>5029</v>
      </c>
      <c r="D3172" t="str">
        <f t="shared" si="211"/>
        <v/>
      </c>
      <c r="E3172" t="s">
        <v>5030</v>
      </c>
      <c r="F3172" t="s">
        <v>6944</v>
      </c>
      <c r="H3172">
        <v>9</v>
      </c>
      <c r="I3172">
        <v>1</v>
      </c>
    </row>
    <row r="3173" spans="1:9" ht="15" hidden="1" customHeight="1" x14ac:dyDescent="0.25">
      <c r="A3173">
        <v>19660</v>
      </c>
      <c r="B3173" t="s">
        <v>10</v>
      </c>
      <c r="C3173" t="s">
        <v>5031</v>
      </c>
      <c r="D3173" t="str">
        <f t="shared" si="211"/>
        <v/>
      </c>
      <c r="E3173" t="s">
        <v>5032</v>
      </c>
      <c r="F3173" t="str">
        <f t="shared" ref="F3173:F3182" si="213">LEFT(C3173,7)</f>
        <v>2101351</v>
      </c>
    </row>
    <row r="3174" spans="1:9" ht="15" hidden="1" customHeight="1" x14ac:dyDescent="0.25">
      <c r="A3174">
        <v>19661</v>
      </c>
      <c r="B3174" t="s">
        <v>10</v>
      </c>
      <c r="C3174" t="s">
        <v>5033</v>
      </c>
      <c r="D3174" t="str">
        <f t="shared" si="211"/>
        <v/>
      </c>
      <c r="E3174" t="s">
        <v>5034</v>
      </c>
      <c r="F3174" t="str">
        <f t="shared" si="213"/>
        <v>2101351</v>
      </c>
    </row>
    <row r="3175" spans="1:9" ht="15" hidden="1" customHeight="1" x14ac:dyDescent="0.25">
      <c r="A3175">
        <v>19662</v>
      </c>
      <c r="B3175" t="s">
        <v>10</v>
      </c>
      <c r="C3175" t="s">
        <v>5035</v>
      </c>
      <c r="D3175" t="str">
        <f t="shared" si="211"/>
        <v/>
      </c>
      <c r="E3175" t="s">
        <v>5036</v>
      </c>
      <c r="F3175" t="str">
        <f t="shared" si="213"/>
        <v>2101351</v>
      </c>
    </row>
    <row r="3176" spans="1:9" ht="15" customHeight="1" x14ac:dyDescent="0.25">
      <c r="A3176">
        <v>16868</v>
      </c>
      <c r="B3176" t="s">
        <v>7</v>
      </c>
      <c r="C3176" t="s">
        <v>1762</v>
      </c>
      <c r="D3176" t="str">
        <f t="shared" si="211"/>
        <v/>
      </c>
      <c r="E3176" t="s">
        <v>1763</v>
      </c>
      <c r="F3176" t="str">
        <f t="shared" si="213"/>
        <v>2101350</v>
      </c>
      <c r="H3176">
        <v>9</v>
      </c>
      <c r="I3176">
        <v>1</v>
      </c>
    </row>
    <row r="3177" spans="1:9" ht="15" hidden="1" customHeight="1" x14ac:dyDescent="0.25">
      <c r="A3177">
        <v>16876</v>
      </c>
      <c r="B3177" t="s">
        <v>10</v>
      </c>
      <c r="C3177" t="s">
        <v>1770</v>
      </c>
      <c r="D3177" t="str">
        <f t="shared" si="211"/>
        <v/>
      </c>
      <c r="E3177" t="s">
        <v>1771</v>
      </c>
      <c r="F3177" t="str">
        <f t="shared" si="213"/>
        <v>2101350</v>
      </c>
    </row>
    <row r="3178" spans="1:9" ht="15" hidden="1" customHeight="1" x14ac:dyDescent="0.25">
      <c r="A3178">
        <v>16875</v>
      </c>
      <c r="B3178" t="s">
        <v>10</v>
      </c>
      <c r="C3178" t="s">
        <v>1768</v>
      </c>
      <c r="D3178" t="str">
        <f t="shared" si="211"/>
        <v/>
      </c>
      <c r="E3178" t="s">
        <v>1769</v>
      </c>
      <c r="F3178" t="str">
        <f t="shared" si="213"/>
        <v>2101350</v>
      </c>
    </row>
    <row r="3179" spans="1:9" ht="15" hidden="1" customHeight="1" x14ac:dyDescent="0.25">
      <c r="A3179">
        <v>16874</v>
      </c>
      <c r="B3179" t="s">
        <v>10</v>
      </c>
      <c r="C3179" t="s">
        <v>1766</v>
      </c>
      <c r="D3179" t="str">
        <f t="shared" si="211"/>
        <v/>
      </c>
      <c r="E3179" t="s">
        <v>1767</v>
      </c>
      <c r="F3179" t="str">
        <f t="shared" si="213"/>
        <v>2101350</v>
      </c>
    </row>
    <row r="3180" spans="1:9" ht="15" hidden="1" customHeight="1" x14ac:dyDescent="0.25">
      <c r="A3180">
        <v>16877</v>
      </c>
      <c r="B3180" t="s">
        <v>10</v>
      </c>
      <c r="C3180" t="s">
        <v>1772</v>
      </c>
      <c r="D3180" t="str">
        <f t="shared" si="211"/>
        <v/>
      </c>
      <c r="E3180" t="s">
        <v>1773</v>
      </c>
      <c r="F3180" t="str">
        <f t="shared" si="213"/>
        <v>2101350</v>
      </c>
    </row>
    <row r="3181" spans="1:9" ht="15" hidden="1" customHeight="1" x14ac:dyDescent="0.25">
      <c r="A3181">
        <v>16869</v>
      </c>
      <c r="B3181" t="s">
        <v>10</v>
      </c>
      <c r="C3181" t="s">
        <v>1764</v>
      </c>
      <c r="D3181" t="str">
        <f t="shared" si="211"/>
        <v/>
      </c>
      <c r="E3181" t="s">
        <v>1765</v>
      </c>
      <c r="F3181" t="str">
        <f t="shared" si="213"/>
        <v>2101350</v>
      </c>
    </row>
    <row r="3182" spans="1:9" ht="15" hidden="1" customHeight="1" x14ac:dyDescent="0.25">
      <c r="A3182">
        <v>16878</v>
      </c>
      <c r="B3182" t="s">
        <v>10</v>
      </c>
      <c r="C3182" t="s">
        <v>1774</v>
      </c>
      <c r="D3182" t="str">
        <f t="shared" si="211"/>
        <v/>
      </c>
      <c r="E3182" t="s">
        <v>1775</v>
      </c>
      <c r="F3182" t="str">
        <f t="shared" si="213"/>
        <v>2101350</v>
      </c>
    </row>
    <row r="3183" spans="1:9" ht="15" customHeight="1" x14ac:dyDescent="0.25">
      <c r="A3183">
        <v>19648</v>
      </c>
      <c r="B3183" t="s">
        <v>7</v>
      </c>
      <c r="C3183" t="s">
        <v>5007</v>
      </c>
      <c r="D3183" t="str">
        <f t="shared" si="211"/>
        <v/>
      </c>
      <c r="E3183" t="s">
        <v>5008</v>
      </c>
      <c r="F3183" t="s">
        <v>6945</v>
      </c>
      <c r="H3183">
        <v>9</v>
      </c>
      <c r="I3183">
        <v>1</v>
      </c>
    </row>
    <row r="3184" spans="1:9" ht="15" hidden="1" customHeight="1" x14ac:dyDescent="0.25">
      <c r="A3184">
        <v>19649</v>
      </c>
      <c r="B3184" t="s">
        <v>10</v>
      </c>
      <c r="C3184" t="s">
        <v>5009</v>
      </c>
      <c r="D3184" t="str">
        <f t="shared" si="211"/>
        <v/>
      </c>
      <c r="E3184" t="s">
        <v>5010</v>
      </c>
      <c r="F3184" t="str">
        <f t="shared" ref="F3184:F3204" si="214">LEFT(C3184,7)</f>
        <v>2101556</v>
      </c>
    </row>
    <row r="3185" spans="1:9" ht="15" hidden="1" customHeight="1" x14ac:dyDescent="0.25">
      <c r="A3185">
        <v>19650</v>
      </c>
      <c r="B3185" t="s">
        <v>10</v>
      </c>
      <c r="C3185" t="s">
        <v>5011</v>
      </c>
      <c r="D3185" t="str">
        <f t="shared" si="211"/>
        <v/>
      </c>
      <c r="E3185" t="s">
        <v>5012</v>
      </c>
      <c r="F3185" t="str">
        <f t="shared" si="214"/>
        <v>2101556</v>
      </c>
    </row>
    <row r="3186" spans="1:9" ht="15" customHeight="1" x14ac:dyDescent="0.25">
      <c r="A3186">
        <v>16891</v>
      </c>
      <c r="B3186" t="s">
        <v>7</v>
      </c>
      <c r="C3186" t="s">
        <v>1792</v>
      </c>
      <c r="D3186" t="str">
        <f t="shared" si="211"/>
        <v/>
      </c>
      <c r="E3186" t="s">
        <v>1793</v>
      </c>
      <c r="F3186" t="str">
        <f t="shared" si="214"/>
        <v>2101555</v>
      </c>
      <c r="H3186">
        <v>9</v>
      </c>
      <c r="I3186">
        <v>1</v>
      </c>
    </row>
    <row r="3187" spans="1:9" ht="15" hidden="1" customHeight="1" x14ac:dyDescent="0.25">
      <c r="A3187">
        <v>16899</v>
      </c>
      <c r="B3187" t="s">
        <v>10</v>
      </c>
      <c r="C3187" t="s">
        <v>1800</v>
      </c>
      <c r="D3187" t="str">
        <f t="shared" si="211"/>
        <v/>
      </c>
      <c r="E3187" t="s">
        <v>1801</v>
      </c>
      <c r="F3187" t="str">
        <f t="shared" si="214"/>
        <v>2101555</v>
      </c>
    </row>
    <row r="3188" spans="1:9" ht="15" hidden="1" customHeight="1" x14ac:dyDescent="0.25">
      <c r="A3188">
        <v>16898</v>
      </c>
      <c r="B3188" t="s">
        <v>10</v>
      </c>
      <c r="C3188" t="s">
        <v>1798</v>
      </c>
      <c r="D3188" t="str">
        <f t="shared" si="211"/>
        <v/>
      </c>
      <c r="E3188" t="s">
        <v>1799</v>
      </c>
      <c r="F3188" t="str">
        <f t="shared" si="214"/>
        <v>2101555</v>
      </c>
    </row>
    <row r="3189" spans="1:9" ht="15" hidden="1" customHeight="1" x14ac:dyDescent="0.25">
      <c r="A3189">
        <v>16897</v>
      </c>
      <c r="B3189" t="s">
        <v>10</v>
      </c>
      <c r="C3189" t="s">
        <v>1796</v>
      </c>
      <c r="D3189" t="str">
        <f t="shared" si="211"/>
        <v/>
      </c>
      <c r="E3189" t="s">
        <v>1797</v>
      </c>
      <c r="F3189" t="str">
        <f t="shared" si="214"/>
        <v>2101555</v>
      </c>
    </row>
    <row r="3190" spans="1:9" ht="15" hidden="1" customHeight="1" x14ac:dyDescent="0.25">
      <c r="A3190">
        <v>16900</v>
      </c>
      <c r="B3190" t="s">
        <v>10</v>
      </c>
      <c r="C3190" t="s">
        <v>1802</v>
      </c>
      <c r="D3190" t="str">
        <f t="shared" si="211"/>
        <v/>
      </c>
      <c r="E3190" t="s">
        <v>1803</v>
      </c>
      <c r="F3190" t="str">
        <f t="shared" si="214"/>
        <v>2101555</v>
      </c>
    </row>
    <row r="3191" spans="1:9" ht="15" hidden="1" customHeight="1" x14ac:dyDescent="0.25">
      <c r="A3191">
        <v>16892</v>
      </c>
      <c r="B3191" t="s">
        <v>10</v>
      </c>
      <c r="C3191" t="s">
        <v>1794</v>
      </c>
      <c r="D3191" t="str">
        <f t="shared" si="211"/>
        <v/>
      </c>
      <c r="E3191" t="s">
        <v>1795</v>
      </c>
      <c r="F3191" t="str">
        <f t="shared" si="214"/>
        <v>2101555</v>
      </c>
    </row>
    <row r="3192" spans="1:9" ht="15" hidden="1" customHeight="1" x14ac:dyDescent="0.25">
      <c r="A3192">
        <v>16901</v>
      </c>
      <c r="B3192" t="s">
        <v>10</v>
      </c>
      <c r="C3192" t="s">
        <v>1804</v>
      </c>
      <c r="D3192" t="str">
        <f t="shared" si="211"/>
        <v/>
      </c>
      <c r="E3192" t="s">
        <v>1805</v>
      </c>
      <c r="F3192" t="str">
        <f t="shared" si="214"/>
        <v>2101555</v>
      </c>
    </row>
    <row r="3193" spans="1:9" ht="15" customHeight="1" x14ac:dyDescent="0.25">
      <c r="A3193">
        <v>21268</v>
      </c>
      <c r="B3193" t="s">
        <v>7</v>
      </c>
      <c r="C3193" t="s">
        <v>6761</v>
      </c>
      <c r="D3193" t="str">
        <f t="shared" si="211"/>
        <v/>
      </c>
      <c r="E3193" t="s">
        <v>6762</v>
      </c>
      <c r="F3193" t="str">
        <f t="shared" si="214"/>
        <v>2230600</v>
      </c>
      <c r="H3193">
        <v>1</v>
      </c>
      <c r="I3193">
        <v>1</v>
      </c>
    </row>
    <row r="3194" spans="1:9" ht="15" hidden="1" customHeight="1" x14ac:dyDescent="0.25">
      <c r="A3194">
        <v>21276</v>
      </c>
      <c r="B3194" t="s">
        <v>10</v>
      </c>
      <c r="C3194" t="s">
        <v>6777</v>
      </c>
      <c r="D3194" t="str">
        <f t="shared" si="211"/>
        <v/>
      </c>
      <c r="E3194" t="s">
        <v>6778</v>
      </c>
      <c r="F3194" t="str">
        <f t="shared" si="214"/>
        <v>2230600</v>
      </c>
    </row>
    <row r="3195" spans="1:9" ht="15" hidden="1" customHeight="1" x14ac:dyDescent="0.25">
      <c r="A3195">
        <v>21279</v>
      </c>
      <c r="B3195" t="s">
        <v>10</v>
      </c>
      <c r="C3195" t="s">
        <v>6783</v>
      </c>
      <c r="D3195" t="str">
        <f t="shared" si="211"/>
        <v/>
      </c>
      <c r="E3195" t="s">
        <v>6784</v>
      </c>
      <c r="F3195" t="str">
        <f t="shared" si="214"/>
        <v>2230600</v>
      </c>
    </row>
    <row r="3196" spans="1:9" ht="15" hidden="1" customHeight="1" x14ac:dyDescent="0.25">
      <c r="A3196">
        <v>21277</v>
      </c>
      <c r="B3196" t="s">
        <v>10</v>
      </c>
      <c r="C3196" t="s">
        <v>6779</v>
      </c>
      <c r="D3196" t="str">
        <f t="shared" si="211"/>
        <v/>
      </c>
      <c r="E3196" t="s">
        <v>6780</v>
      </c>
      <c r="F3196" t="str">
        <f t="shared" si="214"/>
        <v>2230600</v>
      </c>
    </row>
    <row r="3197" spans="1:9" ht="15" hidden="1" customHeight="1" x14ac:dyDescent="0.25">
      <c r="A3197">
        <v>21278</v>
      </c>
      <c r="B3197" t="s">
        <v>10</v>
      </c>
      <c r="C3197" t="s">
        <v>6781</v>
      </c>
      <c r="D3197" t="str">
        <f t="shared" si="211"/>
        <v/>
      </c>
      <c r="E3197" t="s">
        <v>6782</v>
      </c>
      <c r="F3197" t="str">
        <f t="shared" si="214"/>
        <v>2230600</v>
      </c>
    </row>
    <row r="3198" spans="1:9" ht="15" hidden="1" customHeight="1" x14ac:dyDescent="0.25">
      <c r="A3198">
        <v>21273</v>
      </c>
      <c r="B3198" t="s">
        <v>10</v>
      </c>
      <c r="C3198" t="s">
        <v>6771</v>
      </c>
      <c r="D3198" t="str">
        <f t="shared" si="211"/>
        <v/>
      </c>
      <c r="E3198" t="s">
        <v>6772</v>
      </c>
      <c r="F3198" t="str">
        <f t="shared" si="214"/>
        <v>2230600</v>
      </c>
    </row>
    <row r="3199" spans="1:9" ht="15" hidden="1" customHeight="1" x14ac:dyDescent="0.25">
      <c r="A3199">
        <v>21272</v>
      </c>
      <c r="B3199" t="s">
        <v>10</v>
      </c>
      <c r="C3199" t="s">
        <v>6769</v>
      </c>
      <c r="D3199" t="str">
        <f t="shared" si="211"/>
        <v/>
      </c>
      <c r="E3199" t="s">
        <v>6770</v>
      </c>
      <c r="F3199" t="str">
        <f t="shared" si="214"/>
        <v>2230600</v>
      </c>
    </row>
    <row r="3200" spans="1:9" ht="15" hidden="1" customHeight="1" x14ac:dyDescent="0.25">
      <c r="A3200">
        <v>21271</v>
      </c>
      <c r="B3200" t="s">
        <v>10</v>
      </c>
      <c r="C3200" t="s">
        <v>6767</v>
      </c>
      <c r="D3200" t="str">
        <f t="shared" si="211"/>
        <v/>
      </c>
      <c r="E3200" t="s">
        <v>6768</v>
      </c>
      <c r="F3200" t="str">
        <f t="shared" si="214"/>
        <v>2230600</v>
      </c>
    </row>
    <row r="3201" spans="1:9" ht="15" hidden="1" customHeight="1" x14ac:dyDescent="0.25">
      <c r="A3201">
        <v>21274</v>
      </c>
      <c r="B3201" t="s">
        <v>10</v>
      </c>
      <c r="C3201" t="s">
        <v>6773</v>
      </c>
      <c r="D3201" t="str">
        <f t="shared" si="211"/>
        <v/>
      </c>
      <c r="E3201" t="s">
        <v>6774</v>
      </c>
      <c r="F3201" t="str">
        <f t="shared" si="214"/>
        <v>2230600</v>
      </c>
    </row>
    <row r="3202" spans="1:9" ht="15" hidden="1" customHeight="1" x14ac:dyDescent="0.25">
      <c r="A3202">
        <v>21270</v>
      </c>
      <c r="B3202" t="s">
        <v>10</v>
      </c>
      <c r="C3202" t="s">
        <v>6765</v>
      </c>
      <c r="D3202" t="str">
        <f t="shared" si="211"/>
        <v/>
      </c>
      <c r="E3202" t="s">
        <v>6766</v>
      </c>
      <c r="F3202" t="str">
        <f t="shared" si="214"/>
        <v>2230600</v>
      </c>
    </row>
    <row r="3203" spans="1:9" ht="15" hidden="1" customHeight="1" x14ac:dyDescent="0.25">
      <c r="A3203">
        <v>21275</v>
      </c>
      <c r="B3203" t="s">
        <v>10</v>
      </c>
      <c r="C3203" t="s">
        <v>6775</v>
      </c>
      <c r="D3203" t="str">
        <f t="shared" si="211"/>
        <v/>
      </c>
      <c r="E3203" t="s">
        <v>6776</v>
      </c>
      <c r="F3203" t="str">
        <f t="shared" si="214"/>
        <v>2230600</v>
      </c>
    </row>
    <row r="3204" spans="1:9" ht="15" hidden="1" customHeight="1" x14ac:dyDescent="0.25">
      <c r="A3204">
        <v>21269</v>
      </c>
      <c r="B3204" t="s">
        <v>10</v>
      </c>
      <c r="C3204" t="s">
        <v>6763</v>
      </c>
      <c r="D3204" t="str">
        <f t="shared" si="211"/>
        <v/>
      </c>
      <c r="E3204" t="s">
        <v>6764</v>
      </c>
      <c r="F3204" t="str">
        <f t="shared" si="214"/>
        <v>2230600</v>
      </c>
    </row>
    <row r="3205" spans="1:9" ht="15" customHeight="1" x14ac:dyDescent="0.25">
      <c r="A3205">
        <v>18774</v>
      </c>
      <c r="B3205" t="s">
        <v>7</v>
      </c>
      <c r="C3205" t="s">
        <v>3964</v>
      </c>
      <c r="D3205" t="str">
        <f t="shared" si="211"/>
        <v/>
      </c>
      <c r="E3205" t="s">
        <v>3965</v>
      </c>
      <c r="F3205" t="s">
        <v>6957</v>
      </c>
      <c r="H3205">
        <v>8</v>
      </c>
      <c r="I3205">
        <v>1</v>
      </c>
    </row>
    <row r="3206" spans="1:9" ht="15" customHeight="1" x14ac:dyDescent="0.25">
      <c r="A3206">
        <v>15722</v>
      </c>
      <c r="B3206" t="s">
        <v>7</v>
      </c>
      <c r="C3206" t="s">
        <v>1082</v>
      </c>
      <c r="D3206" t="str">
        <f t="shared" si="211"/>
        <v/>
      </c>
      <c r="E3206" t="s">
        <v>1083</v>
      </c>
      <c r="F3206" t="str">
        <f t="shared" ref="F3206:F3213" si="215">LEFT(C3206,7)</f>
        <v>2101496</v>
      </c>
      <c r="H3206">
        <v>8</v>
      </c>
      <c r="I3206">
        <v>1</v>
      </c>
    </row>
    <row r="3207" spans="1:9" ht="15" hidden="1" customHeight="1" x14ac:dyDescent="0.25">
      <c r="A3207">
        <v>15732</v>
      </c>
      <c r="B3207" t="s">
        <v>10</v>
      </c>
      <c r="C3207" t="s">
        <v>1092</v>
      </c>
      <c r="D3207" t="str">
        <f t="shared" si="211"/>
        <v/>
      </c>
      <c r="E3207" t="s">
        <v>1093</v>
      </c>
      <c r="F3207" t="str">
        <f t="shared" si="215"/>
        <v>2101496</v>
      </c>
    </row>
    <row r="3208" spans="1:9" ht="15" hidden="1" customHeight="1" x14ac:dyDescent="0.25">
      <c r="A3208">
        <v>15731</v>
      </c>
      <c r="B3208" t="s">
        <v>10</v>
      </c>
      <c r="C3208" t="s">
        <v>1090</v>
      </c>
      <c r="D3208" t="str">
        <f t="shared" si="211"/>
        <v/>
      </c>
      <c r="E3208" t="s">
        <v>1091</v>
      </c>
      <c r="F3208" t="str">
        <f t="shared" si="215"/>
        <v>2101496</v>
      </c>
    </row>
    <row r="3209" spans="1:9" ht="15" hidden="1" customHeight="1" x14ac:dyDescent="0.25">
      <c r="A3209">
        <v>15730</v>
      </c>
      <c r="B3209" t="s">
        <v>10</v>
      </c>
      <c r="C3209" t="s">
        <v>1088</v>
      </c>
      <c r="D3209" t="str">
        <f t="shared" si="211"/>
        <v/>
      </c>
      <c r="E3209" t="s">
        <v>1089</v>
      </c>
      <c r="F3209" t="str">
        <f t="shared" si="215"/>
        <v>2101496</v>
      </c>
    </row>
    <row r="3210" spans="1:9" ht="15" hidden="1" customHeight="1" x14ac:dyDescent="0.25">
      <c r="A3210">
        <v>15733</v>
      </c>
      <c r="B3210" t="s">
        <v>10</v>
      </c>
      <c r="C3210" t="s">
        <v>1094</v>
      </c>
      <c r="D3210" t="str">
        <f t="shared" si="211"/>
        <v/>
      </c>
      <c r="E3210" t="s">
        <v>1095</v>
      </c>
      <c r="F3210" t="str">
        <f t="shared" si="215"/>
        <v>2101496</v>
      </c>
    </row>
    <row r="3211" spans="1:9" ht="15" hidden="1" customHeight="1" x14ac:dyDescent="0.25">
      <c r="A3211">
        <v>15729</v>
      </c>
      <c r="B3211" t="s">
        <v>10</v>
      </c>
      <c r="C3211" t="s">
        <v>1086</v>
      </c>
      <c r="D3211" t="str">
        <f t="shared" si="211"/>
        <v/>
      </c>
      <c r="E3211" t="s">
        <v>1087</v>
      </c>
      <c r="F3211" t="str">
        <f t="shared" si="215"/>
        <v>2101496</v>
      </c>
    </row>
    <row r="3212" spans="1:9" ht="15" hidden="1" customHeight="1" x14ac:dyDescent="0.25">
      <c r="A3212">
        <v>15734</v>
      </c>
      <c r="B3212" t="s">
        <v>10</v>
      </c>
      <c r="C3212" t="s">
        <v>1096</v>
      </c>
      <c r="D3212" t="str">
        <f t="shared" si="211"/>
        <v/>
      </c>
      <c r="E3212" t="s">
        <v>1097</v>
      </c>
      <c r="F3212" t="str">
        <f t="shared" si="215"/>
        <v>2101496</v>
      </c>
    </row>
    <row r="3213" spans="1:9" ht="15" hidden="1" customHeight="1" x14ac:dyDescent="0.25">
      <c r="A3213">
        <v>15723</v>
      </c>
      <c r="B3213" t="s">
        <v>10</v>
      </c>
      <c r="C3213" t="s">
        <v>1084</v>
      </c>
      <c r="D3213" t="str">
        <f t="shared" si="211"/>
        <v/>
      </c>
      <c r="E3213" t="s">
        <v>1085</v>
      </c>
      <c r="F3213" t="str">
        <f t="shared" si="215"/>
        <v>2101496</v>
      </c>
    </row>
    <row r="3214" spans="1:9" ht="15" customHeight="1" x14ac:dyDescent="0.25">
      <c r="A3214">
        <v>18778</v>
      </c>
      <c r="B3214" t="s">
        <v>7</v>
      </c>
      <c r="C3214" t="s">
        <v>3968</v>
      </c>
      <c r="D3214" t="str">
        <f t="shared" si="211"/>
        <v/>
      </c>
      <c r="E3214" t="s">
        <v>3969</v>
      </c>
      <c r="F3214" t="s">
        <v>6958</v>
      </c>
      <c r="H3214">
        <v>8</v>
      </c>
      <c r="I3214">
        <v>1</v>
      </c>
    </row>
    <row r="3215" spans="1:9" ht="15" customHeight="1" x14ac:dyDescent="0.25">
      <c r="A3215">
        <v>18371</v>
      </c>
      <c r="B3215" t="s">
        <v>7</v>
      </c>
      <c r="C3215" t="s">
        <v>3491</v>
      </c>
      <c r="D3215" t="str">
        <f t="shared" si="211"/>
        <v/>
      </c>
      <c r="E3215" t="s">
        <v>3492</v>
      </c>
      <c r="F3215" t="str">
        <f t="shared" ref="F3215:F3222" si="216">LEFT(C3215,7)</f>
        <v>2101751</v>
      </c>
      <c r="H3215">
        <v>8</v>
      </c>
      <c r="I3215">
        <v>1</v>
      </c>
    </row>
    <row r="3216" spans="1:9" ht="15" hidden="1" customHeight="1" x14ac:dyDescent="0.25">
      <c r="A3216">
        <v>18380</v>
      </c>
      <c r="B3216" t="s">
        <v>10</v>
      </c>
      <c r="C3216" t="s">
        <v>3501</v>
      </c>
      <c r="D3216" t="str">
        <f t="shared" si="211"/>
        <v/>
      </c>
      <c r="E3216" t="s">
        <v>3502</v>
      </c>
      <c r="F3216" t="str">
        <f t="shared" si="216"/>
        <v>2101751</v>
      </c>
    </row>
    <row r="3217" spans="1:9" ht="15" hidden="1" customHeight="1" x14ac:dyDescent="0.25">
      <c r="A3217">
        <v>18379</v>
      </c>
      <c r="B3217" t="s">
        <v>10</v>
      </c>
      <c r="C3217" t="s">
        <v>3499</v>
      </c>
      <c r="D3217" t="str">
        <f t="shared" si="211"/>
        <v/>
      </c>
      <c r="E3217" t="s">
        <v>3500</v>
      </c>
      <c r="F3217" t="str">
        <f t="shared" si="216"/>
        <v>2101751</v>
      </c>
    </row>
    <row r="3218" spans="1:9" ht="15" hidden="1" customHeight="1" x14ac:dyDescent="0.25">
      <c r="A3218">
        <v>18378</v>
      </c>
      <c r="B3218" t="s">
        <v>10</v>
      </c>
      <c r="C3218" t="s">
        <v>3497</v>
      </c>
      <c r="D3218" t="str">
        <f t="shared" ref="D3218:D3281" si="217">IF(RIGHT(LEFT(C3218,9),2)="##","",RIGHT(LEFT(C3218,10),2))</f>
        <v/>
      </c>
      <c r="E3218" t="s">
        <v>3498</v>
      </c>
      <c r="F3218" t="str">
        <f t="shared" si="216"/>
        <v>2101751</v>
      </c>
    </row>
    <row r="3219" spans="1:9" ht="15" hidden="1" customHeight="1" x14ac:dyDescent="0.25">
      <c r="A3219">
        <v>18381</v>
      </c>
      <c r="B3219" t="s">
        <v>10</v>
      </c>
      <c r="C3219" t="s">
        <v>3503</v>
      </c>
      <c r="D3219" t="str">
        <f t="shared" si="217"/>
        <v/>
      </c>
      <c r="E3219" t="s">
        <v>3504</v>
      </c>
      <c r="F3219" t="str">
        <f t="shared" si="216"/>
        <v>2101751</v>
      </c>
    </row>
    <row r="3220" spans="1:9" ht="15" hidden="1" customHeight="1" x14ac:dyDescent="0.25">
      <c r="A3220">
        <v>18377</v>
      </c>
      <c r="B3220" t="s">
        <v>10</v>
      </c>
      <c r="C3220" t="s">
        <v>3495</v>
      </c>
      <c r="D3220" t="str">
        <f t="shared" si="217"/>
        <v/>
      </c>
      <c r="E3220" t="s">
        <v>3496</v>
      </c>
      <c r="F3220" t="str">
        <f t="shared" si="216"/>
        <v>2101751</v>
      </c>
    </row>
    <row r="3221" spans="1:9" ht="15" hidden="1" customHeight="1" x14ac:dyDescent="0.25">
      <c r="A3221">
        <v>18382</v>
      </c>
      <c r="B3221" t="s">
        <v>10</v>
      </c>
      <c r="C3221" t="s">
        <v>3505</v>
      </c>
      <c r="D3221" t="str">
        <f t="shared" si="217"/>
        <v/>
      </c>
      <c r="E3221" t="s">
        <v>3506</v>
      </c>
      <c r="F3221" t="str">
        <f t="shared" si="216"/>
        <v>2101751</v>
      </c>
    </row>
    <row r="3222" spans="1:9" ht="15" hidden="1" customHeight="1" x14ac:dyDescent="0.25">
      <c r="A3222">
        <v>18372</v>
      </c>
      <c r="B3222" t="s">
        <v>10</v>
      </c>
      <c r="C3222" t="s">
        <v>3493</v>
      </c>
      <c r="D3222" t="str">
        <f t="shared" si="217"/>
        <v/>
      </c>
      <c r="E3222" t="s">
        <v>3494</v>
      </c>
      <c r="F3222" t="str">
        <f t="shared" si="216"/>
        <v>2101751</v>
      </c>
    </row>
    <row r="3223" spans="1:9" ht="15" customHeight="1" x14ac:dyDescent="0.25">
      <c r="A3223">
        <v>18776</v>
      </c>
      <c r="B3223" t="s">
        <v>7</v>
      </c>
      <c r="C3223" t="s">
        <v>3966</v>
      </c>
      <c r="D3223" t="str">
        <f t="shared" si="217"/>
        <v/>
      </c>
      <c r="E3223" t="s">
        <v>3967</v>
      </c>
      <c r="F3223" t="s">
        <v>6959</v>
      </c>
      <c r="H3223">
        <v>8</v>
      </c>
      <c r="I3223">
        <v>1</v>
      </c>
    </row>
    <row r="3224" spans="1:9" ht="15" customHeight="1" x14ac:dyDescent="0.25">
      <c r="A3224">
        <v>18359</v>
      </c>
      <c r="B3224" t="s">
        <v>7</v>
      </c>
      <c r="C3224" t="s">
        <v>3475</v>
      </c>
      <c r="D3224" t="str">
        <f t="shared" si="217"/>
        <v/>
      </c>
      <c r="E3224" t="s">
        <v>3476</v>
      </c>
      <c r="F3224" t="str">
        <f t="shared" ref="F3224:F3287" si="218">LEFT(C3224,7)</f>
        <v>2101901</v>
      </c>
      <c r="H3224">
        <v>8</v>
      </c>
      <c r="I3224">
        <v>1</v>
      </c>
    </row>
    <row r="3225" spans="1:9" ht="15" hidden="1" customHeight="1" x14ac:dyDescent="0.25">
      <c r="A3225">
        <v>18368</v>
      </c>
      <c r="B3225" t="s">
        <v>10</v>
      </c>
      <c r="C3225" t="s">
        <v>3485</v>
      </c>
      <c r="D3225" t="str">
        <f t="shared" si="217"/>
        <v/>
      </c>
      <c r="E3225" t="s">
        <v>3486</v>
      </c>
      <c r="F3225" t="str">
        <f t="shared" si="218"/>
        <v>2101901</v>
      </c>
    </row>
    <row r="3226" spans="1:9" ht="15" hidden="1" customHeight="1" x14ac:dyDescent="0.25">
      <c r="A3226">
        <v>18367</v>
      </c>
      <c r="B3226" t="s">
        <v>10</v>
      </c>
      <c r="C3226" t="s">
        <v>3483</v>
      </c>
      <c r="D3226" t="str">
        <f t="shared" si="217"/>
        <v/>
      </c>
      <c r="E3226" t="s">
        <v>3484</v>
      </c>
      <c r="F3226" t="str">
        <f t="shared" si="218"/>
        <v>2101901</v>
      </c>
    </row>
    <row r="3227" spans="1:9" ht="15" hidden="1" customHeight="1" x14ac:dyDescent="0.25">
      <c r="A3227">
        <v>18366</v>
      </c>
      <c r="B3227" t="s">
        <v>10</v>
      </c>
      <c r="C3227" t="s">
        <v>3481</v>
      </c>
      <c r="D3227" t="str">
        <f t="shared" si="217"/>
        <v/>
      </c>
      <c r="E3227" t="s">
        <v>3482</v>
      </c>
      <c r="F3227" t="str">
        <f t="shared" si="218"/>
        <v>2101901</v>
      </c>
    </row>
    <row r="3228" spans="1:9" ht="15" hidden="1" customHeight="1" x14ac:dyDescent="0.25">
      <c r="A3228">
        <v>18369</v>
      </c>
      <c r="B3228" t="s">
        <v>10</v>
      </c>
      <c r="C3228" t="s">
        <v>3487</v>
      </c>
      <c r="D3228" t="str">
        <f t="shared" si="217"/>
        <v/>
      </c>
      <c r="E3228" t="s">
        <v>3488</v>
      </c>
      <c r="F3228" t="str">
        <f t="shared" si="218"/>
        <v>2101901</v>
      </c>
    </row>
    <row r="3229" spans="1:9" ht="15" hidden="1" customHeight="1" x14ac:dyDescent="0.25">
      <c r="A3229">
        <v>18365</v>
      </c>
      <c r="B3229" t="s">
        <v>10</v>
      </c>
      <c r="C3229" t="s">
        <v>3479</v>
      </c>
      <c r="D3229" t="str">
        <f t="shared" si="217"/>
        <v/>
      </c>
      <c r="E3229" t="s">
        <v>3480</v>
      </c>
      <c r="F3229" t="str">
        <f t="shared" si="218"/>
        <v>2101901</v>
      </c>
    </row>
    <row r="3230" spans="1:9" ht="15" hidden="1" customHeight="1" x14ac:dyDescent="0.25">
      <c r="A3230">
        <v>18370</v>
      </c>
      <c r="B3230" t="s">
        <v>10</v>
      </c>
      <c r="C3230" t="s">
        <v>3489</v>
      </c>
      <c r="D3230" t="str">
        <f t="shared" si="217"/>
        <v/>
      </c>
      <c r="E3230" t="s">
        <v>3490</v>
      </c>
      <c r="F3230" t="str">
        <f t="shared" si="218"/>
        <v>2101901</v>
      </c>
    </row>
    <row r="3231" spans="1:9" ht="15" hidden="1" customHeight="1" x14ac:dyDescent="0.25">
      <c r="A3231">
        <v>18360</v>
      </c>
      <c r="B3231" t="s">
        <v>10</v>
      </c>
      <c r="C3231" t="s">
        <v>3477</v>
      </c>
      <c r="D3231" t="str">
        <f t="shared" si="217"/>
        <v/>
      </c>
      <c r="E3231" t="s">
        <v>3478</v>
      </c>
      <c r="F3231" t="str">
        <f t="shared" si="218"/>
        <v>2101901</v>
      </c>
    </row>
    <row r="3232" spans="1:9" ht="15" customHeight="1" x14ac:dyDescent="0.25">
      <c r="A3232">
        <v>17662</v>
      </c>
      <c r="B3232" t="s">
        <v>7</v>
      </c>
      <c r="C3232" t="s">
        <v>2401</v>
      </c>
      <c r="D3232" t="str">
        <f t="shared" si="217"/>
        <v/>
      </c>
      <c r="E3232" t="s">
        <v>2402</v>
      </c>
      <c r="F3232" t="str">
        <f t="shared" si="218"/>
        <v>2220100</v>
      </c>
      <c r="H3232">
        <v>4</v>
      </c>
    </row>
    <row r="3233" spans="1:9" ht="15" hidden="1" customHeight="1" x14ac:dyDescent="0.25">
      <c r="A3233">
        <v>17666</v>
      </c>
      <c r="B3233" t="s">
        <v>10</v>
      </c>
      <c r="C3233" t="s">
        <v>2409</v>
      </c>
      <c r="D3233" t="str">
        <f t="shared" si="217"/>
        <v/>
      </c>
      <c r="E3233" t="s">
        <v>2410</v>
      </c>
      <c r="F3233" t="str">
        <f t="shared" si="218"/>
        <v>2220100</v>
      </c>
    </row>
    <row r="3234" spans="1:9" ht="15" hidden="1" customHeight="1" x14ac:dyDescent="0.25">
      <c r="A3234">
        <v>17665</v>
      </c>
      <c r="B3234" t="s">
        <v>10</v>
      </c>
      <c r="C3234" t="s">
        <v>2407</v>
      </c>
      <c r="D3234" t="str">
        <f t="shared" si="217"/>
        <v/>
      </c>
      <c r="E3234" t="s">
        <v>2408</v>
      </c>
      <c r="F3234" t="str">
        <f t="shared" si="218"/>
        <v>2220100</v>
      </c>
    </row>
    <row r="3235" spans="1:9" ht="15" hidden="1" customHeight="1" x14ac:dyDescent="0.25">
      <c r="A3235">
        <v>17664</v>
      </c>
      <c r="B3235" t="s">
        <v>10</v>
      </c>
      <c r="C3235" t="s">
        <v>2405</v>
      </c>
      <c r="D3235" t="str">
        <f t="shared" si="217"/>
        <v/>
      </c>
      <c r="E3235" t="s">
        <v>2406</v>
      </c>
      <c r="F3235" t="str">
        <f t="shared" si="218"/>
        <v>2220100</v>
      </c>
    </row>
    <row r="3236" spans="1:9" ht="15" hidden="1" customHeight="1" x14ac:dyDescent="0.25">
      <c r="A3236">
        <v>17667</v>
      </c>
      <c r="B3236" t="s">
        <v>10</v>
      </c>
      <c r="C3236" t="s">
        <v>2411</v>
      </c>
      <c r="D3236" t="str">
        <f t="shared" si="217"/>
        <v/>
      </c>
      <c r="E3236" t="s">
        <v>2412</v>
      </c>
      <c r="F3236" t="str">
        <f t="shared" si="218"/>
        <v>2220100</v>
      </c>
    </row>
    <row r="3237" spans="1:9" ht="15" hidden="1" customHeight="1" x14ac:dyDescent="0.25">
      <c r="A3237">
        <v>17663</v>
      </c>
      <c r="B3237" t="s">
        <v>10</v>
      </c>
      <c r="C3237" t="s">
        <v>2403</v>
      </c>
      <c r="D3237" t="str">
        <f t="shared" si="217"/>
        <v/>
      </c>
      <c r="E3237" t="s">
        <v>2404</v>
      </c>
      <c r="F3237" t="str">
        <f t="shared" si="218"/>
        <v>2220100</v>
      </c>
    </row>
    <row r="3238" spans="1:9" ht="15" hidden="1" customHeight="1" x14ac:dyDescent="0.25">
      <c r="A3238">
        <v>17668</v>
      </c>
      <c r="B3238" t="s">
        <v>10</v>
      </c>
      <c r="C3238" t="s">
        <v>2413</v>
      </c>
      <c r="D3238" t="str">
        <f t="shared" si="217"/>
        <v/>
      </c>
      <c r="E3238" t="s">
        <v>2414</v>
      </c>
      <c r="F3238" t="str">
        <f t="shared" si="218"/>
        <v>2220100</v>
      </c>
    </row>
    <row r="3239" spans="1:9" ht="15" customHeight="1" x14ac:dyDescent="0.25">
      <c r="A3239">
        <v>20183</v>
      </c>
      <c r="B3239" t="s">
        <v>7</v>
      </c>
      <c r="C3239" t="s">
        <v>5615</v>
      </c>
      <c r="D3239" t="str">
        <f t="shared" si="217"/>
        <v/>
      </c>
      <c r="E3239" t="s">
        <v>5616</v>
      </c>
      <c r="F3239" t="str">
        <f t="shared" si="218"/>
        <v>2103495</v>
      </c>
      <c r="H3239">
        <v>5</v>
      </c>
      <c r="I3239">
        <v>1</v>
      </c>
    </row>
    <row r="3240" spans="1:9" ht="15" hidden="1" customHeight="1" x14ac:dyDescent="0.25">
      <c r="A3240">
        <v>20192</v>
      </c>
      <c r="B3240" t="s">
        <v>10</v>
      </c>
      <c r="C3240" t="s">
        <v>5625</v>
      </c>
      <c r="D3240" t="str">
        <f t="shared" si="217"/>
        <v/>
      </c>
      <c r="E3240" t="s">
        <v>5626</v>
      </c>
      <c r="F3240" t="str">
        <f t="shared" si="218"/>
        <v>2103495</v>
      </c>
    </row>
    <row r="3241" spans="1:9" ht="15" hidden="1" customHeight="1" x14ac:dyDescent="0.25">
      <c r="A3241">
        <v>20191</v>
      </c>
      <c r="B3241" t="s">
        <v>10</v>
      </c>
      <c r="C3241" t="s">
        <v>5623</v>
      </c>
      <c r="D3241" t="str">
        <f t="shared" si="217"/>
        <v/>
      </c>
      <c r="E3241" t="s">
        <v>5624</v>
      </c>
      <c r="F3241" t="str">
        <f t="shared" si="218"/>
        <v>2103495</v>
      </c>
    </row>
    <row r="3242" spans="1:9" ht="15" hidden="1" customHeight="1" x14ac:dyDescent="0.25">
      <c r="A3242">
        <v>20190</v>
      </c>
      <c r="B3242" t="s">
        <v>10</v>
      </c>
      <c r="C3242" t="s">
        <v>5621</v>
      </c>
      <c r="D3242" t="str">
        <f t="shared" si="217"/>
        <v/>
      </c>
      <c r="E3242" t="s">
        <v>5622</v>
      </c>
      <c r="F3242" t="str">
        <f t="shared" si="218"/>
        <v>2103495</v>
      </c>
    </row>
    <row r="3243" spans="1:9" ht="15" hidden="1" customHeight="1" x14ac:dyDescent="0.25">
      <c r="A3243">
        <v>20193</v>
      </c>
      <c r="B3243" t="s">
        <v>10</v>
      </c>
      <c r="C3243" t="s">
        <v>5627</v>
      </c>
      <c r="D3243" t="str">
        <f t="shared" si="217"/>
        <v/>
      </c>
      <c r="E3243" t="s">
        <v>5628</v>
      </c>
      <c r="F3243" t="str">
        <f t="shared" si="218"/>
        <v>2103495</v>
      </c>
    </row>
    <row r="3244" spans="1:9" ht="15" hidden="1" customHeight="1" x14ac:dyDescent="0.25">
      <c r="A3244">
        <v>20189</v>
      </c>
      <c r="B3244" t="s">
        <v>10</v>
      </c>
      <c r="C3244" t="s">
        <v>5619</v>
      </c>
      <c r="D3244" t="str">
        <f t="shared" si="217"/>
        <v/>
      </c>
      <c r="E3244" t="s">
        <v>5620</v>
      </c>
      <c r="F3244" t="str">
        <f t="shared" si="218"/>
        <v>2103495</v>
      </c>
    </row>
    <row r="3245" spans="1:9" ht="15" hidden="1" customHeight="1" x14ac:dyDescent="0.25">
      <c r="A3245">
        <v>20194</v>
      </c>
      <c r="B3245" t="s">
        <v>10</v>
      </c>
      <c r="C3245" t="s">
        <v>5629</v>
      </c>
      <c r="D3245" t="str">
        <f t="shared" si="217"/>
        <v/>
      </c>
      <c r="E3245" t="s">
        <v>5630</v>
      </c>
      <c r="F3245" t="str">
        <f t="shared" si="218"/>
        <v>2103495</v>
      </c>
    </row>
    <row r="3246" spans="1:9" ht="15" hidden="1" customHeight="1" x14ac:dyDescent="0.25">
      <c r="A3246">
        <v>20184</v>
      </c>
      <c r="B3246" t="s">
        <v>10</v>
      </c>
      <c r="C3246" t="s">
        <v>5617</v>
      </c>
      <c r="D3246" t="str">
        <f t="shared" si="217"/>
        <v/>
      </c>
      <c r="E3246" t="s">
        <v>5618</v>
      </c>
      <c r="F3246" t="str">
        <f t="shared" si="218"/>
        <v>2103495</v>
      </c>
    </row>
    <row r="3247" spans="1:9" ht="15" customHeight="1" x14ac:dyDescent="0.25">
      <c r="A3247">
        <v>15182</v>
      </c>
      <c r="B3247" t="s">
        <v>7</v>
      </c>
      <c r="C3247" t="s">
        <v>625</v>
      </c>
      <c r="D3247" t="str">
        <f t="shared" si="217"/>
        <v/>
      </c>
      <c r="E3247" t="s">
        <v>626</v>
      </c>
      <c r="F3247" t="str">
        <f t="shared" si="218"/>
        <v>2103217</v>
      </c>
      <c r="H3247">
        <v>5</v>
      </c>
      <c r="I3247">
        <v>1</v>
      </c>
    </row>
    <row r="3248" spans="1:9" ht="15" hidden="1" customHeight="1" x14ac:dyDescent="0.25">
      <c r="A3248">
        <v>15192</v>
      </c>
      <c r="B3248" t="s">
        <v>10</v>
      </c>
      <c r="C3248" t="s">
        <v>635</v>
      </c>
      <c r="D3248" t="str">
        <f t="shared" si="217"/>
        <v/>
      </c>
      <c r="E3248" t="s">
        <v>636</v>
      </c>
      <c r="F3248" t="str">
        <f t="shared" si="218"/>
        <v>2103217</v>
      </c>
    </row>
    <row r="3249" spans="1:8" ht="15" hidden="1" customHeight="1" x14ac:dyDescent="0.25">
      <c r="A3249">
        <v>15191</v>
      </c>
      <c r="B3249" t="s">
        <v>10</v>
      </c>
      <c r="C3249" t="s">
        <v>633</v>
      </c>
      <c r="D3249" t="str">
        <f t="shared" si="217"/>
        <v/>
      </c>
      <c r="E3249" t="s">
        <v>634</v>
      </c>
      <c r="F3249" t="str">
        <f t="shared" si="218"/>
        <v>2103217</v>
      </c>
    </row>
    <row r="3250" spans="1:8" ht="15" hidden="1" customHeight="1" x14ac:dyDescent="0.25">
      <c r="A3250">
        <v>15190</v>
      </c>
      <c r="B3250" t="s">
        <v>10</v>
      </c>
      <c r="C3250" t="s">
        <v>631</v>
      </c>
      <c r="D3250" t="str">
        <f t="shared" si="217"/>
        <v/>
      </c>
      <c r="E3250" t="s">
        <v>632</v>
      </c>
      <c r="F3250" t="str">
        <f t="shared" si="218"/>
        <v>2103217</v>
      </c>
    </row>
    <row r="3251" spans="1:8" hidden="1" x14ac:dyDescent="0.25">
      <c r="A3251">
        <v>15193</v>
      </c>
      <c r="B3251" t="s">
        <v>10</v>
      </c>
      <c r="C3251" t="s">
        <v>637</v>
      </c>
      <c r="D3251" t="str">
        <f t="shared" si="217"/>
        <v/>
      </c>
      <c r="E3251" t="s">
        <v>638</v>
      </c>
      <c r="F3251" t="str">
        <f t="shared" si="218"/>
        <v>2103217</v>
      </c>
    </row>
    <row r="3252" spans="1:8" hidden="1" x14ac:dyDescent="0.25">
      <c r="A3252">
        <v>15189</v>
      </c>
      <c r="B3252" t="s">
        <v>10</v>
      </c>
      <c r="C3252" t="s">
        <v>629</v>
      </c>
      <c r="D3252" t="str">
        <f t="shared" si="217"/>
        <v/>
      </c>
      <c r="E3252" t="s">
        <v>630</v>
      </c>
      <c r="F3252" t="str">
        <f t="shared" si="218"/>
        <v>2103217</v>
      </c>
    </row>
    <row r="3253" spans="1:8" hidden="1" x14ac:dyDescent="0.25">
      <c r="A3253">
        <v>15194</v>
      </c>
      <c r="B3253" t="s">
        <v>10</v>
      </c>
      <c r="C3253" t="s">
        <v>639</v>
      </c>
      <c r="D3253" t="str">
        <f t="shared" si="217"/>
        <v/>
      </c>
      <c r="E3253" t="s">
        <v>640</v>
      </c>
      <c r="F3253" t="str">
        <f t="shared" si="218"/>
        <v>2103217</v>
      </c>
    </row>
    <row r="3254" spans="1:8" hidden="1" x14ac:dyDescent="0.25">
      <c r="A3254">
        <v>15183</v>
      </c>
      <c r="B3254" t="s">
        <v>10</v>
      </c>
      <c r="C3254" t="s">
        <v>627</v>
      </c>
      <c r="D3254" t="str">
        <f t="shared" si="217"/>
        <v/>
      </c>
      <c r="E3254" t="s">
        <v>628</v>
      </c>
      <c r="F3254" t="str">
        <f t="shared" si="218"/>
        <v>2103217</v>
      </c>
    </row>
    <row r="3255" spans="1:8" x14ac:dyDescent="0.25">
      <c r="A3255">
        <v>16037</v>
      </c>
      <c r="B3255" t="s">
        <v>7</v>
      </c>
      <c r="C3255" t="s">
        <v>1262</v>
      </c>
      <c r="D3255" t="str">
        <f t="shared" si="217"/>
        <v/>
      </c>
      <c r="E3255" t="s">
        <v>1263</v>
      </c>
      <c r="F3255" t="str">
        <f t="shared" si="218"/>
        <v>2220591</v>
      </c>
      <c r="H3255">
        <v>2</v>
      </c>
    </row>
    <row r="3256" spans="1:8" hidden="1" x14ac:dyDescent="0.25">
      <c r="A3256">
        <v>16040</v>
      </c>
      <c r="B3256" t="s">
        <v>10</v>
      </c>
      <c r="C3256" t="s">
        <v>1268</v>
      </c>
      <c r="D3256" t="str">
        <f t="shared" si="217"/>
        <v/>
      </c>
      <c r="E3256" t="s">
        <v>1269</v>
      </c>
      <c r="F3256" t="str">
        <f t="shared" si="218"/>
        <v>2220591</v>
      </c>
    </row>
    <row r="3257" spans="1:8" hidden="1" x14ac:dyDescent="0.25">
      <c r="A3257">
        <v>16039</v>
      </c>
      <c r="B3257" t="s">
        <v>10</v>
      </c>
      <c r="C3257" t="s">
        <v>1266</v>
      </c>
      <c r="D3257" t="str">
        <f t="shared" si="217"/>
        <v/>
      </c>
      <c r="E3257" t="s">
        <v>1267</v>
      </c>
      <c r="F3257" t="str">
        <f t="shared" si="218"/>
        <v>2220591</v>
      </c>
    </row>
    <row r="3258" spans="1:8" hidden="1" x14ac:dyDescent="0.25">
      <c r="A3258">
        <v>16038</v>
      </c>
      <c r="B3258" t="s">
        <v>10</v>
      </c>
      <c r="C3258" t="s">
        <v>1264</v>
      </c>
      <c r="D3258" t="str">
        <f t="shared" si="217"/>
        <v/>
      </c>
      <c r="E3258" t="s">
        <v>1265</v>
      </c>
      <c r="F3258" t="str">
        <f t="shared" si="218"/>
        <v>2220591</v>
      </c>
    </row>
    <row r="3259" spans="1:8" hidden="1" x14ac:dyDescent="0.25">
      <c r="A3259">
        <v>16268</v>
      </c>
      <c r="B3259" t="s">
        <v>4</v>
      </c>
      <c r="C3259" t="s">
        <v>1386</v>
      </c>
      <c r="D3259" t="str">
        <f t="shared" si="217"/>
        <v/>
      </c>
      <c r="E3259" t="s">
        <v>1387</v>
      </c>
      <c r="F3259" t="str">
        <f t="shared" si="218"/>
        <v>7707357</v>
      </c>
      <c r="H3259">
        <v>1</v>
      </c>
    </row>
    <row r="3260" spans="1:8" hidden="1" x14ac:dyDescent="0.25">
      <c r="A3260">
        <v>16271</v>
      </c>
      <c r="B3260" t="s">
        <v>4</v>
      </c>
      <c r="C3260" t="s">
        <v>1388</v>
      </c>
      <c r="D3260" t="str">
        <f t="shared" si="217"/>
        <v/>
      </c>
      <c r="E3260" t="s">
        <v>1389</v>
      </c>
      <c r="F3260" t="str">
        <f t="shared" si="218"/>
        <v>7707002</v>
      </c>
      <c r="H3260">
        <v>1</v>
      </c>
    </row>
    <row r="3261" spans="1:8" hidden="1" x14ac:dyDescent="0.25">
      <c r="A3261">
        <v>16274</v>
      </c>
      <c r="B3261" t="s">
        <v>4</v>
      </c>
      <c r="C3261" t="s">
        <v>1390</v>
      </c>
      <c r="D3261" t="str">
        <f t="shared" si="217"/>
        <v/>
      </c>
      <c r="E3261" t="s">
        <v>1391</v>
      </c>
      <c r="F3261" t="str">
        <f t="shared" si="218"/>
        <v>7707013</v>
      </c>
      <c r="H3261">
        <v>1</v>
      </c>
    </row>
    <row r="3262" spans="1:8" hidden="1" x14ac:dyDescent="0.25">
      <c r="A3262">
        <v>16277</v>
      </c>
      <c r="B3262" t="s">
        <v>4</v>
      </c>
      <c r="C3262" t="s">
        <v>1392</v>
      </c>
      <c r="D3262" t="str">
        <f t="shared" si="217"/>
        <v/>
      </c>
      <c r="E3262" t="s">
        <v>1393</v>
      </c>
      <c r="F3262" t="str">
        <f t="shared" si="218"/>
        <v>7707246</v>
      </c>
      <c r="H3262">
        <v>1</v>
      </c>
    </row>
    <row r="3263" spans="1:8" hidden="1" x14ac:dyDescent="0.25">
      <c r="A3263">
        <v>16403</v>
      </c>
      <c r="B3263" t="s">
        <v>4</v>
      </c>
      <c r="C3263" t="s">
        <v>1458</v>
      </c>
      <c r="D3263" t="str">
        <f t="shared" si="217"/>
        <v/>
      </c>
      <c r="E3263" t="s">
        <v>1459</v>
      </c>
      <c r="F3263" t="str">
        <f t="shared" si="218"/>
        <v>7707161</v>
      </c>
      <c r="H3263">
        <v>2</v>
      </c>
    </row>
    <row r="3264" spans="1:8" hidden="1" x14ac:dyDescent="0.25">
      <c r="A3264">
        <v>16779</v>
      </c>
      <c r="B3264" t="s">
        <v>4</v>
      </c>
      <c r="C3264" t="s">
        <v>1708</v>
      </c>
      <c r="D3264" t="str">
        <f t="shared" si="217"/>
        <v/>
      </c>
      <c r="E3264" t="s">
        <v>1709</v>
      </c>
      <c r="F3264" t="str">
        <f t="shared" si="218"/>
        <v>8703047</v>
      </c>
    </row>
    <row r="3265" spans="1:8" hidden="1" x14ac:dyDescent="0.25">
      <c r="A3265">
        <v>16522</v>
      </c>
      <c r="B3265" t="s">
        <v>4</v>
      </c>
      <c r="C3265" t="s">
        <v>1546</v>
      </c>
      <c r="D3265" t="str">
        <f t="shared" si="217"/>
        <v/>
      </c>
      <c r="E3265" t="s">
        <v>1547</v>
      </c>
      <c r="F3265" t="str">
        <f t="shared" si="218"/>
        <v>8703102</v>
      </c>
    </row>
    <row r="3266" spans="1:8" x14ac:dyDescent="0.25">
      <c r="A3266">
        <v>16500</v>
      </c>
      <c r="B3266" t="s">
        <v>7</v>
      </c>
      <c r="C3266" t="s">
        <v>1534</v>
      </c>
      <c r="D3266" t="str">
        <f t="shared" si="217"/>
        <v/>
      </c>
      <c r="E3266" t="s">
        <v>1535</v>
      </c>
      <c r="F3266" t="str">
        <f t="shared" si="218"/>
        <v>8703150</v>
      </c>
    </row>
    <row r="3267" spans="1:8" x14ac:dyDescent="0.25">
      <c r="A3267">
        <v>18634</v>
      </c>
      <c r="B3267" t="s">
        <v>7</v>
      </c>
      <c r="C3267" t="s">
        <v>3834</v>
      </c>
      <c r="D3267" t="str">
        <f t="shared" si="217"/>
        <v/>
      </c>
      <c r="E3267" t="s">
        <v>3835</v>
      </c>
      <c r="F3267" t="str">
        <f t="shared" si="218"/>
        <v>8703151</v>
      </c>
    </row>
    <row r="3268" spans="1:8" ht="15" customHeight="1" x14ac:dyDescent="0.25">
      <c r="A3268">
        <v>18642</v>
      </c>
      <c r="B3268" t="s">
        <v>7</v>
      </c>
      <c r="C3268" t="s">
        <v>3836</v>
      </c>
      <c r="D3268" t="str">
        <f t="shared" si="217"/>
        <v/>
      </c>
      <c r="E3268" t="s">
        <v>3837</v>
      </c>
      <c r="F3268" t="str">
        <f t="shared" si="218"/>
        <v>8703152</v>
      </c>
    </row>
    <row r="3269" spans="1:8" ht="15" hidden="1" customHeight="1" x14ac:dyDescent="0.25">
      <c r="A3269">
        <v>15279</v>
      </c>
      <c r="B3269" t="s">
        <v>4</v>
      </c>
      <c r="C3269" t="s">
        <v>731</v>
      </c>
      <c r="D3269" t="str">
        <f t="shared" si="217"/>
        <v/>
      </c>
      <c r="E3269" t="s">
        <v>732</v>
      </c>
      <c r="F3269" t="str">
        <f t="shared" si="218"/>
        <v>7711676</v>
      </c>
      <c r="H3269">
        <v>1</v>
      </c>
    </row>
    <row r="3270" spans="1:8" ht="15" hidden="1" customHeight="1" x14ac:dyDescent="0.25">
      <c r="A3270">
        <v>16283</v>
      </c>
      <c r="B3270" t="s">
        <v>4</v>
      </c>
      <c r="C3270" t="s">
        <v>1396</v>
      </c>
      <c r="D3270" t="str">
        <f t="shared" si="217"/>
        <v/>
      </c>
      <c r="E3270" t="s">
        <v>1397</v>
      </c>
      <c r="F3270" t="str">
        <f t="shared" si="218"/>
        <v>7707556</v>
      </c>
      <c r="H3270">
        <v>2</v>
      </c>
    </row>
    <row r="3271" spans="1:8" hidden="1" x14ac:dyDescent="0.25">
      <c r="A3271">
        <v>18883</v>
      </c>
      <c r="B3271" t="s">
        <v>4</v>
      </c>
      <c r="C3271" t="s">
        <v>4037</v>
      </c>
      <c r="D3271" t="str">
        <f t="shared" si="217"/>
        <v/>
      </c>
      <c r="E3271" t="s">
        <v>4038</v>
      </c>
      <c r="F3271" t="str">
        <f t="shared" si="218"/>
        <v>7707557</v>
      </c>
      <c r="H3271">
        <v>2</v>
      </c>
    </row>
    <row r="3272" spans="1:8" hidden="1" x14ac:dyDescent="0.25">
      <c r="A3272">
        <v>16287</v>
      </c>
      <c r="B3272" t="s">
        <v>4</v>
      </c>
      <c r="C3272" t="s">
        <v>1398</v>
      </c>
      <c r="D3272" t="str">
        <f t="shared" si="217"/>
        <v/>
      </c>
      <c r="E3272" t="s">
        <v>1399</v>
      </c>
      <c r="F3272" t="str">
        <f t="shared" si="218"/>
        <v>7707714</v>
      </c>
      <c r="H3272">
        <v>3</v>
      </c>
    </row>
    <row r="3273" spans="1:8" hidden="1" x14ac:dyDescent="0.25">
      <c r="A3273">
        <v>18259</v>
      </c>
      <c r="B3273" t="s">
        <v>4</v>
      </c>
      <c r="C3273" t="s">
        <v>3348</v>
      </c>
      <c r="D3273" t="str">
        <f t="shared" si="217"/>
        <v/>
      </c>
      <c r="E3273" t="s">
        <v>3349</v>
      </c>
      <c r="F3273" t="str">
        <f t="shared" si="218"/>
        <v>7707154</v>
      </c>
      <c r="H3273">
        <v>2</v>
      </c>
    </row>
    <row r="3274" spans="1:8" hidden="1" x14ac:dyDescent="0.25">
      <c r="A3274">
        <v>16309</v>
      </c>
      <c r="B3274" t="s">
        <v>4</v>
      </c>
      <c r="C3274" t="s">
        <v>1412</v>
      </c>
      <c r="D3274" t="str">
        <f t="shared" si="217"/>
        <v/>
      </c>
      <c r="E3274" t="s">
        <v>1413</v>
      </c>
      <c r="F3274" t="str">
        <f t="shared" si="218"/>
        <v>7707710</v>
      </c>
      <c r="H3274">
        <v>1</v>
      </c>
    </row>
    <row r="3275" spans="1:8" hidden="1" x14ac:dyDescent="0.25">
      <c r="A3275">
        <v>16148</v>
      </c>
      <c r="B3275" t="s">
        <v>4</v>
      </c>
      <c r="C3275" t="s">
        <v>1324</v>
      </c>
      <c r="D3275" t="str">
        <f t="shared" si="217"/>
        <v/>
      </c>
      <c r="E3275" t="s">
        <v>1325</v>
      </c>
      <c r="F3275" t="str">
        <f t="shared" si="218"/>
        <v>8503712</v>
      </c>
      <c r="H3275">
        <v>5</v>
      </c>
    </row>
    <row r="3276" spans="1:8" hidden="1" x14ac:dyDescent="0.25">
      <c r="A3276">
        <v>16104</v>
      </c>
      <c r="B3276" t="s">
        <v>4</v>
      </c>
      <c r="C3276" t="s">
        <v>1300</v>
      </c>
      <c r="D3276" t="str">
        <f t="shared" si="217"/>
        <v/>
      </c>
      <c r="E3276" t="s">
        <v>1301</v>
      </c>
      <c r="F3276" t="str">
        <f t="shared" si="218"/>
        <v>8503258</v>
      </c>
      <c r="H3276">
        <v>4</v>
      </c>
    </row>
    <row r="3277" spans="1:8" hidden="1" x14ac:dyDescent="0.25">
      <c r="A3277">
        <v>16105</v>
      </c>
      <c r="B3277" t="s">
        <v>10</v>
      </c>
      <c r="C3277" t="s">
        <v>1302</v>
      </c>
      <c r="D3277" t="str">
        <f t="shared" si="217"/>
        <v/>
      </c>
      <c r="E3277" t="s">
        <v>1303</v>
      </c>
      <c r="F3277" t="str">
        <f t="shared" si="218"/>
        <v>8503258</v>
      </c>
    </row>
    <row r="3278" spans="1:8" hidden="1" x14ac:dyDescent="0.25">
      <c r="A3278">
        <v>16106</v>
      </c>
      <c r="B3278" t="s">
        <v>10</v>
      </c>
      <c r="C3278" t="s">
        <v>1304</v>
      </c>
      <c r="D3278" t="str">
        <f t="shared" si="217"/>
        <v/>
      </c>
      <c r="E3278" t="s">
        <v>1305</v>
      </c>
      <c r="F3278" t="str">
        <f t="shared" si="218"/>
        <v>8503258</v>
      </c>
    </row>
    <row r="3279" spans="1:8" hidden="1" x14ac:dyDescent="0.25">
      <c r="A3279">
        <v>16107</v>
      </c>
      <c r="B3279" t="s">
        <v>10</v>
      </c>
      <c r="C3279" t="s">
        <v>1306</v>
      </c>
      <c r="D3279" t="str">
        <f t="shared" si="217"/>
        <v/>
      </c>
      <c r="E3279" t="s">
        <v>1307</v>
      </c>
      <c r="F3279" t="str">
        <f t="shared" si="218"/>
        <v>8503258</v>
      </c>
    </row>
    <row r="3280" spans="1:8" hidden="1" x14ac:dyDescent="0.25">
      <c r="A3280">
        <v>17293</v>
      </c>
      <c r="B3280" t="s">
        <v>4</v>
      </c>
      <c r="C3280" t="s">
        <v>2073</v>
      </c>
      <c r="D3280" t="str">
        <f t="shared" si="217"/>
        <v/>
      </c>
      <c r="E3280" t="s">
        <v>2074</v>
      </c>
      <c r="F3280" t="str">
        <f t="shared" si="218"/>
        <v>8701653</v>
      </c>
    </row>
    <row r="3281" spans="1:8" hidden="1" x14ac:dyDescent="0.25">
      <c r="A3281">
        <v>17289</v>
      </c>
      <c r="B3281" t="s">
        <v>4</v>
      </c>
      <c r="C3281" t="s">
        <v>2071</v>
      </c>
      <c r="D3281" t="str">
        <f t="shared" si="217"/>
        <v/>
      </c>
      <c r="E3281" t="s">
        <v>2072</v>
      </c>
      <c r="F3281" t="str">
        <f t="shared" si="218"/>
        <v>8701652</v>
      </c>
    </row>
    <row r="3282" spans="1:8" hidden="1" x14ac:dyDescent="0.25">
      <c r="A3282">
        <v>20983</v>
      </c>
      <c r="B3282" t="s">
        <v>4</v>
      </c>
      <c r="C3282" t="s">
        <v>6383</v>
      </c>
      <c r="D3282" t="str">
        <f t="shared" ref="D3282:D3345" si="219">IF(RIGHT(LEFT(C3282,9),2)="##","",RIGHT(LEFT(C3282,10),2))</f>
        <v/>
      </c>
      <c r="E3282" t="s">
        <v>6384</v>
      </c>
      <c r="F3282" t="str">
        <f t="shared" si="218"/>
        <v>7707572</v>
      </c>
      <c r="H3282">
        <v>1</v>
      </c>
    </row>
    <row r="3283" spans="1:8" hidden="1" x14ac:dyDescent="0.25">
      <c r="A3283">
        <v>15977</v>
      </c>
      <c r="B3283" t="s">
        <v>4</v>
      </c>
      <c r="C3283" t="s">
        <v>1226</v>
      </c>
      <c r="D3283" t="str">
        <f t="shared" si="219"/>
        <v/>
      </c>
      <c r="E3283" t="s">
        <v>1227</v>
      </c>
      <c r="F3283" t="str">
        <f t="shared" si="218"/>
        <v>8612500</v>
      </c>
    </row>
    <row r="3284" spans="1:8" hidden="1" x14ac:dyDescent="0.25">
      <c r="A3284">
        <v>15536</v>
      </c>
      <c r="B3284" t="s">
        <v>4</v>
      </c>
      <c r="C3284" t="s">
        <v>917</v>
      </c>
      <c r="D3284" t="str">
        <f t="shared" si="219"/>
        <v/>
      </c>
      <c r="E3284" t="s">
        <v>918</v>
      </c>
      <c r="F3284" t="str">
        <f t="shared" si="218"/>
        <v>7707051</v>
      </c>
    </row>
    <row r="3285" spans="1:8" hidden="1" x14ac:dyDescent="0.25">
      <c r="A3285">
        <v>15532</v>
      </c>
      <c r="B3285" t="s">
        <v>4</v>
      </c>
      <c r="C3285" t="s">
        <v>915</v>
      </c>
      <c r="D3285" t="str">
        <f t="shared" si="219"/>
        <v/>
      </c>
      <c r="E3285" t="s">
        <v>916</v>
      </c>
      <c r="F3285" t="str">
        <f t="shared" si="218"/>
        <v>8525999</v>
      </c>
    </row>
    <row r="3286" spans="1:8" hidden="1" x14ac:dyDescent="0.25">
      <c r="A3286">
        <v>20608</v>
      </c>
      <c r="B3286" t="s">
        <v>4</v>
      </c>
      <c r="C3286" t="s">
        <v>5987</v>
      </c>
      <c r="D3286" t="str">
        <f t="shared" si="219"/>
        <v/>
      </c>
      <c r="E3286" t="s">
        <v>5988</v>
      </c>
      <c r="F3286" t="str">
        <f t="shared" si="218"/>
        <v>8525576</v>
      </c>
    </row>
    <row r="3287" spans="1:8" hidden="1" x14ac:dyDescent="0.25">
      <c r="A3287">
        <v>16719</v>
      </c>
      <c r="B3287" t="s">
        <v>4</v>
      </c>
      <c r="C3287" t="s">
        <v>1638</v>
      </c>
      <c r="D3287" t="str">
        <f t="shared" si="219"/>
        <v/>
      </c>
      <c r="E3287" t="s">
        <v>1639</v>
      </c>
      <c r="F3287" t="str">
        <f t="shared" si="218"/>
        <v>8711701</v>
      </c>
    </row>
    <row r="3288" spans="1:8" hidden="1" x14ac:dyDescent="0.25">
      <c r="A3288">
        <v>15771</v>
      </c>
      <c r="B3288" t="s">
        <v>4</v>
      </c>
      <c r="C3288" t="s">
        <v>1120</v>
      </c>
      <c r="D3288" t="str">
        <f t="shared" si="219"/>
        <v/>
      </c>
      <c r="E3288" t="s">
        <v>1121</v>
      </c>
      <c r="F3288" t="str">
        <f t="shared" ref="F3288:F3351" si="220">LEFT(C3288,7)</f>
        <v>8505262</v>
      </c>
    </row>
    <row r="3289" spans="1:8" hidden="1" x14ac:dyDescent="0.25">
      <c r="A3289">
        <v>18820</v>
      </c>
      <c r="B3289" t="s">
        <v>4</v>
      </c>
      <c r="C3289" t="s">
        <v>3988</v>
      </c>
      <c r="D3289" t="str">
        <f t="shared" si="219"/>
        <v/>
      </c>
      <c r="E3289" t="s">
        <v>3989</v>
      </c>
      <c r="F3289" t="str">
        <f t="shared" si="220"/>
        <v>8505604</v>
      </c>
    </row>
    <row r="3290" spans="1:8" hidden="1" x14ac:dyDescent="0.25">
      <c r="A3290">
        <v>18808</v>
      </c>
      <c r="B3290" t="s">
        <v>4</v>
      </c>
      <c r="C3290" t="s">
        <v>3982</v>
      </c>
      <c r="D3290" t="str">
        <f t="shared" si="219"/>
        <v/>
      </c>
      <c r="E3290" t="s">
        <v>3983</v>
      </c>
      <c r="F3290" t="str">
        <f t="shared" si="220"/>
        <v>7700460</v>
      </c>
      <c r="H3290">
        <v>1</v>
      </c>
    </row>
    <row r="3291" spans="1:8" hidden="1" x14ac:dyDescent="0.25">
      <c r="A3291">
        <v>18814</v>
      </c>
      <c r="B3291" t="s">
        <v>4</v>
      </c>
      <c r="C3291" t="s">
        <v>3984</v>
      </c>
      <c r="D3291" t="str">
        <f t="shared" si="219"/>
        <v/>
      </c>
      <c r="E3291" t="s">
        <v>3985</v>
      </c>
      <c r="F3291" t="str">
        <f t="shared" si="220"/>
        <v>7700463</v>
      </c>
    </row>
    <row r="3292" spans="1:8" hidden="1" x14ac:dyDescent="0.25">
      <c r="A3292">
        <v>15825</v>
      </c>
      <c r="B3292" t="s">
        <v>4</v>
      </c>
      <c r="C3292" t="s">
        <v>1157</v>
      </c>
      <c r="D3292" t="str">
        <f t="shared" si="219"/>
        <v/>
      </c>
      <c r="E3292" t="s">
        <v>1158</v>
      </c>
      <c r="F3292" t="str">
        <f t="shared" si="220"/>
        <v>7700456</v>
      </c>
    </row>
    <row r="3293" spans="1:8" hidden="1" x14ac:dyDescent="0.25">
      <c r="A3293">
        <v>18817</v>
      </c>
      <c r="B3293" t="s">
        <v>4</v>
      </c>
      <c r="C3293" t="s">
        <v>3986</v>
      </c>
      <c r="D3293" t="str">
        <f t="shared" si="219"/>
        <v/>
      </c>
      <c r="E3293" t="s">
        <v>3987</v>
      </c>
      <c r="F3293" t="str">
        <f t="shared" si="220"/>
        <v>7700464</v>
      </c>
    </row>
    <row r="3294" spans="1:8" ht="15" hidden="1" customHeight="1" x14ac:dyDescent="0.25">
      <c r="A3294">
        <v>15994</v>
      </c>
      <c r="B3294" t="s">
        <v>4</v>
      </c>
      <c r="C3294" t="s">
        <v>1242</v>
      </c>
      <c r="D3294" t="str">
        <f t="shared" si="219"/>
        <v/>
      </c>
      <c r="E3294" t="s">
        <v>1243</v>
      </c>
      <c r="F3294" t="str">
        <f t="shared" si="220"/>
        <v>8401001</v>
      </c>
    </row>
    <row r="3295" spans="1:8" ht="15" hidden="1" customHeight="1" x14ac:dyDescent="0.25">
      <c r="A3295">
        <v>19801</v>
      </c>
      <c r="B3295" t="s">
        <v>4</v>
      </c>
      <c r="C3295" t="s">
        <v>5219</v>
      </c>
      <c r="D3295" t="str">
        <f t="shared" si="219"/>
        <v/>
      </c>
      <c r="E3295" t="s">
        <v>5220</v>
      </c>
      <c r="F3295" t="str">
        <f t="shared" si="220"/>
        <v>8401012</v>
      </c>
    </row>
    <row r="3296" spans="1:8" ht="15" hidden="1" customHeight="1" x14ac:dyDescent="0.25">
      <c r="A3296">
        <v>19798</v>
      </c>
      <c r="B3296" t="s">
        <v>4</v>
      </c>
      <c r="C3296" t="s">
        <v>5217</v>
      </c>
      <c r="D3296" t="str">
        <f t="shared" si="219"/>
        <v/>
      </c>
      <c r="E3296" t="s">
        <v>5218</v>
      </c>
      <c r="F3296" t="str">
        <f t="shared" si="220"/>
        <v>8401011</v>
      </c>
    </row>
    <row r="3297" spans="1:9" ht="15" hidden="1" customHeight="1" x14ac:dyDescent="0.25">
      <c r="A3297">
        <v>20612</v>
      </c>
      <c r="B3297" t="s">
        <v>4</v>
      </c>
      <c r="C3297" t="s">
        <v>5989</v>
      </c>
      <c r="D3297" t="str">
        <f t="shared" si="219"/>
        <v/>
      </c>
      <c r="E3297" t="s">
        <v>5990</v>
      </c>
      <c r="F3297" t="str">
        <f t="shared" si="220"/>
        <v>8612418</v>
      </c>
      <c r="H3297">
        <v>3</v>
      </c>
    </row>
    <row r="3298" spans="1:9" ht="15" hidden="1" customHeight="1" x14ac:dyDescent="0.25">
      <c r="A3298">
        <v>16187</v>
      </c>
      <c r="B3298" t="s">
        <v>4</v>
      </c>
      <c r="C3298" t="s">
        <v>1340</v>
      </c>
      <c r="D3298" t="str">
        <f t="shared" si="219"/>
        <v/>
      </c>
      <c r="E3298" t="s">
        <v>1341</v>
      </c>
      <c r="F3298" t="str">
        <f t="shared" si="220"/>
        <v>8503061</v>
      </c>
    </row>
    <row r="3299" spans="1:9" ht="15" hidden="1" customHeight="1" x14ac:dyDescent="0.25">
      <c r="A3299">
        <v>21114</v>
      </c>
      <c r="B3299" t="s">
        <v>4</v>
      </c>
      <c r="C3299" t="s">
        <v>6531</v>
      </c>
      <c r="D3299" t="str">
        <f t="shared" si="219"/>
        <v/>
      </c>
      <c r="E3299" t="s">
        <v>6532</v>
      </c>
      <c r="F3299" t="str">
        <f t="shared" si="220"/>
        <v>8503901</v>
      </c>
    </row>
    <row r="3300" spans="1:9" ht="15" hidden="1" customHeight="1" x14ac:dyDescent="0.25">
      <c r="A3300">
        <v>17522</v>
      </c>
      <c r="B3300" t="s">
        <v>4</v>
      </c>
      <c r="C3300" t="s">
        <v>2227</v>
      </c>
      <c r="D3300" t="str">
        <f t="shared" si="219"/>
        <v/>
      </c>
      <c r="E3300" t="s">
        <v>2228</v>
      </c>
      <c r="F3300" t="str">
        <f t="shared" si="220"/>
        <v>8503202</v>
      </c>
    </row>
    <row r="3301" spans="1:9" ht="15" hidden="1" customHeight="1" x14ac:dyDescent="0.25">
      <c r="A3301">
        <v>16327</v>
      </c>
      <c r="B3301" t="s">
        <v>4</v>
      </c>
      <c r="C3301" t="s">
        <v>1424</v>
      </c>
      <c r="D3301" t="str">
        <f t="shared" si="219"/>
        <v/>
      </c>
      <c r="E3301" t="s">
        <v>1425</v>
      </c>
      <c r="F3301" t="str">
        <f t="shared" si="220"/>
        <v>7707569</v>
      </c>
      <c r="H3301">
        <v>2</v>
      </c>
    </row>
    <row r="3302" spans="1:9" ht="15" customHeight="1" x14ac:dyDescent="0.25">
      <c r="A3302">
        <v>18176</v>
      </c>
      <c r="B3302" t="s">
        <v>7</v>
      </c>
      <c r="C3302" t="s">
        <v>3214</v>
      </c>
      <c r="D3302" t="str">
        <f t="shared" si="219"/>
        <v/>
      </c>
      <c r="E3302" t="s">
        <v>3215</v>
      </c>
      <c r="F3302" t="str">
        <f t="shared" si="220"/>
        <v>2301888</v>
      </c>
      <c r="H3302">
        <v>8</v>
      </c>
      <c r="I3302">
        <v>1</v>
      </c>
    </row>
    <row r="3303" spans="1:9" ht="15" hidden="1" customHeight="1" x14ac:dyDescent="0.25">
      <c r="A3303">
        <v>18187</v>
      </c>
      <c r="B3303" t="s">
        <v>10</v>
      </c>
      <c r="C3303" t="s">
        <v>3230</v>
      </c>
      <c r="D3303" t="str">
        <f t="shared" si="219"/>
        <v/>
      </c>
      <c r="E3303" t="s">
        <v>3231</v>
      </c>
      <c r="F3303" t="str">
        <f t="shared" si="220"/>
        <v>2301888</v>
      </c>
    </row>
    <row r="3304" spans="1:9" ht="15" hidden="1" customHeight="1" x14ac:dyDescent="0.25">
      <c r="A3304">
        <v>18184</v>
      </c>
      <c r="B3304" t="s">
        <v>10</v>
      </c>
      <c r="C3304" t="s">
        <v>3224</v>
      </c>
      <c r="D3304" t="str">
        <f t="shared" si="219"/>
        <v/>
      </c>
      <c r="E3304" t="s">
        <v>3225</v>
      </c>
      <c r="F3304" t="str">
        <f t="shared" si="220"/>
        <v>2301888</v>
      </c>
    </row>
    <row r="3305" spans="1:9" ht="15" hidden="1" customHeight="1" x14ac:dyDescent="0.25">
      <c r="A3305">
        <v>18183</v>
      </c>
      <c r="B3305" t="s">
        <v>10</v>
      </c>
      <c r="C3305" t="s">
        <v>3222</v>
      </c>
      <c r="D3305" t="str">
        <f t="shared" si="219"/>
        <v/>
      </c>
      <c r="E3305" t="s">
        <v>3223</v>
      </c>
      <c r="F3305" t="str">
        <f t="shared" si="220"/>
        <v>2301888</v>
      </c>
    </row>
    <row r="3306" spans="1:9" ht="15" hidden="1" customHeight="1" x14ac:dyDescent="0.25">
      <c r="A3306">
        <v>18182</v>
      </c>
      <c r="B3306" t="s">
        <v>10</v>
      </c>
      <c r="C3306" t="s">
        <v>3220</v>
      </c>
      <c r="D3306" t="str">
        <f t="shared" si="219"/>
        <v/>
      </c>
      <c r="E3306" t="s">
        <v>3221</v>
      </c>
      <c r="F3306" t="str">
        <f t="shared" si="220"/>
        <v>2301888</v>
      </c>
    </row>
    <row r="3307" spans="1:9" ht="15" hidden="1" customHeight="1" x14ac:dyDescent="0.25">
      <c r="A3307">
        <v>18185</v>
      </c>
      <c r="B3307" t="s">
        <v>10</v>
      </c>
      <c r="C3307" t="s">
        <v>3226</v>
      </c>
      <c r="D3307" t="str">
        <f t="shared" si="219"/>
        <v/>
      </c>
      <c r="E3307" t="s">
        <v>3227</v>
      </c>
      <c r="F3307" t="str">
        <f t="shared" si="220"/>
        <v>2301888</v>
      </c>
    </row>
    <row r="3308" spans="1:9" ht="15" hidden="1" customHeight="1" x14ac:dyDescent="0.25">
      <c r="A3308">
        <v>18181</v>
      </c>
      <c r="B3308" t="s">
        <v>10</v>
      </c>
      <c r="C3308" t="s">
        <v>3218</v>
      </c>
      <c r="D3308" t="str">
        <f t="shared" si="219"/>
        <v/>
      </c>
      <c r="E3308" t="s">
        <v>3219</v>
      </c>
      <c r="F3308" t="str">
        <f t="shared" si="220"/>
        <v>2301888</v>
      </c>
    </row>
    <row r="3309" spans="1:9" ht="15" hidden="1" customHeight="1" x14ac:dyDescent="0.25">
      <c r="A3309">
        <v>18186</v>
      </c>
      <c r="B3309" t="s">
        <v>10</v>
      </c>
      <c r="C3309" t="s">
        <v>3228</v>
      </c>
      <c r="D3309" t="str">
        <f t="shared" si="219"/>
        <v/>
      </c>
      <c r="E3309" t="s">
        <v>3229</v>
      </c>
      <c r="F3309" t="str">
        <f t="shared" si="220"/>
        <v>2301888</v>
      </c>
    </row>
    <row r="3310" spans="1:9" ht="15" hidden="1" customHeight="1" x14ac:dyDescent="0.25">
      <c r="A3310">
        <v>18177</v>
      </c>
      <c r="B3310" t="s">
        <v>10</v>
      </c>
      <c r="C3310" t="s">
        <v>3216</v>
      </c>
      <c r="D3310" t="str">
        <f t="shared" si="219"/>
        <v/>
      </c>
      <c r="E3310" t="s">
        <v>3217</v>
      </c>
      <c r="F3310" t="str">
        <f t="shared" si="220"/>
        <v>2301888</v>
      </c>
    </row>
    <row r="3311" spans="1:9" ht="15" customHeight="1" x14ac:dyDescent="0.25">
      <c r="A3311">
        <v>18468</v>
      </c>
      <c r="B3311" t="s">
        <v>7</v>
      </c>
      <c r="C3311" t="s">
        <v>3651</v>
      </c>
      <c r="D3311" t="str">
        <f t="shared" si="219"/>
        <v/>
      </c>
      <c r="E3311" t="s">
        <v>3652</v>
      </c>
      <c r="F3311" t="str">
        <f t="shared" si="220"/>
        <v>2301158</v>
      </c>
      <c r="H3311">
        <v>7</v>
      </c>
      <c r="I3311">
        <v>1</v>
      </c>
    </row>
    <row r="3312" spans="1:9" ht="15" hidden="1" customHeight="1" x14ac:dyDescent="0.25">
      <c r="A3312">
        <v>18480</v>
      </c>
      <c r="B3312" t="s">
        <v>10</v>
      </c>
      <c r="C3312" t="s">
        <v>3669</v>
      </c>
      <c r="D3312" t="str">
        <f t="shared" si="219"/>
        <v/>
      </c>
      <c r="E3312" t="s">
        <v>3670</v>
      </c>
      <c r="F3312" t="str">
        <f t="shared" si="220"/>
        <v>2301158</v>
      </c>
    </row>
    <row r="3313" spans="1:9" ht="15" hidden="1" customHeight="1" x14ac:dyDescent="0.25">
      <c r="A3313">
        <v>18479</v>
      </c>
      <c r="B3313" t="s">
        <v>10</v>
      </c>
      <c r="C3313" t="s">
        <v>3667</v>
      </c>
      <c r="D3313" t="str">
        <f t="shared" si="219"/>
        <v/>
      </c>
      <c r="E3313" t="s">
        <v>3668</v>
      </c>
      <c r="F3313" t="str">
        <f t="shared" si="220"/>
        <v>2301158</v>
      </c>
    </row>
    <row r="3314" spans="1:9" ht="15" hidden="1" customHeight="1" x14ac:dyDescent="0.25">
      <c r="A3314">
        <v>18476</v>
      </c>
      <c r="B3314" t="s">
        <v>10</v>
      </c>
      <c r="C3314" t="s">
        <v>3661</v>
      </c>
      <c r="D3314" t="str">
        <f t="shared" si="219"/>
        <v/>
      </c>
      <c r="E3314" t="s">
        <v>3662</v>
      </c>
      <c r="F3314" t="str">
        <f t="shared" si="220"/>
        <v>2301158</v>
      </c>
    </row>
    <row r="3315" spans="1:9" ht="15" hidden="1" customHeight="1" x14ac:dyDescent="0.25">
      <c r="A3315">
        <v>18475</v>
      </c>
      <c r="B3315" t="s">
        <v>10</v>
      </c>
      <c r="C3315" t="s">
        <v>3659</v>
      </c>
      <c r="D3315" t="str">
        <f t="shared" si="219"/>
        <v/>
      </c>
      <c r="E3315" t="s">
        <v>3660</v>
      </c>
      <c r="F3315" t="str">
        <f t="shared" si="220"/>
        <v>2301158</v>
      </c>
    </row>
    <row r="3316" spans="1:9" ht="15" hidden="1" customHeight="1" x14ac:dyDescent="0.25">
      <c r="A3316">
        <v>18474</v>
      </c>
      <c r="B3316" t="s">
        <v>10</v>
      </c>
      <c r="C3316" t="s">
        <v>3657</v>
      </c>
      <c r="D3316" t="str">
        <f t="shared" si="219"/>
        <v/>
      </c>
      <c r="E3316" t="s">
        <v>3658</v>
      </c>
      <c r="F3316" t="str">
        <f t="shared" si="220"/>
        <v>2301158</v>
      </c>
    </row>
    <row r="3317" spans="1:9" ht="15" hidden="1" customHeight="1" x14ac:dyDescent="0.25">
      <c r="A3317">
        <v>18477</v>
      </c>
      <c r="B3317" t="s">
        <v>10</v>
      </c>
      <c r="C3317" t="s">
        <v>3663</v>
      </c>
      <c r="D3317" t="str">
        <f t="shared" si="219"/>
        <v/>
      </c>
      <c r="E3317" t="s">
        <v>3664</v>
      </c>
      <c r="F3317" t="str">
        <f t="shared" si="220"/>
        <v>2301158</v>
      </c>
    </row>
    <row r="3318" spans="1:9" ht="15" hidden="1" customHeight="1" x14ac:dyDescent="0.25">
      <c r="A3318">
        <v>18473</v>
      </c>
      <c r="B3318" t="s">
        <v>10</v>
      </c>
      <c r="C3318" t="s">
        <v>3655</v>
      </c>
      <c r="D3318" t="str">
        <f t="shared" si="219"/>
        <v/>
      </c>
      <c r="E3318" t="s">
        <v>3656</v>
      </c>
      <c r="F3318" t="str">
        <f t="shared" si="220"/>
        <v>2301158</v>
      </c>
    </row>
    <row r="3319" spans="1:9" ht="15" hidden="1" customHeight="1" x14ac:dyDescent="0.25">
      <c r="A3319">
        <v>18478</v>
      </c>
      <c r="B3319" t="s">
        <v>10</v>
      </c>
      <c r="C3319" t="s">
        <v>3665</v>
      </c>
      <c r="D3319" t="str">
        <f t="shared" si="219"/>
        <v/>
      </c>
      <c r="E3319" t="s">
        <v>3666</v>
      </c>
      <c r="F3319" t="str">
        <f t="shared" si="220"/>
        <v>2301158</v>
      </c>
    </row>
    <row r="3320" spans="1:9" ht="15" hidden="1" customHeight="1" x14ac:dyDescent="0.25">
      <c r="A3320">
        <v>18469</v>
      </c>
      <c r="B3320" t="s">
        <v>10</v>
      </c>
      <c r="C3320" t="s">
        <v>3653</v>
      </c>
      <c r="D3320" t="str">
        <f t="shared" si="219"/>
        <v/>
      </c>
      <c r="E3320" t="s">
        <v>3654</v>
      </c>
      <c r="F3320" t="str">
        <f t="shared" si="220"/>
        <v>2301158</v>
      </c>
    </row>
    <row r="3321" spans="1:9" ht="15" customHeight="1" x14ac:dyDescent="0.25">
      <c r="A3321">
        <v>14709</v>
      </c>
      <c r="B3321" t="s">
        <v>7</v>
      </c>
      <c r="C3321" t="s">
        <v>79</v>
      </c>
      <c r="D3321" t="str">
        <f t="shared" si="219"/>
        <v/>
      </c>
      <c r="E3321" t="s">
        <v>80</v>
      </c>
      <c r="F3321" t="str">
        <f t="shared" si="220"/>
        <v>2301048</v>
      </c>
      <c r="H3321">
        <v>7</v>
      </c>
      <c r="I3321">
        <v>1</v>
      </c>
    </row>
    <row r="3322" spans="1:9" ht="15" hidden="1" customHeight="1" x14ac:dyDescent="0.25">
      <c r="A3322">
        <v>14720</v>
      </c>
      <c r="B3322" t="s">
        <v>10</v>
      </c>
      <c r="C3322" t="s">
        <v>95</v>
      </c>
      <c r="D3322" t="str">
        <f t="shared" si="219"/>
        <v/>
      </c>
      <c r="E3322" t="s">
        <v>96</v>
      </c>
      <c r="F3322" t="str">
        <f t="shared" si="220"/>
        <v>2301048</v>
      </c>
    </row>
    <row r="3323" spans="1:9" ht="15" hidden="1" customHeight="1" x14ac:dyDescent="0.25">
      <c r="A3323">
        <v>14723</v>
      </c>
      <c r="B3323" t="s">
        <v>10</v>
      </c>
      <c r="C3323" t="s">
        <v>101</v>
      </c>
      <c r="D3323" t="str">
        <f t="shared" si="219"/>
        <v/>
      </c>
      <c r="E3323" t="s">
        <v>102</v>
      </c>
      <c r="F3323" t="str">
        <f t="shared" si="220"/>
        <v>2301048</v>
      </c>
    </row>
    <row r="3324" spans="1:9" ht="15" hidden="1" customHeight="1" x14ac:dyDescent="0.25">
      <c r="A3324">
        <v>14721</v>
      </c>
      <c r="B3324" t="s">
        <v>10</v>
      </c>
      <c r="C3324" t="s">
        <v>97</v>
      </c>
      <c r="D3324" t="str">
        <f t="shared" si="219"/>
        <v/>
      </c>
      <c r="E3324" t="s">
        <v>98</v>
      </c>
      <c r="F3324" t="str">
        <f t="shared" si="220"/>
        <v>2301048</v>
      </c>
    </row>
    <row r="3325" spans="1:9" ht="15" hidden="1" customHeight="1" x14ac:dyDescent="0.25">
      <c r="A3325">
        <v>14722</v>
      </c>
      <c r="B3325" t="s">
        <v>10</v>
      </c>
      <c r="C3325" t="s">
        <v>99</v>
      </c>
      <c r="D3325" t="str">
        <f t="shared" si="219"/>
        <v/>
      </c>
      <c r="E3325" t="s">
        <v>100</v>
      </c>
      <c r="F3325" t="str">
        <f t="shared" si="220"/>
        <v>2301048</v>
      </c>
    </row>
    <row r="3326" spans="1:9" ht="15" hidden="1" customHeight="1" x14ac:dyDescent="0.25">
      <c r="A3326">
        <v>14717</v>
      </c>
      <c r="B3326" t="s">
        <v>10</v>
      </c>
      <c r="C3326" t="s">
        <v>89</v>
      </c>
      <c r="D3326" t="str">
        <f t="shared" si="219"/>
        <v/>
      </c>
      <c r="E3326" t="s">
        <v>90</v>
      </c>
      <c r="F3326" t="str">
        <f t="shared" si="220"/>
        <v>2301048</v>
      </c>
    </row>
    <row r="3327" spans="1:9" ht="15" hidden="1" customHeight="1" x14ac:dyDescent="0.25">
      <c r="A3327">
        <v>14716</v>
      </c>
      <c r="B3327" t="s">
        <v>10</v>
      </c>
      <c r="C3327" t="s">
        <v>87</v>
      </c>
      <c r="D3327" t="str">
        <f t="shared" si="219"/>
        <v/>
      </c>
      <c r="E3327" t="s">
        <v>88</v>
      </c>
      <c r="F3327" t="str">
        <f t="shared" si="220"/>
        <v>2301048</v>
      </c>
    </row>
    <row r="3328" spans="1:9" ht="15" hidden="1" customHeight="1" x14ac:dyDescent="0.25">
      <c r="A3328">
        <v>14715</v>
      </c>
      <c r="B3328" t="s">
        <v>10</v>
      </c>
      <c r="C3328" t="s">
        <v>85</v>
      </c>
      <c r="D3328" t="str">
        <f t="shared" si="219"/>
        <v/>
      </c>
      <c r="E3328" t="s">
        <v>86</v>
      </c>
      <c r="F3328" t="str">
        <f t="shared" si="220"/>
        <v>2301048</v>
      </c>
    </row>
    <row r="3329" spans="1:9" ht="15" hidden="1" customHeight="1" x14ac:dyDescent="0.25">
      <c r="A3329">
        <v>14718</v>
      </c>
      <c r="B3329" t="s">
        <v>10</v>
      </c>
      <c r="C3329" t="s">
        <v>91</v>
      </c>
      <c r="D3329" t="str">
        <f t="shared" si="219"/>
        <v/>
      </c>
      <c r="E3329" t="s">
        <v>92</v>
      </c>
      <c r="F3329" t="str">
        <f t="shared" si="220"/>
        <v>2301048</v>
      </c>
    </row>
    <row r="3330" spans="1:9" ht="15" hidden="1" customHeight="1" x14ac:dyDescent="0.25">
      <c r="A3330">
        <v>14714</v>
      </c>
      <c r="B3330" t="s">
        <v>10</v>
      </c>
      <c r="C3330" t="s">
        <v>83</v>
      </c>
      <c r="D3330" t="str">
        <f t="shared" si="219"/>
        <v/>
      </c>
      <c r="E3330" t="s">
        <v>84</v>
      </c>
      <c r="F3330" t="str">
        <f t="shared" si="220"/>
        <v>2301048</v>
      </c>
    </row>
    <row r="3331" spans="1:9" ht="15" hidden="1" customHeight="1" x14ac:dyDescent="0.25">
      <c r="A3331">
        <v>14719</v>
      </c>
      <c r="B3331" t="s">
        <v>10</v>
      </c>
      <c r="C3331" t="s">
        <v>93</v>
      </c>
      <c r="D3331" t="str">
        <f t="shared" si="219"/>
        <v/>
      </c>
      <c r="E3331" t="s">
        <v>94</v>
      </c>
      <c r="F3331" t="str">
        <f t="shared" si="220"/>
        <v>2301048</v>
      </c>
    </row>
    <row r="3332" spans="1:9" ht="15" hidden="1" customHeight="1" x14ac:dyDescent="0.25">
      <c r="A3332">
        <v>14710</v>
      </c>
      <c r="B3332" t="s">
        <v>10</v>
      </c>
      <c r="C3332" t="s">
        <v>81</v>
      </c>
      <c r="D3332" t="str">
        <f t="shared" si="219"/>
        <v/>
      </c>
      <c r="E3332" t="s">
        <v>82</v>
      </c>
      <c r="F3332" t="str">
        <f t="shared" si="220"/>
        <v>2301048</v>
      </c>
    </row>
    <row r="3333" spans="1:9" ht="15" customHeight="1" x14ac:dyDescent="0.25">
      <c r="A3333">
        <v>18188</v>
      </c>
      <c r="B3333" t="s">
        <v>7</v>
      </c>
      <c r="C3333" t="s">
        <v>3232</v>
      </c>
      <c r="D3333" t="str">
        <f t="shared" si="219"/>
        <v/>
      </c>
      <c r="E3333" t="s">
        <v>3233</v>
      </c>
      <c r="F3333" t="str">
        <f t="shared" si="220"/>
        <v>2301300</v>
      </c>
      <c r="H3333">
        <v>7</v>
      </c>
      <c r="I3333">
        <v>1</v>
      </c>
    </row>
    <row r="3334" spans="1:9" ht="15" hidden="1" customHeight="1" x14ac:dyDescent="0.25">
      <c r="A3334">
        <v>18199</v>
      </c>
      <c r="B3334" t="s">
        <v>10</v>
      </c>
      <c r="C3334" t="s">
        <v>3248</v>
      </c>
      <c r="D3334" t="str">
        <f t="shared" si="219"/>
        <v/>
      </c>
      <c r="E3334" t="s">
        <v>3249</v>
      </c>
      <c r="F3334" t="str">
        <f t="shared" si="220"/>
        <v>2301300</v>
      </c>
    </row>
    <row r="3335" spans="1:9" ht="15" hidden="1" customHeight="1" x14ac:dyDescent="0.25">
      <c r="A3335">
        <v>18200</v>
      </c>
      <c r="B3335" t="s">
        <v>10</v>
      </c>
      <c r="C3335" t="s">
        <v>3250</v>
      </c>
      <c r="D3335" t="str">
        <f t="shared" si="219"/>
        <v/>
      </c>
      <c r="E3335" t="s">
        <v>3251</v>
      </c>
      <c r="F3335" t="str">
        <f t="shared" si="220"/>
        <v>2301300</v>
      </c>
    </row>
    <row r="3336" spans="1:9" ht="15" hidden="1" customHeight="1" x14ac:dyDescent="0.25">
      <c r="A3336">
        <v>18201</v>
      </c>
      <c r="B3336" t="s">
        <v>10</v>
      </c>
      <c r="C3336" t="s">
        <v>3252</v>
      </c>
      <c r="D3336" t="str">
        <f t="shared" si="219"/>
        <v/>
      </c>
      <c r="E3336" t="s">
        <v>3253</v>
      </c>
      <c r="F3336" t="str">
        <f t="shared" si="220"/>
        <v>2301300</v>
      </c>
    </row>
    <row r="3337" spans="1:9" ht="15" hidden="1" customHeight="1" x14ac:dyDescent="0.25">
      <c r="A3337">
        <v>18196</v>
      </c>
      <c r="B3337" t="s">
        <v>10</v>
      </c>
      <c r="C3337" t="s">
        <v>3242</v>
      </c>
      <c r="D3337" t="str">
        <f t="shared" si="219"/>
        <v/>
      </c>
      <c r="E3337" t="s">
        <v>3243</v>
      </c>
      <c r="F3337" t="str">
        <f t="shared" si="220"/>
        <v>2301300</v>
      </c>
    </row>
    <row r="3338" spans="1:9" ht="15" hidden="1" customHeight="1" x14ac:dyDescent="0.25">
      <c r="A3338">
        <v>18195</v>
      </c>
      <c r="B3338" t="s">
        <v>10</v>
      </c>
      <c r="C3338" t="s">
        <v>3240</v>
      </c>
      <c r="D3338" t="str">
        <f t="shared" si="219"/>
        <v/>
      </c>
      <c r="E3338" t="s">
        <v>3241</v>
      </c>
      <c r="F3338" t="str">
        <f t="shared" si="220"/>
        <v>2301300</v>
      </c>
    </row>
    <row r="3339" spans="1:9" ht="15" hidden="1" customHeight="1" x14ac:dyDescent="0.25">
      <c r="A3339">
        <v>18194</v>
      </c>
      <c r="B3339" t="s">
        <v>10</v>
      </c>
      <c r="C3339" t="s">
        <v>3238</v>
      </c>
      <c r="D3339" t="str">
        <f t="shared" si="219"/>
        <v/>
      </c>
      <c r="E3339" t="s">
        <v>3239</v>
      </c>
      <c r="F3339" t="str">
        <f t="shared" si="220"/>
        <v>2301300</v>
      </c>
    </row>
    <row r="3340" spans="1:9" ht="15" hidden="1" customHeight="1" x14ac:dyDescent="0.25">
      <c r="A3340">
        <v>18197</v>
      </c>
      <c r="B3340" t="s">
        <v>10</v>
      </c>
      <c r="C3340" t="s">
        <v>3244</v>
      </c>
      <c r="D3340" t="str">
        <f t="shared" si="219"/>
        <v/>
      </c>
      <c r="E3340" t="s">
        <v>3245</v>
      </c>
      <c r="F3340" t="str">
        <f t="shared" si="220"/>
        <v>2301300</v>
      </c>
    </row>
    <row r="3341" spans="1:9" ht="15" hidden="1" customHeight="1" x14ac:dyDescent="0.25">
      <c r="A3341">
        <v>18193</v>
      </c>
      <c r="B3341" t="s">
        <v>10</v>
      </c>
      <c r="C3341" t="s">
        <v>3236</v>
      </c>
      <c r="D3341" t="str">
        <f t="shared" si="219"/>
        <v/>
      </c>
      <c r="E3341" t="s">
        <v>3237</v>
      </c>
      <c r="F3341" t="str">
        <f t="shared" si="220"/>
        <v>2301300</v>
      </c>
    </row>
    <row r="3342" spans="1:9" ht="15" hidden="1" customHeight="1" x14ac:dyDescent="0.25">
      <c r="A3342">
        <v>18198</v>
      </c>
      <c r="B3342" t="s">
        <v>10</v>
      </c>
      <c r="C3342" t="s">
        <v>3246</v>
      </c>
      <c r="D3342" t="str">
        <f t="shared" si="219"/>
        <v/>
      </c>
      <c r="E3342" t="s">
        <v>3247</v>
      </c>
      <c r="F3342" t="str">
        <f t="shared" si="220"/>
        <v>2301300</v>
      </c>
    </row>
    <row r="3343" spans="1:9" ht="15" hidden="1" customHeight="1" x14ac:dyDescent="0.25">
      <c r="A3343">
        <v>18189</v>
      </c>
      <c r="B3343" t="s">
        <v>10</v>
      </c>
      <c r="C3343" t="s">
        <v>3234</v>
      </c>
      <c r="D3343" t="str">
        <f t="shared" si="219"/>
        <v/>
      </c>
      <c r="E3343" t="s">
        <v>3235</v>
      </c>
      <c r="F3343" t="str">
        <f t="shared" si="220"/>
        <v>2301300</v>
      </c>
    </row>
    <row r="3344" spans="1:9" ht="15" customHeight="1" x14ac:dyDescent="0.25">
      <c r="A3344">
        <v>18156</v>
      </c>
      <c r="B3344" t="s">
        <v>7</v>
      </c>
      <c r="C3344" t="s">
        <v>3182</v>
      </c>
      <c r="D3344" t="str">
        <f t="shared" si="219"/>
        <v/>
      </c>
      <c r="E3344" t="s">
        <v>3183</v>
      </c>
      <c r="F3344" t="str">
        <f t="shared" si="220"/>
        <v>2301777</v>
      </c>
      <c r="H3344">
        <v>3</v>
      </c>
      <c r="I3344">
        <v>1</v>
      </c>
    </row>
    <row r="3345" spans="1:9" ht="15" hidden="1" customHeight="1" x14ac:dyDescent="0.25">
      <c r="A3345">
        <v>18166</v>
      </c>
      <c r="B3345" t="s">
        <v>10</v>
      </c>
      <c r="C3345" t="s">
        <v>3198</v>
      </c>
      <c r="D3345" t="str">
        <f t="shared" si="219"/>
        <v/>
      </c>
      <c r="E3345" t="s">
        <v>3199</v>
      </c>
      <c r="F3345" t="str">
        <f t="shared" si="220"/>
        <v>2301777</v>
      </c>
    </row>
    <row r="3346" spans="1:9" ht="15" hidden="1" customHeight="1" x14ac:dyDescent="0.25">
      <c r="A3346">
        <v>18163</v>
      </c>
      <c r="B3346" t="s">
        <v>10</v>
      </c>
      <c r="C3346" t="s">
        <v>3192</v>
      </c>
      <c r="D3346" t="str">
        <f t="shared" ref="D3346:D3409" si="221">IF(RIGHT(LEFT(C3346,9),2)="##","",RIGHT(LEFT(C3346,10),2))</f>
        <v/>
      </c>
      <c r="E3346" t="s">
        <v>3193</v>
      </c>
      <c r="F3346" t="str">
        <f t="shared" si="220"/>
        <v>2301777</v>
      </c>
    </row>
    <row r="3347" spans="1:9" ht="15" hidden="1" customHeight="1" x14ac:dyDescent="0.25">
      <c r="A3347">
        <v>18162</v>
      </c>
      <c r="B3347" t="s">
        <v>10</v>
      </c>
      <c r="C3347" t="s">
        <v>3190</v>
      </c>
      <c r="D3347" t="str">
        <f t="shared" si="221"/>
        <v/>
      </c>
      <c r="E3347" t="s">
        <v>3191</v>
      </c>
      <c r="F3347" t="str">
        <f t="shared" si="220"/>
        <v>2301777</v>
      </c>
    </row>
    <row r="3348" spans="1:9" ht="15" hidden="1" customHeight="1" x14ac:dyDescent="0.25">
      <c r="A3348">
        <v>18161</v>
      </c>
      <c r="B3348" t="s">
        <v>10</v>
      </c>
      <c r="C3348" t="s">
        <v>3188</v>
      </c>
      <c r="D3348" t="str">
        <f t="shared" si="221"/>
        <v/>
      </c>
      <c r="E3348" t="s">
        <v>3189</v>
      </c>
      <c r="F3348" t="str">
        <f t="shared" si="220"/>
        <v>2301777</v>
      </c>
    </row>
    <row r="3349" spans="1:9" ht="15" hidden="1" customHeight="1" x14ac:dyDescent="0.25">
      <c r="A3349">
        <v>18164</v>
      </c>
      <c r="B3349" t="s">
        <v>10</v>
      </c>
      <c r="C3349" t="s">
        <v>3194</v>
      </c>
      <c r="D3349" t="str">
        <f t="shared" si="221"/>
        <v/>
      </c>
      <c r="E3349" t="s">
        <v>3195</v>
      </c>
      <c r="F3349" t="str">
        <f t="shared" si="220"/>
        <v>2301777</v>
      </c>
    </row>
    <row r="3350" spans="1:9" ht="15" hidden="1" customHeight="1" x14ac:dyDescent="0.25">
      <c r="A3350">
        <v>18160</v>
      </c>
      <c r="B3350" t="s">
        <v>10</v>
      </c>
      <c r="C3350" t="s">
        <v>3186</v>
      </c>
      <c r="D3350" t="str">
        <f t="shared" si="221"/>
        <v/>
      </c>
      <c r="E3350" t="s">
        <v>3187</v>
      </c>
      <c r="F3350" t="str">
        <f t="shared" si="220"/>
        <v>2301777</v>
      </c>
    </row>
    <row r="3351" spans="1:9" ht="15" hidden="1" customHeight="1" x14ac:dyDescent="0.25">
      <c r="A3351">
        <v>18165</v>
      </c>
      <c r="B3351" t="s">
        <v>10</v>
      </c>
      <c r="C3351" t="s">
        <v>3196</v>
      </c>
      <c r="D3351" t="str">
        <f t="shared" si="221"/>
        <v/>
      </c>
      <c r="E3351" t="s">
        <v>3197</v>
      </c>
      <c r="F3351" t="str">
        <f t="shared" si="220"/>
        <v>2301777</v>
      </c>
    </row>
    <row r="3352" spans="1:9" ht="15" hidden="1" customHeight="1" x14ac:dyDescent="0.25">
      <c r="A3352">
        <v>18157</v>
      </c>
      <c r="B3352" t="s">
        <v>10</v>
      </c>
      <c r="C3352" t="s">
        <v>3184</v>
      </c>
      <c r="D3352" t="str">
        <f t="shared" si="221"/>
        <v/>
      </c>
      <c r="E3352" t="s">
        <v>3185</v>
      </c>
      <c r="F3352" t="str">
        <f t="shared" ref="F3352:F3415" si="222">LEFT(C3352,7)</f>
        <v>2301777</v>
      </c>
    </row>
    <row r="3353" spans="1:9" ht="15" customHeight="1" x14ac:dyDescent="0.25">
      <c r="A3353">
        <v>14724</v>
      </c>
      <c r="B3353" t="s">
        <v>7</v>
      </c>
      <c r="C3353" t="s">
        <v>103</v>
      </c>
      <c r="D3353" t="str">
        <f t="shared" si="221"/>
        <v/>
      </c>
      <c r="E3353" t="s">
        <v>104</v>
      </c>
      <c r="F3353" t="str">
        <f t="shared" si="222"/>
        <v>2301900</v>
      </c>
      <c r="H3353">
        <v>3</v>
      </c>
      <c r="I3353">
        <v>1</v>
      </c>
    </row>
    <row r="3354" spans="1:9" ht="15" hidden="1" customHeight="1" x14ac:dyDescent="0.25">
      <c r="A3354">
        <v>14734</v>
      </c>
      <c r="B3354" t="s">
        <v>10</v>
      </c>
      <c r="C3354" t="s">
        <v>119</v>
      </c>
      <c r="D3354" t="str">
        <f t="shared" si="221"/>
        <v/>
      </c>
      <c r="E3354" t="s">
        <v>120</v>
      </c>
      <c r="F3354" t="str">
        <f t="shared" si="222"/>
        <v>2301900</v>
      </c>
    </row>
    <row r="3355" spans="1:9" ht="15" hidden="1" customHeight="1" x14ac:dyDescent="0.25">
      <c r="A3355">
        <v>14737</v>
      </c>
      <c r="B3355" t="s">
        <v>10</v>
      </c>
      <c r="C3355" t="s">
        <v>125</v>
      </c>
      <c r="D3355" t="str">
        <f t="shared" si="221"/>
        <v/>
      </c>
      <c r="E3355" t="s">
        <v>126</v>
      </c>
      <c r="F3355" t="str">
        <f t="shared" si="222"/>
        <v>2301900</v>
      </c>
    </row>
    <row r="3356" spans="1:9" ht="15" hidden="1" customHeight="1" x14ac:dyDescent="0.25">
      <c r="A3356">
        <v>14735</v>
      </c>
      <c r="B3356" t="s">
        <v>10</v>
      </c>
      <c r="C3356" t="s">
        <v>121</v>
      </c>
      <c r="D3356" t="str">
        <f t="shared" si="221"/>
        <v/>
      </c>
      <c r="E3356" t="s">
        <v>122</v>
      </c>
      <c r="F3356" t="str">
        <f t="shared" si="222"/>
        <v>2301900</v>
      </c>
    </row>
    <row r="3357" spans="1:9" ht="15" hidden="1" customHeight="1" x14ac:dyDescent="0.25">
      <c r="A3357">
        <v>14736</v>
      </c>
      <c r="B3357" t="s">
        <v>10</v>
      </c>
      <c r="C3357" t="s">
        <v>123</v>
      </c>
      <c r="D3357" t="str">
        <f t="shared" si="221"/>
        <v/>
      </c>
      <c r="E3357" t="s">
        <v>124</v>
      </c>
      <c r="F3357" t="str">
        <f t="shared" si="222"/>
        <v>2301900</v>
      </c>
    </row>
    <row r="3358" spans="1:9" ht="15" hidden="1" customHeight="1" x14ac:dyDescent="0.25">
      <c r="A3358">
        <v>14731</v>
      </c>
      <c r="B3358" t="s">
        <v>10</v>
      </c>
      <c r="C3358" t="s">
        <v>113</v>
      </c>
      <c r="D3358" t="str">
        <f t="shared" si="221"/>
        <v/>
      </c>
      <c r="E3358" t="s">
        <v>114</v>
      </c>
      <c r="F3358" t="str">
        <f t="shared" si="222"/>
        <v>2301900</v>
      </c>
    </row>
    <row r="3359" spans="1:9" ht="15" hidden="1" customHeight="1" x14ac:dyDescent="0.25">
      <c r="A3359">
        <v>14730</v>
      </c>
      <c r="B3359" t="s">
        <v>10</v>
      </c>
      <c r="C3359" t="s">
        <v>111</v>
      </c>
      <c r="D3359" t="str">
        <f t="shared" si="221"/>
        <v/>
      </c>
      <c r="E3359" t="s">
        <v>112</v>
      </c>
      <c r="F3359" t="str">
        <f t="shared" si="222"/>
        <v>2301900</v>
      </c>
    </row>
    <row r="3360" spans="1:9" ht="15" hidden="1" customHeight="1" x14ac:dyDescent="0.25">
      <c r="A3360">
        <v>14729</v>
      </c>
      <c r="B3360" t="s">
        <v>10</v>
      </c>
      <c r="C3360" t="s">
        <v>109</v>
      </c>
      <c r="D3360" t="str">
        <f t="shared" si="221"/>
        <v/>
      </c>
      <c r="E3360" t="s">
        <v>110</v>
      </c>
      <c r="F3360" t="str">
        <f t="shared" si="222"/>
        <v>2301900</v>
      </c>
    </row>
    <row r="3361" spans="1:9" ht="15" hidden="1" customHeight="1" x14ac:dyDescent="0.25">
      <c r="A3361">
        <v>14732</v>
      </c>
      <c r="B3361" t="s">
        <v>10</v>
      </c>
      <c r="C3361" t="s">
        <v>115</v>
      </c>
      <c r="D3361" t="str">
        <f t="shared" si="221"/>
        <v/>
      </c>
      <c r="E3361" t="s">
        <v>116</v>
      </c>
      <c r="F3361" t="str">
        <f t="shared" si="222"/>
        <v>2301900</v>
      </c>
    </row>
    <row r="3362" spans="1:9" ht="15" hidden="1" customHeight="1" x14ac:dyDescent="0.25">
      <c r="A3362">
        <v>14728</v>
      </c>
      <c r="B3362" t="s">
        <v>10</v>
      </c>
      <c r="C3362" t="s">
        <v>107</v>
      </c>
      <c r="D3362" t="str">
        <f t="shared" si="221"/>
        <v/>
      </c>
      <c r="E3362" t="s">
        <v>108</v>
      </c>
      <c r="F3362" t="str">
        <f t="shared" si="222"/>
        <v>2301900</v>
      </c>
    </row>
    <row r="3363" spans="1:9" ht="15" hidden="1" customHeight="1" x14ac:dyDescent="0.25">
      <c r="A3363">
        <v>14733</v>
      </c>
      <c r="B3363" t="s">
        <v>10</v>
      </c>
      <c r="C3363" t="s">
        <v>117</v>
      </c>
      <c r="D3363" t="str">
        <f t="shared" si="221"/>
        <v/>
      </c>
      <c r="E3363" t="s">
        <v>118</v>
      </c>
      <c r="F3363" t="str">
        <f t="shared" si="222"/>
        <v>2301900</v>
      </c>
    </row>
    <row r="3364" spans="1:9" ht="15" hidden="1" customHeight="1" x14ac:dyDescent="0.25">
      <c r="A3364">
        <v>14725</v>
      </c>
      <c r="B3364" t="s">
        <v>10</v>
      </c>
      <c r="C3364" t="s">
        <v>105</v>
      </c>
      <c r="D3364" t="str">
        <f t="shared" si="221"/>
        <v/>
      </c>
      <c r="E3364" t="s">
        <v>106</v>
      </c>
      <c r="F3364" t="str">
        <f t="shared" si="222"/>
        <v>2301900</v>
      </c>
    </row>
    <row r="3365" spans="1:9" ht="15" customHeight="1" x14ac:dyDescent="0.25">
      <c r="A3365">
        <v>18167</v>
      </c>
      <c r="B3365" t="s">
        <v>7</v>
      </c>
      <c r="C3365" t="s">
        <v>3200</v>
      </c>
      <c r="D3365" t="str">
        <f t="shared" si="221"/>
        <v/>
      </c>
      <c r="E3365" t="s">
        <v>3201</v>
      </c>
      <c r="F3365" t="str">
        <f t="shared" si="222"/>
        <v>2301333</v>
      </c>
      <c r="H3365">
        <v>3</v>
      </c>
      <c r="I3365">
        <v>1</v>
      </c>
    </row>
    <row r="3366" spans="1:9" ht="15" hidden="1" customHeight="1" x14ac:dyDescent="0.25">
      <c r="A3366">
        <v>18173</v>
      </c>
      <c r="B3366" t="s">
        <v>10</v>
      </c>
      <c r="C3366" t="s">
        <v>3208</v>
      </c>
      <c r="D3366" t="str">
        <f t="shared" si="221"/>
        <v/>
      </c>
      <c r="E3366" t="s">
        <v>3209</v>
      </c>
      <c r="F3366" t="str">
        <f t="shared" si="222"/>
        <v>2301333</v>
      </c>
    </row>
    <row r="3367" spans="1:9" ht="15" hidden="1" customHeight="1" x14ac:dyDescent="0.25">
      <c r="A3367">
        <v>18172</v>
      </c>
      <c r="B3367" t="s">
        <v>10</v>
      </c>
      <c r="C3367" t="s">
        <v>3206</v>
      </c>
      <c r="D3367" t="str">
        <f t="shared" si="221"/>
        <v/>
      </c>
      <c r="E3367" t="s">
        <v>3207</v>
      </c>
      <c r="F3367" t="str">
        <f t="shared" si="222"/>
        <v>2301333</v>
      </c>
    </row>
    <row r="3368" spans="1:9" ht="15" hidden="1" customHeight="1" x14ac:dyDescent="0.25">
      <c r="A3368">
        <v>18171</v>
      </c>
      <c r="B3368" t="s">
        <v>10</v>
      </c>
      <c r="C3368" t="s">
        <v>3204</v>
      </c>
      <c r="D3368" t="str">
        <f t="shared" si="221"/>
        <v/>
      </c>
      <c r="E3368" t="s">
        <v>3205</v>
      </c>
      <c r="F3368" t="str">
        <f t="shared" si="222"/>
        <v>2301333</v>
      </c>
    </row>
    <row r="3369" spans="1:9" ht="15" hidden="1" customHeight="1" x14ac:dyDescent="0.25">
      <c r="A3369">
        <v>18174</v>
      </c>
      <c r="B3369" t="s">
        <v>10</v>
      </c>
      <c r="C3369" t="s">
        <v>3210</v>
      </c>
      <c r="D3369" t="str">
        <f t="shared" si="221"/>
        <v/>
      </c>
      <c r="E3369" t="s">
        <v>3211</v>
      </c>
      <c r="F3369" t="str">
        <f t="shared" si="222"/>
        <v>2301333</v>
      </c>
    </row>
    <row r="3370" spans="1:9" ht="15" hidden="1" customHeight="1" x14ac:dyDescent="0.25">
      <c r="A3370">
        <v>18168</v>
      </c>
      <c r="B3370" t="s">
        <v>10</v>
      </c>
      <c r="C3370" t="s">
        <v>3202</v>
      </c>
      <c r="D3370" t="str">
        <f t="shared" si="221"/>
        <v/>
      </c>
      <c r="E3370" t="s">
        <v>3203</v>
      </c>
      <c r="F3370" t="str">
        <f t="shared" si="222"/>
        <v>2301333</v>
      </c>
    </row>
    <row r="3371" spans="1:9" ht="15" hidden="1" customHeight="1" x14ac:dyDescent="0.25">
      <c r="A3371">
        <v>18175</v>
      </c>
      <c r="B3371" t="s">
        <v>10</v>
      </c>
      <c r="C3371" t="s">
        <v>3212</v>
      </c>
      <c r="D3371" t="str">
        <f t="shared" si="221"/>
        <v/>
      </c>
      <c r="E3371" t="s">
        <v>3213</v>
      </c>
      <c r="F3371" t="str">
        <f t="shared" si="222"/>
        <v>2301333</v>
      </c>
    </row>
    <row r="3372" spans="1:9" ht="15" customHeight="1" x14ac:dyDescent="0.25">
      <c r="A3372">
        <v>17076</v>
      </c>
      <c r="B3372" t="s">
        <v>7</v>
      </c>
      <c r="C3372" t="s">
        <v>1928</v>
      </c>
      <c r="D3372" t="str">
        <f t="shared" si="221"/>
        <v/>
      </c>
      <c r="E3372" t="s">
        <v>1929</v>
      </c>
      <c r="F3372" t="str">
        <f t="shared" si="222"/>
        <v>2301666</v>
      </c>
      <c r="H3372">
        <v>3</v>
      </c>
      <c r="I3372">
        <v>1</v>
      </c>
    </row>
    <row r="3373" spans="1:9" ht="15" hidden="1" customHeight="1" x14ac:dyDescent="0.25">
      <c r="A3373">
        <v>17085</v>
      </c>
      <c r="B3373" t="s">
        <v>10</v>
      </c>
      <c r="C3373" t="s">
        <v>1942</v>
      </c>
      <c r="D3373" t="str">
        <f t="shared" si="221"/>
        <v/>
      </c>
      <c r="E3373" t="s">
        <v>1943</v>
      </c>
      <c r="F3373" t="str">
        <f t="shared" si="222"/>
        <v>2301666</v>
      </c>
    </row>
    <row r="3374" spans="1:9" ht="15" hidden="1" customHeight="1" x14ac:dyDescent="0.25">
      <c r="A3374">
        <v>17086</v>
      </c>
      <c r="B3374" t="s">
        <v>10</v>
      </c>
      <c r="C3374" t="s">
        <v>1944</v>
      </c>
      <c r="D3374" t="str">
        <f t="shared" si="221"/>
        <v/>
      </c>
      <c r="E3374" t="s">
        <v>1945</v>
      </c>
      <c r="F3374" t="str">
        <f t="shared" si="222"/>
        <v>2301666</v>
      </c>
    </row>
    <row r="3375" spans="1:9" ht="15" hidden="1" customHeight="1" x14ac:dyDescent="0.25">
      <c r="A3375">
        <v>17082</v>
      </c>
      <c r="B3375" t="s">
        <v>10</v>
      </c>
      <c r="C3375" t="s">
        <v>1936</v>
      </c>
      <c r="D3375" t="str">
        <f t="shared" si="221"/>
        <v/>
      </c>
      <c r="E3375" t="s">
        <v>1937</v>
      </c>
      <c r="F3375" t="str">
        <f t="shared" si="222"/>
        <v>2301666</v>
      </c>
    </row>
    <row r="3376" spans="1:9" ht="15" hidden="1" customHeight="1" x14ac:dyDescent="0.25">
      <c r="A3376">
        <v>17081</v>
      </c>
      <c r="B3376" t="s">
        <v>10</v>
      </c>
      <c r="C3376" t="s">
        <v>1934</v>
      </c>
      <c r="D3376" t="str">
        <f t="shared" si="221"/>
        <v/>
      </c>
      <c r="E3376" t="s">
        <v>1935</v>
      </c>
      <c r="F3376" t="str">
        <f t="shared" si="222"/>
        <v>2301666</v>
      </c>
    </row>
    <row r="3377" spans="1:9" ht="15" hidden="1" customHeight="1" x14ac:dyDescent="0.25">
      <c r="A3377">
        <v>17080</v>
      </c>
      <c r="B3377" t="s">
        <v>10</v>
      </c>
      <c r="C3377" t="s">
        <v>1932</v>
      </c>
      <c r="D3377" t="str">
        <f t="shared" si="221"/>
        <v/>
      </c>
      <c r="E3377" t="s">
        <v>1933</v>
      </c>
      <c r="F3377" t="str">
        <f t="shared" si="222"/>
        <v>2301666</v>
      </c>
    </row>
    <row r="3378" spans="1:9" ht="15" hidden="1" customHeight="1" x14ac:dyDescent="0.25">
      <c r="A3378">
        <v>17083</v>
      </c>
      <c r="B3378" t="s">
        <v>10</v>
      </c>
      <c r="C3378" t="s">
        <v>1938</v>
      </c>
      <c r="D3378" t="str">
        <f t="shared" si="221"/>
        <v/>
      </c>
      <c r="E3378" t="s">
        <v>1939</v>
      </c>
      <c r="F3378" t="str">
        <f t="shared" si="222"/>
        <v>2301666</v>
      </c>
    </row>
    <row r="3379" spans="1:9" ht="15" hidden="1" customHeight="1" x14ac:dyDescent="0.25">
      <c r="A3379">
        <v>17084</v>
      </c>
      <c r="B3379" t="s">
        <v>10</v>
      </c>
      <c r="C3379" t="s">
        <v>1940</v>
      </c>
      <c r="D3379" t="str">
        <f t="shared" si="221"/>
        <v/>
      </c>
      <c r="E3379" t="s">
        <v>1941</v>
      </c>
      <c r="F3379" t="str">
        <f t="shared" si="222"/>
        <v>2301666</v>
      </c>
    </row>
    <row r="3380" spans="1:9" ht="15" hidden="1" customHeight="1" x14ac:dyDescent="0.25">
      <c r="A3380">
        <v>17077</v>
      </c>
      <c r="B3380" t="s">
        <v>10</v>
      </c>
      <c r="C3380" t="s">
        <v>1930</v>
      </c>
      <c r="D3380" t="str">
        <f t="shared" si="221"/>
        <v/>
      </c>
      <c r="E3380" t="s">
        <v>1931</v>
      </c>
      <c r="F3380" t="str">
        <f t="shared" si="222"/>
        <v>2301666</v>
      </c>
    </row>
    <row r="3381" spans="1:9" ht="15" customHeight="1" x14ac:dyDescent="0.25">
      <c r="A3381">
        <v>14738</v>
      </c>
      <c r="B3381" t="s">
        <v>7</v>
      </c>
      <c r="C3381" t="s">
        <v>127</v>
      </c>
      <c r="D3381" t="str">
        <f t="shared" si="221"/>
        <v/>
      </c>
      <c r="E3381" t="s">
        <v>128</v>
      </c>
      <c r="F3381" t="str">
        <f t="shared" si="222"/>
        <v>2301046</v>
      </c>
      <c r="H3381">
        <v>5</v>
      </c>
      <c r="I3381">
        <v>1</v>
      </c>
    </row>
    <row r="3382" spans="1:9" ht="15" hidden="1" customHeight="1" x14ac:dyDescent="0.25">
      <c r="A3382">
        <v>14746</v>
      </c>
      <c r="B3382" t="s">
        <v>10</v>
      </c>
      <c r="C3382" t="s">
        <v>143</v>
      </c>
      <c r="D3382" t="str">
        <f t="shared" si="221"/>
        <v/>
      </c>
      <c r="E3382" t="s">
        <v>144</v>
      </c>
      <c r="F3382" t="str">
        <f t="shared" si="222"/>
        <v>2301046</v>
      </c>
    </row>
    <row r="3383" spans="1:9" ht="15" hidden="1" customHeight="1" x14ac:dyDescent="0.25">
      <c r="A3383">
        <v>14747</v>
      </c>
      <c r="B3383" t="s">
        <v>10</v>
      </c>
      <c r="C3383" t="s">
        <v>145</v>
      </c>
      <c r="D3383" t="str">
        <f t="shared" si="221"/>
        <v/>
      </c>
      <c r="E3383" t="s">
        <v>146</v>
      </c>
      <c r="F3383" t="str">
        <f t="shared" si="222"/>
        <v>2301046</v>
      </c>
    </row>
    <row r="3384" spans="1:9" ht="15" hidden="1" customHeight="1" x14ac:dyDescent="0.25">
      <c r="A3384">
        <v>14743</v>
      </c>
      <c r="B3384" t="s">
        <v>10</v>
      </c>
      <c r="C3384" t="s">
        <v>137</v>
      </c>
      <c r="D3384" t="str">
        <f t="shared" si="221"/>
        <v/>
      </c>
      <c r="E3384" t="s">
        <v>138</v>
      </c>
      <c r="F3384" t="str">
        <f t="shared" si="222"/>
        <v>2301046</v>
      </c>
    </row>
    <row r="3385" spans="1:9" ht="15" hidden="1" customHeight="1" x14ac:dyDescent="0.25">
      <c r="A3385">
        <v>14742</v>
      </c>
      <c r="B3385" t="s">
        <v>10</v>
      </c>
      <c r="C3385" t="s">
        <v>135</v>
      </c>
      <c r="D3385" t="str">
        <f t="shared" si="221"/>
        <v/>
      </c>
      <c r="E3385" t="s">
        <v>136</v>
      </c>
      <c r="F3385" t="str">
        <f t="shared" si="222"/>
        <v>2301046</v>
      </c>
    </row>
    <row r="3386" spans="1:9" ht="15" hidden="1" customHeight="1" x14ac:dyDescent="0.25">
      <c r="A3386">
        <v>14741</v>
      </c>
      <c r="B3386" t="s">
        <v>10</v>
      </c>
      <c r="C3386" t="s">
        <v>133</v>
      </c>
      <c r="D3386" t="str">
        <f t="shared" si="221"/>
        <v/>
      </c>
      <c r="E3386" t="s">
        <v>134</v>
      </c>
      <c r="F3386" t="str">
        <f t="shared" si="222"/>
        <v>2301046</v>
      </c>
    </row>
    <row r="3387" spans="1:9" ht="15" hidden="1" customHeight="1" x14ac:dyDescent="0.25">
      <c r="A3387">
        <v>14744</v>
      </c>
      <c r="B3387" t="s">
        <v>10</v>
      </c>
      <c r="C3387" t="s">
        <v>139</v>
      </c>
      <c r="D3387" t="str">
        <f t="shared" si="221"/>
        <v/>
      </c>
      <c r="E3387" t="s">
        <v>140</v>
      </c>
      <c r="F3387" t="str">
        <f t="shared" si="222"/>
        <v>2301046</v>
      </c>
    </row>
    <row r="3388" spans="1:9" ht="15" hidden="1" customHeight="1" x14ac:dyDescent="0.25">
      <c r="A3388">
        <v>14740</v>
      </c>
      <c r="B3388" t="s">
        <v>10</v>
      </c>
      <c r="C3388" t="s">
        <v>131</v>
      </c>
      <c r="D3388" t="str">
        <f t="shared" si="221"/>
        <v/>
      </c>
      <c r="E3388" t="s">
        <v>132</v>
      </c>
      <c r="F3388" t="str">
        <f t="shared" si="222"/>
        <v>2301046</v>
      </c>
    </row>
    <row r="3389" spans="1:9" ht="15" hidden="1" customHeight="1" x14ac:dyDescent="0.25">
      <c r="A3389">
        <v>14745</v>
      </c>
      <c r="B3389" t="s">
        <v>10</v>
      </c>
      <c r="C3389" t="s">
        <v>141</v>
      </c>
      <c r="D3389" t="str">
        <f t="shared" si="221"/>
        <v/>
      </c>
      <c r="E3389" t="s">
        <v>142</v>
      </c>
      <c r="F3389" t="str">
        <f t="shared" si="222"/>
        <v>2301046</v>
      </c>
    </row>
    <row r="3390" spans="1:9" ht="15" hidden="1" customHeight="1" x14ac:dyDescent="0.25">
      <c r="A3390">
        <v>14739</v>
      </c>
      <c r="B3390" t="s">
        <v>10</v>
      </c>
      <c r="C3390" t="s">
        <v>129</v>
      </c>
      <c r="D3390" t="str">
        <f t="shared" si="221"/>
        <v/>
      </c>
      <c r="E3390" t="s">
        <v>130</v>
      </c>
      <c r="F3390" t="str">
        <f t="shared" si="222"/>
        <v>2301046</v>
      </c>
    </row>
    <row r="3391" spans="1:9" ht="15" customHeight="1" x14ac:dyDescent="0.25">
      <c r="A3391">
        <v>17775</v>
      </c>
      <c r="B3391" t="s">
        <v>7</v>
      </c>
      <c r="C3391" t="s">
        <v>2581</v>
      </c>
      <c r="D3391" t="str">
        <f t="shared" si="221"/>
        <v/>
      </c>
      <c r="E3391" t="s">
        <v>2582</v>
      </c>
      <c r="F3391" t="str">
        <f t="shared" si="222"/>
        <v>2601004</v>
      </c>
      <c r="H3391">
        <v>3</v>
      </c>
      <c r="I3391">
        <v>1</v>
      </c>
    </row>
    <row r="3392" spans="1:9" ht="15" hidden="1" customHeight="1" x14ac:dyDescent="0.25">
      <c r="A3392">
        <v>17786</v>
      </c>
      <c r="B3392" t="s">
        <v>10</v>
      </c>
      <c r="C3392" t="s">
        <v>2597</v>
      </c>
      <c r="D3392" t="str">
        <f t="shared" si="221"/>
        <v/>
      </c>
      <c r="E3392" t="s">
        <v>2598</v>
      </c>
      <c r="F3392" t="str">
        <f t="shared" si="222"/>
        <v>2601004</v>
      </c>
    </row>
    <row r="3393" spans="1:9" ht="15" hidden="1" customHeight="1" x14ac:dyDescent="0.25">
      <c r="A3393">
        <v>17783</v>
      </c>
      <c r="B3393" t="s">
        <v>10</v>
      </c>
      <c r="C3393" t="s">
        <v>2591</v>
      </c>
      <c r="D3393" t="str">
        <f t="shared" si="221"/>
        <v/>
      </c>
      <c r="E3393" t="s">
        <v>2592</v>
      </c>
      <c r="F3393" t="str">
        <f t="shared" si="222"/>
        <v>2601004</v>
      </c>
    </row>
    <row r="3394" spans="1:9" ht="15" hidden="1" customHeight="1" x14ac:dyDescent="0.25">
      <c r="A3394">
        <v>17782</v>
      </c>
      <c r="B3394" t="s">
        <v>10</v>
      </c>
      <c r="C3394" t="s">
        <v>2589</v>
      </c>
      <c r="D3394" t="str">
        <f t="shared" si="221"/>
        <v/>
      </c>
      <c r="E3394" t="s">
        <v>2590</v>
      </c>
      <c r="F3394" t="str">
        <f t="shared" si="222"/>
        <v>2601004</v>
      </c>
    </row>
    <row r="3395" spans="1:9" ht="15" hidden="1" customHeight="1" x14ac:dyDescent="0.25">
      <c r="A3395">
        <v>17781</v>
      </c>
      <c r="B3395" t="s">
        <v>10</v>
      </c>
      <c r="C3395" t="s">
        <v>2587</v>
      </c>
      <c r="D3395" t="str">
        <f t="shared" si="221"/>
        <v/>
      </c>
      <c r="E3395" t="s">
        <v>2588</v>
      </c>
      <c r="F3395" t="str">
        <f t="shared" si="222"/>
        <v>2601004</v>
      </c>
    </row>
    <row r="3396" spans="1:9" ht="15" hidden="1" customHeight="1" x14ac:dyDescent="0.25">
      <c r="A3396">
        <v>17784</v>
      </c>
      <c r="B3396" t="s">
        <v>10</v>
      </c>
      <c r="C3396" t="s">
        <v>2593</v>
      </c>
      <c r="D3396" t="str">
        <f t="shared" si="221"/>
        <v/>
      </c>
      <c r="E3396" t="s">
        <v>2594</v>
      </c>
      <c r="F3396" t="str">
        <f t="shared" si="222"/>
        <v>2601004</v>
      </c>
    </row>
    <row r="3397" spans="1:9" ht="15" hidden="1" customHeight="1" x14ac:dyDescent="0.25">
      <c r="A3397">
        <v>17780</v>
      </c>
      <c r="B3397" t="s">
        <v>10</v>
      </c>
      <c r="C3397" t="s">
        <v>2585</v>
      </c>
      <c r="D3397" t="str">
        <f t="shared" si="221"/>
        <v/>
      </c>
      <c r="E3397" t="s">
        <v>2586</v>
      </c>
      <c r="F3397" t="str">
        <f t="shared" si="222"/>
        <v>2601004</v>
      </c>
    </row>
    <row r="3398" spans="1:9" ht="15" hidden="1" customHeight="1" x14ac:dyDescent="0.25">
      <c r="A3398">
        <v>17785</v>
      </c>
      <c r="B3398" t="s">
        <v>10</v>
      </c>
      <c r="C3398" t="s">
        <v>2595</v>
      </c>
      <c r="D3398" t="str">
        <f t="shared" si="221"/>
        <v/>
      </c>
      <c r="E3398" t="s">
        <v>2596</v>
      </c>
      <c r="F3398" t="str">
        <f t="shared" si="222"/>
        <v>2601004</v>
      </c>
    </row>
    <row r="3399" spans="1:9" ht="15" hidden="1" customHeight="1" x14ac:dyDescent="0.25">
      <c r="A3399">
        <v>17776</v>
      </c>
      <c r="B3399" t="s">
        <v>10</v>
      </c>
      <c r="C3399" t="s">
        <v>2583</v>
      </c>
      <c r="D3399" t="str">
        <f t="shared" si="221"/>
        <v/>
      </c>
      <c r="E3399" t="s">
        <v>2584</v>
      </c>
      <c r="F3399" t="str">
        <f t="shared" si="222"/>
        <v>2601004</v>
      </c>
    </row>
    <row r="3400" spans="1:9" ht="15" customHeight="1" x14ac:dyDescent="0.25">
      <c r="A3400">
        <v>17787</v>
      </c>
      <c r="B3400" t="s">
        <v>7</v>
      </c>
      <c r="C3400" t="s">
        <v>2599</v>
      </c>
      <c r="D3400" t="str">
        <f t="shared" si="221"/>
        <v/>
      </c>
      <c r="E3400" t="s">
        <v>2600</v>
      </c>
      <c r="F3400" t="str">
        <f t="shared" si="222"/>
        <v>2601750</v>
      </c>
      <c r="H3400">
        <v>3</v>
      </c>
      <c r="I3400">
        <v>1</v>
      </c>
    </row>
    <row r="3401" spans="1:9" ht="15" hidden="1" customHeight="1" x14ac:dyDescent="0.25">
      <c r="A3401">
        <v>17798</v>
      </c>
      <c r="B3401" t="s">
        <v>10</v>
      </c>
      <c r="C3401" t="s">
        <v>2615</v>
      </c>
      <c r="D3401" t="str">
        <f t="shared" si="221"/>
        <v/>
      </c>
      <c r="E3401" t="s">
        <v>2616</v>
      </c>
      <c r="F3401" t="str">
        <f t="shared" si="222"/>
        <v>2601750</v>
      </c>
    </row>
    <row r="3402" spans="1:9" ht="15" hidden="1" customHeight="1" x14ac:dyDescent="0.25">
      <c r="A3402">
        <v>17795</v>
      </c>
      <c r="B3402" t="s">
        <v>10</v>
      </c>
      <c r="C3402" t="s">
        <v>2609</v>
      </c>
      <c r="D3402" t="str">
        <f t="shared" si="221"/>
        <v/>
      </c>
      <c r="E3402" t="s">
        <v>2610</v>
      </c>
      <c r="F3402" t="str">
        <f t="shared" si="222"/>
        <v>2601750</v>
      </c>
    </row>
    <row r="3403" spans="1:9" ht="15" hidden="1" customHeight="1" x14ac:dyDescent="0.25">
      <c r="A3403">
        <v>17794</v>
      </c>
      <c r="B3403" t="s">
        <v>10</v>
      </c>
      <c r="C3403" t="s">
        <v>2607</v>
      </c>
      <c r="D3403" t="str">
        <f t="shared" si="221"/>
        <v/>
      </c>
      <c r="E3403" t="s">
        <v>2608</v>
      </c>
      <c r="F3403" t="str">
        <f t="shared" si="222"/>
        <v>2601750</v>
      </c>
    </row>
    <row r="3404" spans="1:9" ht="15" hidden="1" customHeight="1" x14ac:dyDescent="0.25">
      <c r="A3404">
        <v>17793</v>
      </c>
      <c r="B3404" t="s">
        <v>10</v>
      </c>
      <c r="C3404" t="s">
        <v>2605</v>
      </c>
      <c r="D3404" t="str">
        <f t="shared" si="221"/>
        <v/>
      </c>
      <c r="E3404" t="s">
        <v>2606</v>
      </c>
      <c r="F3404" t="str">
        <f t="shared" si="222"/>
        <v>2601750</v>
      </c>
    </row>
    <row r="3405" spans="1:9" ht="15" hidden="1" customHeight="1" x14ac:dyDescent="0.25">
      <c r="A3405">
        <v>17796</v>
      </c>
      <c r="B3405" t="s">
        <v>10</v>
      </c>
      <c r="C3405" t="s">
        <v>2611</v>
      </c>
      <c r="D3405" t="str">
        <f t="shared" si="221"/>
        <v/>
      </c>
      <c r="E3405" t="s">
        <v>2612</v>
      </c>
      <c r="F3405" t="str">
        <f t="shared" si="222"/>
        <v>2601750</v>
      </c>
    </row>
    <row r="3406" spans="1:9" ht="15" hidden="1" customHeight="1" x14ac:dyDescent="0.25">
      <c r="A3406">
        <v>17792</v>
      </c>
      <c r="B3406" t="s">
        <v>10</v>
      </c>
      <c r="C3406" t="s">
        <v>2603</v>
      </c>
      <c r="D3406" t="str">
        <f t="shared" si="221"/>
        <v/>
      </c>
      <c r="E3406" t="s">
        <v>2604</v>
      </c>
      <c r="F3406" t="str">
        <f t="shared" si="222"/>
        <v>2601750</v>
      </c>
    </row>
    <row r="3407" spans="1:9" ht="15" hidden="1" customHeight="1" x14ac:dyDescent="0.25">
      <c r="A3407">
        <v>17797</v>
      </c>
      <c r="B3407" t="s">
        <v>10</v>
      </c>
      <c r="C3407" t="s">
        <v>2613</v>
      </c>
      <c r="D3407" t="str">
        <f t="shared" si="221"/>
        <v/>
      </c>
      <c r="E3407" t="s">
        <v>2614</v>
      </c>
      <c r="F3407" t="str">
        <f t="shared" si="222"/>
        <v>2601750</v>
      </c>
    </row>
    <row r="3408" spans="1:9" ht="15" hidden="1" customHeight="1" x14ac:dyDescent="0.25">
      <c r="A3408">
        <v>17788</v>
      </c>
      <c r="B3408" t="s">
        <v>10</v>
      </c>
      <c r="C3408" t="s">
        <v>2601</v>
      </c>
      <c r="D3408" t="str">
        <f t="shared" si="221"/>
        <v/>
      </c>
      <c r="E3408" t="s">
        <v>2602</v>
      </c>
      <c r="F3408" t="str">
        <f t="shared" si="222"/>
        <v>2601750</v>
      </c>
    </row>
    <row r="3409" spans="1:9" ht="15" customHeight="1" x14ac:dyDescent="0.25">
      <c r="A3409">
        <v>14689</v>
      </c>
      <c r="B3409" t="s">
        <v>7</v>
      </c>
      <c r="C3409" t="s">
        <v>55</v>
      </c>
      <c r="D3409" t="str">
        <f t="shared" si="221"/>
        <v/>
      </c>
      <c r="E3409" t="s">
        <v>56</v>
      </c>
      <c r="F3409" t="str">
        <f t="shared" si="222"/>
        <v>2601003</v>
      </c>
      <c r="H3409">
        <v>7</v>
      </c>
      <c r="I3409">
        <v>1</v>
      </c>
    </row>
    <row r="3410" spans="1:9" ht="15" hidden="1" customHeight="1" x14ac:dyDescent="0.25">
      <c r="A3410">
        <v>14705</v>
      </c>
      <c r="B3410" t="s">
        <v>10</v>
      </c>
      <c r="C3410" t="s">
        <v>71</v>
      </c>
      <c r="D3410" t="str">
        <f t="shared" ref="D3410:D3443" si="223">IF(RIGHT(LEFT(C3410,9),2)="##","",RIGHT(LEFT(C3410,10),2))</f>
        <v/>
      </c>
      <c r="E3410" t="s">
        <v>72</v>
      </c>
      <c r="F3410" t="str">
        <f t="shared" si="222"/>
        <v>2601003</v>
      </c>
    </row>
    <row r="3411" spans="1:9" ht="15" hidden="1" customHeight="1" x14ac:dyDescent="0.25">
      <c r="A3411">
        <v>14708</v>
      </c>
      <c r="B3411" t="s">
        <v>10</v>
      </c>
      <c r="C3411" t="s">
        <v>77</v>
      </c>
      <c r="D3411" t="str">
        <f t="shared" si="223"/>
        <v/>
      </c>
      <c r="E3411" t="s">
        <v>78</v>
      </c>
      <c r="F3411" t="str">
        <f t="shared" si="222"/>
        <v>2601003</v>
      </c>
    </row>
    <row r="3412" spans="1:9" ht="15" hidden="1" customHeight="1" x14ac:dyDescent="0.25">
      <c r="A3412">
        <v>14706</v>
      </c>
      <c r="B3412" t="s">
        <v>10</v>
      </c>
      <c r="C3412" t="s">
        <v>73</v>
      </c>
      <c r="D3412" t="str">
        <f t="shared" si="223"/>
        <v/>
      </c>
      <c r="E3412" t="s">
        <v>74</v>
      </c>
      <c r="F3412" t="str">
        <f t="shared" si="222"/>
        <v>2601003</v>
      </c>
    </row>
    <row r="3413" spans="1:9" hidden="1" x14ac:dyDescent="0.25">
      <c r="A3413">
        <v>14707</v>
      </c>
      <c r="B3413" t="s">
        <v>10</v>
      </c>
      <c r="C3413" t="s">
        <v>75</v>
      </c>
      <c r="D3413" t="str">
        <f t="shared" si="223"/>
        <v/>
      </c>
      <c r="E3413" t="s">
        <v>76</v>
      </c>
      <c r="F3413" t="str">
        <f t="shared" si="222"/>
        <v>2601003</v>
      </c>
    </row>
    <row r="3414" spans="1:9" hidden="1" x14ac:dyDescent="0.25">
      <c r="A3414">
        <v>14702</v>
      </c>
      <c r="B3414" t="s">
        <v>10</v>
      </c>
      <c r="C3414" t="s">
        <v>65</v>
      </c>
      <c r="D3414" t="str">
        <f t="shared" si="223"/>
        <v/>
      </c>
      <c r="E3414" t="s">
        <v>66</v>
      </c>
      <c r="F3414" t="str">
        <f t="shared" si="222"/>
        <v>2601003</v>
      </c>
    </row>
    <row r="3415" spans="1:9" ht="15" hidden="1" customHeight="1" x14ac:dyDescent="0.25">
      <c r="A3415">
        <v>14701</v>
      </c>
      <c r="B3415" t="s">
        <v>10</v>
      </c>
      <c r="C3415" t="s">
        <v>63</v>
      </c>
      <c r="D3415" t="str">
        <f t="shared" si="223"/>
        <v/>
      </c>
      <c r="E3415" t="s">
        <v>64</v>
      </c>
      <c r="F3415" t="str">
        <f t="shared" si="222"/>
        <v>2601003</v>
      </c>
    </row>
    <row r="3416" spans="1:9" ht="15" hidden="1" customHeight="1" x14ac:dyDescent="0.25">
      <c r="A3416">
        <v>14700</v>
      </c>
      <c r="B3416" t="s">
        <v>10</v>
      </c>
      <c r="C3416" t="s">
        <v>61</v>
      </c>
      <c r="D3416" t="str">
        <f t="shared" si="223"/>
        <v/>
      </c>
      <c r="E3416" t="s">
        <v>62</v>
      </c>
      <c r="F3416" t="str">
        <f t="shared" ref="F3416:F3443" si="224">LEFT(C3416,7)</f>
        <v>2601003</v>
      </c>
    </row>
    <row r="3417" spans="1:9" ht="15" hidden="1" customHeight="1" x14ac:dyDescent="0.25">
      <c r="A3417">
        <v>14703</v>
      </c>
      <c r="B3417" t="s">
        <v>10</v>
      </c>
      <c r="C3417" t="s">
        <v>67</v>
      </c>
      <c r="D3417" t="str">
        <f t="shared" si="223"/>
        <v/>
      </c>
      <c r="E3417" t="s">
        <v>68</v>
      </c>
      <c r="F3417" t="str">
        <f t="shared" si="224"/>
        <v>2601003</v>
      </c>
    </row>
    <row r="3418" spans="1:9" ht="15" hidden="1" customHeight="1" x14ac:dyDescent="0.25">
      <c r="A3418">
        <v>14699</v>
      </c>
      <c r="B3418" t="s">
        <v>10</v>
      </c>
      <c r="C3418" t="s">
        <v>59</v>
      </c>
      <c r="D3418" t="str">
        <f t="shared" si="223"/>
        <v/>
      </c>
      <c r="E3418" t="s">
        <v>60</v>
      </c>
      <c r="F3418" t="str">
        <f t="shared" si="224"/>
        <v>2601003</v>
      </c>
    </row>
    <row r="3419" spans="1:9" ht="15" hidden="1" customHeight="1" x14ac:dyDescent="0.25">
      <c r="A3419">
        <v>14704</v>
      </c>
      <c r="B3419" t="s">
        <v>10</v>
      </c>
      <c r="C3419" t="s">
        <v>69</v>
      </c>
      <c r="D3419" t="str">
        <f t="shared" si="223"/>
        <v/>
      </c>
      <c r="E3419" t="s">
        <v>70</v>
      </c>
      <c r="F3419" t="str">
        <f t="shared" si="224"/>
        <v>2601003</v>
      </c>
    </row>
    <row r="3420" spans="1:9" ht="15" hidden="1" customHeight="1" x14ac:dyDescent="0.25">
      <c r="A3420">
        <v>14690</v>
      </c>
      <c r="B3420" t="s">
        <v>10</v>
      </c>
      <c r="C3420" t="s">
        <v>57</v>
      </c>
      <c r="D3420" t="str">
        <f t="shared" si="223"/>
        <v/>
      </c>
      <c r="E3420" t="s">
        <v>58</v>
      </c>
      <c r="F3420" t="str">
        <f t="shared" si="224"/>
        <v>2601003</v>
      </c>
    </row>
    <row r="3421" spans="1:9" ht="15" hidden="1" customHeight="1" x14ac:dyDescent="0.25">
      <c r="A3421">
        <v>17468</v>
      </c>
      <c r="B3421" t="s">
        <v>4</v>
      </c>
      <c r="C3421" t="s">
        <v>2149</v>
      </c>
      <c r="D3421" t="str">
        <f t="shared" si="223"/>
        <v/>
      </c>
      <c r="E3421" t="s">
        <v>2150</v>
      </c>
      <c r="F3421" t="str">
        <f t="shared" si="224"/>
        <v>8505689</v>
      </c>
      <c r="H3421">
        <v>1</v>
      </c>
    </row>
    <row r="3422" spans="1:9" ht="15" hidden="1" customHeight="1" x14ac:dyDescent="0.25">
      <c r="A3422">
        <v>17465</v>
      </c>
      <c r="B3422" t="s">
        <v>4</v>
      </c>
      <c r="C3422" t="s">
        <v>2147</v>
      </c>
      <c r="D3422" t="str">
        <f t="shared" si="223"/>
        <v/>
      </c>
      <c r="E3422" t="s">
        <v>2148</v>
      </c>
      <c r="F3422" t="str">
        <f t="shared" si="224"/>
        <v>8505688</v>
      </c>
      <c r="H3422">
        <v>1</v>
      </c>
    </row>
    <row r="3423" spans="1:9" ht="15" customHeight="1" x14ac:dyDescent="0.25">
      <c r="A3423">
        <v>17390</v>
      </c>
      <c r="B3423" t="s">
        <v>7</v>
      </c>
      <c r="C3423" t="s">
        <v>2119</v>
      </c>
      <c r="D3423" t="str">
        <f t="shared" si="223"/>
        <v/>
      </c>
      <c r="E3423" t="s">
        <v>2120</v>
      </c>
      <c r="F3423" t="str">
        <f t="shared" si="224"/>
        <v>8203265</v>
      </c>
      <c r="H3423">
        <v>8</v>
      </c>
    </row>
    <row r="3424" spans="1:9" ht="15" hidden="1" customHeight="1" x14ac:dyDescent="0.25">
      <c r="A3424">
        <v>17391</v>
      </c>
      <c r="B3424" t="s">
        <v>10</v>
      </c>
      <c r="C3424" t="s">
        <v>2121</v>
      </c>
      <c r="D3424" t="str">
        <f t="shared" si="223"/>
        <v/>
      </c>
      <c r="E3424" t="s">
        <v>2122</v>
      </c>
      <c r="F3424" t="str">
        <f t="shared" si="224"/>
        <v>8203265</v>
      </c>
    </row>
    <row r="3425" spans="1:9" ht="15" hidden="1" customHeight="1" x14ac:dyDescent="0.25">
      <c r="A3425">
        <v>17392</v>
      </c>
      <c r="B3425" t="s">
        <v>10</v>
      </c>
      <c r="C3425" t="s">
        <v>2123</v>
      </c>
      <c r="D3425" t="str">
        <f t="shared" si="223"/>
        <v/>
      </c>
      <c r="E3425" t="s">
        <v>2124</v>
      </c>
      <c r="F3425" t="str">
        <f t="shared" si="224"/>
        <v>8203265</v>
      </c>
    </row>
    <row r="3426" spans="1:9" ht="15" hidden="1" customHeight="1" x14ac:dyDescent="0.25">
      <c r="A3426">
        <v>17393</v>
      </c>
      <c r="B3426" t="s">
        <v>10</v>
      </c>
      <c r="C3426" t="s">
        <v>2125</v>
      </c>
      <c r="D3426" t="str">
        <f t="shared" si="223"/>
        <v/>
      </c>
      <c r="E3426" t="s">
        <v>2126</v>
      </c>
      <c r="F3426" t="str">
        <f t="shared" si="224"/>
        <v>8203265</v>
      </c>
    </row>
    <row r="3427" spans="1:9" ht="15" hidden="1" customHeight="1" x14ac:dyDescent="0.25">
      <c r="A3427">
        <v>17394</v>
      </c>
      <c r="B3427" t="s">
        <v>10</v>
      </c>
      <c r="C3427" t="s">
        <v>2127</v>
      </c>
      <c r="D3427" t="str">
        <f t="shared" si="223"/>
        <v/>
      </c>
      <c r="E3427" t="s">
        <v>2128</v>
      </c>
      <c r="F3427" t="str">
        <f t="shared" si="224"/>
        <v>8203265</v>
      </c>
    </row>
    <row r="3428" spans="1:9" ht="15" hidden="1" customHeight="1" x14ac:dyDescent="0.25">
      <c r="A3428">
        <v>17395</v>
      </c>
      <c r="B3428" t="s">
        <v>10</v>
      </c>
      <c r="C3428" t="s">
        <v>2129</v>
      </c>
      <c r="D3428" t="str">
        <f t="shared" si="223"/>
        <v/>
      </c>
      <c r="E3428" t="s">
        <v>2130</v>
      </c>
      <c r="F3428" t="str">
        <f t="shared" si="224"/>
        <v>8203265</v>
      </c>
    </row>
    <row r="3429" spans="1:9" ht="15" hidden="1" customHeight="1" x14ac:dyDescent="0.25">
      <c r="A3429">
        <v>17396</v>
      </c>
      <c r="B3429" t="s">
        <v>10</v>
      </c>
      <c r="C3429" t="s">
        <v>2131</v>
      </c>
      <c r="D3429" t="str">
        <f t="shared" si="223"/>
        <v/>
      </c>
      <c r="E3429" t="s">
        <v>2132</v>
      </c>
      <c r="F3429" t="str">
        <f t="shared" si="224"/>
        <v>8203265</v>
      </c>
    </row>
    <row r="3430" spans="1:9" ht="15" hidden="1" customHeight="1" x14ac:dyDescent="0.25">
      <c r="A3430">
        <v>17397</v>
      </c>
      <c r="B3430" t="s">
        <v>10</v>
      </c>
      <c r="C3430" t="s">
        <v>2133</v>
      </c>
      <c r="D3430" t="str">
        <f t="shared" si="223"/>
        <v/>
      </c>
      <c r="E3430" t="s">
        <v>2134</v>
      </c>
      <c r="F3430" t="str">
        <f t="shared" si="224"/>
        <v>8203265</v>
      </c>
    </row>
    <row r="3431" spans="1:9" ht="15" customHeight="1" x14ac:dyDescent="0.25">
      <c r="A3431">
        <v>15371</v>
      </c>
      <c r="B3431" t="s">
        <v>7</v>
      </c>
      <c r="C3431" t="s">
        <v>773</v>
      </c>
      <c r="D3431" t="str">
        <f t="shared" si="223"/>
        <v/>
      </c>
      <c r="E3431" t="s">
        <v>774</v>
      </c>
      <c r="F3431" t="str">
        <f t="shared" si="224"/>
        <v>8203830</v>
      </c>
      <c r="H3431">
        <v>3</v>
      </c>
      <c r="I3431">
        <v>1</v>
      </c>
    </row>
    <row r="3432" spans="1:9" ht="15" hidden="1" customHeight="1" x14ac:dyDescent="0.25">
      <c r="A3432">
        <v>15372</v>
      </c>
      <c r="B3432" t="s">
        <v>10</v>
      </c>
      <c r="C3432" t="s">
        <v>775</v>
      </c>
      <c r="D3432" t="str">
        <f t="shared" si="223"/>
        <v/>
      </c>
      <c r="E3432" t="s">
        <v>776</v>
      </c>
      <c r="F3432" t="str">
        <f t="shared" si="224"/>
        <v>8203830</v>
      </c>
    </row>
    <row r="3433" spans="1:9" ht="15" hidden="1" customHeight="1" x14ac:dyDescent="0.25">
      <c r="A3433">
        <v>15373</v>
      </c>
      <c r="B3433" t="s">
        <v>10</v>
      </c>
      <c r="C3433" t="s">
        <v>777</v>
      </c>
      <c r="D3433" t="str">
        <f t="shared" si="223"/>
        <v/>
      </c>
      <c r="E3433" t="s">
        <v>778</v>
      </c>
      <c r="F3433" t="str">
        <f t="shared" si="224"/>
        <v>8203830</v>
      </c>
    </row>
    <row r="3434" spans="1:9" ht="15" hidden="1" customHeight="1" x14ac:dyDescent="0.25">
      <c r="A3434">
        <v>15374</v>
      </c>
      <c r="B3434" t="s">
        <v>10</v>
      </c>
      <c r="C3434" t="s">
        <v>779</v>
      </c>
      <c r="D3434" t="str">
        <f t="shared" si="223"/>
        <v/>
      </c>
      <c r="E3434" t="s">
        <v>780</v>
      </c>
      <c r="F3434" t="str">
        <f t="shared" si="224"/>
        <v>8203830</v>
      </c>
    </row>
    <row r="3435" spans="1:9" ht="15" hidden="1" customHeight="1" x14ac:dyDescent="0.25">
      <c r="A3435">
        <v>15375</v>
      </c>
      <c r="B3435" t="s">
        <v>10</v>
      </c>
      <c r="C3435" t="s">
        <v>781</v>
      </c>
      <c r="D3435" t="str">
        <f t="shared" si="223"/>
        <v/>
      </c>
      <c r="E3435" t="s">
        <v>782</v>
      </c>
      <c r="F3435" t="str">
        <f t="shared" si="224"/>
        <v>8203830</v>
      </c>
    </row>
    <row r="3436" spans="1:9" hidden="1" x14ac:dyDescent="0.25">
      <c r="A3436">
        <v>15376</v>
      </c>
      <c r="B3436" t="s">
        <v>10</v>
      </c>
      <c r="C3436" t="s">
        <v>783</v>
      </c>
      <c r="D3436" t="str">
        <f t="shared" si="223"/>
        <v/>
      </c>
      <c r="E3436" t="s">
        <v>784</v>
      </c>
      <c r="F3436" t="str">
        <f t="shared" si="224"/>
        <v>8203830</v>
      </c>
    </row>
    <row r="3437" spans="1:9" hidden="1" x14ac:dyDescent="0.25">
      <c r="A3437">
        <v>15377</v>
      </c>
      <c r="B3437" t="s">
        <v>10</v>
      </c>
      <c r="C3437" t="s">
        <v>785</v>
      </c>
      <c r="D3437" t="str">
        <f t="shared" si="223"/>
        <v/>
      </c>
      <c r="E3437" t="s">
        <v>786</v>
      </c>
      <c r="F3437" t="str">
        <f t="shared" si="224"/>
        <v>8203830</v>
      </c>
    </row>
    <row r="3438" spans="1:9" hidden="1" x14ac:dyDescent="0.25">
      <c r="A3438">
        <v>15378</v>
      </c>
      <c r="B3438" t="s">
        <v>10</v>
      </c>
      <c r="C3438" t="s">
        <v>787</v>
      </c>
      <c r="D3438" t="str">
        <f t="shared" si="223"/>
        <v/>
      </c>
      <c r="E3438" t="s">
        <v>788</v>
      </c>
      <c r="F3438" t="str">
        <f t="shared" si="224"/>
        <v>8203830</v>
      </c>
    </row>
    <row r="3439" spans="1:9" hidden="1" x14ac:dyDescent="0.25">
      <c r="A3439">
        <v>15379</v>
      </c>
      <c r="B3439" t="s">
        <v>10</v>
      </c>
      <c r="C3439" t="s">
        <v>789</v>
      </c>
      <c r="D3439" t="str">
        <f t="shared" si="223"/>
        <v/>
      </c>
      <c r="E3439" t="s">
        <v>790</v>
      </c>
      <c r="F3439" t="str">
        <f t="shared" si="224"/>
        <v>8203830</v>
      </c>
    </row>
    <row r="3440" spans="1:9" hidden="1" x14ac:dyDescent="0.25">
      <c r="A3440">
        <v>15380</v>
      </c>
      <c r="B3440" t="s">
        <v>10</v>
      </c>
      <c r="C3440" t="s">
        <v>791</v>
      </c>
      <c r="D3440" t="str">
        <f t="shared" si="223"/>
        <v/>
      </c>
      <c r="E3440" t="s">
        <v>792</v>
      </c>
      <c r="F3440" t="str">
        <f t="shared" si="224"/>
        <v>8203830</v>
      </c>
    </row>
    <row r="3441" spans="1:6" hidden="1" x14ac:dyDescent="0.25">
      <c r="A3441">
        <v>15381</v>
      </c>
      <c r="B3441" t="s">
        <v>10</v>
      </c>
      <c r="C3441" t="s">
        <v>793</v>
      </c>
      <c r="D3441" t="str">
        <f t="shared" si="223"/>
        <v/>
      </c>
      <c r="E3441" t="s">
        <v>794</v>
      </c>
      <c r="F3441" t="str">
        <f t="shared" si="224"/>
        <v>8203830</v>
      </c>
    </row>
    <row r="3442" spans="1:6" hidden="1" x14ac:dyDescent="0.25">
      <c r="A3442">
        <v>15382</v>
      </c>
      <c r="B3442" t="s">
        <v>10</v>
      </c>
      <c r="C3442" t="s">
        <v>795</v>
      </c>
      <c r="D3442" t="str">
        <f t="shared" si="223"/>
        <v/>
      </c>
      <c r="E3442" t="s">
        <v>796</v>
      </c>
      <c r="F3442" t="str">
        <f t="shared" si="224"/>
        <v>8203830</v>
      </c>
    </row>
    <row r="3443" spans="1:6" hidden="1" x14ac:dyDescent="0.25">
      <c r="A3443">
        <v>15383</v>
      </c>
      <c r="B3443" t="s">
        <v>10</v>
      </c>
      <c r="C3443" t="s">
        <v>797</v>
      </c>
      <c r="D3443" t="str">
        <f t="shared" si="223"/>
        <v/>
      </c>
      <c r="E3443" t="s">
        <v>798</v>
      </c>
      <c r="F3443" t="str">
        <f t="shared" si="224"/>
        <v>8203830</v>
      </c>
    </row>
  </sheetData>
  <autoFilter ref="A1:J3443">
    <filterColumn colId="1">
      <filters>
        <filter val="variable"/>
      </filters>
    </filterColumn>
    <filterColumn colId="3">
      <filters blank="1"/>
    </filterColumn>
    <sortState ref="A2:J3443">
      <sortCondition ref="E1:E3443"/>
    </sortState>
  </autoFilter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1061"/>
  <sheetViews>
    <sheetView tabSelected="1" workbookViewId="0">
      <pane ySplit="1" topLeftCell="A347" activePane="bottomLeft" state="frozen"/>
      <selection pane="bottomLeft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9.425781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x14ac:dyDescent="0.25">
      <c r="A2">
        <v>16522</v>
      </c>
      <c r="B2" t="s">
        <v>7</v>
      </c>
      <c r="C2" t="str">
        <f>CONCATENATE(F2,"##")</f>
        <v>1120165##</v>
      </c>
      <c r="E2" t="str">
        <f>IFERROR(VLOOKUP(1*LEFT(C2,7),DF!$A$1:$F$9447,2,FALSE),"")</f>
        <v>BOMB AMER RIP DIGITAL ACU 34/48 RER</v>
      </c>
      <c r="F2">
        <v>1120165</v>
      </c>
      <c r="G2" t="s">
        <v>12818</v>
      </c>
      <c r="H2">
        <v>2</v>
      </c>
      <c r="I2">
        <v>1</v>
      </c>
    </row>
    <row r="3" spans="1:10" x14ac:dyDescent="0.25">
      <c r="A3">
        <v>16522</v>
      </c>
      <c r="B3" t="s">
        <v>7</v>
      </c>
      <c r="C3" t="s">
        <v>12264</v>
      </c>
      <c r="E3" t="str">
        <f>IFERROR(VLOOKUP(1*LEFT(C3,7),DF!$A$1:$F$9447,2,FALSE),"")</f>
        <v>BOMB AMER RIP DIGITAL ACU 50/54 RER</v>
      </c>
      <c r="F3">
        <v>1120165</v>
      </c>
      <c r="G3" t="s">
        <v>12818</v>
      </c>
      <c r="H3">
        <v>2</v>
      </c>
      <c r="I3">
        <v>1</v>
      </c>
    </row>
    <row r="4" spans="1:10" x14ac:dyDescent="0.25">
      <c r="A4">
        <v>16522</v>
      </c>
      <c r="B4" t="s">
        <v>7</v>
      </c>
      <c r="C4" t="s">
        <v>12265</v>
      </c>
      <c r="E4" t="str">
        <f>IFERROR(VLOOKUP(1*LEFT(C4,7),DF!$A$1:$F$9447,2,FALSE),"")</f>
        <v>BOMB AMER RIP DIGITAL ACU 56/60 RER</v>
      </c>
      <c r="F4">
        <v>1120165</v>
      </c>
      <c r="G4" t="s">
        <v>12818</v>
      </c>
      <c r="H4">
        <v>2</v>
      </c>
      <c r="I4">
        <v>1</v>
      </c>
    </row>
    <row r="5" spans="1:10" x14ac:dyDescent="0.25">
      <c r="A5">
        <v>16522</v>
      </c>
      <c r="B5" t="s">
        <v>7</v>
      </c>
      <c r="C5" t="s">
        <v>12266</v>
      </c>
      <c r="E5" t="str">
        <f>IFERROR(VLOOKUP(1*LEFT(C5,7),DF!$A$1:$F$9447,2,FALSE),"")</f>
        <v>BOMB AMER RIP DIGITAL ACU 62/66 RER</v>
      </c>
      <c r="F5">
        <v>1120165</v>
      </c>
      <c r="G5" t="s">
        <v>12818</v>
      </c>
      <c r="H5">
        <v>2</v>
      </c>
      <c r="I5">
        <v>1</v>
      </c>
    </row>
    <row r="6" spans="1:10" x14ac:dyDescent="0.25">
      <c r="A6">
        <v>16522</v>
      </c>
      <c r="B6" t="s">
        <v>7</v>
      </c>
      <c r="C6" t="str">
        <f>CONCATENATE(F6,"##")</f>
        <v>1120285##</v>
      </c>
      <c r="E6" t="str">
        <f>IFERROR(VLOOKUP(1*LEFT(C6,7),DF!$A$1:$F$9447,2,FALSE),"")</f>
        <v>BOMB CLAS GAB AZUL 36/48 RER</v>
      </c>
      <c r="F6">
        <v>1120285</v>
      </c>
      <c r="G6" t="s">
        <v>12819</v>
      </c>
      <c r="H6">
        <v>4</v>
      </c>
      <c r="I6">
        <v>1</v>
      </c>
    </row>
    <row r="7" spans="1:10" x14ac:dyDescent="0.25">
      <c r="A7">
        <v>16522</v>
      </c>
      <c r="B7" t="s">
        <v>7</v>
      </c>
      <c r="C7" t="s">
        <v>3290</v>
      </c>
      <c r="E7" t="str">
        <f>IFERROR(VLOOKUP(1*LEFT(C7,7),DF!$A$1:$F$9447,2,FALSE),"")</f>
        <v>BOMB CLAS GAB AZUL 50/54 RER</v>
      </c>
      <c r="F7">
        <v>1120285</v>
      </c>
      <c r="G7" t="s">
        <v>12819</v>
      </c>
      <c r="H7">
        <v>4</v>
      </c>
      <c r="I7">
        <v>1</v>
      </c>
    </row>
    <row r="8" spans="1:10" x14ac:dyDescent="0.25">
      <c r="A8">
        <v>16522</v>
      </c>
      <c r="B8" t="s">
        <v>7</v>
      </c>
      <c r="C8" t="s">
        <v>3298</v>
      </c>
      <c r="E8" t="str">
        <f>IFERROR(VLOOKUP(1*LEFT(C8,7),DF!$A$1:$F$9447,2,FALSE),"")</f>
        <v>BOMB CLAS GAB AZUL 56/60 RER</v>
      </c>
      <c r="F8">
        <v>1120285</v>
      </c>
      <c r="G8" t="s">
        <v>12819</v>
      </c>
      <c r="H8">
        <v>4</v>
      </c>
      <c r="I8">
        <v>1</v>
      </c>
    </row>
    <row r="9" spans="1:10" x14ac:dyDescent="0.25">
      <c r="A9">
        <v>16522</v>
      </c>
      <c r="B9" t="s">
        <v>7</v>
      </c>
      <c r="C9" t="s">
        <v>3306</v>
      </c>
      <c r="E9" t="str">
        <f>IFERROR(VLOOKUP(1*LEFT(C9,7),DF!$A$1:$F$9447,2,FALSE),"")</f>
        <v>BOMB CLAS GAB AZUL 62/68 RER</v>
      </c>
      <c r="F9">
        <v>1120285</v>
      </c>
      <c r="G9" t="s">
        <v>12819</v>
      </c>
      <c r="H9">
        <v>4</v>
      </c>
      <c r="I9">
        <v>1</v>
      </c>
    </row>
    <row r="10" spans="1:10" x14ac:dyDescent="0.25">
      <c r="A10">
        <v>16522</v>
      </c>
      <c r="B10" t="s">
        <v>7</v>
      </c>
      <c r="C10" t="str">
        <f>CONCATENATE(F10,"##")</f>
        <v>1120140##</v>
      </c>
      <c r="E10" t="str">
        <f>IFERROR(VLOOKUP(1*LEFT(C10,7),DF!$A$1:$F$9447,2,FALSE),"")</f>
        <v>BOMB CLAS GAB GRIS 34/48 RER</v>
      </c>
      <c r="F10">
        <v>1120140</v>
      </c>
      <c r="G10" t="s">
        <v>12820</v>
      </c>
      <c r="H10">
        <v>4</v>
      </c>
      <c r="I10">
        <v>1</v>
      </c>
    </row>
    <row r="11" spans="1:10" x14ac:dyDescent="0.25">
      <c r="A11">
        <v>16522</v>
      </c>
      <c r="B11" t="s">
        <v>7</v>
      </c>
      <c r="C11" t="s">
        <v>3414</v>
      </c>
      <c r="E11" t="str">
        <f>IFERROR(VLOOKUP(1*LEFT(C11,7),DF!$A$1:$F$9447,2,FALSE),"")</f>
        <v>BOMB CLAS GAB GRIS 50/54 RER</v>
      </c>
      <c r="F11">
        <v>1120140</v>
      </c>
      <c r="G11" t="s">
        <v>12820</v>
      </c>
      <c r="H11">
        <v>4</v>
      </c>
      <c r="I11">
        <v>1</v>
      </c>
    </row>
    <row r="12" spans="1:10" x14ac:dyDescent="0.25">
      <c r="A12">
        <v>16522</v>
      </c>
      <c r="B12" t="s">
        <v>7</v>
      </c>
      <c r="C12" t="s">
        <v>3422</v>
      </c>
      <c r="E12" t="str">
        <f>IFERROR(VLOOKUP(1*LEFT(C12,7),DF!$A$1:$F$9447,2,FALSE),"")</f>
        <v>BOMB CLAS GAB GRIS 56/60 RER</v>
      </c>
      <c r="F12">
        <v>1120140</v>
      </c>
      <c r="G12" t="s">
        <v>12820</v>
      </c>
      <c r="H12">
        <v>4</v>
      </c>
      <c r="I12">
        <v>1</v>
      </c>
    </row>
    <row r="13" spans="1:10" x14ac:dyDescent="0.25">
      <c r="A13">
        <v>16522</v>
      </c>
      <c r="B13" t="s">
        <v>7</v>
      </c>
      <c r="C13" t="s">
        <v>3430</v>
      </c>
      <c r="E13" t="str">
        <f>IFERROR(VLOOKUP(1*LEFT(C13,7),DF!$A$1:$F$9447,2,FALSE),"")</f>
        <v>BOMB CLAS GAB GRIS 62/66 RER</v>
      </c>
      <c r="F13">
        <v>1120140</v>
      </c>
      <c r="G13" t="s">
        <v>12820</v>
      </c>
      <c r="H13">
        <v>4</v>
      </c>
      <c r="I13">
        <v>1</v>
      </c>
    </row>
    <row r="14" spans="1:10" x14ac:dyDescent="0.25">
      <c r="A14">
        <v>16522</v>
      </c>
      <c r="B14" t="s">
        <v>7</v>
      </c>
      <c r="C14" t="str">
        <f>CONCATENATE(F14,"##")</f>
        <v>1120170##</v>
      </c>
      <c r="E14" t="str">
        <f>IFERROR(VLOOKUP(1*LEFT(C14,7),DF!$A$1:$F$9447,2,FALSE),"")</f>
        <v>BOMB CLAS GAB NEGRA 34/48 RER</v>
      </c>
      <c r="F14">
        <v>1120170</v>
      </c>
      <c r="G14" t="s">
        <v>12821</v>
      </c>
      <c r="H14">
        <v>4</v>
      </c>
      <c r="I14">
        <v>1</v>
      </c>
    </row>
    <row r="15" spans="1:10" x14ac:dyDescent="0.25">
      <c r="A15">
        <v>16522</v>
      </c>
      <c r="B15" t="s">
        <v>7</v>
      </c>
      <c r="C15" t="s">
        <v>3314</v>
      </c>
      <c r="E15" t="str">
        <f>IFERROR(VLOOKUP(1*LEFT(C15,7),DF!$A$1:$F$9447,2,FALSE),"")</f>
        <v>BOMB CLAS GAB NEGRA 50/54 RER</v>
      </c>
      <c r="F15">
        <v>1120170</v>
      </c>
      <c r="G15" t="s">
        <v>12821</v>
      </c>
      <c r="H15">
        <v>4</v>
      </c>
      <c r="I15">
        <v>1</v>
      </c>
    </row>
    <row r="16" spans="1:10" x14ac:dyDescent="0.25">
      <c r="A16">
        <v>16522</v>
      </c>
      <c r="B16" t="s">
        <v>7</v>
      </c>
      <c r="C16" t="s">
        <v>5221</v>
      </c>
      <c r="E16" t="str">
        <f>IFERROR(VLOOKUP(1*LEFT(C16,7),DF!$A$1:$F$9447,2,FALSE),"")</f>
        <v>BOMB CLAS GAB NEGRA 56/60 RER</v>
      </c>
      <c r="F16">
        <v>1120170</v>
      </c>
      <c r="G16" t="s">
        <v>12821</v>
      </c>
      <c r="H16">
        <v>4</v>
      </c>
      <c r="I16">
        <v>1</v>
      </c>
    </row>
    <row r="17" spans="1:9" x14ac:dyDescent="0.25">
      <c r="A17">
        <v>16522</v>
      </c>
      <c r="B17" t="s">
        <v>7</v>
      </c>
      <c r="C17" t="s">
        <v>5443</v>
      </c>
      <c r="E17" t="str">
        <f>IFERROR(VLOOKUP(1*LEFT(C17,7),DF!$A$1:$F$9447,2,FALSE),"")</f>
        <v>BOMB CLAS GAB NEGRA 62/66 RER</v>
      </c>
      <c r="F17">
        <v>1120170</v>
      </c>
      <c r="G17" t="s">
        <v>12821</v>
      </c>
      <c r="H17">
        <v>4</v>
      </c>
      <c r="I17">
        <v>1</v>
      </c>
    </row>
    <row r="18" spans="1:9" x14ac:dyDescent="0.25">
      <c r="A18">
        <v>16522</v>
      </c>
      <c r="B18" t="s">
        <v>7</v>
      </c>
      <c r="C18" t="str">
        <f>CONCATENATE(F18,"##")</f>
        <v>1120286##</v>
      </c>
      <c r="E18" t="str">
        <f>IFERROR(VLOOKUP(1*LEFT(C18,7),DF!$A$1:$F$9447,2,FALSE),"")</f>
        <v>BOMB CLAS GAB PETREO 34/48 RER</v>
      </c>
      <c r="F18">
        <v>1120286</v>
      </c>
      <c r="G18" t="s">
        <v>12822</v>
      </c>
      <c r="H18">
        <v>4</v>
      </c>
      <c r="I18">
        <v>1</v>
      </c>
    </row>
    <row r="19" spans="1:9" x14ac:dyDescent="0.25">
      <c r="A19">
        <v>16522</v>
      </c>
      <c r="B19" t="s">
        <v>7</v>
      </c>
      <c r="C19" t="s">
        <v>10937</v>
      </c>
      <c r="E19" t="str">
        <f>IFERROR(VLOOKUP(1*LEFT(C19,7),DF!$A$1:$F$9447,2,FALSE),"")</f>
        <v>BOMB CLAS GAB PETREO 34/48 RER</v>
      </c>
      <c r="F19">
        <v>1120286</v>
      </c>
      <c r="G19" t="s">
        <v>12822</v>
      </c>
      <c r="H19">
        <v>4</v>
      </c>
      <c r="I19">
        <v>1</v>
      </c>
    </row>
    <row r="20" spans="1:9" x14ac:dyDescent="0.25">
      <c r="A20">
        <v>16522</v>
      </c>
      <c r="B20" t="s">
        <v>7</v>
      </c>
      <c r="C20" t="s">
        <v>10935</v>
      </c>
      <c r="E20" t="str">
        <f>IFERROR(VLOOKUP(1*LEFT(C20,7),DF!$A$1:$F$9447,2,FALSE),"")</f>
        <v>BOMB CLAS GAB PETREO 50/54 RER</v>
      </c>
      <c r="F20">
        <v>1120286</v>
      </c>
      <c r="G20" t="s">
        <v>12822</v>
      </c>
      <c r="H20">
        <v>4</v>
      </c>
      <c r="I20">
        <v>1</v>
      </c>
    </row>
    <row r="21" spans="1:9" x14ac:dyDescent="0.25">
      <c r="A21">
        <v>16522</v>
      </c>
      <c r="B21" t="s">
        <v>7</v>
      </c>
      <c r="C21" t="s">
        <v>10936</v>
      </c>
      <c r="E21" t="str">
        <f>IFERROR(VLOOKUP(1*LEFT(C21,7),DF!$A$1:$F$9447,2,FALSE),"")</f>
        <v>BOMB CLAS GAB PETREO 56/60 RER</v>
      </c>
      <c r="F21">
        <v>1120286</v>
      </c>
      <c r="G21" t="s">
        <v>12822</v>
      </c>
      <c r="H21">
        <v>4</v>
      </c>
      <c r="I21">
        <v>1</v>
      </c>
    </row>
    <row r="22" spans="1:9" x14ac:dyDescent="0.25">
      <c r="A22">
        <v>16522</v>
      </c>
      <c r="B22" t="s">
        <v>7</v>
      </c>
      <c r="C22" t="str">
        <f>CONCATENATE(F22,"##")</f>
        <v>1120710##</v>
      </c>
      <c r="E22" t="str">
        <f>IFERROR(VLOOKUP(1*LEFT(C22,7),DF!$A$1:$F$9447,2,FALSE),"")</f>
        <v>BOMB CLAS RIP AZUL DAMA/SPANDE 34/48 RER</v>
      </c>
      <c r="F22">
        <v>1120710</v>
      </c>
      <c r="G22" t="s">
        <v>12823</v>
      </c>
      <c r="H22">
        <v>3</v>
      </c>
      <c r="I22">
        <v>1</v>
      </c>
    </row>
    <row r="23" spans="1:9" x14ac:dyDescent="0.25">
      <c r="A23">
        <v>16522</v>
      </c>
      <c r="B23" t="s">
        <v>7</v>
      </c>
      <c r="C23" t="s">
        <v>12245</v>
      </c>
      <c r="E23" t="str">
        <f>IFERROR(VLOOKUP(1*LEFT(C23,7),DF!$A$1:$F$9447,2,FALSE),"")</f>
        <v>BOMB CLAS RIP AZUL DAMA/SPANDE 50/54 RER</v>
      </c>
      <c r="F23">
        <v>1120710</v>
      </c>
      <c r="G23" t="s">
        <v>12823</v>
      </c>
      <c r="H23">
        <v>3</v>
      </c>
      <c r="I23">
        <v>1</v>
      </c>
    </row>
    <row r="24" spans="1:9" x14ac:dyDescent="0.25">
      <c r="A24">
        <v>16522</v>
      </c>
      <c r="B24" t="s">
        <v>7</v>
      </c>
      <c r="C24" t="str">
        <f>CONCATENATE(F24,"##")</f>
        <v>1200001##</v>
      </c>
      <c r="E24" t="str">
        <f>IFERROR(VLOOKUP(1*LEFT(C24,7),DF!$A$1:$F$9447,2,FALSE),"")</f>
        <v>BOMB CLAS RIP DAMA AZUL 34/48 RER</v>
      </c>
      <c r="F24">
        <v>1200001</v>
      </c>
      <c r="G24" t="s">
        <v>12824</v>
      </c>
      <c r="H24">
        <v>2</v>
      </c>
      <c r="I24">
        <v>1</v>
      </c>
    </row>
    <row r="25" spans="1:9" x14ac:dyDescent="0.25">
      <c r="A25">
        <v>16522</v>
      </c>
      <c r="B25" t="s">
        <v>7</v>
      </c>
      <c r="C25" t="s">
        <v>5207</v>
      </c>
      <c r="E25" t="str">
        <f>IFERROR(VLOOKUP(1*LEFT(C25,7),DF!$A$1:$F$9447,2,FALSE),"")</f>
        <v>BOMB CLAS RIP DAMA AZUL 50/54 RER</v>
      </c>
      <c r="F25">
        <v>1200001</v>
      </c>
      <c r="G25" t="s">
        <v>12824</v>
      </c>
      <c r="H25">
        <v>2</v>
      </c>
      <c r="I25">
        <v>1</v>
      </c>
    </row>
    <row r="26" spans="1:9" x14ac:dyDescent="0.25">
      <c r="A26">
        <v>16522</v>
      </c>
      <c r="B26" t="s">
        <v>7</v>
      </c>
      <c r="C26" t="str">
        <f>CONCATENATE(F26,"##")</f>
        <v>1200900##</v>
      </c>
      <c r="E26" t="str">
        <f>IFERROR(VLOOKUP(1*LEFT(C26,7),DF!$A$1:$F$9447,2,FALSE),"")</f>
        <v>BOMB CLAS RIP DAMA NEGRA 36/48 RER</v>
      </c>
      <c r="F26">
        <v>1200900</v>
      </c>
      <c r="G26" t="s">
        <v>12825</v>
      </c>
      <c r="H26">
        <v>2</v>
      </c>
      <c r="I26">
        <v>1</v>
      </c>
    </row>
    <row r="27" spans="1:9" x14ac:dyDescent="0.25">
      <c r="A27">
        <v>16522</v>
      </c>
      <c r="B27" t="s">
        <v>7</v>
      </c>
      <c r="C27" t="s">
        <v>5199</v>
      </c>
      <c r="E27" t="str">
        <f>IFERROR(VLOOKUP(1*LEFT(C27,7),DF!$A$1:$F$9447,2,FALSE),"")</f>
        <v>BOMB CLAS RIP DAMA NEGRA 50/56 RER</v>
      </c>
      <c r="F27">
        <v>1200900</v>
      </c>
      <c r="G27" t="s">
        <v>12825</v>
      </c>
      <c r="H27">
        <v>2</v>
      </c>
      <c r="I27">
        <v>1</v>
      </c>
    </row>
    <row r="28" spans="1:9" x14ac:dyDescent="0.25">
      <c r="A28">
        <v>16522</v>
      </c>
      <c r="B28" t="s">
        <v>7</v>
      </c>
      <c r="C28" t="str">
        <f>CONCATENATE(F28,"##")</f>
        <v>1120323##</v>
      </c>
      <c r="E28" t="str">
        <f>IFERROR(VLOOKUP(1*LEFT(C28,7),DF!$A$1:$F$9447,2,FALSE),"")</f>
        <v>BOMB CLAS RIP MULTICAM 34/48 RER</v>
      </c>
      <c r="F28">
        <v>1120323</v>
      </c>
      <c r="G28" t="s">
        <v>12826</v>
      </c>
      <c r="H28">
        <v>4</v>
      </c>
      <c r="I28">
        <v>1</v>
      </c>
    </row>
    <row r="29" spans="1:9" x14ac:dyDescent="0.25">
      <c r="A29">
        <v>16522</v>
      </c>
      <c r="B29" t="s">
        <v>7</v>
      </c>
      <c r="C29" t="s">
        <v>12298</v>
      </c>
      <c r="E29" t="str">
        <f>IFERROR(VLOOKUP(1*LEFT(C29,7),DF!$A$1:$F$9447,2,FALSE),"")</f>
        <v>BOMB CLAS RIP MULTICAM 50/54 RER</v>
      </c>
      <c r="F29">
        <v>1120323</v>
      </c>
      <c r="G29" t="s">
        <v>12826</v>
      </c>
      <c r="H29">
        <v>4</v>
      </c>
      <c r="I29">
        <v>1</v>
      </c>
    </row>
    <row r="30" spans="1:9" x14ac:dyDescent="0.25">
      <c r="A30">
        <v>16522</v>
      </c>
      <c r="B30" t="s">
        <v>7</v>
      </c>
      <c r="C30" t="s">
        <v>12299</v>
      </c>
      <c r="E30" t="str">
        <f>IFERROR(VLOOKUP(1*LEFT(C30,7),DF!$A$1:$F$9447,2,FALSE),"")</f>
        <v>BOMB CLAS RIP MULTICAM 56/60 RER</v>
      </c>
      <c r="F30">
        <v>1120323</v>
      </c>
      <c r="G30" t="s">
        <v>12826</v>
      </c>
      <c r="H30">
        <v>4</v>
      </c>
      <c r="I30">
        <v>1</v>
      </c>
    </row>
    <row r="31" spans="1:9" x14ac:dyDescent="0.25">
      <c r="A31">
        <v>16522</v>
      </c>
      <c r="B31" t="s">
        <v>7</v>
      </c>
      <c r="C31" t="s">
        <v>12300</v>
      </c>
      <c r="E31" t="str">
        <f>IFERROR(VLOOKUP(1*LEFT(C31,7),DF!$A$1:$F$9447,2,FALSE),"")</f>
        <v>BOMB CLAS RIP MULTICAM 62/66 RER</v>
      </c>
      <c r="F31">
        <v>1120323</v>
      </c>
      <c r="G31" t="s">
        <v>12826</v>
      </c>
      <c r="H31">
        <v>4</v>
      </c>
      <c r="I31">
        <v>1</v>
      </c>
    </row>
    <row r="32" spans="1:9" x14ac:dyDescent="0.25">
      <c r="A32">
        <v>16522</v>
      </c>
      <c r="B32" t="s">
        <v>7</v>
      </c>
      <c r="C32" t="str">
        <f>CONCATENATE(F32,"##")</f>
        <v>1120910##</v>
      </c>
      <c r="E32" t="str">
        <f>IFERROR(VLOOKUP(1*LEFT(C32,7),DF!$A$1:$F$9447,2,FALSE),"")</f>
        <v>BOMB CLAS RIP NEGRA DAMA/SPANDE 34/48 RE</v>
      </c>
      <c r="F32">
        <v>1120910</v>
      </c>
      <c r="G32" t="s">
        <v>12827</v>
      </c>
      <c r="H32">
        <v>3</v>
      </c>
      <c r="I32">
        <v>1</v>
      </c>
    </row>
    <row r="33" spans="1:9" x14ac:dyDescent="0.25">
      <c r="A33">
        <v>16522</v>
      </c>
      <c r="B33" t="s">
        <v>7</v>
      </c>
      <c r="C33" t="s">
        <v>12246</v>
      </c>
      <c r="E33" t="str">
        <f>IFERROR(VLOOKUP(1*LEFT(C33,7),DF!$A$1:$F$9447,2,FALSE),"")</f>
        <v>BOMB CLAS RIP NEGRA DAMA/SPANDE 50/54RER</v>
      </c>
      <c r="F33">
        <v>1120910</v>
      </c>
      <c r="G33" t="s">
        <v>12827</v>
      </c>
      <c r="H33">
        <v>3</v>
      </c>
      <c r="I33">
        <v>1</v>
      </c>
    </row>
    <row r="34" spans="1:9" x14ac:dyDescent="0.25">
      <c r="A34">
        <v>19599</v>
      </c>
      <c r="B34" t="s">
        <v>7</v>
      </c>
      <c r="C34" t="str">
        <f>CONCATENATE(F34,"##")</f>
        <v>1120196##</v>
      </c>
      <c r="E34" t="str">
        <f>IFERROR(VLOOKUP(1*LEFT(C34,7),DF!$A$1:$F$9447,2,FALSE),"")</f>
        <v>BOMB JAZAK GAB AZUL 34/48 RER</v>
      </c>
      <c r="F34" s="7">
        <v>1120196</v>
      </c>
      <c r="G34" t="s">
        <v>12921</v>
      </c>
      <c r="H34">
        <v>5</v>
      </c>
      <c r="I34">
        <v>1</v>
      </c>
    </row>
    <row r="35" spans="1:9" x14ac:dyDescent="0.25">
      <c r="A35">
        <v>19599</v>
      </c>
      <c r="B35" t="s">
        <v>7</v>
      </c>
      <c r="C35" t="s">
        <v>5469</v>
      </c>
      <c r="E35" t="str">
        <f>IFERROR(VLOOKUP(1*LEFT(C35,7),DF!$A$1:$F$9447,2,FALSE),"")</f>
        <v>BOMB JAZAK GAB AZUL 50/54 RER</v>
      </c>
      <c r="F35" s="7">
        <v>1120196</v>
      </c>
      <c r="G35" t="s">
        <v>12921</v>
      </c>
      <c r="H35">
        <v>5</v>
      </c>
      <c r="I35">
        <v>1</v>
      </c>
    </row>
    <row r="36" spans="1:9" x14ac:dyDescent="0.25">
      <c r="A36">
        <v>19599</v>
      </c>
      <c r="B36" t="s">
        <v>7</v>
      </c>
      <c r="C36" t="s">
        <v>5477</v>
      </c>
      <c r="E36" t="str">
        <f>IFERROR(VLOOKUP(1*LEFT(C36,7),DF!$A$1:$F$9447,2,FALSE),"")</f>
        <v>BOMB JAZAK GAB AZUL 56/60 RER</v>
      </c>
      <c r="F36" s="7">
        <v>1120196</v>
      </c>
      <c r="G36" t="s">
        <v>12921</v>
      </c>
      <c r="H36">
        <v>5</v>
      </c>
      <c r="I36">
        <v>1</v>
      </c>
    </row>
    <row r="37" spans="1:9" x14ac:dyDescent="0.25">
      <c r="A37">
        <v>19599</v>
      </c>
      <c r="B37" t="s">
        <v>7</v>
      </c>
      <c r="C37" t="s">
        <v>12920</v>
      </c>
      <c r="E37" t="str">
        <f>IFERROR(VLOOKUP(1*LEFT(C37,7),DF!$A$1:$F$9447,2,FALSE),"")</f>
        <v>BOMB JAZAK GAB AZUL 62/66 RER</v>
      </c>
      <c r="F37" s="7">
        <v>1120196</v>
      </c>
      <c r="G37" t="s">
        <v>12921</v>
      </c>
      <c r="H37">
        <v>5</v>
      </c>
      <c r="I37">
        <v>1</v>
      </c>
    </row>
    <row r="38" spans="1:9" x14ac:dyDescent="0.25">
      <c r="A38">
        <v>19599</v>
      </c>
      <c r="B38" t="s">
        <v>7</v>
      </c>
      <c r="C38" t="str">
        <f>CONCATENATE(F38,"##")</f>
        <v>1120742##</v>
      </c>
      <c r="E38" t="str">
        <f>IFERROR(VLOOKUP(1*LEFT(C38,7),DF!$A$1:$F$9447,2,FALSE),"")</f>
        <v>BOMB KADIMA GAB AZUL NQN 34/48 RER</v>
      </c>
      <c r="F38">
        <v>1120742</v>
      </c>
      <c r="G38" t="s">
        <v>12828</v>
      </c>
      <c r="H38">
        <v>7</v>
      </c>
      <c r="I38">
        <v>1</v>
      </c>
    </row>
    <row r="39" spans="1:9" x14ac:dyDescent="0.25">
      <c r="A39">
        <v>19599</v>
      </c>
      <c r="B39" t="s">
        <v>7</v>
      </c>
      <c r="C39" t="s">
        <v>6825</v>
      </c>
      <c r="E39" t="str">
        <f>IFERROR(VLOOKUP(1*LEFT(C39,7),DF!$A$1:$F$9447,2,FALSE),"")</f>
        <v>BOMB KADIMA GAB AZUL NQN 50/54 RER</v>
      </c>
      <c r="F39">
        <v>1120742</v>
      </c>
      <c r="G39" t="s">
        <v>12828</v>
      </c>
      <c r="H39">
        <v>7</v>
      </c>
      <c r="I39">
        <v>1</v>
      </c>
    </row>
    <row r="40" spans="1:9" x14ac:dyDescent="0.25">
      <c r="A40">
        <v>16522</v>
      </c>
      <c r="B40" t="s">
        <v>7</v>
      </c>
      <c r="C40" t="str">
        <f>CONCATENATE(F40,"##")</f>
        <v>1120173##</v>
      </c>
      <c r="E40" t="str">
        <f>IFERROR(VLOOKUP(1*LEFT(C40,7),DF!$A$1:$F$9447,2,FALSE),"")</f>
        <v>BOMB TERMICA AZUL 36/48 RER</v>
      </c>
      <c r="F40">
        <v>1120173</v>
      </c>
      <c r="G40" t="s">
        <v>12829</v>
      </c>
      <c r="H40">
        <v>3</v>
      </c>
      <c r="I40">
        <v>1</v>
      </c>
    </row>
    <row r="41" spans="1:9" x14ac:dyDescent="0.25">
      <c r="A41">
        <v>16522</v>
      </c>
      <c r="B41" t="s">
        <v>7</v>
      </c>
      <c r="C41" t="s">
        <v>3340</v>
      </c>
      <c r="E41" t="str">
        <f>IFERROR(VLOOKUP(1*LEFT(C41,7),DF!$A$1:$F$9447,2,FALSE),"")</f>
        <v>BOMB TERMICA AZUL 50/54 RER</v>
      </c>
      <c r="F41">
        <v>1120173</v>
      </c>
      <c r="G41" t="s">
        <v>12829</v>
      </c>
      <c r="H41">
        <v>3</v>
      </c>
      <c r="I41">
        <v>1</v>
      </c>
    </row>
    <row r="42" spans="1:9" x14ac:dyDescent="0.25">
      <c r="A42">
        <v>16522</v>
      </c>
      <c r="B42" t="s">
        <v>7</v>
      </c>
      <c r="C42" t="s">
        <v>12296</v>
      </c>
      <c r="E42" t="str">
        <f>IFERROR(VLOOKUP(1*LEFT(C42,7),DF!$A$1:$F$9447,2,FALSE),"")</f>
        <v>BOMB TERMICA AZUL 56/60 RER</v>
      </c>
      <c r="F42">
        <v>1120173</v>
      </c>
      <c r="G42" t="s">
        <v>12829</v>
      </c>
      <c r="H42">
        <v>3</v>
      </c>
      <c r="I42">
        <v>1</v>
      </c>
    </row>
    <row r="43" spans="1:9" x14ac:dyDescent="0.25">
      <c r="A43">
        <v>16522</v>
      </c>
      <c r="B43" t="s">
        <v>7</v>
      </c>
      <c r="C43" t="s">
        <v>12297</v>
      </c>
      <c r="E43" t="str">
        <f>IFERROR(VLOOKUP(1*LEFT(C43,7),DF!$A$1:$F$9447,2,FALSE),"")</f>
        <v>BOMB TERMICA AZUL 62/66 RER</v>
      </c>
      <c r="F43">
        <v>1120173</v>
      </c>
      <c r="G43" t="s">
        <v>12829</v>
      </c>
      <c r="H43">
        <v>3</v>
      </c>
      <c r="I43">
        <v>1</v>
      </c>
    </row>
    <row r="44" spans="1:9" x14ac:dyDescent="0.25">
      <c r="A44">
        <v>16522</v>
      </c>
      <c r="B44" t="s">
        <v>7</v>
      </c>
      <c r="C44" t="str">
        <f>CONCATENATE(F44,"##")</f>
        <v>1120414##</v>
      </c>
      <c r="E44" t="str">
        <f>IFERROR(VLOOKUP(1*LEFT(C44,7),DF!$A$1:$F$9447,2,FALSE),"")</f>
        <v>BOMB TERMICA NEGRA 34/48 RER</v>
      </c>
      <c r="F44">
        <v>1120414</v>
      </c>
      <c r="G44" t="s">
        <v>12830</v>
      </c>
      <c r="H44">
        <v>9</v>
      </c>
      <c r="I44">
        <v>1</v>
      </c>
    </row>
    <row r="45" spans="1:9" x14ac:dyDescent="0.25">
      <c r="A45">
        <v>16522</v>
      </c>
      <c r="B45" t="s">
        <v>7</v>
      </c>
      <c r="C45" t="s">
        <v>5145</v>
      </c>
      <c r="E45" t="str">
        <f>IFERROR(VLOOKUP(1*LEFT(C45,7),DF!$A$1:$F$9447,2,FALSE),"")</f>
        <v>BOMB TERMICA NEGRA 50/54 RER</v>
      </c>
      <c r="F45">
        <v>1120414</v>
      </c>
      <c r="G45" t="s">
        <v>12830</v>
      </c>
      <c r="H45">
        <v>9</v>
      </c>
      <c r="I45">
        <v>1</v>
      </c>
    </row>
    <row r="46" spans="1:9" x14ac:dyDescent="0.25">
      <c r="A46">
        <v>16522</v>
      </c>
      <c r="B46" t="s">
        <v>7</v>
      </c>
      <c r="C46" t="s">
        <v>12294</v>
      </c>
      <c r="E46" t="str">
        <f>IFERROR(VLOOKUP(1*LEFT(C46,7),DF!$A$1:$F$9447,2,FALSE),"")</f>
        <v>BOMB TERMICA NEGRA 56/60 RER</v>
      </c>
      <c r="F46">
        <v>1120414</v>
      </c>
      <c r="G46" t="s">
        <v>12830</v>
      </c>
      <c r="H46">
        <v>9</v>
      </c>
      <c r="I46">
        <v>1</v>
      </c>
    </row>
    <row r="47" spans="1:9" x14ac:dyDescent="0.25">
      <c r="A47">
        <v>16522</v>
      </c>
      <c r="B47" t="s">
        <v>7</v>
      </c>
      <c r="C47" t="s">
        <v>12295</v>
      </c>
      <c r="E47" t="str">
        <f>IFERROR(VLOOKUP(1*LEFT(C47,7),DF!$A$1:$F$9447,2,FALSE),"")</f>
        <v>BOMB TERMICA NEGRA 62/66 RER</v>
      </c>
      <c r="F47">
        <v>1120414</v>
      </c>
      <c r="G47" t="s">
        <v>12830</v>
      </c>
      <c r="H47">
        <v>9</v>
      </c>
      <c r="I47">
        <v>1</v>
      </c>
    </row>
    <row r="48" spans="1:9" x14ac:dyDescent="0.25">
      <c r="A48">
        <v>19599</v>
      </c>
      <c r="B48" t="s">
        <v>7</v>
      </c>
      <c r="C48" t="str">
        <f t="shared" ref="C48:C60" si="0">CONCATENATE(F48,"##")</f>
        <v>8205080##</v>
      </c>
      <c r="E48" t="str">
        <f>IFERROR(VLOOKUP(1*LEFT(C48,7),DF!$A$1:$F$9447,2,FALSE),"")</f>
        <v>BORCEGUI COMANDO CORTO ART80 C/CIERRE CA</v>
      </c>
      <c r="F48">
        <v>8205080</v>
      </c>
      <c r="G48" t="s">
        <v>12831</v>
      </c>
      <c r="H48">
        <v>8</v>
      </c>
      <c r="I48">
        <v>1</v>
      </c>
    </row>
    <row r="49" spans="1:9" x14ac:dyDescent="0.25">
      <c r="A49">
        <v>19599</v>
      </c>
      <c r="B49" t="s">
        <v>7</v>
      </c>
      <c r="C49" t="str">
        <f t="shared" si="0"/>
        <v>8205881##</v>
      </c>
      <c r="E49" t="str">
        <f>IFERROR(VLOOKUP(1*LEFT(C49,7),DF!$A$1:$F$9447,2,FALSE),"")</f>
        <v>BORCEGUI COMANDO CORTO ART81 BEIGE C/CIE</v>
      </c>
      <c r="F49">
        <v>8205881</v>
      </c>
      <c r="G49" s="9" t="s">
        <v>12832</v>
      </c>
      <c r="H49">
        <v>6</v>
      </c>
      <c r="I49">
        <v>1</v>
      </c>
    </row>
    <row r="50" spans="1:9" x14ac:dyDescent="0.25">
      <c r="A50">
        <v>19599</v>
      </c>
      <c r="B50" t="s">
        <v>7</v>
      </c>
      <c r="C50" t="str">
        <f t="shared" si="0"/>
        <v>8205118##</v>
      </c>
      <c r="E50" t="str">
        <f>IFERROR(VLOOKUP(1*LEFT(C50,7),DF!$A$1:$F$9447,2,FALSE),"")</f>
        <v>BORCEGUI COMANDO RERDA ART60 CIERRE CAR</v>
      </c>
      <c r="F50">
        <v>8205118</v>
      </c>
      <c r="G50" t="s">
        <v>12833</v>
      </c>
      <c r="H50">
        <v>7</v>
      </c>
      <c r="I50">
        <v>1</v>
      </c>
    </row>
    <row r="51" spans="1:9" x14ac:dyDescent="0.25">
      <c r="A51">
        <v>19599</v>
      </c>
      <c r="B51" t="s">
        <v>7</v>
      </c>
      <c r="C51" t="str">
        <f t="shared" si="0"/>
        <v>8205119##</v>
      </c>
      <c r="E51" t="str">
        <f>IFERROR(VLOOKUP(1*LEFT(C51,7),DF!$A$1:$F$9447,2,FALSE),"")</f>
        <v>BORCEGUI COMANDO RERDA BEIGE CIERRE CAR ART61</v>
      </c>
      <c r="F51">
        <v>8205119</v>
      </c>
      <c r="G51" t="s">
        <v>12834</v>
      </c>
      <c r="H51">
        <v>6</v>
      </c>
      <c r="I51">
        <v>1</v>
      </c>
    </row>
    <row r="52" spans="1:9" x14ac:dyDescent="0.25">
      <c r="A52">
        <v>19599</v>
      </c>
      <c r="B52" t="s">
        <v>7</v>
      </c>
      <c r="C52" t="str">
        <f t="shared" si="0"/>
        <v>8205051##</v>
      </c>
      <c r="E52" t="str">
        <f>IFERROR(VLOOKUP(1*LEFT(C52,7),DF!$A$1:$F$9447,2,FALSE),"")</f>
        <v>BORCEGUI CON PELUCHE CC</v>
      </c>
      <c r="F52">
        <v>8205051</v>
      </c>
      <c r="G52" t="s">
        <v>12835</v>
      </c>
      <c r="H52">
        <v>10</v>
      </c>
      <c r="I52">
        <v>1</v>
      </c>
    </row>
    <row r="53" spans="1:9" x14ac:dyDescent="0.25">
      <c r="A53">
        <v>19599</v>
      </c>
      <c r="B53" t="s">
        <v>7</v>
      </c>
      <c r="C53" t="str">
        <f t="shared" si="0"/>
        <v>8205050##</v>
      </c>
      <c r="E53" t="str">
        <f>IFERROR(VLOOKUP(1*LEFT(C53,7),DF!$A$1:$F$9447,2,FALSE),"")</f>
        <v>BORCEGUI CUERO  CLASICO RER</v>
      </c>
      <c r="F53">
        <v>8205050</v>
      </c>
      <c r="G53" t="s">
        <v>12836</v>
      </c>
      <c r="H53">
        <v>8</v>
      </c>
      <c r="I53">
        <v>1</v>
      </c>
    </row>
    <row r="54" spans="1:9" x14ac:dyDescent="0.25">
      <c r="A54">
        <v>19599</v>
      </c>
      <c r="B54" t="s">
        <v>7</v>
      </c>
      <c r="C54" t="str">
        <f t="shared" si="0"/>
        <v>8205117##</v>
      </c>
      <c r="E54" t="str">
        <f>IFERROR(VLOOKUP(1*LEFT(C54,7),DF!$A$1:$F$9447,2,FALSE),"")</f>
        <v>BORCEGUI FULL GRAIN 1071 RER</v>
      </c>
      <c r="F54">
        <v>8205117</v>
      </c>
      <c r="G54" t="s">
        <v>12837</v>
      </c>
      <c r="H54">
        <v>9</v>
      </c>
      <c r="I54">
        <v>1</v>
      </c>
    </row>
    <row r="55" spans="1:9" x14ac:dyDescent="0.25">
      <c r="A55">
        <v>19599</v>
      </c>
      <c r="B55" t="s">
        <v>7</v>
      </c>
      <c r="C55" t="str">
        <f t="shared" si="0"/>
        <v>8205078##</v>
      </c>
      <c r="E55" t="str">
        <f>IFERROR(VLOOKUP(1*LEFT(C55,7),DF!$A$1:$F$9447,2,FALSE),"")</f>
        <v>BORCEGUI TACTICO AK 2297</v>
      </c>
      <c r="F55">
        <v>8205078</v>
      </c>
      <c r="G55" t="s">
        <v>12838</v>
      </c>
      <c r="H55">
        <v>5</v>
      </c>
    </row>
    <row r="56" spans="1:9" x14ac:dyDescent="0.25">
      <c r="A56">
        <v>19599</v>
      </c>
      <c r="B56" t="s">
        <v>7</v>
      </c>
      <c r="C56" t="str">
        <f t="shared" si="0"/>
        <v>8205115##</v>
      </c>
      <c r="E56" t="str">
        <f>IFERROR(VLOOKUP(1*LEFT(C56,7),DF!$A$1:$F$9447,2,FALSE),"")</f>
        <v>BORCEGUI TACTICO RERDA LMGE CC</v>
      </c>
      <c r="F56">
        <v>8205115</v>
      </c>
      <c r="G56" t="s">
        <v>12839</v>
      </c>
      <c r="H56">
        <v>7</v>
      </c>
      <c r="I56">
        <v>1</v>
      </c>
    </row>
    <row r="57" spans="1:9" x14ac:dyDescent="0.25">
      <c r="A57">
        <v>19599</v>
      </c>
      <c r="B57" t="s">
        <v>7</v>
      </c>
      <c r="C57" t="str">
        <f t="shared" si="0"/>
        <v>8205041##</v>
      </c>
      <c r="E57" t="str">
        <f>IFERROR(VLOOKUP(1*LEFT(C57,7),DF!$A$1:$F$9447,2,FALSE),"")</f>
        <v>BORCEGUI TODO CUERO RERDA RER</v>
      </c>
      <c r="F57">
        <v>8205041</v>
      </c>
      <c r="G57" t="s">
        <v>12840</v>
      </c>
      <c r="H57">
        <v>7</v>
      </c>
      <c r="I57">
        <v>1</v>
      </c>
    </row>
    <row r="58" spans="1:9" x14ac:dyDescent="0.25">
      <c r="A58">
        <v>19599</v>
      </c>
      <c r="B58" t="s">
        <v>7</v>
      </c>
      <c r="C58" t="str">
        <f t="shared" si="0"/>
        <v>8205090##</v>
      </c>
      <c r="E58" t="str">
        <f>IFERROR(VLOOKUP(1*LEFT(C58,7),DF!$A$1:$F$9447,2,FALSE),"")</f>
        <v>BORCEGUIE COMBAT ART.40</v>
      </c>
      <c r="F58">
        <v>8205090</v>
      </c>
      <c r="G58" t="s">
        <v>12534</v>
      </c>
      <c r="H58">
        <v>7</v>
      </c>
    </row>
    <row r="59" spans="1:9" x14ac:dyDescent="0.25">
      <c r="A59">
        <v>19599</v>
      </c>
      <c r="B59" t="s">
        <v>7</v>
      </c>
      <c r="C59" t="str">
        <f t="shared" si="0"/>
        <v>8205120##</v>
      </c>
      <c r="E59" t="str">
        <f>IFERROR(VLOOKUP(1*LEFT(C59,7),DF!$A$1:$F$9447,2,FALSE),"")</f>
        <v>BORCEGUIE TACTICO MARRON RERDA</v>
      </c>
      <c r="F59">
        <v>8205120</v>
      </c>
      <c r="G59" t="s">
        <v>12841</v>
      </c>
      <c r="H59">
        <v>2</v>
      </c>
      <c r="I59">
        <v>1</v>
      </c>
    </row>
    <row r="60" spans="1:9" x14ac:dyDescent="0.25">
      <c r="A60">
        <v>16522</v>
      </c>
      <c r="B60" t="s">
        <v>7</v>
      </c>
      <c r="C60" t="str">
        <f t="shared" si="0"/>
        <v>8205018##</v>
      </c>
      <c r="E60" t="str">
        <f>IFERROR(VLOOKUP(1*LEFT(C60,7),DF!$A$1:$F$9447,2,FALSE),"")</f>
        <v>BOTIN DE TRABAJO PUNTA ACERO NEGRO AFU</v>
      </c>
      <c r="F60">
        <v>8205018</v>
      </c>
      <c r="G60" t="s">
        <v>12842</v>
      </c>
      <c r="H60">
        <v>7</v>
      </c>
      <c r="I60">
        <v>1</v>
      </c>
    </row>
    <row r="61" spans="1:9" x14ac:dyDescent="0.25">
      <c r="A61">
        <v>19599</v>
      </c>
      <c r="B61" t="s">
        <v>7</v>
      </c>
      <c r="C61" t="s">
        <v>12247</v>
      </c>
      <c r="E61" t="str">
        <f>IFERROR(VLOOKUP(1*LEFT(C61,7),DF!$A$1:$F$9447,2,FALSE),"")</f>
        <v>BUZO FRIZA AZUL CON CIERRE 3XL/4XL RER</v>
      </c>
      <c r="F61" s="3">
        <v>2601495</v>
      </c>
      <c r="G61" t="s">
        <v>12843</v>
      </c>
      <c r="H61">
        <v>8</v>
      </c>
      <c r="I61">
        <v>1</v>
      </c>
    </row>
    <row r="62" spans="1:9" x14ac:dyDescent="0.25">
      <c r="A62">
        <v>19599</v>
      </c>
      <c r="B62" t="s">
        <v>7</v>
      </c>
      <c r="C62" t="str">
        <f>CONCATENATE(F62,"##")</f>
        <v>2601495##</v>
      </c>
      <c r="E62" t="str">
        <f>IFERROR(VLOOKUP(1*LEFT(C62,7),DF!$A$1:$F$9447,2,FALSE),"")</f>
        <v>BUZO FRIZA AZUL CON CIERRE 3XS/2XL RER</v>
      </c>
      <c r="F62" s="3">
        <v>2601495</v>
      </c>
      <c r="G62" t="s">
        <v>12843</v>
      </c>
      <c r="H62">
        <v>8</v>
      </c>
      <c r="I62">
        <v>1</v>
      </c>
    </row>
    <row r="63" spans="1:9" x14ac:dyDescent="0.25">
      <c r="A63">
        <v>19599</v>
      </c>
      <c r="B63" t="s">
        <v>7</v>
      </c>
      <c r="C63" t="str">
        <f>CONCATENATE(F63,"##")</f>
        <v>2601850##</v>
      </c>
      <c r="E63" t="str">
        <f>IFERROR(VLOOKUP(1*LEFT(C63,7),DF!$A$1:$F$9447,2,FALSE),"")</f>
        <v>BUZO FRIZA GRIS CON CIERRE  3XS/2XL RER</v>
      </c>
      <c r="F63" s="3">
        <v>2601850</v>
      </c>
      <c r="G63" t="s">
        <v>12844</v>
      </c>
      <c r="H63">
        <v>5</v>
      </c>
      <c r="I63">
        <v>1</v>
      </c>
    </row>
    <row r="64" spans="1:9" x14ac:dyDescent="0.25">
      <c r="A64">
        <v>19599</v>
      </c>
      <c r="B64" t="s">
        <v>7</v>
      </c>
      <c r="C64" t="s">
        <v>12249</v>
      </c>
      <c r="E64" t="str">
        <f>IFERROR(VLOOKUP(1*LEFT(C64,7),DF!$A$1:$F$9447,2,FALSE),"")</f>
        <v>BUZO FRIZA GRIS CON CIERRE 3XL/4XL RER</v>
      </c>
      <c r="F64" s="3">
        <v>2601850</v>
      </c>
      <c r="G64" t="s">
        <v>12844</v>
      </c>
      <c r="H64">
        <v>5</v>
      </c>
      <c r="I64">
        <v>1</v>
      </c>
    </row>
    <row r="65" spans="1:9" x14ac:dyDescent="0.25">
      <c r="A65">
        <v>19599</v>
      </c>
      <c r="B65" t="s">
        <v>7</v>
      </c>
      <c r="C65" t="s">
        <v>12248</v>
      </c>
      <c r="E65" t="str">
        <f>IFERROR(VLOOKUP(1*LEFT(C65,7),DF!$A$1:$F$9447,2,FALSE),"")</f>
        <v>BUZO FRIZA NEGRO CON CIERRE 3XL/4XL RER</v>
      </c>
      <c r="F65" s="3">
        <v>2601900</v>
      </c>
      <c r="G65" t="s">
        <v>12845</v>
      </c>
      <c r="H65">
        <v>6</v>
      </c>
      <c r="I65">
        <v>1</v>
      </c>
    </row>
    <row r="66" spans="1:9" x14ac:dyDescent="0.25">
      <c r="A66">
        <v>19599</v>
      </c>
      <c r="B66" t="s">
        <v>7</v>
      </c>
      <c r="C66" t="str">
        <f>CONCATENATE(F66,"##")</f>
        <v>2601900##</v>
      </c>
      <c r="E66" t="str">
        <f>IFERROR(VLOOKUP(1*LEFT(C66,7),DF!$A$1:$F$9447,2,FALSE),"")</f>
        <v>BUZO FRIZA NEGRO CON CIERRE 3XS/2XL RER</v>
      </c>
      <c r="F66" s="3">
        <v>2601900</v>
      </c>
      <c r="G66" t="s">
        <v>12845</v>
      </c>
      <c r="H66">
        <v>6</v>
      </c>
      <c r="I66">
        <v>1</v>
      </c>
    </row>
    <row r="67" spans="1:9" x14ac:dyDescent="0.25">
      <c r="A67">
        <v>19599</v>
      </c>
      <c r="B67" t="s">
        <v>7</v>
      </c>
      <c r="C67" s="2" t="str">
        <f>CONCATENATE(F67,"##")</f>
        <v>4120086##</v>
      </c>
      <c r="D67" s="2"/>
      <c r="E67" s="2" t="str">
        <f>IFERROR(VLOOKUP(1*LEFT(C67,7),DF!$A$1:$F$9447,2,FALSE),"")</f>
        <v>CAMISA MC AZUL SOLAPA VIP 34/44</v>
      </c>
      <c r="F67" s="2">
        <v>4120086</v>
      </c>
      <c r="G67" t="s">
        <v>12957</v>
      </c>
      <c r="H67">
        <v>7</v>
      </c>
      <c r="I67">
        <v>1</v>
      </c>
    </row>
    <row r="68" spans="1:9" x14ac:dyDescent="0.25">
      <c r="A68">
        <v>19599</v>
      </c>
      <c r="B68" t="s">
        <v>7</v>
      </c>
      <c r="C68" s="2" t="s">
        <v>12953</v>
      </c>
      <c r="D68" s="2"/>
      <c r="E68" s="2" t="str">
        <f>IFERROR(VLOOKUP(1*LEFT(C68,7),DF!$A$1:$F$9447,2,FALSE),"")</f>
        <v>CAMISA MC AZUL SOLAPA VIP 46/50</v>
      </c>
      <c r="F68" s="2">
        <v>4120086</v>
      </c>
      <c r="G68" t="s">
        <v>12957</v>
      </c>
      <c r="H68">
        <v>7</v>
      </c>
      <c r="I68">
        <v>1</v>
      </c>
    </row>
    <row r="69" spans="1:9" x14ac:dyDescent="0.25">
      <c r="A69">
        <v>19599</v>
      </c>
      <c r="B69" t="s">
        <v>7</v>
      </c>
      <c r="C69" s="2" t="s">
        <v>12987</v>
      </c>
      <c r="D69" s="2"/>
      <c r="E69" s="2" t="str">
        <f>IFERROR(VLOOKUP(1*LEFT(C69,7),DF!$A$1:$F$9447,2,FALSE),"")</f>
        <v>CAMISA MC AZUL SOLAPA VIP 52/56</v>
      </c>
      <c r="F69" s="2">
        <v>4120086</v>
      </c>
      <c r="G69" t="s">
        <v>12957</v>
      </c>
      <c r="H69">
        <v>7</v>
      </c>
      <c r="I69">
        <v>1</v>
      </c>
    </row>
    <row r="70" spans="1:9" x14ac:dyDescent="0.25">
      <c r="A70">
        <v>19599</v>
      </c>
      <c r="B70" t="s">
        <v>7</v>
      </c>
      <c r="C70" s="2" t="s">
        <v>12954</v>
      </c>
      <c r="D70" s="2"/>
      <c r="E70" s="2" t="str">
        <f>IFERROR(VLOOKUP(1*LEFT(C70,7),DF!$A$1:$F$9447,2,FALSE),"")</f>
        <v>CAMISA MC AZUL SOLAPA VIP 58/66</v>
      </c>
      <c r="F70" s="2">
        <v>4120086</v>
      </c>
      <c r="G70" t="s">
        <v>12957</v>
      </c>
      <c r="H70">
        <v>7</v>
      </c>
      <c r="I70">
        <v>1</v>
      </c>
    </row>
    <row r="71" spans="1:9" x14ac:dyDescent="0.25">
      <c r="A71">
        <v>19599</v>
      </c>
      <c r="B71" t="s">
        <v>7</v>
      </c>
      <c r="C71" t="str">
        <f>CONCATENATE(F71,"##")</f>
        <v>4120600##</v>
      </c>
      <c r="E71" t="str">
        <f>IFERROR(VLOOKUP(1*LEFT(C71,7),DF!$A$1:$F$9447,2,FALSE),"")</f>
        <v>CAMISA MC BAT AZUL CORBATA 34/44 RER</v>
      </c>
      <c r="F71">
        <v>4120600</v>
      </c>
      <c r="G71" t="s">
        <v>12979</v>
      </c>
      <c r="H71">
        <v>1</v>
      </c>
      <c r="I71">
        <v>1</v>
      </c>
    </row>
    <row r="72" spans="1:9" x14ac:dyDescent="0.25">
      <c r="A72">
        <v>19599</v>
      </c>
      <c r="B72" t="s">
        <v>7</v>
      </c>
      <c r="C72" t="s">
        <v>4167</v>
      </c>
      <c r="E72" t="str">
        <f>IFERROR(VLOOKUP(1*LEFT(C72,7),DF!$A$1:$F$9447,2,FALSE),"")</f>
        <v>CAMISA MC BAT AZUL CORBATA 46/50 RER</v>
      </c>
      <c r="F72">
        <v>4120600</v>
      </c>
      <c r="G72" t="s">
        <v>12979</v>
      </c>
      <c r="H72">
        <v>1</v>
      </c>
      <c r="I72">
        <v>1</v>
      </c>
    </row>
    <row r="73" spans="1:9" x14ac:dyDescent="0.25">
      <c r="A73">
        <v>19599</v>
      </c>
      <c r="B73" t="s">
        <v>7</v>
      </c>
      <c r="C73" t="s">
        <v>12966</v>
      </c>
      <c r="E73" t="str">
        <f>IFERROR(VLOOKUP(1*LEFT(C73,7),DF!$A$1:$F$9447,2,FALSE),"")</f>
        <v>CAMISA MC BAT AZUL CORBATA 52/56 RER</v>
      </c>
      <c r="F73">
        <v>4120600</v>
      </c>
      <c r="G73" t="s">
        <v>12979</v>
      </c>
      <c r="H73">
        <v>1</v>
      </c>
      <c r="I73">
        <v>1</v>
      </c>
    </row>
    <row r="74" spans="1:9" x14ac:dyDescent="0.25">
      <c r="A74">
        <v>19599</v>
      </c>
      <c r="B74" t="s">
        <v>7</v>
      </c>
      <c r="C74" t="str">
        <f>CONCATENATE(F74,"##")</f>
        <v>4120300##</v>
      </c>
      <c r="E74" t="str">
        <f>IFERROR(VLOOKUP(1*LEFT(C74,7),DF!$A$1:$F$9447,2,FALSE),"")</f>
        <v>CAMISA MC BAT AZUL CORBATA VIP 34/44</v>
      </c>
      <c r="F74">
        <v>4120300</v>
      </c>
      <c r="G74" t="s">
        <v>12984</v>
      </c>
      <c r="H74">
        <v>1</v>
      </c>
      <c r="I74">
        <v>1</v>
      </c>
    </row>
    <row r="75" spans="1:9" x14ac:dyDescent="0.25">
      <c r="A75">
        <v>19599</v>
      </c>
      <c r="B75" t="s">
        <v>7</v>
      </c>
      <c r="C75" t="s">
        <v>12975</v>
      </c>
      <c r="E75" t="str">
        <f>IFERROR(VLOOKUP(1*LEFT(C75,7),DF!$A$1:$F$9447,2,FALSE),"")</f>
        <v>CAMISA MC BAT AZUL CORBATA VIP 46/50</v>
      </c>
      <c r="F75">
        <v>4120300</v>
      </c>
      <c r="G75" t="s">
        <v>12984</v>
      </c>
      <c r="H75">
        <v>1</v>
      </c>
      <c r="I75">
        <v>1</v>
      </c>
    </row>
    <row r="76" spans="1:9" x14ac:dyDescent="0.25">
      <c r="A76">
        <v>19599</v>
      </c>
      <c r="B76" t="s">
        <v>7</v>
      </c>
      <c r="C76" t="s">
        <v>12976</v>
      </c>
      <c r="E76" t="str">
        <f>IFERROR(VLOOKUP(1*LEFT(C76,7),DF!$A$1:$F$9447,2,FALSE),"")</f>
        <v>CAMISA MC BAT AZUL CORBATA VIP 52/56</v>
      </c>
      <c r="F76">
        <v>4120300</v>
      </c>
      <c r="G76" t="s">
        <v>12984</v>
      </c>
      <c r="H76">
        <v>1</v>
      </c>
      <c r="I76">
        <v>1</v>
      </c>
    </row>
    <row r="77" spans="1:9" x14ac:dyDescent="0.25">
      <c r="A77">
        <v>19599</v>
      </c>
      <c r="B77" t="s">
        <v>7</v>
      </c>
      <c r="C77" s="2" t="str">
        <f>CONCATENATE(F77,"##")</f>
        <v>4120854##</v>
      </c>
      <c r="D77" s="2"/>
      <c r="E77" s="2" t="str">
        <f>IFERROR(VLOOKUP(1*LEFT(C77,7),DF!$A$1:$F$9447,2,FALSE),"")</f>
        <v>CAMISA MC BAT AZUL SOLAPA 34/44 RER</v>
      </c>
      <c r="F77" s="2">
        <v>4120854</v>
      </c>
      <c r="G77" t="s">
        <v>12846</v>
      </c>
      <c r="H77" s="2">
        <v>7</v>
      </c>
      <c r="I77">
        <v>1</v>
      </c>
    </row>
    <row r="78" spans="1:9" x14ac:dyDescent="0.25">
      <c r="A78">
        <v>19599</v>
      </c>
      <c r="B78" t="s">
        <v>7</v>
      </c>
      <c r="C78" s="2" t="s">
        <v>2959</v>
      </c>
      <c r="D78" s="2"/>
      <c r="E78" s="2" t="str">
        <f>IFERROR(VLOOKUP(1*LEFT(C78,7),DF!$A$1:$F$9447,2,FALSE),"")</f>
        <v>CAMISA MC BAT AZUL SOLAPA 46/50 RER</v>
      </c>
      <c r="F78" s="2">
        <v>4120854</v>
      </c>
      <c r="G78" t="s">
        <v>12846</v>
      </c>
      <c r="H78">
        <v>7</v>
      </c>
      <c r="I78">
        <v>1</v>
      </c>
    </row>
    <row r="79" spans="1:9" x14ac:dyDescent="0.25">
      <c r="A79">
        <v>19599</v>
      </c>
      <c r="B79" t="s">
        <v>7</v>
      </c>
      <c r="C79" s="2" t="s">
        <v>2967</v>
      </c>
      <c r="D79" s="2"/>
      <c r="E79" s="2" t="str">
        <f>IFERROR(VLOOKUP(1*LEFT(C79,7),DF!$A$1:$F$9447,2,FALSE),"")</f>
        <v>CAMISA MC BAT AZUL SOLAPA 52/56 RER</v>
      </c>
      <c r="F79" s="2">
        <v>4120854</v>
      </c>
      <c r="G79" t="s">
        <v>12846</v>
      </c>
      <c r="H79">
        <v>7</v>
      </c>
      <c r="I79">
        <v>1</v>
      </c>
    </row>
    <row r="80" spans="1:9" x14ac:dyDescent="0.25">
      <c r="A80">
        <v>19599</v>
      </c>
      <c r="B80" t="s">
        <v>7</v>
      </c>
      <c r="C80" s="2" t="s">
        <v>12941</v>
      </c>
      <c r="D80" s="2"/>
      <c r="E80" s="2" t="str">
        <f>IFERROR(VLOOKUP(1*LEFT(C80,7),DF!$A$1:$F$9447,2,FALSE),"")</f>
        <v>CAMISA MC BAT BEIGE LMGE 30/32 RER</v>
      </c>
      <c r="F80" s="2">
        <v>4130777</v>
      </c>
      <c r="G80" t="s">
        <v>12847</v>
      </c>
      <c r="H80">
        <v>7</v>
      </c>
      <c r="I80">
        <v>1</v>
      </c>
    </row>
    <row r="81" spans="1:9" x14ac:dyDescent="0.25">
      <c r="A81">
        <v>19599</v>
      </c>
      <c r="B81" t="s">
        <v>7</v>
      </c>
      <c r="C81" s="2" t="str">
        <f>CONCATENATE(F81,"##")</f>
        <v>4130777##</v>
      </c>
      <c r="D81" s="2"/>
      <c r="E81" s="2" t="str">
        <f>IFERROR(VLOOKUP(1*LEFT(C81,7),DF!$A$1:$F$9447,2,FALSE),"")</f>
        <v>CAMISA MC BAT BEIGE LMGE 34/44 RER</v>
      </c>
      <c r="F81" s="2">
        <v>4130777</v>
      </c>
      <c r="G81" t="s">
        <v>12847</v>
      </c>
      <c r="H81">
        <v>7</v>
      </c>
      <c r="I81">
        <v>1</v>
      </c>
    </row>
    <row r="82" spans="1:9" x14ac:dyDescent="0.25">
      <c r="A82">
        <v>19599</v>
      </c>
      <c r="B82" t="s">
        <v>7</v>
      </c>
      <c r="C82" s="2" t="s">
        <v>3067</v>
      </c>
      <c r="D82" s="2"/>
      <c r="E82" s="2" t="str">
        <f>IFERROR(VLOOKUP(1*LEFT(C82,7),DF!$A$1:$F$9447,2,FALSE),"")</f>
        <v>CAMISA MC BAT BEIGE LMGE 46/50 RER</v>
      </c>
      <c r="F82" s="2">
        <v>4130777</v>
      </c>
      <c r="G82" t="s">
        <v>12847</v>
      </c>
      <c r="H82">
        <v>7</v>
      </c>
      <c r="I82">
        <v>1</v>
      </c>
    </row>
    <row r="83" spans="1:9" x14ac:dyDescent="0.25">
      <c r="A83">
        <v>19599</v>
      </c>
      <c r="B83" t="s">
        <v>7</v>
      </c>
      <c r="C83" s="2" t="s">
        <v>10913</v>
      </c>
      <c r="D83" s="2"/>
      <c r="E83" s="2" t="str">
        <f>IFERROR(VLOOKUP(1*LEFT(C83,7),DF!$A$1:$F$9447,2,FALSE),"")</f>
        <v>CAMISA MC BAT BEIGE LMGE 52/56 RER</v>
      </c>
      <c r="F83" s="2">
        <v>4130777</v>
      </c>
      <c r="G83" t="s">
        <v>12847</v>
      </c>
      <c r="H83">
        <v>7</v>
      </c>
      <c r="I83">
        <v>1</v>
      </c>
    </row>
    <row r="84" spans="1:9" x14ac:dyDescent="0.25">
      <c r="A84">
        <v>19599</v>
      </c>
      <c r="B84" t="s">
        <v>7</v>
      </c>
      <c r="C84" s="2" t="s">
        <v>12942</v>
      </c>
      <c r="D84" s="2"/>
      <c r="E84" s="2" t="str">
        <f>IFERROR(VLOOKUP(1*LEFT(C84,7),DF!$A$1:$F$9447,2,FALSE),"")</f>
        <v>CAMISA MC BAT BEIGE LMGE 58/62 RER</v>
      </c>
      <c r="F84" s="2">
        <v>4130777</v>
      </c>
      <c r="G84" t="s">
        <v>12847</v>
      </c>
      <c r="H84">
        <v>7</v>
      </c>
      <c r="I84">
        <v>1</v>
      </c>
    </row>
    <row r="85" spans="1:9" x14ac:dyDescent="0.25">
      <c r="A85">
        <v>19599</v>
      </c>
      <c r="B85" t="s">
        <v>7</v>
      </c>
      <c r="C85" t="str">
        <f>CONCATENATE(F85,"##")</f>
        <v>4120038##</v>
      </c>
      <c r="E85" t="str">
        <f>IFERROR(VLOOKUP(1*LEFT(C85,7),DF!$A$1:$F$9447,2,FALSE),"")</f>
        <v>CAMISA MC BAT BLANCA CORBATA 34/44 RER</v>
      </c>
      <c r="F85">
        <v>4120038</v>
      </c>
      <c r="G85" t="s">
        <v>12981</v>
      </c>
      <c r="H85">
        <v>1</v>
      </c>
      <c r="I85">
        <v>1</v>
      </c>
    </row>
    <row r="86" spans="1:9" x14ac:dyDescent="0.25">
      <c r="A86">
        <v>19599</v>
      </c>
      <c r="B86" t="s">
        <v>7</v>
      </c>
      <c r="C86" t="s">
        <v>12969</v>
      </c>
      <c r="E86" t="str">
        <f>IFERROR(VLOOKUP(1*LEFT(C86,7),DF!$A$1:$F$9447,2,FALSE),"")</f>
        <v>CAMISA MC BAT BLANCA CORBATA 46/50 RER</v>
      </c>
      <c r="F86">
        <v>4120038</v>
      </c>
      <c r="G86" t="s">
        <v>12981</v>
      </c>
      <c r="H86">
        <v>1</v>
      </c>
      <c r="I86">
        <v>1</v>
      </c>
    </row>
    <row r="87" spans="1:9" x14ac:dyDescent="0.25">
      <c r="A87">
        <v>19599</v>
      </c>
      <c r="B87" t="s">
        <v>7</v>
      </c>
      <c r="C87" t="s">
        <v>12970</v>
      </c>
      <c r="E87" t="str">
        <f>IFERROR(VLOOKUP(1*LEFT(C87,7),DF!$A$1:$F$9447,2,FALSE),"")</f>
        <v>CAMISA MC BAT BLANCA CORBATA 52/56 RER</v>
      </c>
      <c r="F87">
        <v>4120038</v>
      </c>
      <c r="G87" t="s">
        <v>12981</v>
      </c>
      <c r="H87">
        <v>1</v>
      </c>
      <c r="I87">
        <v>1</v>
      </c>
    </row>
    <row r="88" spans="1:9" x14ac:dyDescent="0.25">
      <c r="A88">
        <v>19599</v>
      </c>
      <c r="B88" t="s">
        <v>7</v>
      </c>
      <c r="C88" t="s">
        <v>12971</v>
      </c>
      <c r="E88" t="str">
        <f>IFERROR(VLOOKUP(1*LEFT(C88,7),DF!$A$1:$F$9447,2,FALSE),"")</f>
        <v>CAMISA MC BAT BLANCA CORBATA 58/62 RER</v>
      </c>
      <c r="F88">
        <v>4120038</v>
      </c>
      <c r="G88" t="s">
        <v>12981</v>
      </c>
      <c r="H88">
        <v>1</v>
      </c>
      <c r="I88">
        <v>1</v>
      </c>
    </row>
    <row r="89" spans="1:9" x14ac:dyDescent="0.25">
      <c r="A89">
        <v>19599</v>
      </c>
      <c r="B89" t="s">
        <v>7</v>
      </c>
      <c r="C89" s="2" t="str">
        <f>CONCATENATE(F89,"##")</f>
        <v>4120110##</v>
      </c>
      <c r="D89" s="2"/>
      <c r="E89" s="2" t="str">
        <f>IFERROR(VLOOKUP(1*LEFT(C89,7),DF!$A$1:$F$9447,2,FALSE),"")</f>
        <v>CAMISA MC BAT BLANCA SOLAPA 34/44 RER</v>
      </c>
      <c r="F89" s="2">
        <v>4120110</v>
      </c>
      <c r="G89" s="2" t="s">
        <v>12848</v>
      </c>
      <c r="H89" s="2">
        <v>7</v>
      </c>
      <c r="I89">
        <v>1</v>
      </c>
    </row>
    <row r="90" spans="1:9" x14ac:dyDescent="0.25">
      <c r="A90">
        <v>19599</v>
      </c>
      <c r="B90" t="s">
        <v>7</v>
      </c>
      <c r="C90" s="2" t="s">
        <v>3045</v>
      </c>
      <c r="D90" s="2"/>
      <c r="E90" s="2" t="str">
        <f>IFERROR(VLOOKUP(1*LEFT(C90,7),DF!$A$1:$F$9447,2,FALSE),"")</f>
        <v>CAMISA MC BAT BLANCA SOLAPA 46/50 RER</v>
      </c>
      <c r="F90" s="2">
        <v>4120110</v>
      </c>
      <c r="G90" s="2" t="s">
        <v>12848</v>
      </c>
      <c r="H90" s="2">
        <v>7</v>
      </c>
      <c r="I90">
        <v>1</v>
      </c>
    </row>
    <row r="91" spans="1:9" x14ac:dyDescent="0.25">
      <c r="A91">
        <v>19599</v>
      </c>
      <c r="B91" t="s">
        <v>7</v>
      </c>
      <c r="C91" s="2" t="s">
        <v>10907</v>
      </c>
      <c r="D91" s="2"/>
      <c r="E91" s="2" t="str">
        <f>IFERROR(VLOOKUP(1*LEFT(C91,7),DF!$A$1:$F$9447,2,FALSE),"")</f>
        <v>CAMISA MC BAT BLANCA SOLAPA 52/56 RER</v>
      </c>
      <c r="F91" s="2">
        <v>4120110</v>
      </c>
      <c r="G91" t="s">
        <v>12848</v>
      </c>
      <c r="H91" s="2">
        <v>7</v>
      </c>
      <c r="I91">
        <v>1</v>
      </c>
    </row>
    <row r="92" spans="1:9" x14ac:dyDescent="0.25">
      <c r="A92">
        <v>19599</v>
      </c>
      <c r="B92" t="s">
        <v>7</v>
      </c>
      <c r="C92" s="2" t="s">
        <v>10908</v>
      </c>
      <c r="D92" s="2"/>
      <c r="E92" s="2" t="str">
        <f>IFERROR(VLOOKUP(1*LEFT(C92,7),DF!$A$1:$F$9447,2,FALSE),"")</f>
        <v>CAMISA MC BAT BLANCA SOLAPA 58/62 RER</v>
      </c>
      <c r="F92" s="2">
        <v>4120110</v>
      </c>
      <c r="G92" t="s">
        <v>12848</v>
      </c>
      <c r="H92" s="2">
        <v>7</v>
      </c>
      <c r="I92">
        <v>1</v>
      </c>
    </row>
    <row r="93" spans="1:9" x14ac:dyDescent="0.25">
      <c r="A93">
        <v>19599</v>
      </c>
      <c r="B93" t="s">
        <v>7</v>
      </c>
      <c r="C93" s="2" t="s">
        <v>12943</v>
      </c>
      <c r="D93" s="2"/>
      <c r="E93" s="2" t="str">
        <f>IFERROR(VLOOKUP(1*LEFT(C93,7),DF!$A$1:$F$9447,2,FALSE),"")</f>
        <v>CAMISA MC BAT BLANCA SOLAPA 64/66 RER</v>
      </c>
      <c r="F93" s="2">
        <v>4120110</v>
      </c>
      <c r="G93" t="s">
        <v>12848</v>
      </c>
      <c r="H93" s="2">
        <v>7</v>
      </c>
      <c r="I93">
        <v>1</v>
      </c>
    </row>
    <row r="94" spans="1:9" x14ac:dyDescent="0.25">
      <c r="A94">
        <v>19599</v>
      </c>
      <c r="B94" t="s">
        <v>7</v>
      </c>
      <c r="C94" t="str">
        <f>CONCATENATE(F94,"##")</f>
        <v>4120860##</v>
      </c>
      <c r="E94" t="str">
        <f>IFERROR(VLOOKUP(1*LEFT(C94,7),DF!$A$1:$F$9447,2,FALSE),"")</f>
        <v>CAMISA MC BAT CEL CORBATA 34/44 RER</v>
      </c>
      <c r="F94">
        <v>4120860</v>
      </c>
      <c r="G94" t="s">
        <v>12980</v>
      </c>
      <c r="H94">
        <v>1</v>
      </c>
      <c r="I94">
        <v>1</v>
      </c>
    </row>
    <row r="95" spans="1:9" x14ac:dyDescent="0.25">
      <c r="A95">
        <v>19599</v>
      </c>
      <c r="B95" t="s">
        <v>7</v>
      </c>
      <c r="C95" t="s">
        <v>4233</v>
      </c>
      <c r="E95" t="str">
        <f>IFERROR(VLOOKUP(1*LEFT(C95,7),DF!$A$1:$F$9447,2,FALSE),"")</f>
        <v>CAMISA MC BAT CEL CORBATA 46/50 RER</v>
      </c>
      <c r="F95">
        <v>4120860</v>
      </c>
      <c r="G95" t="s">
        <v>12980</v>
      </c>
      <c r="H95">
        <v>1</v>
      </c>
      <c r="I95">
        <v>1</v>
      </c>
    </row>
    <row r="96" spans="1:9" x14ac:dyDescent="0.25">
      <c r="A96">
        <v>19599</v>
      </c>
      <c r="B96" t="s">
        <v>7</v>
      </c>
      <c r="C96" t="s">
        <v>12967</v>
      </c>
      <c r="E96" t="str">
        <f>IFERROR(VLOOKUP(1*LEFT(C96,7),DF!$A$1:$F$9447,2,FALSE),"")</f>
        <v>CAMISA MC BAT CEL CORBATA 52/56 RER</v>
      </c>
      <c r="F96">
        <v>4120860</v>
      </c>
      <c r="G96" t="s">
        <v>12980</v>
      </c>
      <c r="H96">
        <v>1</v>
      </c>
      <c r="I96">
        <v>1</v>
      </c>
    </row>
    <row r="97" spans="1:9" x14ac:dyDescent="0.25">
      <c r="A97">
        <v>19599</v>
      </c>
      <c r="B97" t="s">
        <v>7</v>
      </c>
      <c r="C97" t="s">
        <v>12968</v>
      </c>
      <c r="E97" t="str">
        <f>IFERROR(VLOOKUP(1*LEFT(C97,7),DF!$A$1:$F$9447,2,FALSE),"")</f>
        <v>CAMISA MC BAT CEL CORBATA 58/62 RER</v>
      </c>
      <c r="F97">
        <v>4120860</v>
      </c>
      <c r="G97" t="s">
        <v>12980</v>
      </c>
      <c r="H97">
        <v>1</v>
      </c>
      <c r="I97">
        <v>1</v>
      </c>
    </row>
    <row r="98" spans="1:9" x14ac:dyDescent="0.25">
      <c r="A98">
        <v>19599</v>
      </c>
      <c r="B98" t="s">
        <v>7</v>
      </c>
      <c r="C98" t="str">
        <f>CONCATENATE(F98,"##")</f>
        <v>4120239##</v>
      </c>
      <c r="E98" t="str">
        <f>IFERROR(VLOOKUP(1*LEFT(C98,7),DF!$A$1:$F$9447,2,FALSE),"")</f>
        <v>CAMISA MC BAT CEL NQN CORB 34/44 RER</v>
      </c>
      <c r="F98">
        <v>4120239</v>
      </c>
      <c r="G98" t="s">
        <v>12985</v>
      </c>
      <c r="H98">
        <v>1</v>
      </c>
      <c r="I98">
        <v>1</v>
      </c>
    </row>
    <row r="99" spans="1:9" x14ac:dyDescent="0.25">
      <c r="A99">
        <v>19599</v>
      </c>
      <c r="B99" t="s">
        <v>7</v>
      </c>
      <c r="C99" t="s">
        <v>12977</v>
      </c>
      <c r="E99" t="str">
        <f>IFERROR(VLOOKUP(1*LEFT(C99,7),DF!$A$1:$F$9447,2,FALSE),"")</f>
        <v>CAMISA MC BAT CEL NQN CORB 46/50 RER</v>
      </c>
      <c r="F99">
        <v>4120239</v>
      </c>
      <c r="G99" t="s">
        <v>12985</v>
      </c>
      <c r="H99">
        <v>1</v>
      </c>
      <c r="I99">
        <v>1</v>
      </c>
    </row>
    <row r="100" spans="1:9" x14ac:dyDescent="0.25">
      <c r="A100">
        <v>19599</v>
      </c>
      <c r="B100" t="s">
        <v>7</v>
      </c>
      <c r="C100" t="s">
        <v>12978</v>
      </c>
      <c r="E100" t="str">
        <f>IFERROR(VLOOKUP(1*LEFT(C100,7),DF!$A$1:$F$9447,2,FALSE),"")</f>
        <v>CAMISA MC BAT CEL NQN CORB 52/56 RER</v>
      </c>
      <c r="F100">
        <v>4120239</v>
      </c>
      <c r="G100" t="s">
        <v>12985</v>
      </c>
      <c r="H100">
        <v>1</v>
      </c>
      <c r="I100">
        <v>1</v>
      </c>
    </row>
    <row r="101" spans="1:9" x14ac:dyDescent="0.25">
      <c r="A101">
        <v>19599</v>
      </c>
      <c r="B101" t="s">
        <v>7</v>
      </c>
      <c r="C101" s="2" t="str">
        <f>CONCATENATE(F101,"##")</f>
        <v>4120242##</v>
      </c>
      <c r="D101" s="2"/>
      <c r="E101" s="2" t="str">
        <f>IFERROR(VLOOKUP(1*LEFT(C101,7),DF!$A$1:$F$9447,2,FALSE),"")</f>
        <v>CAMISA MC BAT CEL NQN SOLAP 34/44 RER</v>
      </c>
      <c r="F101" s="2">
        <v>4120242</v>
      </c>
      <c r="G101" t="s">
        <v>12849</v>
      </c>
      <c r="H101" s="2">
        <v>7</v>
      </c>
      <c r="I101">
        <v>1</v>
      </c>
    </row>
    <row r="102" spans="1:9" x14ac:dyDescent="0.25">
      <c r="A102">
        <v>19599</v>
      </c>
      <c r="B102" t="s">
        <v>7</v>
      </c>
      <c r="C102" s="2" t="s">
        <v>10905</v>
      </c>
      <c r="D102" s="2"/>
      <c r="E102" s="2" t="str">
        <f>IFERROR(VLOOKUP(1*LEFT(C102,7),DF!$A$1:$F$9447,2,FALSE),"")</f>
        <v>CAMISA MC BAT CEL NQN SOLAP 46/50 RER</v>
      </c>
      <c r="F102" s="2">
        <v>4120242</v>
      </c>
      <c r="G102" t="s">
        <v>12849</v>
      </c>
      <c r="H102">
        <v>7</v>
      </c>
      <c r="I102">
        <v>1</v>
      </c>
    </row>
    <row r="103" spans="1:9" x14ac:dyDescent="0.25">
      <c r="A103">
        <v>19599</v>
      </c>
      <c r="B103" t="s">
        <v>7</v>
      </c>
      <c r="C103" s="2" t="s">
        <v>10906</v>
      </c>
      <c r="D103" s="2"/>
      <c r="E103" s="2" t="str">
        <f>IFERROR(VLOOKUP(1*LEFT(C103,7),DF!$A$1:$F$9447,2,FALSE),"")</f>
        <v>CAMISA MC BAT CEL NQN SOLAP 52/56 RER</v>
      </c>
      <c r="F103" s="2">
        <v>4120242</v>
      </c>
      <c r="G103" t="s">
        <v>12849</v>
      </c>
      <c r="H103">
        <v>7</v>
      </c>
      <c r="I103">
        <v>1</v>
      </c>
    </row>
    <row r="104" spans="1:9" x14ac:dyDescent="0.25">
      <c r="A104">
        <v>19599</v>
      </c>
      <c r="B104" t="s">
        <v>7</v>
      </c>
      <c r="C104" s="2" t="str">
        <f>CONCATENATE(F104,"##")</f>
        <v>4120800##</v>
      </c>
      <c r="D104" s="2"/>
      <c r="E104" s="2" t="str">
        <f>IFERROR(VLOOKUP(1*LEFT(C104,7),DF!$A$1:$F$9447,2,FALSE),"")</f>
        <v>CAMISA MC BAT CEL SOLAPA 34/44 RER</v>
      </c>
      <c r="F104" s="2">
        <v>4120800</v>
      </c>
      <c r="G104" t="s">
        <v>12850</v>
      </c>
      <c r="H104">
        <v>7</v>
      </c>
      <c r="I104">
        <v>1</v>
      </c>
    </row>
    <row r="105" spans="1:9" x14ac:dyDescent="0.25">
      <c r="A105">
        <v>19599</v>
      </c>
      <c r="B105" t="s">
        <v>7</v>
      </c>
      <c r="C105" s="2" t="s">
        <v>2093</v>
      </c>
      <c r="D105" s="2"/>
      <c r="E105" s="2" t="str">
        <f>IFERROR(VLOOKUP(1*LEFT(C105,7),DF!$A$1:$F$9447,2,FALSE),"")</f>
        <v>CAMISA MC BAT CEL SOLAPA 46/50 RER</v>
      </c>
      <c r="F105" s="2">
        <v>4120800</v>
      </c>
      <c r="G105" t="s">
        <v>12850</v>
      </c>
      <c r="H105" s="2">
        <v>7</v>
      </c>
      <c r="I105">
        <v>1</v>
      </c>
    </row>
    <row r="106" spans="1:9" x14ac:dyDescent="0.25">
      <c r="A106">
        <v>19599</v>
      </c>
      <c r="B106" t="s">
        <v>7</v>
      </c>
      <c r="C106" s="2" t="s">
        <v>2101</v>
      </c>
      <c r="D106" s="2"/>
      <c r="E106" s="2" t="str">
        <f>IFERROR(VLOOKUP(1*LEFT(C106,7),DF!$A$1:$F$9447,2,FALSE),"")</f>
        <v>CAMISA MC BAT CEL SOLAPA 52/56 RER</v>
      </c>
      <c r="F106" s="2">
        <v>4120800</v>
      </c>
      <c r="G106" t="s">
        <v>12850</v>
      </c>
      <c r="H106" s="2">
        <v>7</v>
      </c>
      <c r="I106">
        <v>1</v>
      </c>
    </row>
    <row r="107" spans="1:9" x14ac:dyDescent="0.25">
      <c r="A107">
        <v>19599</v>
      </c>
      <c r="B107" t="s">
        <v>7</v>
      </c>
      <c r="C107" s="2" t="s">
        <v>10912</v>
      </c>
      <c r="D107" s="2"/>
      <c r="E107" s="2" t="str">
        <f>IFERROR(VLOOKUP(1*LEFT(C107,7),DF!$A$1:$F$9447,2,FALSE),"")</f>
        <v>CAMISA MC BAT CEL SOLAPA 58/62 RER</v>
      </c>
      <c r="F107" s="2">
        <v>4120800</v>
      </c>
      <c r="G107" t="s">
        <v>12850</v>
      </c>
      <c r="H107" s="2">
        <v>7</v>
      </c>
      <c r="I107">
        <v>1</v>
      </c>
    </row>
    <row r="108" spans="1:9" x14ac:dyDescent="0.25">
      <c r="A108">
        <v>19599</v>
      </c>
      <c r="B108" t="s">
        <v>7</v>
      </c>
      <c r="C108" s="2" t="s">
        <v>12944</v>
      </c>
      <c r="D108" s="2"/>
      <c r="E108" s="2" t="str">
        <f>IFERROR(VLOOKUP(1*LEFT(C108,7),DF!$A$1:$F$9447,2,FALSE),"")</f>
        <v>CAMISA MC BAT CEL SOLAPA 64/68 RER</v>
      </c>
      <c r="F108" s="2">
        <v>4120800</v>
      </c>
      <c r="G108" t="s">
        <v>12850</v>
      </c>
      <c r="H108" s="2">
        <v>7</v>
      </c>
      <c r="I108">
        <v>1</v>
      </c>
    </row>
    <row r="109" spans="1:9" x14ac:dyDescent="0.25">
      <c r="A109">
        <v>19599</v>
      </c>
      <c r="B109" t="s">
        <v>7</v>
      </c>
      <c r="C109" s="2" t="str">
        <f>CONCATENATE(F109,"##")</f>
        <v>4120015##</v>
      </c>
      <c r="D109" s="2"/>
      <c r="E109" s="2" t="str">
        <f>IFERROR(VLOOKUP(1*LEFT(C109,7),DF!$A$1:$F$9447,2,FALSE),"")</f>
        <v>CAMISA MC BAT CELESTE ITAL 32/44 RER</v>
      </c>
      <c r="F109" s="2">
        <v>4120015</v>
      </c>
      <c r="G109" t="s">
        <v>12937</v>
      </c>
      <c r="H109">
        <v>7</v>
      </c>
      <c r="I109">
        <v>1</v>
      </c>
    </row>
    <row r="110" spans="1:9" x14ac:dyDescent="0.25">
      <c r="A110">
        <v>19599</v>
      </c>
      <c r="B110" t="s">
        <v>7</v>
      </c>
      <c r="C110" t="str">
        <f>CONCATENATE(F110,"##")</f>
        <v>4120015##</v>
      </c>
      <c r="E110" t="str">
        <f>IFERROR(VLOOKUP(1*LEFT(C110,7),DF!$A$1:$F$9447,2,FALSE),"")</f>
        <v>CAMISA MC BAT CELESTE ITAL 32/44 RER</v>
      </c>
      <c r="F110">
        <v>4120015</v>
      </c>
      <c r="G110" t="s">
        <v>12937</v>
      </c>
      <c r="H110">
        <v>7</v>
      </c>
      <c r="I110">
        <v>1</v>
      </c>
    </row>
    <row r="111" spans="1:9" x14ac:dyDescent="0.25">
      <c r="A111">
        <v>19599</v>
      </c>
      <c r="B111" t="s">
        <v>7</v>
      </c>
      <c r="C111" s="2" t="s">
        <v>12935</v>
      </c>
      <c r="D111" s="2"/>
      <c r="E111" s="2" t="str">
        <f>IFERROR(VLOOKUP(1*LEFT(C111,7),DF!$A$1:$F$9447,2,FALSE),"")</f>
        <v>CAMISA MC BAT CELESTE ITAL 46/50 RER</v>
      </c>
      <c r="F111" s="2">
        <v>4120015</v>
      </c>
      <c r="G111" t="s">
        <v>12937</v>
      </c>
      <c r="H111">
        <v>7</v>
      </c>
      <c r="I111">
        <v>1</v>
      </c>
    </row>
    <row r="112" spans="1:9" x14ac:dyDescent="0.25">
      <c r="A112">
        <v>19599</v>
      </c>
      <c r="B112" t="s">
        <v>7</v>
      </c>
      <c r="C112" t="s">
        <v>12935</v>
      </c>
      <c r="E112" t="str">
        <f>IFERROR(VLOOKUP(1*LEFT(C112,7),DF!$A$1:$F$9447,2,FALSE),"")</f>
        <v>CAMISA MC BAT CELESTE ITAL 46/50 RER</v>
      </c>
      <c r="F112">
        <v>4120015</v>
      </c>
      <c r="G112" t="s">
        <v>12937</v>
      </c>
      <c r="H112">
        <v>7</v>
      </c>
      <c r="I112">
        <v>1</v>
      </c>
    </row>
    <row r="113" spans="1:9" x14ac:dyDescent="0.25">
      <c r="A113">
        <v>19599</v>
      </c>
      <c r="B113" t="s">
        <v>7</v>
      </c>
      <c r="C113" s="2" t="s">
        <v>12936</v>
      </c>
      <c r="D113" s="2"/>
      <c r="E113" s="2" t="str">
        <f>IFERROR(VLOOKUP(1*LEFT(C113,7),DF!$A$1:$F$9447,2,FALSE),"")</f>
        <v>CAMISA MC BAT CELESTE ITAL 52/56 RER</v>
      </c>
      <c r="F113" s="2">
        <v>4120015</v>
      </c>
      <c r="G113" t="s">
        <v>12937</v>
      </c>
      <c r="H113">
        <v>7</v>
      </c>
      <c r="I113">
        <v>1</v>
      </c>
    </row>
    <row r="114" spans="1:9" x14ac:dyDescent="0.25">
      <c r="A114">
        <v>19599</v>
      </c>
      <c r="B114" t="s">
        <v>7</v>
      </c>
      <c r="C114" t="s">
        <v>12936</v>
      </c>
      <c r="E114" t="str">
        <f>IFERROR(VLOOKUP(1*LEFT(C114,7),DF!$A$1:$F$9447,2,FALSE),"")</f>
        <v>CAMISA MC BAT CELESTE ITAL 52/56 RER</v>
      </c>
      <c r="F114">
        <v>4120015</v>
      </c>
      <c r="G114" t="s">
        <v>12937</v>
      </c>
      <c r="H114">
        <v>7</v>
      </c>
      <c r="I114">
        <v>1</v>
      </c>
    </row>
    <row r="115" spans="1:9" x14ac:dyDescent="0.25">
      <c r="A115">
        <v>19599</v>
      </c>
      <c r="B115" t="s">
        <v>7</v>
      </c>
      <c r="C115" t="str">
        <f>CONCATENATE(F115,"##")</f>
        <v>4120670##</v>
      </c>
      <c r="E115" t="str">
        <f>IFERROR(VLOOKUP(1*LEFT(C115,7),DF!$A$1:$F$9447,2,FALSE),"")</f>
        <v>CAMISA MC BAT GRIS CORBATA 34/44 RER</v>
      </c>
      <c r="F115">
        <v>4120670</v>
      </c>
      <c r="G115" t="s">
        <v>12982</v>
      </c>
      <c r="H115" s="2">
        <v>1</v>
      </c>
      <c r="I115">
        <v>1</v>
      </c>
    </row>
    <row r="116" spans="1:9" x14ac:dyDescent="0.25">
      <c r="A116">
        <v>19599</v>
      </c>
      <c r="B116" t="s">
        <v>7</v>
      </c>
      <c r="C116" t="s">
        <v>4189</v>
      </c>
      <c r="E116" t="str">
        <f>IFERROR(VLOOKUP(1*LEFT(C116,7),DF!$A$1:$F$9447,2,FALSE),"")</f>
        <v>CAMISA MC BAT GRIS CORBATA 46/50 RER</v>
      </c>
      <c r="F116">
        <v>4120670</v>
      </c>
      <c r="G116" t="s">
        <v>12982</v>
      </c>
      <c r="H116" s="2">
        <v>1</v>
      </c>
      <c r="I116">
        <v>1</v>
      </c>
    </row>
    <row r="117" spans="1:9" x14ac:dyDescent="0.25">
      <c r="A117">
        <v>19599</v>
      </c>
      <c r="B117" t="s">
        <v>7</v>
      </c>
      <c r="C117" t="s">
        <v>12972</v>
      </c>
      <c r="E117" t="str">
        <f>IFERROR(VLOOKUP(1*LEFT(C117,7),DF!$A$1:$F$9447,2,FALSE),"")</f>
        <v>CAMISA MC BAT GRIS CORBATA 52/56 RER</v>
      </c>
      <c r="F117">
        <v>4120670</v>
      </c>
      <c r="G117" t="s">
        <v>12982</v>
      </c>
      <c r="H117" s="2">
        <v>1</v>
      </c>
      <c r="I117">
        <v>1</v>
      </c>
    </row>
    <row r="118" spans="1:9" x14ac:dyDescent="0.25">
      <c r="A118">
        <v>19599</v>
      </c>
      <c r="B118" t="s">
        <v>7</v>
      </c>
      <c r="C118" t="s">
        <v>12973</v>
      </c>
      <c r="E118" t="str">
        <f>IFERROR(VLOOKUP(1*LEFT(C118,7),DF!$A$1:$F$9447,2,FALSE),"")</f>
        <v>CAMISA MC BAT GRIS CORBATA 58/62 RER</v>
      </c>
      <c r="F118">
        <v>4120670</v>
      </c>
      <c r="G118" t="s">
        <v>12982</v>
      </c>
      <c r="H118">
        <v>1</v>
      </c>
      <c r="I118">
        <v>1</v>
      </c>
    </row>
    <row r="119" spans="1:9" x14ac:dyDescent="0.25">
      <c r="A119">
        <v>19599</v>
      </c>
      <c r="B119" t="s">
        <v>7</v>
      </c>
      <c r="C119" s="2" t="str">
        <f>CONCATENATE(F119,"##")</f>
        <v>4120567##</v>
      </c>
      <c r="D119" s="2"/>
      <c r="E119" s="2" t="str">
        <f>IFERROR(VLOOKUP(1*LEFT(C119,7),DF!$A$1:$F$9447,2,FALSE),"")</f>
        <v>CAMISA MC BAT GRIS SOLAPA 34/44 RER</v>
      </c>
      <c r="F119" s="2">
        <v>4120567</v>
      </c>
      <c r="G119" t="s">
        <v>12851</v>
      </c>
      <c r="H119">
        <v>7</v>
      </c>
      <c r="I119">
        <v>1</v>
      </c>
    </row>
    <row r="120" spans="1:9" x14ac:dyDescent="0.25">
      <c r="A120">
        <v>19599</v>
      </c>
      <c r="B120" t="s">
        <v>7</v>
      </c>
      <c r="C120" s="2" t="s">
        <v>3021</v>
      </c>
      <c r="D120" s="2"/>
      <c r="E120" s="2" t="str">
        <f>IFERROR(VLOOKUP(1*LEFT(C120,7),DF!$A$1:$F$9447,2,FALSE),"")</f>
        <v>CAMISA MC BAT GRIS SOLAPA 46/50 RER</v>
      </c>
      <c r="F120" s="2">
        <v>4120567</v>
      </c>
      <c r="G120" t="s">
        <v>12851</v>
      </c>
      <c r="H120">
        <v>7</v>
      </c>
      <c r="I120">
        <v>1</v>
      </c>
    </row>
    <row r="121" spans="1:9" x14ac:dyDescent="0.25">
      <c r="A121">
        <v>19599</v>
      </c>
      <c r="B121" t="s">
        <v>7</v>
      </c>
      <c r="C121" s="2" t="s">
        <v>4999</v>
      </c>
      <c r="D121" s="2"/>
      <c r="E121" s="2" t="str">
        <f>IFERROR(VLOOKUP(1*LEFT(C121,7),DF!$A$1:$F$9447,2,FALSE),"")</f>
        <v>CAMISA MC BAT GRIS SOLAPA 52/56 RER</v>
      </c>
      <c r="F121" s="2">
        <v>4120567</v>
      </c>
      <c r="G121" t="s">
        <v>12851</v>
      </c>
      <c r="H121">
        <v>7</v>
      </c>
      <c r="I121">
        <v>1</v>
      </c>
    </row>
    <row r="122" spans="1:9" x14ac:dyDescent="0.25">
      <c r="A122">
        <v>19599</v>
      </c>
      <c r="B122" t="s">
        <v>7</v>
      </c>
      <c r="C122" t="str">
        <f>CONCATENATE(F122,"##")</f>
        <v>4120007##</v>
      </c>
      <c r="E122" t="str">
        <f>IFERROR(VLOOKUP(1*LEFT(C122,7),DF!$A$1:$F$9447,2,FALSE),"")</f>
        <v>CAMISA MC BAT GRIS TORC CORB 34/44 RER</v>
      </c>
      <c r="F122">
        <v>4120007</v>
      </c>
      <c r="G122" t="s">
        <v>12986</v>
      </c>
      <c r="H122">
        <v>1</v>
      </c>
      <c r="I122">
        <v>1</v>
      </c>
    </row>
    <row r="123" spans="1:9" x14ac:dyDescent="0.25">
      <c r="A123">
        <v>19599</v>
      </c>
      <c r="B123" t="s">
        <v>7</v>
      </c>
      <c r="C123" t="s">
        <v>4971</v>
      </c>
      <c r="E123" t="str">
        <f>IFERROR(VLOOKUP(1*LEFT(C123,7),DF!$A$1:$F$9447,2,FALSE),"")</f>
        <v>CAMISA MC BAT GRIS TORC CORB 46/50 RER</v>
      </c>
      <c r="F123">
        <v>4120007</v>
      </c>
      <c r="G123" t="s">
        <v>12986</v>
      </c>
      <c r="H123">
        <v>1</v>
      </c>
      <c r="I123">
        <v>1</v>
      </c>
    </row>
    <row r="124" spans="1:9" x14ac:dyDescent="0.25">
      <c r="A124">
        <v>19599</v>
      </c>
      <c r="B124" t="s">
        <v>7</v>
      </c>
      <c r="C124" t="s">
        <v>4979</v>
      </c>
      <c r="E124" t="str">
        <f>IFERROR(VLOOKUP(1*LEFT(C124,7),DF!$A$1:$F$9447,2,FALSE),"")</f>
        <v>CAMISA MC BAT GRIS TORC CORB 52/56 RER</v>
      </c>
      <c r="F124">
        <v>4120007</v>
      </c>
      <c r="G124" t="s">
        <v>12986</v>
      </c>
      <c r="H124">
        <v>1</v>
      </c>
      <c r="I124">
        <v>1</v>
      </c>
    </row>
    <row r="125" spans="1:9" x14ac:dyDescent="0.25">
      <c r="A125" s="2">
        <v>19599</v>
      </c>
      <c r="B125" s="2" t="s">
        <v>7</v>
      </c>
      <c r="C125" s="2" t="str">
        <f>CONCATENATE(F125,"##")</f>
        <v>4120042##</v>
      </c>
      <c r="D125" s="2"/>
      <c r="E125" s="2" t="str">
        <f>IFERROR(VLOOKUP(1*LEFT(C125,7),DF!$A$1:$F$9447,2,FALSE),"")</f>
        <v>CAMISA MC BAT GRIS TORC SOLAPA 34/44 RER</v>
      </c>
      <c r="F125" s="2">
        <v>4120042</v>
      </c>
      <c r="G125" t="s">
        <v>12852</v>
      </c>
      <c r="H125">
        <v>7</v>
      </c>
      <c r="I125">
        <v>1</v>
      </c>
    </row>
    <row r="126" spans="1:9" x14ac:dyDescent="0.25">
      <c r="A126" s="2">
        <v>19599</v>
      </c>
      <c r="B126" s="2" t="s">
        <v>7</v>
      </c>
      <c r="C126" s="2" t="s">
        <v>4256</v>
      </c>
      <c r="D126" s="2"/>
      <c r="E126" s="2" t="str">
        <f>IFERROR(VLOOKUP(1*LEFT(C126,7),DF!$A$1:$F$9447,2,FALSE),"")</f>
        <v>CAMISA MC BAT GRIS TORC SOLAPA 46/50 RER</v>
      </c>
      <c r="F126" s="2">
        <v>4120042</v>
      </c>
      <c r="G126" s="2" t="s">
        <v>12852</v>
      </c>
      <c r="H126" s="2">
        <v>7</v>
      </c>
      <c r="I126">
        <v>1</v>
      </c>
    </row>
    <row r="127" spans="1:9" x14ac:dyDescent="0.25">
      <c r="A127" s="2">
        <v>19599</v>
      </c>
      <c r="B127" s="2" t="s">
        <v>7</v>
      </c>
      <c r="C127" s="2" t="s">
        <v>8382</v>
      </c>
      <c r="D127" s="2"/>
      <c r="E127" s="2" t="str">
        <f>IFERROR(VLOOKUP(1*LEFT(C127,7),DF!$A$1:$F$9447,2,FALSE),"")</f>
        <v>CAMISA MC BAT GRIS TORC SOLAPA 52/56 RER</v>
      </c>
      <c r="F127" s="2">
        <v>4120042</v>
      </c>
      <c r="G127" s="2" t="s">
        <v>12852</v>
      </c>
      <c r="H127" s="2">
        <v>7</v>
      </c>
      <c r="I127">
        <v>1</v>
      </c>
    </row>
    <row r="128" spans="1:9" x14ac:dyDescent="0.25">
      <c r="A128" s="2">
        <v>19599</v>
      </c>
      <c r="B128" s="2" t="s">
        <v>7</v>
      </c>
      <c r="C128" s="2" t="s">
        <v>12945</v>
      </c>
      <c r="D128" s="2"/>
      <c r="E128" s="2" t="str">
        <f>IFERROR(VLOOKUP(1*LEFT(C128,7),DF!$A$1:$F$9447,2,FALSE),"")</f>
        <v>CAMISA MC BAT GRIS TORC SOLAPA 58/62 RER</v>
      </c>
      <c r="F128" s="2">
        <v>4120042</v>
      </c>
      <c r="G128" s="2" t="s">
        <v>12852</v>
      </c>
      <c r="H128" s="2">
        <v>7</v>
      </c>
      <c r="I128">
        <v>1</v>
      </c>
    </row>
    <row r="129" spans="1:9" x14ac:dyDescent="0.25">
      <c r="A129" s="2">
        <v>19599</v>
      </c>
      <c r="B129" s="2" t="s">
        <v>7</v>
      </c>
      <c r="C129" t="str">
        <f>CONCATENATE(F129,"##")</f>
        <v>4120700##</v>
      </c>
      <c r="E129" t="str">
        <f>IFERROR(VLOOKUP(1*LEFT(C129,7),DF!$A$1:$F$9447,2,FALSE),"")</f>
        <v>CAMISA MC BAT NEGRA CORBATA 34/44 RER</v>
      </c>
      <c r="F129">
        <v>4120700</v>
      </c>
      <c r="G129" t="s">
        <v>12983</v>
      </c>
      <c r="H129">
        <v>1</v>
      </c>
      <c r="I129">
        <v>1</v>
      </c>
    </row>
    <row r="130" spans="1:9" x14ac:dyDescent="0.25">
      <c r="A130" s="2">
        <v>19599</v>
      </c>
      <c r="B130" s="2" t="s">
        <v>7</v>
      </c>
      <c r="C130" t="s">
        <v>4211</v>
      </c>
      <c r="E130" t="str">
        <f>IFERROR(VLOOKUP(1*LEFT(C130,7),DF!$A$1:$F$9447,2,FALSE),"")</f>
        <v>CAMISA MC BAT NEGRA CORBATA 46/50 RER</v>
      </c>
      <c r="F130">
        <v>4120700</v>
      </c>
      <c r="G130" t="s">
        <v>12983</v>
      </c>
      <c r="H130">
        <v>1</v>
      </c>
      <c r="I130">
        <v>1</v>
      </c>
    </row>
    <row r="131" spans="1:9" x14ac:dyDescent="0.25">
      <c r="A131" s="2">
        <v>19599</v>
      </c>
      <c r="B131" s="2" t="s">
        <v>7</v>
      </c>
      <c r="C131" t="s">
        <v>12974</v>
      </c>
      <c r="E131" t="str">
        <f>IFERROR(VLOOKUP(1*LEFT(C131,7),DF!$A$1:$F$9447,2,FALSE),"")</f>
        <v>CAMISA MC BAT NEGRA CORBATA 52/56 RER</v>
      </c>
      <c r="F131">
        <v>4120700</v>
      </c>
      <c r="G131" t="s">
        <v>12983</v>
      </c>
      <c r="H131">
        <v>1</v>
      </c>
      <c r="I131">
        <v>1</v>
      </c>
    </row>
    <row r="132" spans="1:9" x14ac:dyDescent="0.25">
      <c r="A132" s="2">
        <v>19599</v>
      </c>
      <c r="B132" s="2" t="s">
        <v>7</v>
      </c>
      <c r="C132" s="2" t="str">
        <f>CONCATENATE(F132,"##")</f>
        <v>4120982##</v>
      </c>
      <c r="D132" s="2"/>
      <c r="E132" s="2" t="str">
        <f>IFERROR(VLOOKUP(1*LEFT(C132,7),DF!$A$1:$F$9447,2,FALSE),"")</f>
        <v>CAMISA MC BAT NEGRA SOLAPA 34/44 RER</v>
      </c>
      <c r="F132" s="2">
        <v>4120982</v>
      </c>
      <c r="G132" t="s">
        <v>12853</v>
      </c>
      <c r="H132">
        <v>7</v>
      </c>
      <c r="I132">
        <v>1</v>
      </c>
    </row>
    <row r="133" spans="1:9" x14ac:dyDescent="0.25">
      <c r="A133" s="2">
        <v>19599</v>
      </c>
      <c r="B133" s="2" t="s">
        <v>7</v>
      </c>
      <c r="C133" s="2" t="s">
        <v>2991</v>
      </c>
      <c r="D133" s="2"/>
      <c r="E133" s="2" t="str">
        <f>IFERROR(VLOOKUP(1*LEFT(C133,7),DF!$A$1:$F$9447,2,FALSE),"")</f>
        <v>CAMISA MC BAT NEGRA SOLAPA 46/50 RER</v>
      </c>
      <c r="F133" s="2">
        <v>4120982</v>
      </c>
      <c r="G133" t="s">
        <v>12853</v>
      </c>
      <c r="H133">
        <v>7</v>
      </c>
      <c r="I133">
        <v>1</v>
      </c>
    </row>
    <row r="134" spans="1:9" x14ac:dyDescent="0.25">
      <c r="A134" s="2">
        <v>19599</v>
      </c>
      <c r="B134" s="2" t="s">
        <v>7</v>
      </c>
      <c r="C134" s="2" t="s">
        <v>2999</v>
      </c>
      <c r="D134" s="2"/>
      <c r="E134" s="2" t="str">
        <f>IFERROR(VLOOKUP(1*LEFT(C134,7),DF!$A$1:$F$9447,2,FALSE),"")</f>
        <v>CAMISA MC BAT NEGRA SOLAPA 52/56 RER</v>
      </c>
      <c r="F134" s="2">
        <v>4120982</v>
      </c>
      <c r="G134" t="s">
        <v>12853</v>
      </c>
      <c r="H134">
        <v>7</v>
      </c>
      <c r="I134">
        <v>1</v>
      </c>
    </row>
    <row r="135" spans="1:9" x14ac:dyDescent="0.25">
      <c r="A135" s="2">
        <v>19599</v>
      </c>
      <c r="B135" s="2" t="s">
        <v>7</v>
      </c>
      <c r="C135" s="2" t="s">
        <v>12946</v>
      </c>
      <c r="D135" s="2"/>
      <c r="E135" s="2" t="str">
        <f>IFERROR(VLOOKUP(1*LEFT(C135,7),DF!$A$1:$F$9447,2,FALSE),"")</f>
        <v>CAMISA MC BAT NEGRA SOLAPA 58/62 RER</v>
      </c>
      <c r="F135" s="2">
        <v>4120982</v>
      </c>
      <c r="G135" t="s">
        <v>12853</v>
      </c>
      <c r="H135">
        <v>7</v>
      </c>
      <c r="I135">
        <v>1</v>
      </c>
    </row>
    <row r="136" spans="1:9" x14ac:dyDescent="0.25">
      <c r="A136" s="2">
        <v>19599</v>
      </c>
      <c r="B136" s="2" t="s">
        <v>7</v>
      </c>
      <c r="C136" s="2" t="str">
        <f>CONCATENATE(F136,"##")</f>
        <v>4120074##</v>
      </c>
      <c r="D136" s="2"/>
      <c r="E136" s="2" t="str">
        <f>IFERROR(VLOOKUP(1*LEFT(C136,7),DF!$A$1:$F$9447,2,FALSE),"")</f>
        <v>CAMISA MC BLANCA SOLAPA VIP 34/44</v>
      </c>
      <c r="F136" s="2">
        <v>4120074</v>
      </c>
      <c r="G136" t="s">
        <v>12955</v>
      </c>
      <c r="H136">
        <v>7</v>
      </c>
      <c r="I136">
        <v>1</v>
      </c>
    </row>
    <row r="137" spans="1:9" x14ac:dyDescent="0.25">
      <c r="A137" s="2">
        <v>19599</v>
      </c>
      <c r="B137" s="2" t="s">
        <v>7</v>
      </c>
      <c r="C137" s="2" t="s">
        <v>12947</v>
      </c>
      <c r="D137" s="2"/>
      <c r="E137" s="2" t="str">
        <f>IFERROR(VLOOKUP(1*LEFT(C137,7),DF!$A$1:$F$9447,2,FALSE),"")</f>
        <v>CAMISA MC BLANCA SOLAPA VIP 46/50</v>
      </c>
      <c r="F137" s="2">
        <v>4120074</v>
      </c>
      <c r="G137" t="s">
        <v>12955</v>
      </c>
      <c r="H137">
        <v>7</v>
      </c>
      <c r="I137">
        <v>1</v>
      </c>
    </row>
    <row r="138" spans="1:9" x14ac:dyDescent="0.25">
      <c r="A138" s="2">
        <v>19599</v>
      </c>
      <c r="B138" s="2" t="s">
        <v>7</v>
      </c>
      <c r="C138" s="2" t="s">
        <v>12948</v>
      </c>
      <c r="D138" s="2"/>
      <c r="E138" s="2" t="str">
        <f>IFERROR(VLOOKUP(1*LEFT(C138,7),DF!$A$1:$F$9447,2,FALSE),"")</f>
        <v>CAMISA MC BLANCA SOLAPA VIP 52/56</v>
      </c>
      <c r="F138" s="2">
        <v>4120074</v>
      </c>
      <c r="G138" t="s">
        <v>12955</v>
      </c>
      <c r="H138">
        <v>7</v>
      </c>
      <c r="I138">
        <v>1</v>
      </c>
    </row>
    <row r="139" spans="1:9" x14ac:dyDescent="0.25">
      <c r="A139" s="2">
        <v>19599</v>
      </c>
      <c r="B139" s="2" t="s">
        <v>7</v>
      </c>
      <c r="C139" s="2" t="s">
        <v>12949</v>
      </c>
      <c r="D139" s="2"/>
      <c r="E139" s="2" t="str">
        <f>IFERROR(VLOOKUP(1*LEFT(C139,7),DF!$A$1:$F$9447,2,FALSE),"")</f>
        <v>CAMISA MC BLANCA SOLAPA VIP 58/66</v>
      </c>
      <c r="F139" s="2">
        <v>4120074</v>
      </c>
      <c r="G139" t="s">
        <v>12955</v>
      </c>
      <c r="H139">
        <v>7</v>
      </c>
      <c r="I139">
        <v>1</v>
      </c>
    </row>
    <row r="140" spans="1:9" x14ac:dyDescent="0.25">
      <c r="A140">
        <v>19599</v>
      </c>
      <c r="B140" t="s">
        <v>7</v>
      </c>
      <c r="C140" s="2" t="str">
        <f>CONCATENATE(F140,"##")</f>
        <v>4120070##</v>
      </c>
      <c r="D140" s="2"/>
      <c r="E140" s="2" t="str">
        <f>IFERROR(VLOOKUP(1*LEFT(C140,7),DF!$A$1:$F$9447,2,FALSE),"")</f>
        <v>CAMISA MC CEL SOLAPA VIP 34/44</v>
      </c>
      <c r="F140" s="2">
        <v>4120070</v>
      </c>
      <c r="G140" t="s">
        <v>12956</v>
      </c>
      <c r="H140">
        <v>7</v>
      </c>
      <c r="I140">
        <v>1</v>
      </c>
    </row>
    <row r="141" spans="1:9" x14ac:dyDescent="0.25">
      <c r="A141">
        <v>19599</v>
      </c>
      <c r="B141" t="s">
        <v>7</v>
      </c>
      <c r="C141" s="2" t="s">
        <v>12950</v>
      </c>
      <c r="D141" s="2"/>
      <c r="E141" s="2" t="str">
        <f>IFERROR(VLOOKUP(1*LEFT(C141,7),DF!$A$1:$F$9447,2,FALSE),"")</f>
        <v>CAMISA MC CEL SOLAPA VIP 46/50</v>
      </c>
      <c r="F141" s="2">
        <v>4120070</v>
      </c>
      <c r="G141" t="s">
        <v>12956</v>
      </c>
      <c r="H141">
        <v>7</v>
      </c>
      <c r="I141">
        <v>1</v>
      </c>
    </row>
    <row r="142" spans="1:9" x14ac:dyDescent="0.25">
      <c r="A142">
        <v>19599</v>
      </c>
      <c r="B142" t="s">
        <v>7</v>
      </c>
      <c r="C142" s="2" t="s">
        <v>12951</v>
      </c>
      <c r="D142" s="2"/>
      <c r="E142" s="2" t="str">
        <f>IFERROR(VLOOKUP(1*LEFT(C142,7),DF!$A$1:$F$9447,2,FALSE),"")</f>
        <v>CAMISA MC CEL SOLAPA VIP 52/56</v>
      </c>
      <c r="F142" s="2">
        <v>4120070</v>
      </c>
      <c r="G142" t="s">
        <v>12956</v>
      </c>
      <c r="H142">
        <v>7</v>
      </c>
      <c r="I142">
        <v>1</v>
      </c>
    </row>
    <row r="143" spans="1:9" x14ac:dyDescent="0.25">
      <c r="A143">
        <v>19599</v>
      </c>
      <c r="B143" t="s">
        <v>7</v>
      </c>
      <c r="C143" s="2" t="s">
        <v>12952</v>
      </c>
      <c r="D143" s="2"/>
      <c r="E143" s="2" t="str">
        <f>IFERROR(VLOOKUP(1*LEFT(C143,7),DF!$A$1:$F$9447,2,FALSE),"")</f>
        <v>CAMISA MC CEL SOLAPA VIP 58/66</v>
      </c>
      <c r="F143" s="2">
        <v>4120070</v>
      </c>
      <c r="G143" t="s">
        <v>12956</v>
      </c>
      <c r="H143">
        <v>7</v>
      </c>
      <c r="I143">
        <v>1</v>
      </c>
    </row>
    <row r="144" spans="1:9" x14ac:dyDescent="0.25">
      <c r="A144">
        <v>19599</v>
      </c>
      <c r="B144" t="s">
        <v>7</v>
      </c>
      <c r="C144" s="2" t="str">
        <f>CONCATENATE(F144,"##")</f>
        <v>4120078##</v>
      </c>
      <c r="D144" s="2"/>
      <c r="E144" s="2" t="str">
        <f>IFERROR(VLOOKUP(1*LEFT(C144,7),DF!$A$1:$F$9447,2,FALSE),"")</f>
        <v>CAMISA MC GRIS SOLAPA VIP 34/44</v>
      </c>
      <c r="F144" s="2">
        <v>4120078</v>
      </c>
      <c r="G144" t="s">
        <v>12961</v>
      </c>
      <c r="H144">
        <v>7</v>
      </c>
      <c r="I144">
        <v>1</v>
      </c>
    </row>
    <row r="145" spans="1:9" x14ac:dyDescent="0.25">
      <c r="A145">
        <v>19599</v>
      </c>
      <c r="B145" t="s">
        <v>7</v>
      </c>
      <c r="C145" s="2" t="s">
        <v>12958</v>
      </c>
      <c r="D145" s="2"/>
      <c r="E145" s="2" t="str">
        <f>IFERROR(VLOOKUP(1*LEFT(C145,7),DF!$A$1:$F$9447,2,FALSE),"")</f>
        <v>CAMISA MC GRIS SOLAPA VIP 46/50</v>
      </c>
      <c r="F145" s="2">
        <v>4120078</v>
      </c>
      <c r="G145" t="s">
        <v>12961</v>
      </c>
      <c r="H145">
        <v>7</v>
      </c>
      <c r="I145">
        <v>1</v>
      </c>
    </row>
    <row r="146" spans="1:9" x14ac:dyDescent="0.25">
      <c r="A146">
        <v>19599</v>
      </c>
      <c r="B146" t="s">
        <v>7</v>
      </c>
      <c r="C146" s="2" t="s">
        <v>12959</v>
      </c>
      <c r="D146" s="2"/>
      <c r="E146" s="2" t="str">
        <f>IFERROR(VLOOKUP(1*LEFT(C146,7),DF!$A$1:$F$9447,2,FALSE),"")</f>
        <v>CAMISA MC GRIS SOLAPA VIP 52/56</v>
      </c>
      <c r="F146" s="2">
        <v>4120078</v>
      </c>
      <c r="G146" t="s">
        <v>12961</v>
      </c>
      <c r="H146">
        <v>7</v>
      </c>
      <c r="I146">
        <v>1</v>
      </c>
    </row>
    <row r="147" spans="1:9" x14ac:dyDescent="0.25">
      <c r="A147">
        <v>19599</v>
      </c>
      <c r="B147" t="s">
        <v>7</v>
      </c>
      <c r="C147" s="2" t="s">
        <v>12960</v>
      </c>
      <c r="D147" s="2"/>
      <c r="E147" s="2" t="str">
        <f>IFERROR(VLOOKUP(1*LEFT(C147,7),DF!$A$1:$F$9447,2,FALSE),"")</f>
        <v>CAMISA MC GRIS SOLAPA VIP 58/66</v>
      </c>
      <c r="F147" s="2">
        <v>4120078</v>
      </c>
      <c r="G147" t="s">
        <v>12961</v>
      </c>
      <c r="H147">
        <v>7</v>
      </c>
      <c r="I147">
        <v>1</v>
      </c>
    </row>
    <row r="148" spans="1:9" x14ac:dyDescent="0.25">
      <c r="A148">
        <v>19599</v>
      </c>
      <c r="B148" t="s">
        <v>7</v>
      </c>
      <c r="C148" s="2" t="str">
        <f>CONCATENATE(F148,"##")</f>
        <v>4120082##</v>
      </c>
      <c r="D148" s="2"/>
      <c r="E148" s="2" t="str">
        <f>IFERROR(VLOOKUP(1*LEFT(C148,7),DF!$A$1:$F$9447,2,FALSE),"")</f>
        <v>CAMISA MC NEGRA SOLAPA VIP 34/44</v>
      </c>
      <c r="F148" s="2">
        <v>4120082</v>
      </c>
      <c r="G148" t="s">
        <v>12965</v>
      </c>
      <c r="H148">
        <v>7</v>
      </c>
      <c r="I148">
        <v>1</v>
      </c>
    </row>
    <row r="149" spans="1:9" x14ac:dyDescent="0.25">
      <c r="A149">
        <v>19599</v>
      </c>
      <c r="B149" t="s">
        <v>7</v>
      </c>
      <c r="C149" s="2" t="s">
        <v>12962</v>
      </c>
      <c r="D149" s="2"/>
      <c r="E149" s="2" t="str">
        <f>IFERROR(VLOOKUP(1*LEFT(C149,7),DF!$A$1:$F$9447,2,FALSE),"")</f>
        <v>CAMISA MC NEGRA SOLAPA VIP 46/50</v>
      </c>
      <c r="F149" s="2">
        <v>4120082</v>
      </c>
      <c r="G149" t="s">
        <v>12965</v>
      </c>
      <c r="H149">
        <v>7</v>
      </c>
      <c r="I149">
        <v>1</v>
      </c>
    </row>
    <row r="150" spans="1:9" x14ac:dyDescent="0.25">
      <c r="A150">
        <v>19599</v>
      </c>
      <c r="B150" t="s">
        <v>7</v>
      </c>
      <c r="C150" s="2" t="s">
        <v>12963</v>
      </c>
      <c r="D150" s="2"/>
      <c r="E150" s="2" t="str">
        <f>IFERROR(VLOOKUP(1*LEFT(C150,7),DF!$A$1:$F$9447,2,FALSE),"")</f>
        <v>CAMISA MC NEGRA SOLAPA VIP 52/56</v>
      </c>
      <c r="F150" s="2">
        <v>4120082</v>
      </c>
      <c r="G150" t="s">
        <v>12965</v>
      </c>
      <c r="H150">
        <v>7</v>
      </c>
      <c r="I150">
        <v>1</v>
      </c>
    </row>
    <row r="151" spans="1:9" x14ac:dyDescent="0.25">
      <c r="A151">
        <v>19599</v>
      </c>
      <c r="B151" t="s">
        <v>7</v>
      </c>
      <c r="C151" s="2" t="s">
        <v>12964</v>
      </c>
      <c r="D151" s="2"/>
      <c r="E151" s="2" t="str">
        <f>IFERROR(VLOOKUP(1*LEFT(C151,7),DF!$A$1:$F$9447,2,FALSE),"")</f>
        <v>CAMISA MC NEGRA SOLAPA VIP 58/66</v>
      </c>
      <c r="F151" s="2">
        <v>4120082</v>
      </c>
      <c r="G151" t="s">
        <v>12965</v>
      </c>
      <c r="H151">
        <v>7</v>
      </c>
      <c r="I151">
        <v>1</v>
      </c>
    </row>
    <row r="152" spans="1:9" x14ac:dyDescent="0.25">
      <c r="A152">
        <v>16522</v>
      </c>
      <c r="B152" t="s">
        <v>7</v>
      </c>
      <c r="C152" t="str">
        <f>CONCATENATE(F152,"##")</f>
        <v>4120853##</v>
      </c>
      <c r="E152" t="str">
        <f>IFERROR(VLOOKUP(1*LEFT(C152,7),DF!$A$1:$F$9447,2,FALSE),"")</f>
        <v>CAMISA ML BAT AZUL 34/44 RER</v>
      </c>
      <c r="F152">
        <v>4120853</v>
      </c>
      <c r="G152" t="s">
        <v>13000</v>
      </c>
      <c r="H152">
        <v>3</v>
      </c>
      <c r="I152">
        <v>1</v>
      </c>
    </row>
    <row r="153" spans="1:9" x14ac:dyDescent="0.25">
      <c r="A153">
        <v>16522</v>
      </c>
      <c r="B153" t="s">
        <v>7</v>
      </c>
      <c r="C153" t="s">
        <v>3153</v>
      </c>
      <c r="E153" t="str">
        <f>IFERROR(VLOOKUP(1*LEFT(C153,7),DF!$A$1:$F$9447,2,FALSE),"")</f>
        <v>CAMISA ML BAT AZUL 46/50 RER</v>
      </c>
      <c r="F153">
        <v>4120853</v>
      </c>
      <c r="G153" t="s">
        <v>13000</v>
      </c>
      <c r="H153">
        <v>3</v>
      </c>
      <c r="I153">
        <v>1</v>
      </c>
    </row>
    <row r="154" spans="1:9" x14ac:dyDescent="0.25">
      <c r="A154">
        <v>16522</v>
      </c>
      <c r="B154" t="s">
        <v>7</v>
      </c>
      <c r="C154" t="s">
        <v>3161</v>
      </c>
      <c r="E154" t="str">
        <f>IFERROR(VLOOKUP(1*LEFT(C154,7),DF!$A$1:$F$9447,2,FALSE),"")</f>
        <v>CAMISA ML BAT AZUL 52/56 RER</v>
      </c>
      <c r="F154">
        <v>4120853</v>
      </c>
      <c r="G154" t="s">
        <v>13000</v>
      </c>
      <c r="H154">
        <v>3</v>
      </c>
      <c r="I154">
        <v>1</v>
      </c>
    </row>
    <row r="155" spans="1:9" x14ac:dyDescent="0.25">
      <c r="A155">
        <v>19599</v>
      </c>
      <c r="B155" t="s">
        <v>7</v>
      </c>
      <c r="C155" t="str">
        <f>CONCATENATE(F155,"##")</f>
        <v>4130771##</v>
      </c>
      <c r="E155" t="str">
        <f>IFERROR(VLOOKUP(1*LEFT(C155,7),DF!$A$1:$F$9447,2,FALSE),"")</f>
        <v>CAMISA ML BAT BEIGE LMGE 34/44 RER</v>
      </c>
      <c r="F155" s="7">
        <v>4130771</v>
      </c>
      <c r="G155" t="s">
        <v>12924</v>
      </c>
      <c r="H155">
        <v>2</v>
      </c>
      <c r="I155">
        <v>1</v>
      </c>
    </row>
    <row r="156" spans="1:9" x14ac:dyDescent="0.25">
      <c r="A156">
        <v>19599</v>
      </c>
      <c r="B156" t="s">
        <v>7</v>
      </c>
      <c r="C156" t="s">
        <v>12923</v>
      </c>
      <c r="E156" t="str">
        <f>IFERROR(VLOOKUP(1*LEFT(C156,7),DF!$A$1:$F$9447,2,FALSE),"")</f>
        <v>CAMISA ML BAT BEIGE LMGE 46/50 RER</v>
      </c>
      <c r="F156" s="7">
        <v>4130771</v>
      </c>
      <c r="G156" t="s">
        <v>12924</v>
      </c>
      <c r="H156">
        <v>2</v>
      </c>
      <c r="I156">
        <v>1</v>
      </c>
    </row>
    <row r="157" spans="1:9" x14ac:dyDescent="0.25">
      <c r="A157">
        <v>16522</v>
      </c>
      <c r="B157" t="s">
        <v>7</v>
      </c>
      <c r="C157" t="str">
        <f>CONCATENATE(F157,"##")</f>
        <v>4120100##</v>
      </c>
      <c r="E157" t="str">
        <f>IFERROR(VLOOKUP(1*LEFT(C157,7),DF!$A$1:$F$9447,2,FALSE),"")</f>
        <v>CAMISA ML BAT BLANCA 34/44 RER</v>
      </c>
      <c r="F157">
        <v>4120100</v>
      </c>
      <c r="G157" t="s">
        <v>13001</v>
      </c>
      <c r="H157">
        <v>4</v>
      </c>
      <c r="I157">
        <v>1</v>
      </c>
    </row>
    <row r="158" spans="1:9" x14ac:dyDescent="0.25">
      <c r="A158">
        <v>16522</v>
      </c>
      <c r="B158" t="s">
        <v>7</v>
      </c>
      <c r="C158" t="s">
        <v>3467</v>
      </c>
      <c r="E158" t="str">
        <f>IFERROR(VLOOKUP(1*LEFT(C158,7),DF!$A$1:$F$9447,2,FALSE),"")</f>
        <v>CAMISA ML BAT BLANCA 46/50 RER</v>
      </c>
      <c r="F158">
        <v>4120100</v>
      </c>
      <c r="G158" t="s">
        <v>13001</v>
      </c>
      <c r="H158">
        <v>4</v>
      </c>
      <c r="I158">
        <v>1</v>
      </c>
    </row>
    <row r="159" spans="1:9" x14ac:dyDescent="0.25">
      <c r="A159">
        <v>16522</v>
      </c>
      <c r="B159" t="s">
        <v>7</v>
      </c>
      <c r="C159" t="s">
        <v>12989</v>
      </c>
      <c r="E159" t="str">
        <f>IFERROR(VLOOKUP(1*LEFT(C159,7),DF!$A$1:$F$9447,2,FALSE),"")</f>
        <v>CAMISA ML BAT BLANCA 52/56 RER</v>
      </c>
      <c r="F159">
        <v>4120100</v>
      </c>
      <c r="G159" t="s">
        <v>13001</v>
      </c>
      <c r="H159">
        <v>4</v>
      </c>
      <c r="I159">
        <v>1</v>
      </c>
    </row>
    <row r="160" spans="1:9" x14ac:dyDescent="0.25">
      <c r="A160">
        <v>16522</v>
      </c>
      <c r="B160" t="s">
        <v>7</v>
      </c>
      <c r="C160" t="s">
        <v>12990</v>
      </c>
      <c r="E160" t="str">
        <f>IFERROR(VLOOKUP(1*LEFT(C160,7),DF!$A$1:$F$9447,2,FALSE),"")</f>
        <v>CAMISA ML BAT BLANCA 58/66 RER</v>
      </c>
      <c r="F160">
        <v>4120100</v>
      </c>
      <c r="G160" t="s">
        <v>13001</v>
      </c>
      <c r="H160">
        <v>4</v>
      </c>
      <c r="I160">
        <v>1</v>
      </c>
    </row>
    <row r="161" spans="1:11" x14ac:dyDescent="0.25">
      <c r="A161">
        <v>19599</v>
      </c>
      <c r="B161" t="s">
        <v>7</v>
      </c>
      <c r="C161" t="str">
        <f>CONCATENATE(F161,"##")</f>
        <v>4120024##</v>
      </c>
      <c r="E161" t="str">
        <f>IFERROR(VLOOKUP(1*LEFT(C161,7),DF!$A$1:$F$9447,2,FALSE),"")</f>
        <v>CAMISA ML BAT CEL FORR 32/44 RER</v>
      </c>
      <c r="F161">
        <v>4120024</v>
      </c>
      <c r="G161" t="s">
        <v>12919</v>
      </c>
      <c r="H161">
        <v>3</v>
      </c>
      <c r="I161">
        <v>1</v>
      </c>
    </row>
    <row r="162" spans="1:11" x14ac:dyDescent="0.25">
      <c r="A162">
        <v>19599</v>
      </c>
      <c r="B162" t="s">
        <v>7</v>
      </c>
      <c r="C162" t="s">
        <v>2393</v>
      </c>
      <c r="E162" t="str">
        <f>IFERROR(VLOOKUP(1*LEFT(C162,7),DF!$A$1:$F$9447,2,FALSE),"")</f>
        <v>CAMISA ML BAT CEL FORR 46/50 RER</v>
      </c>
      <c r="F162">
        <v>4120024</v>
      </c>
      <c r="G162" t="s">
        <v>12919</v>
      </c>
      <c r="H162">
        <v>3</v>
      </c>
      <c r="I162">
        <v>1</v>
      </c>
    </row>
    <row r="163" spans="1:11" x14ac:dyDescent="0.25">
      <c r="A163">
        <v>19599</v>
      </c>
      <c r="B163" t="s">
        <v>7</v>
      </c>
      <c r="C163" t="s">
        <v>12918</v>
      </c>
      <c r="E163" t="str">
        <f>IFERROR(VLOOKUP(1*LEFT(C163,7),DF!$A$1:$F$9447,2,FALSE),"")</f>
        <v>CAMISA ML BAT CEL FORR 52/56 RER</v>
      </c>
      <c r="F163">
        <v>4120024</v>
      </c>
      <c r="G163" t="s">
        <v>12919</v>
      </c>
      <c r="H163">
        <v>3</v>
      </c>
      <c r="I163">
        <v>1</v>
      </c>
    </row>
    <row r="164" spans="1:11" x14ac:dyDescent="0.25">
      <c r="A164">
        <v>16522</v>
      </c>
      <c r="B164" t="s">
        <v>7</v>
      </c>
      <c r="C164" t="str">
        <f>CONCATENATE(F164,"##")</f>
        <v>4120236##</v>
      </c>
      <c r="E164" t="str">
        <f>IFERROR(VLOOKUP(1*LEFT(C164,7),DF!$A$1:$F$9447,2,FALSE),"")</f>
        <v>CAMISA ML BAT CEL NQN 34/44 RER</v>
      </c>
      <c r="F164">
        <v>4120236</v>
      </c>
      <c r="G164" t="s">
        <v>12854</v>
      </c>
      <c r="H164">
        <v>3</v>
      </c>
      <c r="I164">
        <v>1</v>
      </c>
    </row>
    <row r="165" spans="1:11" x14ac:dyDescent="0.25">
      <c r="A165">
        <v>16522</v>
      </c>
      <c r="B165" t="s">
        <v>7</v>
      </c>
      <c r="C165" t="s">
        <v>12292</v>
      </c>
      <c r="E165" t="str">
        <f>IFERROR(VLOOKUP(1*LEFT(C165,7),DF!$A$1:$F$9447,2,FALSE),"")</f>
        <v>CAMISA ML BAT CEL NQN 46/50 RER</v>
      </c>
      <c r="F165">
        <v>4120236</v>
      </c>
      <c r="G165" t="s">
        <v>12854</v>
      </c>
      <c r="H165">
        <v>3</v>
      </c>
      <c r="I165">
        <v>1</v>
      </c>
    </row>
    <row r="166" spans="1:11" x14ac:dyDescent="0.25">
      <c r="A166">
        <v>16522</v>
      </c>
      <c r="B166" t="s">
        <v>7</v>
      </c>
      <c r="C166" t="s">
        <v>12293</v>
      </c>
      <c r="E166" t="str">
        <f>IFERROR(VLOOKUP(1*LEFT(C166,7),DF!$A$1:$F$9447,2,FALSE),"")</f>
        <v>CAMISA ML BAT CEL NQN 52/56 RER</v>
      </c>
      <c r="F166">
        <v>4120236</v>
      </c>
      <c r="G166" t="s">
        <v>12854</v>
      </c>
      <c r="H166">
        <v>3</v>
      </c>
      <c r="I166">
        <v>1</v>
      </c>
    </row>
    <row r="167" spans="1:11" x14ac:dyDescent="0.25">
      <c r="A167">
        <v>16522</v>
      </c>
      <c r="B167" t="s">
        <v>7</v>
      </c>
      <c r="C167" t="s">
        <v>12988</v>
      </c>
      <c r="E167" t="str">
        <f>IFERROR(VLOOKUP(1*LEFT(C167,7),DF!$A$1:$F$9447,2,FALSE),"")</f>
        <v>CAMISA ML BAT CEL NQN 58/66 RER</v>
      </c>
      <c r="F167">
        <v>4120236</v>
      </c>
      <c r="G167" t="s">
        <v>12854</v>
      </c>
      <c r="H167">
        <v>3</v>
      </c>
      <c r="I167">
        <v>1</v>
      </c>
    </row>
    <row r="168" spans="1:11" x14ac:dyDescent="0.25">
      <c r="A168">
        <v>16522</v>
      </c>
      <c r="B168" t="s">
        <v>7</v>
      </c>
      <c r="C168" t="str">
        <f>CONCATENATE(F168,"##")</f>
        <v>4120850##</v>
      </c>
      <c r="E168" t="str">
        <f>IFERROR(VLOOKUP(1*LEFT(C168,7),DF!$A$1:$F$9447,2,FALSE),"")</f>
        <v>CAMISA ML BAT CELESTE 34/44 RER</v>
      </c>
      <c r="F168">
        <v>4120850</v>
      </c>
      <c r="G168" t="s">
        <v>13002</v>
      </c>
      <c r="H168">
        <v>3</v>
      </c>
      <c r="I168">
        <v>1</v>
      </c>
    </row>
    <row r="169" spans="1:11" x14ac:dyDescent="0.25">
      <c r="A169">
        <v>16522</v>
      </c>
      <c r="B169" t="s">
        <v>7</v>
      </c>
      <c r="C169" t="s">
        <v>3089</v>
      </c>
      <c r="E169" t="str">
        <f>IFERROR(VLOOKUP(1*LEFT(C169,7),DF!$A$1:$F$9447,2,FALSE),"")</f>
        <v>CAMISA ML BAT CELESTE 46/50 RER</v>
      </c>
      <c r="F169">
        <v>4120850</v>
      </c>
      <c r="G169" t="s">
        <v>13002</v>
      </c>
      <c r="H169">
        <v>3</v>
      </c>
      <c r="I169">
        <v>1</v>
      </c>
    </row>
    <row r="170" spans="1:11" x14ac:dyDescent="0.25">
      <c r="A170">
        <v>16522</v>
      </c>
      <c r="B170" t="s">
        <v>7</v>
      </c>
      <c r="C170" t="s">
        <v>3097</v>
      </c>
      <c r="E170" t="str">
        <f>IFERROR(VLOOKUP(1*LEFT(C170,7),DF!$A$1:$F$9447,2,FALSE),"")</f>
        <v>CAMISA ML BAT CELESTE 52/56 RER</v>
      </c>
      <c r="F170">
        <v>4120850</v>
      </c>
      <c r="G170" t="s">
        <v>13002</v>
      </c>
      <c r="H170">
        <v>3</v>
      </c>
      <c r="I170">
        <v>1</v>
      </c>
    </row>
    <row r="171" spans="1:11" x14ac:dyDescent="0.25">
      <c r="A171">
        <v>16522</v>
      </c>
      <c r="B171" t="s">
        <v>7</v>
      </c>
      <c r="C171" t="s">
        <v>4468</v>
      </c>
      <c r="E171" t="str">
        <f>IFERROR(VLOOKUP(1*LEFT(C171,7),DF!$A$1:$F$9447,2,FALSE),"")</f>
        <v>CAMISA ML BAT CELESTE 58/62 RER</v>
      </c>
      <c r="F171">
        <v>4120850</v>
      </c>
      <c r="G171" t="s">
        <v>13002</v>
      </c>
      <c r="H171">
        <v>3</v>
      </c>
      <c r="I171">
        <v>1</v>
      </c>
    </row>
    <row r="172" spans="1:11" x14ac:dyDescent="0.25">
      <c r="A172">
        <v>16522</v>
      </c>
      <c r="B172" t="s">
        <v>7</v>
      </c>
      <c r="C172" t="s">
        <v>12991</v>
      </c>
      <c r="E172" t="str">
        <f>IFERROR(VLOOKUP(1*LEFT(C172,7),DF!$A$1:$F$9447,2,FALSE),"")</f>
        <v>CAMISA ML BAT CELESTE 64/66 RER</v>
      </c>
      <c r="F172">
        <v>4120850</v>
      </c>
      <c r="G172" t="s">
        <v>13002</v>
      </c>
      <c r="H172">
        <v>3</v>
      </c>
      <c r="I172">
        <v>1</v>
      </c>
    </row>
    <row r="173" spans="1:11" x14ac:dyDescent="0.25">
      <c r="A173">
        <v>16522</v>
      </c>
      <c r="B173" t="s">
        <v>7</v>
      </c>
      <c r="C173" t="str">
        <f>CONCATENATE(F173,"##")</f>
        <v>4120058##</v>
      </c>
      <c r="E173" t="str">
        <f>IFERROR(VLOOKUP(1*LEFT(C173,7),DF!$A$1:$F$9447,2,FALSE),"")</f>
        <v>CAMISA ML BAT CELESTE VIP 34/44 RER</v>
      </c>
      <c r="F173">
        <v>4120058</v>
      </c>
      <c r="G173" t="s">
        <v>13003</v>
      </c>
      <c r="H173">
        <v>3</v>
      </c>
      <c r="I173">
        <v>1</v>
      </c>
      <c r="K173" s="4"/>
    </row>
    <row r="174" spans="1:11" x14ac:dyDescent="0.25">
      <c r="A174">
        <v>16522</v>
      </c>
      <c r="B174" t="s">
        <v>7</v>
      </c>
      <c r="C174" t="s">
        <v>12995</v>
      </c>
      <c r="E174" t="str">
        <f>IFERROR(VLOOKUP(1*LEFT(C174,7),DF!$A$1:$F$9447,2,FALSE),"")</f>
        <v>CAMISA ML BAT CELESTE VIP 46/50 RER</v>
      </c>
      <c r="F174">
        <v>4120058</v>
      </c>
      <c r="G174" t="s">
        <v>13003</v>
      </c>
      <c r="H174">
        <v>3</v>
      </c>
      <c r="I174">
        <v>1</v>
      </c>
      <c r="K174" s="4"/>
    </row>
    <row r="175" spans="1:11" x14ac:dyDescent="0.25">
      <c r="A175">
        <v>16522</v>
      </c>
      <c r="B175" t="s">
        <v>7</v>
      </c>
      <c r="C175" t="s">
        <v>12996</v>
      </c>
      <c r="E175" t="str">
        <f>IFERROR(VLOOKUP(1*LEFT(C175,7),DF!$A$1:$F$9447,2,FALSE),"")</f>
        <v>CAMISA ML BAT CELESTE VIP 52/56 RER</v>
      </c>
      <c r="F175">
        <v>4120058</v>
      </c>
      <c r="G175" t="s">
        <v>13003</v>
      </c>
      <c r="H175">
        <v>3</v>
      </c>
      <c r="I175">
        <v>1</v>
      </c>
      <c r="K175" s="4"/>
    </row>
    <row r="176" spans="1:11" x14ac:dyDescent="0.25">
      <c r="A176">
        <v>16522</v>
      </c>
      <c r="B176" t="s">
        <v>7</v>
      </c>
      <c r="C176" t="s">
        <v>12997</v>
      </c>
      <c r="E176" t="str">
        <f>IFERROR(VLOOKUP(1*LEFT(C176,7),DF!$A$1:$F$9447,2,FALSE),"")</f>
        <v>CAMISA ML BAT CELESTE VIP 58/66 RER</v>
      </c>
      <c r="F176">
        <v>4120058</v>
      </c>
      <c r="G176" t="s">
        <v>13003</v>
      </c>
      <c r="H176">
        <v>3</v>
      </c>
      <c r="I176">
        <v>1</v>
      </c>
      <c r="K176" s="4"/>
    </row>
    <row r="177" spans="1:11" x14ac:dyDescent="0.25">
      <c r="A177">
        <v>16522</v>
      </c>
      <c r="B177" t="s">
        <v>7</v>
      </c>
      <c r="C177" t="str">
        <f>CONCATENATE(F177,"##")</f>
        <v>4120011##</v>
      </c>
      <c r="E177" t="str">
        <f>IFERROR(VLOOKUP(1*LEFT(C177,7),DF!$A$1:$F$9447,2,FALSE),"")</f>
        <v>CAMISA ML BAT CLTE ITAL 32/44 RER</v>
      </c>
      <c r="F177">
        <v>4120011</v>
      </c>
      <c r="G177" t="s">
        <v>13004</v>
      </c>
      <c r="H177">
        <v>3</v>
      </c>
      <c r="I177">
        <v>1</v>
      </c>
      <c r="K177" s="4"/>
    </row>
    <row r="178" spans="1:11" x14ac:dyDescent="0.25">
      <c r="A178">
        <v>16522</v>
      </c>
      <c r="B178" t="s">
        <v>7</v>
      </c>
      <c r="C178" t="s">
        <v>12992</v>
      </c>
      <c r="E178" t="str">
        <f>IFERROR(VLOOKUP(1*LEFT(C178,7),DF!$A$1:$F$9447,2,FALSE),"")</f>
        <v>CAMISA ML BAT CLTE ITAL 32/44 RER</v>
      </c>
      <c r="F178">
        <v>4120011</v>
      </c>
      <c r="G178" t="s">
        <v>13004</v>
      </c>
      <c r="H178">
        <v>3</v>
      </c>
      <c r="I178">
        <v>1</v>
      </c>
      <c r="K178" s="4"/>
    </row>
    <row r="179" spans="1:11" x14ac:dyDescent="0.25">
      <c r="A179">
        <v>16522</v>
      </c>
      <c r="B179" t="s">
        <v>7</v>
      </c>
      <c r="C179" t="s">
        <v>12993</v>
      </c>
      <c r="E179" t="str">
        <f>IFERROR(VLOOKUP(1*LEFT(C179,7),DF!$A$1:$F$9447,2,FALSE),"")</f>
        <v>CAMISA ML BAT CLTE ITAL 46/50 RER</v>
      </c>
      <c r="F179">
        <v>4120011</v>
      </c>
      <c r="G179" t="s">
        <v>13004</v>
      </c>
      <c r="H179">
        <v>3</v>
      </c>
      <c r="I179">
        <v>1</v>
      </c>
      <c r="K179" s="4"/>
    </row>
    <row r="180" spans="1:11" x14ac:dyDescent="0.25">
      <c r="A180">
        <v>16522</v>
      </c>
      <c r="B180" t="s">
        <v>7</v>
      </c>
      <c r="C180" t="s">
        <v>12994</v>
      </c>
      <c r="E180" t="str">
        <f>IFERROR(VLOOKUP(1*LEFT(C180,7),DF!$A$1:$F$9447,2,FALSE),"")</f>
        <v>CAMISA ML BAT CLTE ITAL 52/56 RER</v>
      </c>
      <c r="F180">
        <v>4120011</v>
      </c>
      <c r="G180" t="s">
        <v>13004</v>
      </c>
      <c r="H180">
        <v>3</v>
      </c>
      <c r="I180">
        <v>1</v>
      </c>
      <c r="K180" s="4"/>
    </row>
    <row r="181" spans="1:11" x14ac:dyDescent="0.25">
      <c r="A181">
        <v>16522</v>
      </c>
      <c r="B181" t="s">
        <v>7</v>
      </c>
      <c r="C181" t="str">
        <f>CONCATENATE(F181,"##")</f>
        <v>4120900##</v>
      </c>
      <c r="E181" t="str">
        <f>IFERROR(VLOOKUP(1*LEFT(C181,7),DF!$A$1:$F$9447,2,FALSE),"")</f>
        <v>CAMISA ML BAT GRIS 34/44 RER</v>
      </c>
      <c r="F181">
        <v>4120900</v>
      </c>
      <c r="G181" t="s">
        <v>13005</v>
      </c>
      <c r="H181">
        <v>3</v>
      </c>
      <c r="I181">
        <v>1</v>
      </c>
      <c r="K181" s="4"/>
    </row>
    <row r="182" spans="1:11" x14ac:dyDescent="0.25">
      <c r="A182">
        <v>16522</v>
      </c>
      <c r="B182" t="s">
        <v>7</v>
      </c>
      <c r="C182" t="s">
        <v>3119</v>
      </c>
      <c r="E182" t="str">
        <f>IFERROR(VLOOKUP(1*LEFT(C182,7),DF!$A$1:$F$9447,2,FALSE),"")</f>
        <v>CAMISA ML BAT GRIS 46/50 RER</v>
      </c>
      <c r="F182">
        <v>4120900</v>
      </c>
      <c r="G182" t="s">
        <v>13005</v>
      </c>
      <c r="H182">
        <v>3</v>
      </c>
      <c r="I182">
        <v>1</v>
      </c>
      <c r="K182" s="4"/>
    </row>
    <row r="183" spans="1:11" x14ac:dyDescent="0.25">
      <c r="A183">
        <v>16522</v>
      </c>
      <c r="B183" t="s">
        <v>7</v>
      </c>
      <c r="C183" t="s">
        <v>3127</v>
      </c>
      <c r="E183" t="str">
        <f>IFERROR(VLOOKUP(1*LEFT(C183,7),DF!$A$1:$F$9447,2,FALSE),"")</f>
        <v>CAMISA ML BAT GRIS 52/56 RER</v>
      </c>
      <c r="F183">
        <v>4120900</v>
      </c>
      <c r="G183" t="s">
        <v>13005</v>
      </c>
      <c r="H183">
        <v>3</v>
      </c>
      <c r="I183">
        <v>1</v>
      </c>
    </row>
    <row r="184" spans="1:11" x14ac:dyDescent="0.25">
      <c r="A184">
        <v>16522</v>
      </c>
      <c r="B184" t="s">
        <v>7</v>
      </c>
      <c r="C184" t="s">
        <v>12998</v>
      </c>
      <c r="E184" t="str">
        <f>IFERROR(VLOOKUP(1*LEFT(C184,7),DF!$A$1:$F$9447,2,FALSE),"")</f>
        <v>CAMISA ML BAT GRIS 58/62 RER</v>
      </c>
      <c r="F184">
        <v>4120900</v>
      </c>
      <c r="G184" t="s">
        <v>13005</v>
      </c>
      <c r="H184">
        <v>3</v>
      </c>
      <c r="I184">
        <v>1</v>
      </c>
    </row>
    <row r="185" spans="1:11" x14ac:dyDescent="0.25">
      <c r="A185">
        <v>16522</v>
      </c>
      <c r="B185" t="s">
        <v>7</v>
      </c>
      <c r="C185" t="str">
        <f>CONCATENATE(F185,"##")</f>
        <v>4120003##</v>
      </c>
      <c r="E185" t="str">
        <f>IFERROR(VLOOKUP(1*LEFT(C185,7),DF!$A$1:$F$9447,2,FALSE),"")</f>
        <v>CAMISA ML BAT GRIS TORC 34/44 RER</v>
      </c>
      <c r="F185">
        <v>4120003</v>
      </c>
      <c r="G185" t="s">
        <v>13006</v>
      </c>
      <c r="H185">
        <v>2</v>
      </c>
      <c r="I185">
        <v>1</v>
      </c>
    </row>
    <row r="186" spans="1:11" x14ac:dyDescent="0.25">
      <c r="A186">
        <v>16522</v>
      </c>
      <c r="B186" t="s">
        <v>7</v>
      </c>
      <c r="C186" t="s">
        <v>3934</v>
      </c>
      <c r="E186" t="str">
        <f>IFERROR(VLOOKUP(1*LEFT(C186,7),DF!$A$1:$F$9447,2,FALSE),"")</f>
        <v>CAMISA ML BAT GRIS TORC 46/50 RER</v>
      </c>
      <c r="F186">
        <v>4120003</v>
      </c>
      <c r="G186" t="s">
        <v>13006</v>
      </c>
      <c r="H186">
        <v>2</v>
      </c>
      <c r="I186">
        <v>1</v>
      </c>
    </row>
    <row r="187" spans="1:11" x14ac:dyDescent="0.25">
      <c r="A187">
        <v>16522</v>
      </c>
      <c r="B187" t="s">
        <v>7</v>
      </c>
      <c r="C187" t="s">
        <v>4241</v>
      </c>
      <c r="E187" t="str">
        <f>IFERROR(VLOOKUP(1*LEFT(C187,7),DF!$A$1:$F$9447,2,FALSE),"")</f>
        <v>CAMISA ML BAT GRIS TORC 52/56 RER</v>
      </c>
      <c r="F187">
        <v>4120003</v>
      </c>
      <c r="G187" t="s">
        <v>13006</v>
      </c>
      <c r="H187">
        <v>2</v>
      </c>
      <c r="I187">
        <v>1</v>
      </c>
    </row>
    <row r="188" spans="1:11" x14ac:dyDescent="0.25">
      <c r="A188">
        <v>19599</v>
      </c>
      <c r="B188" t="s">
        <v>7</v>
      </c>
      <c r="C188" t="str">
        <f>CONCATENATE(F188,"##")</f>
        <v>4120027##</v>
      </c>
      <c r="E188" t="str">
        <f>IFERROR(VLOOKUP(1*LEFT(C188,7),DF!$A$1:$F$9447,2,FALSE),"")</f>
        <v>CAMISA ML BAT NEG FORR 32/44 RER</v>
      </c>
      <c r="F188">
        <v>4120027</v>
      </c>
      <c r="G188" t="s">
        <v>12916</v>
      </c>
      <c r="H188">
        <v>3</v>
      </c>
      <c r="I188">
        <v>1</v>
      </c>
    </row>
    <row r="189" spans="1:11" x14ac:dyDescent="0.25">
      <c r="A189">
        <v>19599</v>
      </c>
      <c r="B189" t="s">
        <v>7</v>
      </c>
      <c r="C189" t="s">
        <v>12485</v>
      </c>
      <c r="E189" t="str">
        <f>IFERROR(VLOOKUP(1*LEFT(C189,7),DF!$A$1:$F$9447,2,FALSE),"")</f>
        <v>CAMISA ML BAT NEG FORR 46/50 RER</v>
      </c>
      <c r="F189">
        <v>4120027</v>
      </c>
      <c r="G189" t="s">
        <v>12916</v>
      </c>
      <c r="H189">
        <v>3</v>
      </c>
      <c r="I189">
        <v>1</v>
      </c>
    </row>
    <row r="190" spans="1:11" x14ac:dyDescent="0.25">
      <c r="A190">
        <v>19599</v>
      </c>
      <c r="B190" t="s">
        <v>7</v>
      </c>
      <c r="C190" t="s">
        <v>12917</v>
      </c>
      <c r="E190" t="str">
        <f>IFERROR(VLOOKUP(1*LEFT(C190,7),DF!$A$1:$F$9447,2,FALSE),"")</f>
        <v>CAMISA ML BAT NEG FORR 52/56 RER</v>
      </c>
      <c r="F190">
        <v>4120027</v>
      </c>
      <c r="G190" t="s">
        <v>12916</v>
      </c>
      <c r="H190">
        <v>3</v>
      </c>
      <c r="I190">
        <v>1</v>
      </c>
    </row>
    <row r="191" spans="1:11" x14ac:dyDescent="0.25">
      <c r="A191">
        <v>16522</v>
      </c>
      <c r="B191" t="s">
        <v>7</v>
      </c>
      <c r="C191" t="str">
        <f>CONCATENATE(F191,"##")</f>
        <v>4120009##</v>
      </c>
      <c r="E191" t="str">
        <f>IFERROR(VLOOKUP(1*LEFT(C191,7),DF!$A$1:$F$9447,2,FALSE),"")</f>
        <v>CAMISA ML BAT NEGRA 34/44 RER</v>
      </c>
      <c r="F191">
        <v>4120009</v>
      </c>
      <c r="G191" t="s">
        <v>13007</v>
      </c>
      <c r="H191">
        <v>3</v>
      </c>
      <c r="I191">
        <v>1</v>
      </c>
    </row>
    <row r="192" spans="1:11" x14ac:dyDescent="0.25">
      <c r="A192">
        <v>16522</v>
      </c>
      <c r="B192" t="s">
        <v>7</v>
      </c>
      <c r="C192" t="s">
        <v>4561</v>
      </c>
      <c r="E192" t="str">
        <f>IFERROR(VLOOKUP(1*LEFT(C192,7),DF!$A$1:$F$9447,2,FALSE),"")</f>
        <v>CAMISA ML BAT NEGRA 46/50 RER</v>
      </c>
      <c r="F192">
        <v>4120009</v>
      </c>
      <c r="G192" t="s">
        <v>13007</v>
      </c>
      <c r="H192">
        <v>3</v>
      </c>
      <c r="I192">
        <v>1</v>
      </c>
    </row>
    <row r="193" spans="1:9" x14ac:dyDescent="0.25">
      <c r="A193">
        <v>16522</v>
      </c>
      <c r="B193" t="s">
        <v>7</v>
      </c>
      <c r="C193" t="s">
        <v>12999</v>
      </c>
      <c r="E193" t="str">
        <f>IFERROR(VLOOKUP(1*LEFT(C193,7),DF!$A$1:$F$9447,2,FALSE),"")</f>
        <v>CAMISA ML BAT NEGRA 52/56 RER</v>
      </c>
      <c r="F193">
        <v>4120009</v>
      </c>
      <c r="G193" t="s">
        <v>13007</v>
      </c>
      <c r="H193">
        <v>3</v>
      </c>
      <c r="I193">
        <v>1</v>
      </c>
    </row>
    <row r="194" spans="1:9" x14ac:dyDescent="0.25">
      <c r="A194">
        <v>19599</v>
      </c>
      <c r="B194" t="s">
        <v>7</v>
      </c>
      <c r="C194" t="str">
        <f>CONCATENATE(F194,"##")</f>
        <v>4120495##</v>
      </c>
      <c r="E194" t="str">
        <f>IFERROR(VLOOKUP(1*LEFT(C194,7),DF!$A$1:$F$9447,2,FALSE),"")</f>
        <v>CAMISA ML RIP AZUL 34/44 RER</v>
      </c>
      <c r="F194">
        <v>4120495</v>
      </c>
      <c r="G194" t="s">
        <v>12855</v>
      </c>
      <c r="H194">
        <v>3</v>
      </c>
      <c r="I194">
        <v>1</v>
      </c>
    </row>
    <row r="195" spans="1:9" x14ac:dyDescent="0.25">
      <c r="A195">
        <v>19599</v>
      </c>
      <c r="B195" t="s">
        <v>7</v>
      </c>
      <c r="C195" t="s">
        <v>5087</v>
      </c>
      <c r="E195" t="str">
        <f>IFERROR(VLOOKUP(1*LEFT(C195,7),DF!$A$1:$F$9447,2,FALSE),"")</f>
        <v>CAMISA ML RIP AZUL 46/50 RER</v>
      </c>
      <c r="F195">
        <v>4120495</v>
      </c>
      <c r="G195" t="s">
        <v>12855</v>
      </c>
      <c r="H195">
        <v>3</v>
      </c>
      <c r="I195">
        <v>1</v>
      </c>
    </row>
    <row r="196" spans="1:9" x14ac:dyDescent="0.25">
      <c r="A196">
        <v>19599</v>
      </c>
      <c r="B196" t="s">
        <v>7</v>
      </c>
      <c r="C196" t="s">
        <v>10916</v>
      </c>
      <c r="E196" t="str">
        <f>IFERROR(VLOOKUP(1*LEFT(C196,7),DF!$A$1:$F$9447,2,FALSE),"")</f>
        <v>CAMISA ML RIP AZUL 52/56 RER</v>
      </c>
      <c r="F196">
        <v>4120495</v>
      </c>
      <c r="G196" t="s">
        <v>12855</v>
      </c>
      <c r="H196">
        <v>3</v>
      </c>
      <c r="I196">
        <v>1</v>
      </c>
    </row>
    <row r="197" spans="1:9" x14ac:dyDescent="0.25">
      <c r="A197">
        <v>16522</v>
      </c>
      <c r="B197" t="s">
        <v>7</v>
      </c>
      <c r="C197" t="str">
        <f>CONCATENATE(F197,"##")</f>
        <v>5101210##</v>
      </c>
      <c r="E197" t="str">
        <f>IFERROR(VLOOKUP(1*LEFT(C197,7),DF!$A$1:$F$9447,2,FALSE),"")</f>
        <v>CAMP ALPHA  MA-1G300</v>
      </c>
      <c r="F197">
        <v>5101210</v>
      </c>
      <c r="G197" t="s">
        <v>12856</v>
      </c>
      <c r="H197">
        <v>5</v>
      </c>
      <c r="I197">
        <v>1</v>
      </c>
    </row>
    <row r="198" spans="1:9" x14ac:dyDescent="0.25">
      <c r="A198">
        <v>16522</v>
      </c>
      <c r="B198" t="s">
        <v>7</v>
      </c>
      <c r="C198" t="str">
        <f>CONCATENATE(F198,"##")</f>
        <v>5101220##</v>
      </c>
      <c r="E198" t="str">
        <f>IFERROR(VLOOKUP(1*LEFT(C198,7),DF!$A$1:$F$9447,2,FALSE),"")</f>
        <v>CAMP ALPHA CWJ450</v>
      </c>
      <c r="F198">
        <v>5101220</v>
      </c>
      <c r="G198" t="s">
        <v>12857</v>
      </c>
      <c r="H198">
        <v>5</v>
      </c>
      <c r="I198">
        <v>1</v>
      </c>
    </row>
    <row r="199" spans="1:9" x14ac:dyDescent="0.25">
      <c r="A199">
        <v>16522</v>
      </c>
      <c r="B199" t="s">
        <v>7</v>
      </c>
      <c r="C199" t="str">
        <f>CONCATENATE(F199,"##")</f>
        <v>5101310##</v>
      </c>
      <c r="E199" t="str">
        <f>IFERROR(VLOOKUP(1*LEFT(C199,7),DF!$A$1:$F$9447,2,FALSE),"")</f>
        <v>CAMP ALPHA MB3690</v>
      </c>
      <c r="F199">
        <v>5101310</v>
      </c>
      <c r="G199" t="s">
        <v>12858</v>
      </c>
      <c r="H199">
        <v>5</v>
      </c>
      <c r="I199">
        <v>1</v>
      </c>
    </row>
    <row r="200" spans="1:9" x14ac:dyDescent="0.25">
      <c r="A200">
        <v>16522</v>
      </c>
      <c r="B200" t="s">
        <v>7</v>
      </c>
      <c r="C200" t="str">
        <f>CONCATENATE(F200,"##")</f>
        <v>5101391##</v>
      </c>
      <c r="E200" t="str">
        <f>IFERROR(VLOOKUP(1*LEFT(C200,7),DF!$A$1:$F$9447,2,FALSE),"")</f>
        <v>CAMP ALPHA MJ1690 RER</v>
      </c>
      <c r="F200">
        <v>5101391</v>
      </c>
      <c r="G200" t="s">
        <v>12859</v>
      </c>
      <c r="H200">
        <v>5</v>
      </c>
      <c r="I200">
        <v>1</v>
      </c>
    </row>
    <row r="201" spans="1:9" x14ac:dyDescent="0.25">
      <c r="A201">
        <v>16522</v>
      </c>
      <c r="B201" t="s">
        <v>7</v>
      </c>
      <c r="C201" t="str">
        <f>CONCATENATE(F201,"##")</f>
        <v>5101340##</v>
      </c>
      <c r="E201" t="str">
        <f>IFERROR(VLOOKUP(1*LEFT(C201,7),DF!$A$1:$F$9447,2,FALSE),"")</f>
        <v>CAMP ALPHA MJB500</v>
      </c>
      <c r="F201">
        <v>5101340</v>
      </c>
      <c r="G201" t="s">
        <v>12860</v>
      </c>
      <c r="H201">
        <v>5</v>
      </c>
      <c r="I201">
        <v>1</v>
      </c>
    </row>
    <row r="202" spans="1:9" x14ac:dyDescent="0.25">
      <c r="A202">
        <v>16522</v>
      </c>
      <c r="B202" t="s">
        <v>7</v>
      </c>
      <c r="C202" t="s">
        <v>10938</v>
      </c>
      <c r="E202" t="str">
        <f>IFERROR(VLOOKUP(1*LEFT(C202,7),DF!$A$1:$F$9447,2,FALSE),"")</f>
        <v>CAMP ALPHA MJI43910C1 LUG</v>
      </c>
      <c r="F202">
        <v>5101310</v>
      </c>
      <c r="G202" t="s">
        <v>12858</v>
      </c>
      <c r="H202">
        <v>5</v>
      </c>
      <c r="I202">
        <v>1</v>
      </c>
    </row>
    <row r="203" spans="1:9" x14ac:dyDescent="0.25">
      <c r="A203">
        <v>19599</v>
      </c>
      <c r="B203" t="s">
        <v>7</v>
      </c>
      <c r="C203" t="str">
        <f>CONCATENATE(F203,"##")</f>
        <v>5101009##</v>
      </c>
      <c r="E203" t="str">
        <f>IFERROR(VLOOKUP(1*LEFT(C203,7),DF!$A$1:$F$9447,2,FALSE),"")</f>
        <v>CAMP CORTA CUELLO DESMONT AZUL EM</v>
      </c>
      <c r="F203">
        <v>5101009</v>
      </c>
      <c r="G203" t="s">
        <v>12861</v>
      </c>
      <c r="H203">
        <v>8</v>
      </c>
      <c r="I203">
        <v>1</v>
      </c>
    </row>
    <row r="204" spans="1:9" x14ac:dyDescent="0.25">
      <c r="A204">
        <v>19599</v>
      </c>
      <c r="B204" t="s">
        <v>7</v>
      </c>
      <c r="C204" t="str">
        <f>CONCATENATE(F204,"##")</f>
        <v>5101750##</v>
      </c>
      <c r="E204" t="str">
        <f>IFERROR(VLOOKUP(1*LEFT(C204,7),DF!$A$1:$F$9447,2,FALSE),"")</f>
        <v>CAMP CORTA CUELLO DESMONT GRIS EM</v>
      </c>
      <c r="F204">
        <v>5101750</v>
      </c>
      <c r="G204" s="9" t="s">
        <v>12862</v>
      </c>
      <c r="H204">
        <v>8</v>
      </c>
      <c r="I204">
        <v>1</v>
      </c>
    </row>
    <row r="205" spans="1:9" x14ac:dyDescent="0.25">
      <c r="A205">
        <v>19599</v>
      </c>
      <c r="B205" t="s">
        <v>7</v>
      </c>
      <c r="C205" t="str">
        <f>CONCATENATE(F205,"##")</f>
        <v>5101011##</v>
      </c>
      <c r="E205" t="str">
        <f>IFERROR(VLOOKUP(1*LEFT(C205,7),DF!$A$1:$F$9447,2,FALSE),"")</f>
        <v>CAMP CORTA CUELLO DESMONT NEGRA EM</v>
      </c>
      <c r="F205">
        <v>5101011</v>
      </c>
      <c r="G205" t="s">
        <v>12863</v>
      </c>
      <c r="H205">
        <v>8</v>
      </c>
      <c r="I205">
        <v>1</v>
      </c>
    </row>
    <row r="206" spans="1:9" x14ac:dyDescent="0.25">
      <c r="A206">
        <v>16522</v>
      </c>
      <c r="B206" t="s">
        <v>7</v>
      </c>
      <c r="C206" t="str">
        <f>CONCATENATE(F206,"##")</f>
        <v>5101125##</v>
      </c>
      <c r="E206" t="str">
        <f>IFERROR(VLOOKUP(1*LEFT(C206,7),DF!$A$1:$F$9447,2,FALSE),"")</f>
        <v>CAMP FRACTION 8121  2XS/3XL RER</v>
      </c>
      <c r="F206">
        <v>5101125</v>
      </c>
      <c r="G206" t="s">
        <v>12864</v>
      </c>
      <c r="H206">
        <v>5</v>
      </c>
    </row>
    <row r="207" spans="1:9" x14ac:dyDescent="0.25">
      <c r="A207">
        <v>16522</v>
      </c>
      <c r="B207" t="s">
        <v>7</v>
      </c>
      <c r="C207" t="str">
        <f>CONCATENATE(F207,"##")</f>
        <v>5101190##</v>
      </c>
      <c r="E207" t="str">
        <f>IFERROR(VLOOKUP(1*LEFT(C207,7),DF!$A$1:$F$9447,2,FALSE),"")</f>
        <v>CAMP NEO SOFT SHELL AZUL 2XS/2XL RER</v>
      </c>
      <c r="F207">
        <v>5101190</v>
      </c>
      <c r="G207" t="s">
        <v>12865</v>
      </c>
      <c r="H207">
        <v>4</v>
      </c>
    </row>
    <row r="208" spans="1:9" x14ac:dyDescent="0.25">
      <c r="A208">
        <v>16522</v>
      </c>
      <c r="B208" t="s">
        <v>7</v>
      </c>
      <c r="C208" t="s">
        <v>2481</v>
      </c>
      <c r="E208" t="str">
        <f>IFERROR(VLOOKUP(1*LEFT(C208,7),DF!$A$1:$F$9447,2,FALSE),"")</f>
        <v>CAMP NEO SOFT SHELL AZUL 3XL/5XL RER</v>
      </c>
      <c r="F208">
        <v>5101190</v>
      </c>
      <c r="G208" t="s">
        <v>12865</v>
      </c>
      <c r="H208">
        <v>4</v>
      </c>
    </row>
    <row r="209" spans="1:9" x14ac:dyDescent="0.25">
      <c r="A209">
        <v>16522</v>
      </c>
      <c r="B209" t="s">
        <v>7</v>
      </c>
      <c r="C209" t="str">
        <f>CONCATENATE(F209,"##")</f>
        <v>5101195##</v>
      </c>
      <c r="E209" t="str">
        <f>IFERROR(VLOOKUP(1*LEFT(C209,7),DF!$A$1:$F$9447,2,FALSE),"")</f>
        <v>CAMP NEO SOFT SHELL GRIS 2XS/2XL RER</v>
      </c>
      <c r="F209">
        <v>5101195</v>
      </c>
      <c r="G209" t="s">
        <v>12866</v>
      </c>
      <c r="H209">
        <v>4</v>
      </c>
    </row>
    <row r="210" spans="1:9" x14ac:dyDescent="0.25">
      <c r="A210">
        <v>16522</v>
      </c>
      <c r="B210" t="s">
        <v>7</v>
      </c>
      <c r="C210" t="s">
        <v>2493</v>
      </c>
      <c r="E210" t="str">
        <f>IFERROR(VLOOKUP(1*LEFT(C210,7),DF!$A$1:$F$9447,2,FALSE),"")</f>
        <v>CAMP NEO SOFT SHELL GRIS 3XL/5XL RER</v>
      </c>
      <c r="F210">
        <v>5101195</v>
      </c>
      <c r="G210" t="s">
        <v>12866</v>
      </c>
      <c r="H210">
        <v>4</v>
      </c>
    </row>
    <row r="211" spans="1:9" x14ac:dyDescent="0.25">
      <c r="A211">
        <v>16522</v>
      </c>
      <c r="B211" t="s">
        <v>7</v>
      </c>
      <c r="C211" t="str">
        <f>CONCATENATE(F211,"##")</f>
        <v>5101185##</v>
      </c>
      <c r="E211" t="str">
        <f>IFERROR(VLOOKUP(1*LEFT(C211,7),DF!$A$1:$F$9447,2,FALSE),"")</f>
        <v>CAMP NEO SOFT SHELL NEGRA 2XS/2XL RER</v>
      </c>
      <c r="F211">
        <v>5101185</v>
      </c>
      <c r="G211" t="s">
        <v>12867</v>
      </c>
      <c r="H211">
        <v>4</v>
      </c>
    </row>
    <row r="212" spans="1:9" x14ac:dyDescent="0.25">
      <c r="A212">
        <v>16522</v>
      </c>
      <c r="B212" t="s">
        <v>7</v>
      </c>
      <c r="C212" t="s">
        <v>2487</v>
      </c>
      <c r="E212" t="str">
        <f>IFERROR(VLOOKUP(1*LEFT(C212,7),DF!$A$1:$F$9447,2,FALSE),"")</f>
        <v>CAMP NEO SOFT SHELL NEGRA 3XL/5XL RER</v>
      </c>
      <c r="F212">
        <v>5101185</v>
      </c>
      <c r="G212" t="s">
        <v>12867</v>
      </c>
      <c r="H212">
        <v>4</v>
      </c>
    </row>
    <row r="213" spans="1:9" x14ac:dyDescent="0.25">
      <c r="A213">
        <v>16522</v>
      </c>
      <c r="B213" t="s">
        <v>7</v>
      </c>
      <c r="C213" t="str">
        <f t="shared" ref="C213:C224" si="1">CONCATENATE(F213,"##")</f>
        <v>5101902##</v>
      </c>
      <c r="E213" t="str">
        <f>IFERROR(VLOOKUP(1*LEFT(C213,7),DF!$A$1:$F$9447,2,FALSE),"")</f>
        <v>CAMP PLUMA NEGRA BRILLO S/CAP ART102 RER</v>
      </c>
      <c r="F213">
        <v>5101902</v>
      </c>
      <c r="G213" t="s">
        <v>12868</v>
      </c>
      <c r="H213">
        <v>5</v>
      </c>
      <c r="I213">
        <v>1</v>
      </c>
    </row>
    <row r="214" spans="1:9" x14ac:dyDescent="0.25">
      <c r="A214">
        <v>16522</v>
      </c>
      <c r="B214" t="s">
        <v>7</v>
      </c>
      <c r="C214" t="str">
        <f t="shared" si="1"/>
        <v>5101917##</v>
      </c>
      <c r="E214" t="str">
        <f>IFERROR(VLOOKUP(1*LEFT(C214,7),DF!$A$1:$F$9447,2,FALSE),"")</f>
        <v>CAMP PLUMA SIN CAPU AZUL FRAN ARD</v>
      </c>
      <c r="F214">
        <v>5101917</v>
      </c>
      <c r="G214" t="s">
        <v>12869</v>
      </c>
      <c r="H214">
        <v>5</v>
      </c>
      <c r="I214">
        <v>1</v>
      </c>
    </row>
    <row r="215" spans="1:9" x14ac:dyDescent="0.25">
      <c r="A215">
        <v>16522</v>
      </c>
      <c r="B215" t="s">
        <v>7</v>
      </c>
      <c r="C215" t="str">
        <f t="shared" si="1"/>
        <v>5101924##</v>
      </c>
      <c r="E215" t="str">
        <f>IFERROR(VLOOKUP(1*LEFT(C215,7),DF!$A$1:$F$9447,2,FALSE),"")</f>
        <v>CAMP PLUMA SIN CAPU AZUL OSCURO ARD</v>
      </c>
      <c r="F215">
        <v>5101924</v>
      </c>
      <c r="G215" t="s">
        <v>12870</v>
      </c>
      <c r="H215">
        <v>4</v>
      </c>
      <c r="I215">
        <v>1</v>
      </c>
    </row>
    <row r="216" spans="1:9" x14ac:dyDescent="0.25">
      <c r="A216">
        <v>16522</v>
      </c>
      <c r="B216" t="s">
        <v>7</v>
      </c>
      <c r="C216" t="str">
        <f t="shared" si="1"/>
        <v>5101925##</v>
      </c>
      <c r="E216" t="str">
        <f>IFERROR(VLOOKUP(1*LEFT(C216,7),DF!$A$1:$F$9447,2,FALSE),"")</f>
        <v>CAMP PLUMA SIN CAPU GRIS CLARO ARD</v>
      </c>
      <c r="F216">
        <v>5101925</v>
      </c>
      <c r="G216" t="s">
        <v>12871</v>
      </c>
      <c r="H216">
        <v>5</v>
      </c>
      <c r="I216">
        <v>1</v>
      </c>
    </row>
    <row r="217" spans="1:9" x14ac:dyDescent="0.25">
      <c r="A217">
        <v>16522</v>
      </c>
      <c r="B217" t="s">
        <v>7</v>
      </c>
      <c r="C217" t="str">
        <f t="shared" si="1"/>
        <v>5101915##</v>
      </c>
      <c r="E217" t="str">
        <f>IFERROR(VLOOKUP(1*LEFT(C217,7),DF!$A$1:$F$9447,2,FALSE),"")</f>
        <v>CAMP PLUMA SIN CAPU ROJA ARD</v>
      </c>
      <c r="F217">
        <v>5101915</v>
      </c>
      <c r="G217" t="s">
        <v>12872</v>
      </c>
      <c r="H217">
        <v>5</v>
      </c>
      <c r="I217">
        <v>1</v>
      </c>
    </row>
    <row r="218" spans="1:9" x14ac:dyDescent="0.25">
      <c r="A218">
        <v>19599</v>
      </c>
      <c r="B218" t="s">
        <v>7</v>
      </c>
      <c r="C218" t="str">
        <f t="shared" si="1"/>
        <v>5101170##</v>
      </c>
      <c r="E218" t="str">
        <f>IFERROR(VLOOKUP(1*LEFT(C218,7),DF!$A$1:$F$9447,2,FALSE),"")</f>
        <v>CAMP POLAR AMERICANA AZUL RER</v>
      </c>
      <c r="F218" s="3">
        <v>5101170</v>
      </c>
      <c r="G218" t="s">
        <v>12873</v>
      </c>
      <c r="H218">
        <v>7</v>
      </c>
      <c r="I218">
        <v>1</v>
      </c>
    </row>
    <row r="219" spans="1:9" x14ac:dyDescent="0.25">
      <c r="A219">
        <v>19599</v>
      </c>
      <c r="B219" t="s">
        <v>7</v>
      </c>
      <c r="C219" t="str">
        <f t="shared" si="1"/>
        <v>5101850##</v>
      </c>
      <c r="E219" t="str">
        <f>IFERROR(VLOOKUP(1*LEFT(C219,7),DF!$A$1:$F$9447,2,FALSE),"")</f>
        <v>CAMP POLAR AMERICANA GRIS RER</v>
      </c>
      <c r="F219" s="3">
        <v>5101850</v>
      </c>
      <c r="G219" s="9" t="s">
        <v>12874</v>
      </c>
      <c r="H219">
        <v>7</v>
      </c>
      <c r="I219">
        <v>1</v>
      </c>
    </row>
    <row r="220" spans="1:9" x14ac:dyDescent="0.25">
      <c r="A220">
        <v>19599</v>
      </c>
      <c r="B220" t="s">
        <v>7</v>
      </c>
      <c r="C220" t="str">
        <f t="shared" si="1"/>
        <v>5101171##</v>
      </c>
      <c r="E220" t="str">
        <f>IFERROR(VLOOKUP(1*LEFT(C220,7),DF!$A$1:$F$9447,2,FALSE),"")</f>
        <v>CAMP POLAR AMERICANA NEGRA RER</v>
      </c>
      <c r="F220" s="3">
        <v>5101171</v>
      </c>
      <c r="G220" t="s">
        <v>12875</v>
      </c>
      <c r="H220">
        <v>7</v>
      </c>
      <c r="I220">
        <v>1</v>
      </c>
    </row>
    <row r="221" spans="1:9" x14ac:dyDescent="0.25">
      <c r="A221">
        <v>16522</v>
      </c>
      <c r="B221" t="s">
        <v>7</v>
      </c>
      <c r="C221" t="str">
        <f t="shared" si="1"/>
        <v>5101106##</v>
      </c>
      <c r="E221" t="str">
        <f>IFERROR(VLOOKUP(1*LEFT(C221,7),DF!$A$1:$F$9447,2,FALSE),"")</f>
        <v>CAMP RURAL NYLON SOFT IMPER. NELB102 GYG</v>
      </c>
      <c r="F221">
        <v>5101106</v>
      </c>
      <c r="G221" t="s">
        <v>12876</v>
      </c>
      <c r="H221">
        <v>9</v>
      </c>
    </row>
    <row r="222" spans="1:9" x14ac:dyDescent="0.25">
      <c r="A222">
        <v>16522</v>
      </c>
      <c r="B222" t="s">
        <v>7</v>
      </c>
      <c r="C222" t="str">
        <f t="shared" si="1"/>
        <v>5101101##</v>
      </c>
      <c r="E222" t="str">
        <f>IFERROR(VLOOKUP(1*LEFT(C222,7),DF!$A$1:$F$9447,2,FALSE),"")</f>
        <v>CAMP SOFT AZUL RER</v>
      </c>
      <c r="F222">
        <v>5101101</v>
      </c>
      <c r="G222" t="s">
        <v>12877</v>
      </c>
      <c r="H222">
        <v>4</v>
      </c>
    </row>
    <row r="223" spans="1:9" x14ac:dyDescent="0.25">
      <c r="A223">
        <v>19599</v>
      </c>
      <c r="B223" t="s">
        <v>7</v>
      </c>
      <c r="C223" t="str">
        <f t="shared" si="1"/>
        <v>5101090##</v>
      </c>
      <c r="E223" t="str">
        <f>IFERROR(VLOOKUP(1*LEFT(C223,7),DF!$A$1:$F$9447,2,FALSE),"")</f>
        <v>CAMP SOFT JAYAL AZUL 2XS/2XL</v>
      </c>
      <c r="F223" s="3">
        <v>5101090</v>
      </c>
      <c r="G223" t="s">
        <v>12878</v>
      </c>
      <c r="H223">
        <v>8</v>
      </c>
    </row>
    <row r="224" spans="1:9" x14ac:dyDescent="0.25">
      <c r="A224">
        <v>19599</v>
      </c>
      <c r="B224" t="s">
        <v>7</v>
      </c>
      <c r="C224" t="str">
        <f t="shared" si="1"/>
        <v>5101093##</v>
      </c>
      <c r="E224" t="str">
        <f>IFERROR(VLOOKUP(1*LEFT(C224,7),DF!$A$1:$F$9447,2,FALSE),"")</f>
        <v>CAMP SOFT JAYAL NEGRA 2XS/2XL</v>
      </c>
      <c r="F224" s="3">
        <v>5101093</v>
      </c>
      <c r="G224" t="s">
        <v>12879</v>
      </c>
      <c r="H224">
        <v>8</v>
      </c>
    </row>
    <row r="225" spans="1:9" x14ac:dyDescent="0.25">
      <c r="A225">
        <v>16522</v>
      </c>
      <c r="B225" t="s">
        <v>7</v>
      </c>
      <c r="C225" t="s">
        <v>12233</v>
      </c>
      <c r="E225" t="str">
        <f>IFERROR(VLOOKUP(1*LEFT(C225,7),DF!$A$1:$F$9447,2,FALSE),"")</f>
        <v>CAMP SOFT SHELL AZUL 2XL/5XL RER</v>
      </c>
      <c r="F225">
        <v>5101138</v>
      </c>
      <c r="G225" t="s">
        <v>12880</v>
      </c>
      <c r="H225">
        <v>4</v>
      </c>
    </row>
    <row r="226" spans="1:9" x14ac:dyDescent="0.25">
      <c r="A226">
        <v>16522</v>
      </c>
      <c r="B226" t="s">
        <v>7</v>
      </c>
      <c r="C226" t="str">
        <f>CONCATENATE(F226,"##")</f>
        <v>5101138##</v>
      </c>
      <c r="E226" t="str">
        <f>IFERROR(VLOOKUP(1*LEFT(C226,7),DF!$A$1:$F$9447,2,FALSE),"")</f>
        <v>CAMP SOFTSHEL FRACTION AZUL 2XS/3XL RER</v>
      </c>
      <c r="F226">
        <v>5101138</v>
      </c>
      <c r="G226" t="s">
        <v>12880</v>
      </c>
      <c r="H226">
        <v>4</v>
      </c>
    </row>
    <row r="227" spans="1:9" x14ac:dyDescent="0.25">
      <c r="A227">
        <v>16522</v>
      </c>
      <c r="B227" t="s">
        <v>7</v>
      </c>
      <c r="C227" t="s">
        <v>10939</v>
      </c>
      <c r="E227" t="str">
        <f>IFERROR(VLOOKUP(1*LEFT(C227,7),DF!$A$1:$F$9447,2,FALSE),"")</f>
        <v>CAMP SOFTSHEL FRACTION NEGRA 2XS/3XL RER</v>
      </c>
      <c r="F227">
        <v>5101185</v>
      </c>
      <c r="G227" t="s">
        <v>12867</v>
      </c>
      <c r="H227">
        <v>4</v>
      </c>
    </row>
    <row r="228" spans="1:9" x14ac:dyDescent="0.25">
      <c r="A228">
        <v>16522</v>
      </c>
      <c r="B228" t="s">
        <v>7</v>
      </c>
      <c r="C228" t="str">
        <f>CONCATENATE(F228,"##")</f>
        <v>5101136##</v>
      </c>
      <c r="E228" t="str">
        <f>IFERROR(VLOOKUP(1*LEFT(C228,7),DF!$A$1:$F$9447,2,FALSE),"")</f>
        <v>CAMP SOFTSHEL FRACTION VERDE RER</v>
      </c>
      <c r="F228">
        <v>5101136</v>
      </c>
      <c r="G228" t="s">
        <v>12881</v>
      </c>
      <c r="H228">
        <v>4</v>
      </c>
    </row>
    <row r="229" spans="1:9" x14ac:dyDescent="0.25">
      <c r="A229">
        <v>19599</v>
      </c>
      <c r="B229" t="s">
        <v>7</v>
      </c>
      <c r="C229" t="str">
        <f>CONCATENATE(F229,"##")</f>
        <v>5101192##</v>
      </c>
      <c r="E229" t="str">
        <f>IFERROR(VLOOKUP(1*LEFT(C229,7),DF!$A$1:$F$9447,2,FALSE),"")</f>
        <v>CAMP SOFTSHEL PREMIUM AZUL 2XS/2XL RER</v>
      </c>
      <c r="F229">
        <v>5101192</v>
      </c>
      <c r="G229" t="s">
        <v>12882</v>
      </c>
      <c r="H229">
        <v>7</v>
      </c>
    </row>
    <row r="230" spans="1:9" x14ac:dyDescent="0.25">
      <c r="A230">
        <v>19599</v>
      </c>
      <c r="B230" t="s">
        <v>7</v>
      </c>
      <c r="C230" t="s">
        <v>2351</v>
      </c>
      <c r="E230" t="str">
        <f>IFERROR(VLOOKUP(1*LEFT(C230,7),DF!$A$1:$F$9447,2,FALSE),"")</f>
        <v>CAMP SOFTSHEL PREMIUM AZUL 3XL/6XL RER</v>
      </c>
      <c r="F230">
        <v>5101192</v>
      </c>
      <c r="G230" t="s">
        <v>12882</v>
      </c>
      <c r="H230">
        <v>7</v>
      </c>
    </row>
    <row r="231" spans="1:9" x14ac:dyDescent="0.25">
      <c r="A231">
        <v>19599</v>
      </c>
      <c r="B231" t="s">
        <v>7</v>
      </c>
      <c r="C231" t="str">
        <f>CONCATENATE(F231,"##")</f>
        <v>5101187##</v>
      </c>
      <c r="E231" t="str">
        <f>IFERROR(VLOOKUP(1*LEFT(C231,7),DF!$A$1:$F$9447,2,FALSE),"")</f>
        <v>CAMP SOFTSHEL PREMIUM NEGRA 2XS/2XL RER</v>
      </c>
      <c r="F231">
        <v>5101187</v>
      </c>
      <c r="G231" t="s">
        <v>12883</v>
      </c>
      <c r="H231">
        <v>7</v>
      </c>
    </row>
    <row r="232" spans="1:9" x14ac:dyDescent="0.25">
      <c r="A232">
        <v>19599</v>
      </c>
      <c r="B232" t="s">
        <v>7</v>
      </c>
      <c r="C232" t="s">
        <v>2373</v>
      </c>
      <c r="E232" t="str">
        <f>IFERROR(VLOOKUP(1*LEFT(C232,7),DF!$A$1:$F$9447,2,FALSE),"")</f>
        <v>CAMP SOFTSHEL PREMIUM NEGRA 3XL/6XL RER</v>
      </c>
      <c r="F232">
        <v>5101187</v>
      </c>
      <c r="G232" t="s">
        <v>12883</v>
      </c>
      <c r="H232">
        <v>7</v>
      </c>
    </row>
    <row r="233" spans="1:9" x14ac:dyDescent="0.25">
      <c r="A233">
        <v>16522</v>
      </c>
      <c r="B233" t="s">
        <v>7</v>
      </c>
      <c r="C233" t="str">
        <f>CONCATENATE(F233,"##")</f>
        <v>5101555##</v>
      </c>
      <c r="E233" t="str">
        <f>IFERROR(VLOOKUP(1*LEFT(C233,7),DF!$A$1:$F$9447,2,FALSE),"")</f>
        <v>CAMP TERMICO AZUL  2XS/2XL RER</v>
      </c>
      <c r="F233">
        <v>5101555</v>
      </c>
      <c r="G233" t="s">
        <v>12884</v>
      </c>
      <c r="H233">
        <v>1</v>
      </c>
      <c r="I233">
        <v>1</v>
      </c>
    </row>
    <row r="234" spans="1:9" x14ac:dyDescent="0.25">
      <c r="A234">
        <v>16522</v>
      </c>
      <c r="B234" t="s">
        <v>7</v>
      </c>
      <c r="C234" t="s">
        <v>10933</v>
      </c>
      <c r="E234" t="str">
        <f>IFERROR(VLOOKUP(1*LEFT(C234,7),DF!$A$1:$F$9447,2,FALSE),"")</f>
        <v>CAMP TERMICO AZUL 3XL/6XL RER</v>
      </c>
      <c r="F234">
        <v>5101555</v>
      </c>
      <c r="G234" t="s">
        <v>12884</v>
      </c>
      <c r="H234">
        <v>1</v>
      </c>
      <c r="I234">
        <v>1</v>
      </c>
    </row>
    <row r="235" spans="1:9" x14ac:dyDescent="0.25">
      <c r="A235">
        <v>16522</v>
      </c>
      <c r="B235" t="s">
        <v>7</v>
      </c>
      <c r="C235" t="str">
        <f>CONCATENATE(F235,"##")</f>
        <v>5101557##</v>
      </c>
      <c r="E235" t="str">
        <f>IFERROR(VLOOKUP(1*LEFT(C235,7),DF!$A$1:$F$9447,2,FALSE),"")</f>
        <v>CAMP TERMICO GRIS  2XS/2XL RER</v>
      </c>
      <c r="F235">
        <v>5101557</v>
      </c>
      <c r="G235" t="s">
        <v>12885</v>
      </c>
      <c r="H235">
        <v>4</v>
      </c>
      <c r="I235">
        <v>1</v>
      </c>
    </row>
    <row r="236" spans="1:9" x14ac:dyDescent="0.25">
      <c r="A236">
        <v>16522</v>
      </c>
      <c r="B236" t="s">
        <v>7</v>
      </c>
      <c r="C236" t="s">
        <v>10934</v>
      </c>
      <c r="E236" t="str">
        <f>IFERROR(VLOOKUP(1*LEFT(C236,7),DF!$A$1:$F$9447,2,FALSE),"")</f>
        <v>CAMP TERMICO GRIS 3XL/6XL RER</v>
      </c>
      <c r="F236">
        <v>5101557</v>
      </c>
      <c r="G236" t="s">
        <v>12885</v>
      </c>
      <c r="H236">
        <v>4</v>
      </c>
      <c r="I236">
        <v>1</v>
      </c>
    </row>
    <row r="237" spans="1:9" x14ac:dyDescent="0.25">
      <c r="A237">
        <v>16522</v>
      </c>
      <c r="B237" t="s">
        <v>7</v>
      </c>
      <c r="C237" t="str">
        <f>CONCATENATE(F237,"##")</f>
        <v>5101563##</v>
      </c>
      <c r="E237" t="str">
        <f>IFERROR(VLOOKUP(1*LEFT(C237,7),DF!$A$1:$F$9447,2,FALSE),"")</f>
        <v>CAMP TERMICO INFANTERIA 2XS/2XL</v>
      </c>
      <c r="F237">
        <v>5101563</v>
      </c>
      <c r="G237" t="s">
        <v>12886</v>
      </c>
      <c r="H237">
        <v>3</v>
      </c>
      <c r="I237">
        <v>1</v>
      </c>
    </row>
    <row r="238" spans="1:9" x14ac:dyDescent="0.25">
      <c r="A238">
        <v>16522</v>
      </c>
      <c r="B238" t="s">
        <v>7</v>
      </c>
      <c r="C238" t="str">
        <f>CONCATENATE(F238,"##")</f>
        <v>5101565##</v>
      </c>
      <c r="E238" t="str">
        <f>IFERROR(VLOOKUP(1*LEFT(C238,7),DF!$A$1:$F$9447,2,FALSE),"")</f>
        <v>CAMP TERMICO MULTICAM 2XS/2XL</v>
      </c>
      <c r="F238">
        <v>5101565</v>
      </c>
      <c r="G238" t="s">
        <v>12887</v>
      </c>
      <c r="H238">
        <v>4</v>
      </c>
      <c r="I238">
        <v>1</v>
      </c>
    </row>
    <row r="239" spans="1:9" x14ac:dyDescent="0.25">
      <c r="A239">
        <v>16522</v>
      </c>
      <c r="B239" t="s">
        <v>7</v>
      </c>
      <c r="C239" t="str">
        <f>CONCATENATE(F239,"##")</f>
        <v>5101556##</v>
      </c>
      <c r="E239" t="str">
        <f>IFERROR(VLOOKUP(1*LEFT(C239,7),DF!$A$1:$F$9447,2,FALSE),"")</f>
        <v>CAMP TERMICO NEGRO 2XS/2XL RER</v>
      </c>
      <c r="F239">
        <v>5101556</v>
      </c>
      <c r="G239" t="s">
        <v>12888</v>
      </c>
      <c r="H239">
        <v>16</v>
      </c>
      <c r="I239">
        <v>1</v>
      </c>
    </row>
    <row r="240" spans="1:9" x14ac:dyDescent="0.25">
      <c r="A240">
        <v>16522</v>
      </c>
      <c r="B240" t="s">
        <v>7</v>
      </c>
      <c r="C240" t="s">
        <v>10932</v>
      </c>
      <c r="E240" t="str">
        <f>IFERROR(VLOOKUP(1*LEFT(C240,7),DF!$A$1:$F$9447,2,FALSE),"")</f>
        <v>CAMP TERMICO NEGRO 3XL/6XL RER</v>
      </c>
      <c r="F240">
        <v>5101556</v>
      </c>
      <c r="G240" t="s">
        <v>12888</v>
      </c>
      <c r="H240">
        <v>16</v>
      </c>
      <c r="I240">
        <v>1</v>
      </c>
    </row>
    <row r="241" spans="1:9" x14ac:dyDescent="0.25">
      <c r="A241">
        <v>16522</v>
      </c>
      <c r="B241" t="s">
        <v>7</v>
      </c>
      <c r="C241" t="str">
        <f t="shared" ref="C241:C251" si="2">CONCATENATE(F241,"##")</f>
        <v>5101569##</v>
      </c>
      <c r="E241" t="str">
        <f>IFERROR(VLOOKUP(1*LEFT(C241,7),DF!$A$1:$F$9447,2,FALSE),"")</f>
        <v>CAMP TERMICO RURAL 2XS/2XL</v>
      </c>
      <c r="F241" s="3">
        <v>5101569</v>
      </c>
      <c r="G241" t="s">
        <v>12889</v>
      </c>
      <c r="H241">
        <v>3</v>
      </c>
      <c r="I241">
        <v>1</v>
      </c>
    </row>
    <row r="242" spans="1:9" x14ac:dyDescent="0.25">
      <c r="A242">
        <v>16522</v>
      </c>
      <c r="B242" t="s">
        <v>7</v>
      </c>
      <c r="C242" t="str">
        <f t="shared" si="2"/>
        <v>5101443##</v>
      </c>
      <c r="E242" t="str">
        <f>IFERROR(VLOOKUP(1*LEFT(C242,7),DF!$A$1:$F$9447,2,FALSE),"")</f>
        <v>CAMP WJS43901 SARAH RER</v>
      </c>
      <c r="F242">
        <v>5101443</v>
      </c>
      <c r="G242" t="s">
        <v>12890</v>
      </c>
      <c r="H242">
        <v>2</v>
      </c>
      <c r="I242">
        <v>1</v>
      </c>
    </row>
    <row r="243" spans="1:9" x14ac:dyDescent="0.25">
      <c r="A243">
        <v>16522</v>
      </c>
      <c r="B243" t="s">
        <v>7</v>
      </c>
      <c r="C243" t="str">
        <f t="shared" si="2"/>
        <v>5102001##</v>
      </c>
      <c r="E243" t="str">
        <f>IFERROR(VLOOKUP(1*LEFT(C243,7),DF!$A$1:$F$9447,2,FALSE),"")</f>
        <v>CHALECO BOMBERO C/REFLECIVA RER</v>
      </c>
      <c r="F243">
        <v>5102001</v>
      </c>
      <c r="G243" t="s">
        <v>12556</v>
      </c>
      <c r="H243">
        <v>3</v>
      </c>
    </row>
    <row r="244" spans="1:9" x14ac:dyDescent="0.25">
      <c r="A244">
        <v>19599</v>
      </c>
      <c r="B244" t="s">
        <v>7</v>
      </c>
      <c r="C244" t="str">
        <f t="shared" si="2"/>
        <v>2401584##</v>
      </c>
      <c r="E244" t="str">
        <f>IFERROR(VLOOKUP(1*LEFT(C244,7),DF!$A$1:$F$9447,2,FALSE),"")</f>
        <v>CHALECO C/V LANA NEGRO MILIT EMTRI007 EM</v>
      </c>
      <c r="F244">
        <v>2401584</v>
      </c>
      <c r="G244" t="s">
        <v>12891</v>
      </c>
      <c r="H244">
        <v>3</v>
      </c>
      <c r="I244">
        <v>1</v>
      </c>
    </row>
    <row r="245" spans="1:9" x14ac:dyDescent="0.25">
      <c r="A245">
        <v>16522</v>
      </c>
      <c r="B245" t="s">
        <v>7</v>
      </c>
      <c r="C245" t="str">
        <f t="shared" si="2"/>
        <v>2401249##</v>
      </c>
      <c r="E245" t="str">
        <f>IFERROR(VLOOKUP(1*LEFT(C245,7),DF!$A$1:$F$9447,2,FALSE),"")</f>
        <v>CHALECO CARRIER C/PORTA ELEM MAZ/RRD</v>
      </c>
      <c r="F245">
        <v>2401249</v>
      </c>
      <c r="G245" t="s">
        <v>12558</v>
      </c>
      <c r="H245">
        <v>8</v>
      </c>
    </row>
    <row r="246" spans="1:9" x14ac:dyDescent="0.25">
      <c r="A246">
        <v>16522</v>
      </c>
      <c r="B246" t="s">
        <v>7</v>
      </c>
      <c r="C246" t="str">
        <f t="shared" si="2"/>
        <v>8708113##</v>
      </c>
      <c r="E246" t="str">
        <f>IFERROR(VLOOKUP(1*LEFT(C246,7),DF!$A$1:$F$9447,2,FALSE),"")</f>
        <v>CHALECO FUNDA ALPHA BALISTICA RRD42 BLK</v>
      </c>
      <c r="F246">
        <v>8708113</v>
      </c>
      <c r="G246" t="s">
        <v>12892</v>
      </c>
      <c r="H246">
        <v>4</v>
      </c>
      <c r="I246">
        <v>1</v>
      </c>
    </row>
    <row r="247" spans="1:9" x14ac:dyDescent="0.25">
      <c r="A247">
        <v>19599</v>
      </c>
      <c r="B247" t="s">
        <v>7</v>
      </c>
      <c r="C247" t="str">
        <f t="shared" si="2"/>
        <v>2401103##</v>
      </c>
      <c r="E247" t="str">
        <f>IFERROR(VLOOKUP(1*LEFT(C247,7),DF!$A$1:$F$9447,2,FALSE),"")</f>
        <v>CHALECO FUNDA BALIST MOLLE RRD4 BLK</v>
      </c>
      <c r="F247">
        <v>2401103</v>
      </c>
      <c r="G247" t="s">
        <v>12562</v>
      </c>
      <c r="H247">
        <v>4</v>
      </c>
    </row>
    <row r="248" spans="1:9" x14ac:dyDescent="0.25">
      <c r="A248">
        <v>16522</v>
      </c>
      <c r="B248" t="s">
        <v>7</v>
      </c>
      <c r="C248" t="str">
        <f t="shared" si="2"/>
        <v>8708112##</v>
      </c>
      <c r="E248" t="str">
        <f>IFERROR(VLOOKUP(1*LEFT(C248,7),DF!$A$1:$F$9447,2,FALSE),"")</f>
        <v>CHALECO FUNDA BALISTICA COMPL RRD7 BLK</v>
      </c>
      <c r="F248">
        <v>8708112</v>
      </c>
      <c r="G248" t="s">
        <v>12564</v>
      </c>
      <c r="H248">
        <v>7</v>
      </c>
    </row>
    <row r="249" spans="1:9" x14ac:dyDescent="0.25">
      <c r="A249">
        <v>19599</v>
      </c>
      <c r="B249" t="s">
        <v>7</v>
      </c>
      <c r="C249" t="str">
        <f t="shared" si="2"/>
        <v>8708300##</v>
      </c>
      <c r="E249" t="str">
        <f>IFERROR(VLOOKUP(1*LEFT(C249,7),DF!$A$1:$F$9447,2,FALSE),"")</f>
        <v>CHALECO FUNDA MOLLE</v>
      </c>
      <c r="F249">
        <v>8708300</v>
      </c>
      <c r="G249" t="s">
        <v>12567</v>
      </c>
      <c r="H249">
        <v>4</v>
      </c>
    </row>
    <row r="250" spans="1:9" x14ac:dyDescent="0.25">
      <c r="A250">
        <v>19599</v>
      </c>
      <c r="B250" t="s">
        <v>7</v>
      </c>
      <c r="C250" t="str">
        <f t="shared" si="2"/>
        <v>2401298##</v>
      </c>
      <c r="E250" t="str">
        <f>IFERROR(VLOOKUP(1*LEFT(C250,7),DF!$A$1:$F$9447,2,FALSE),"")</f>
        <v>CHALECO LANA AZUL MILTAR RER</v>
      </c>
      <c r="F250" s="23">
        <v>2401298</v>
      </c>
      <c r="G250" t="s">
        <v>12893</v>
      </c>
      <c r="H250">
        <v>3</v>
      </c>
      <c r="I250">
        <v>1</v>
      </c>
    </row>
    <row r="251" spans="1:9" x14ac:dyDescent="0.25">
      <c r="A251">
        <v>16522</v>
      </c>
      <c r="B251" t="s">
        <v>7</v>
      </c>
      <c r="C251" t="str">
        <f t="shared" si="2"/>
        <v>2101110##</v>
      </c>
      <c r="E251" t="str">
        <f>IFERROR(VLOOKUP(1*LEFT(C251,7),DF!$A$1:$F$9447,2,FALSE),"")</f>
        <v>CHOMBA MC CIERRE BOMBERO 3XS/2XL RER</v>
      </c>
      <c r="F251">
        <v>2101110</v>
      </c>
      <c r="G251" t="s">
        <v>12894</v>
      </c>
      <c r="H251">
        <v>3</v>
      </c>
      <c r="I251">
        <v>1</v>
      </c>
    </row>
    <row r="252" spans="1:9" x14ac:dyDescent="0.25">
      <c r="A252">
        <v>19599</v>
      </c>
      <c r="B252" t="s">
        <v>7</v>
      </c>
      <c r="C252" t="s">
        <v>3964</v>
      </c>
      <c r="E252" t="str">
        <f>IFERROR(VLOOKUP(1*LEFT(C252,7),DF!$A$1:$F$9447,2,FALSE),"")</f>
        <v>CHOMBA ML CIERRE AZ 3XL/5XL RER</v>
      </c>
      <c r="F252">
        <v>2101496</v>
      </c>
      <c r="G252" t="s">
        <v>12895</v>
      </c>
      <c r="H252">
        <v>10</v>
      </c>
      <c r="I252">
        <v>1</v>
      </c>
    </row>
    <row r="253" spans="1:9" x14ac:dyDescent="0.25">
      <c r="A253">
        <v>19599</v>
      </c>
      <c r="B253" t="s">
        <v>7</v>
      </c>
      <c r="C253" t="str">
        <f>CONCATENATE(F253,"##")</f>
        <v>2101496##</v>
      </c>
      <c r="E253" t="str">
        <f>IFERROR(VLOOKUP(1*LEFT(C253,7),DF!$A$1:$F$9447,2,FALSE),"")</f>
        <v>CHOMBA ML CIERRE AZ 3XS/2XL RER</v>
      </c>
      <c r="F253">
        <v>2101496</v>
      </c>
      <c r="G253" t="s">
        <v>12895</v>
      </c>
      <c r="H253">
        <v>10</v>
      </c>
      <c r="I253">
        <v>1</v>
      </c>
    </row>
    <row r="254" spans="1:9" x14ac:dyDescent="0.25">
      <c r="A254">
        <v>19599</v>
      </c>
      <c r="B254" t="s">
        <v>7</v>
      </c>
      <c r="C254" t="s">
        <v>3968</v>
      </c>
      <c r="E254" t="str">
        <f>IFERROR(VLOOKUP(1*LEFT(C254,7),DF!$A$1:$F$9447,2,FALSE),"")</f>
        <v>CHOMBA ML CIERRE GR 3XL/6XL RER</v>
      </c>
      <c r="F254">
        <v>2101751</v>
      </c>
      <c r="G254" t="s">
        <v>12896</v>
      </c>
      <c r="H254">
        <v>10</v>
      </c>
      <c r="I254">
        <v>1</v>
      </c>
    </row>
    <row r="255" spans="1:9" x14ac:dyDescent="0.25">
      <c r="A255">
        <v>19599</v>
      </c>
      <c r="B255" t="s">
        <v>7</v>
      </c>
      <c r="C255" t="str">
        <f>CONCATENATE(F255,"##")</f>
        <v>2101751##</v>
      </c>
      <c r="E255" t="str">
        <f>IFERROR(VLOOKUP(1*LEFT(C255,7),DF!$A$1:$F$9447,2,FALSE),"")</f>
        <v>CHOMBA ML CIERRE GR 3XS/2XL RER</v>
      </c>
      <c r="F255">
        <v>2101751</v>
      </c>
      <c r="G255" t="s">
        <v>12896</v>
      </c>
      <c r="H255">
        <v>10</v>
      </c>
      <c r="I255">
        <v>1</v>
      </c>
    </row>
    <row r="256" spans="1:9" x14ac:dyDescent="0.25">
      <c r="A256">
        <v>19599</v>
      </c>
      <c r="B256" t="s">
        <v>7</v>
      </c>
      <c r="C256" t="s">
        <v>3966</v>
      </c>
      <c r="E256" t="str">
        <f>IFERROR(VLOOKUP(1*LEFT(C256,7),DF!$A$1:$F$9447,2,FALSE),"")</f>
        <v>CHOMBA ML CIERRE NE 3XL/6XL RER</v>
      </c>
      <c r="F256">
        <v>2101901</v>
      </c>
      <c r="G256" t="s">
        <v>12897</v>
      </c>
      <c r="H256">
        <v>10</v>
      </c>
      <c r="I256">
        <v>1</v>
      </c>
    </row>
    <row r="257" spans="1:9" x14ac:dyDescent="0.25">
      <c r="A257">
        <v>19599</v>
      </c>
      <c r="B257" t="s">
        <v>7</v>
      </c>
      <c r="C257" t="str">
        <f>CONCATENATE(F257,"##")</f>
        <v>2101901##</v>
      </c>
      <c r="E257" t="str">
        <f>IFERROR(VLOOKUP(1*LEFT(C257,7),DF!$A$1:$F$9447,2,FALSE),"")</f>
        <v>CHOMBA ML CIERRE NE 3XS/2XL RER</v>
      </c>
      <c r="F257">
        <v>2101901</v>
      </c>
      <c r="G257" t="s">
        <v>12897</v>
      </c>
      <c r="H257">
        <v>10</v>
      </c>
      <c r="I257">
        <v>1</v>
      </c>
    </row>
    <row r="258" spans="1:9" x14ac:dyDescent="0.25">
      <c r="A258">
        <v>16522</v>
      </c>
      <c r="B258" t="s">
        <v>7</v>
      </c>
      <c r="C258" t="str">
        <f>CONCATENATE(F258,"##")</f>
        <v>3101489##</v>
      </c>
      <c r="E258" t="str">
        <f>IFERROR(VLOOKUP(1*LEFT(C258,7),DF!$A$1:$F$9447,2,FALSE),"")</f>
        <v>CONJUNTO 1RA PIEL RER</v>
      </c>
      <c r="F258">
        <v>3101489</v>
      </c>
      <c r="G258" t="s">
        <v>12898</v>
      </c>
      <c r="H258">
        <v>3</v>
      </c>
    </row>
    <row r="259" spans="1:9" x14ac:dyDescent="0.25">
      <c r="A259">
        <v>16522</v>
      </c>
      <c r="B259" t="s">
        <v>7</v>
      </c>
      <c r="C259" t="str">
        <f>CONCATENATE(F259,"##")</f>
        <v>5101204##</v>
      </c>
      <c r="E259" t="str">
        <f>IFERROR(VLOOKUP(1*LEFT(C259,7),DF!$A$1:$F$9447,2,FALSE),"")</f>
        <v>GARIBALDINA MAO RIP MULTICA 2XS/2XL RER</v>
      </c>
      <c r="F259">
        <v>5101204</v>
      </c>
      <c r="G259" t="s">
        <v>12899</v>
      </c>
      <c r="H259">
        <v>3</v>
      </c>
      <c r="I259">
        <v>1</v>
      </c>
    </row>
    <row r="260" spans="1:9" x14ac:dyDescent="0.25">
      <c r="A260">
        <v>16522</v>
      </c>
      <c r="B260" t="s">
        <v>7</v>
      </c>
      <c r="C260" t="s">
        <v>4761</v>
      </c>
      <c r="E260" t="str">
        <f>IFERROR(VLOOKUP(1*LEFT(C260,7),DF!$A$1:$F$9447,2,FALSE),"")</f>
        <v>GARIBALDINA MAO RIP MULTICA 3XL/5XL RER</v>
      </c>
      <c r="F260">
        <v>5101204</v>
      </c>
      <c r="G260" t="s">
        <v>12899</v>
      </c>
      <c r="H260">
        <v>3</v>
      </c>
      <c r="I260">
        <v>1</v>
      </c>
    </row>
    <row r="261" spans="1:9" x14ac:dyDescent="0.25">
      <c r="A261">
        <v>16522</v>
      </c>
      <c r="B261" t="s">
        <v>7</v>
      </c>
      <c r="C261" t="str">
        <f>CONCATENATE(F261,"##")</f>
        <v>5101876##</v>
      </c>
      <c r="E261" t="str">
        <f>IFERROR(VLOOKUP(1*LEFT(C261,7),DF!$A$1:$F$9447,2,FALSE),"")</f>
        <v>GARIBALDINA MAO RIP VIAL TUC 2XS/2XL RER</v>
      </c>
      <c r="F261">
        <v>5101876</v>
      </c>
      <c r="G261" t="s">
        <v>12900</v>
      </c>
      <c r="H261">
        <v>4</v>
      </c>
      <c r="I261">
        <v>1</v>
      </c>
    </row>
    <row r="262" spans="1:9" x14ac:dyDescent="0.25">
      <c r="A262">
        <v>16522</v>
      </c>
      <c r="B262" t="s">
        <v>7</v>
      </c>
      <c r="C262" t="s">
        <v>12288</v>
      </c>
      <c r="E262" t="str">
        <f>IFERROR(VLOOKUP(1*LEFT(C262,7),DF!$A$1:$F$9447,2,FALSE),"")</f>
        <v>GARIBALDINA MAO RIP VIAL TUC 3XL/5XL RER</v>
      </c>
      <c r="F262">
        <v>5101876</v>
      </c>
      <c r="G262" t="s">
        <v>12900</v>
      </c>
      <c r="H262">
        <v>4</v>
      </c>
      <c r="I262">
        <v>1</v>
      </c>
    </row>
    <row r="263" spans="1:9" x14ac:dyDescent="0.25">
      <c r="A263">
        <v>16522</v>
      </c>
      <c r="B263" t="s">
        <v>7</v>
      </c>
      <c r="C263" t="str">
        <f>CONCATENATE(F263,"##")</f>
        <v>2220034##</v>
      </c>
      <c r="E263" t="str">
        <f>IFERROR(VLOOKUP(1*LEFT(C263,7),DF!$A$1:$F$9447,2,FALSE),"")</f>
        <v>POLERA ALGODON BLANCA RER</v>
      </c>
      <c r="F263">
        <v>2220034</v>
      </c>
      <c r="G263" t="s">
        <v>12760</v>
      </c>
      <c r="H263">
        <v>2</v>
      </c>
    </row>
    <row r="264" spans="1:9" x14ac:dyDescent="0.25">
      <c r="A264">
        <v>16522</v>
      </c>
      <c r="B264" t="s">
        <v>7</v>
      </c>
      <c r="C264" t="str">
        <f>CONCATENATE(F264,"##")</f>
        <v>2101567##</v>
      </c>
      <c r="E264" t="str">
        <f>IFERROR(VLOOKUP(1*LEFT(C264,7),DF!$A$1:$F$9447,2,FALSE),"")</f>
        <v>REMERA MC STEEL AZUL 2XS/2XL</v>
      </c>
      <c r="F264">
        <v>2101567</v>
      </c>
      <c r="G264" t="s">
        <v>12901</v>
      </c>
      <c r="H264">
        <v>5</v>
      </c>
    </row>
    <row r="265" spans="1:9" x14ac:dyDescent="0.25">
      <c r="A265">
        <v>16522</v>
      </c>
      <c r="B265" t="s">
        <v>7</v>
      </c>
      <c r="C265" t="s">
        <v>7025</v>
      </c>
      <c r="E265" t="str">
        <f>IFERROR(VLOOKUP(1*LEFT(C265,7),DF!$A$1:$F$9447,2,FALSE),"")</f>
        <v>REMERA MC STEEL AZUL 3XL/6XL</v>
      </c>
      <c r="F265">
        <v>2101567</v>
      </c>
      <c r="G265" t="s">
        <v>12901</v>
      </c>
      <c r="H265">
        <v>5</v>
      </c>
    </row>
    <row r="266" spans="1:9" x14ac:dyDescent="0.25">
      <c r="A266">
        <v>16522</v>
      </c>
      <c r="B266" t="s">
        <v>7</v>
      </c>
      <c r="C266" t="str">
        <f>CONCATENATE(F266,"##")</f>
        <v>2101565##</v>
      </c>
      <c r="E266" t="str">
        <f>IFERROR(VLOOKUP(1*LEFT(C266,7),DF!$A$1:$F$9447,2,FALSE),"")</f>
        <v>REMERA MC STEEL NEGRA 2XS/2XL</v>
      </c>
      <c r="F266">
        <v>2101565</v>
      </c>
      <c r="G266" t="s">
        <v>12902</v>
      </c>
      <c r="H266">
        <v>5</v>
      </c>
    </row>
    <row r="267" spans="1:9" x14ac:dyDescent="0.25">
      <c r="A267">
        <v>16522</v>
      </c>
      <c r="B267" t="s">
        <v>7</v>
      </c>
      <c r="C267" t="s">
        <v>7024</v>
      </c>
      <c r="E267" t="str">
        <f>IFERROR(VLOOKUP(1*LEFT(C267,7),DF!$A$1:$F$9447,2,FALSE),"")</f>
        <v>REMERA MC STEEL NEGRA 3XL/5XL</v>
      </c>
      <c r="F267">
        <v>2101565</v>
      </c>
      <c r="G267" t="s">
        <v>12902</v>
      </c>
      <c r="H267">
        <v>5</v>
      </c>
    </row>
    <row r="268" spans="1:9" x14ac:dyDescent="0.25">
      <c r="A268">
        <v>16522</v>
      </c>
      <c r="B268" t="s">
        <v>7</v>
      </c>
      <c r="C268" t="str">
        <f t="shared" ref="C268:C280" si="3">CONCATENATE(F268,"##")</f>
        <v>2220076##</v>
      </c>
      <c r="E268" t="str">
        <f>IFERROR(VLOOKUP(1*LEFT(C268,7),DF!$A$1:$F$9447,2,FALSE),"")</f>
        <v>REMERA ML 1RA PIEL NEGRA  VANIZADA RER</v>
      </c>
      <c r="F268">
        <v>2220076</v>
      </c>
      <c r="G268" t="s">
        <v>12903</v>
      </c>
      <c r="H268">
        <v>3</v>
      </c>
    </row>
    <row r="269" spans="1:9" x14ac:dyDescent="0.25">
      <c r="A269">
        <v>16522</v>
      </c>
      <c r="B269" t="s">
        <v>7</v>
      </c>
      <c r="C269" t="str">
        <f t="shared" si="3"/>
        <v>2601004##</v>
      </c>
      <c r="E269" t="str">
        <f>IFERROR(VLOOKUP(1*LEFT(C269,7),DF!$A$1:$F$9447,2,FALSE),"")</f>
        <v>TRICOPOLAR AZUL RER</v>
      </c>
      <c r="F269">
        <v>2601004</v>
      </c>
      <c r="G269" t="s">
        <v>12904</v>
      </c>
      <c r="H269">
        <v>5</v>
      </c>
      <c r="I269">
        <v>1</v>
      </c>
    </row>
    <row r="270" spans="1:9" x14ac:dyDescent="0.25">
      <c r="A270">
        <v>16522</v>
      </c>
      <c r="B270" t="s">
        <v>7</v>
      </c>
      <c r="C270" t="str">
        <f t="shared" si="3"/>
        <v>2601750##</v>
      </c>
      <c r="E270" t="str">
        <f>IFERROR(VLOOKUP(1*LEFT(C270,7),DF!$A$1:$F$9447,2,FALSE),"")</f>
        <v>TRICOPOLAR GRIS RER</v>
      </c>
      <c r="F270">
        <v>2601750</v>
      </c>
      <c r="G270" t="s">
        <v>12905</v>
      </c>
      <c r="H270">
        <v>5</v>
      </c>
      <c r="I270">
        <v>1</v>
      </c>
    </row>
    <row r="271" spans="1:9" x14ac:dyDescent="0.25">
      <c r="A271">
        <v>19599</v>
      </c>
      <c r="B271" t="s">
        <v>7</v>
      </c>
      <c r="C271" t="str">
        <f t="shared" si="3"/>
        <v>2601003##</v>
      </c>
      <c r="E271" t="str">
        <f>IFERROR(VLOOKUP(1*LEFT(C271,7),DF!$A$1:$F$9447,2,FALSE),"")</f>
        <v>TRICOPOLAR NEGRO RER</v>
      </c>
      <c r="F271">
        <v>2601003</v>
      </c>
      <c r="G271" t="s">
        <v>12906</v>
      </c>
      <c r="H271">
        <v>9</v>
      </c>
      <c r="I271">
        <v>1</v>
      </c>
    </row>
    <row r="272" spans="1:9" x14ac:dyDescent="0.25">
      <c r="A272">
        <v>19599</v>
      </c>
      <c r="B272" t="s">
        <v>7</v>
      </c>
      <c r="C272" t="str">
        <f t="shared" si="3"/>
        <v>2301888##</v>
      </c>
      <c r="E272" t="str">
        <f>IFERROR(VLOOKUP(1*LEFT(C272,7),DF!$A$1:$F$9447,2,FALSE),"")</f>
        <v>TRICOTA C/POLERA FORRADA AZUL EM</v>
      </c>
      <c r="F272" s="3">
        <v>2301888</v>
      </c>
      <c r="G272" s="9" t="s">
        <v>12907</v>
      </c>
      <c r="H272">
        <v>9</v>
      </c>
      <c r="I272">
        <v>1</v>
      </c>
    </row>
    <row r="273" spans="1:9" x14ac:dyDescent="0.25">
      <c r="A273">
        <v>19599</v>
      </c>
      <c r="B273" t="s">
        <v>7</v>
      </c>
      <c r="C273" t="str">
        <f t="shared" si="3"/>
        <v>2301158##</v>
      </c>
      <c r="E273" t="str">
        <f>IFERROR(VLOOKUP(1*LEFT(C273,7),DF!$A$1:$F$9447,2,FALSE),"")</f>
        <v>TRICOTA C/POLERA FORRADA GRIS EM</v>
      </c>
      <c r="F273" s="3">
        <v>2301158</v>
      </c>
      <c r="G273" s="9" t="s">
        <v>12908</v>
      </c>
      <c r="H273">
        <v>8</v>
      </c>
      <c r="I273">
        <v>1</v>
      </c>
    </row>
    <row r="274" spans="1:9" x14ac:dyDescent="0.25">
      <c r="A274">
        <v>19599</v>
      </c>
      <c r="B274" t="s">
        <v>7</v>
      </c>
      <c r="C274" t="str">
        <f t="shared" si="3"/>
        <v>2301048##</v>
      </c>
      <c r="D274" t="s">
        <v>6996</v>
      </c>
      <c r="E274" t="str">
        <f>IFERROR(VLOOKUP(1*LEFT(C274,7),DF!$A$1:$F$9447,2,FALSE),"")</f>
        <v>TRICOTA C/POLERA FORRADA NEGRA EM</v>
      </c>
      <c r="F274" s="3">
        <v>2301048</v>
      </c>
      <c r="G274" s="9" t="s">
        <v>12909</v>
      </c>
      <c r="H274">
        <v>8</v>
      </c>
      <c r="I274">
        <v>1</v>
      </c>
    </row>
    <row r="275" spans="1:9" x14ac:dyDescent="0.25">
      <c r="A275">
        <v>19599</v>
      </c>
      <c r="B275" t="s">
        <v>7</v>
      </c>
      <c r="C275" t="str">
        <f t="shared" si="3"/>
        <v>2301300##</v>
      </c>
      <c r="E275" t="str">
        <f>IFERROR(VLOOKUP(1*LEFT(C275,7),DF!$A$1:$F$9447,2,FALSE),"")</f>
        <v>TRICOTA C/POLERA FORRADA VERDE EM</v>
      </c>
      <c r="F275" s="3">
        <v>2301300</v>
      </c>
      <c r="G275" s="9" t="s">
        <v>12910</v>
      </c>
      <c r="H275">
        <v>8</v>
      </c>
      <c r="I275">
        <v>1</v>
      </c>
    </row>
    <row r="276" spans="1:9" x14ac:dyDescent="0.25">
      <c r="A276">
        <v>19599</v>
      </c>
      <c r="B276" t="s">
        <v>7</v>
      </c>
      <c r="C276" t="str">
        <f t="shared" si="3"/>
        <v>2301777##</v>
      </c>
      <c r="E276" t="str">
        <f>IFERROR(VLOOKUP(1*LEFT(C276,7),DF!$A$1:$F$9447,2,FALSE),"")</f>
        <v>TRICOTA CUELLO REDONDO FORRADA AZUL EM</v>
      </c>
      <c r="F276" s="22">
        <v>2301777</v>
      </c>
      <c r="G276" t="s">
        <v>12911</v>
      </c>
      <c r="H276">
        <v>4</v>
      </c>
      <c r="I276">
        <v>1</v>
      </c>
    </row>
    <row r="277" spans="1:9" x14ac:dyDescent="0.25">
      <c r="A277">
        <v>19599</v>
      </c>
      <c r="B277" t="s">
        <v>7</v>
      </c>
      <c r="C277" t="str">
        <f t="shared" si="3"/>
        <v>2301900##</v>
      </c>
      <c r="E277" t="str">
        <f>IFERROR(VLOOKUP(1*LEFT(C277,7),DF!$A$1:$F$9447,2,FALSE),"")</f>
        <v>TRICOTA CUELLO REDONDO NEGRA EM</v>
      </c>
      <c r="F277" s="22">
        <v>2301900</v>
      </c>
      <c r="G277" t="s">
        <v>12912</v>
      </c>
      <c r="H277">
        <v>4</v>
      </c>
      <c r="I277">
        <v>1</v>
      </c>
    </row>
    <row r="278" spans="1:9" x14ac:dyDescent="0.25">
      <c r="A278">
        <v>19599</v>
      </c>
      <c r="B278" t="s">
        <v>7</v>
      </c>
      <c r="C278" t="str">
        <f t="shared" si="3"/>
        <v>2301333##</v>
      </c>
      <c r="E278" t="str">
        <f>IFERROR(VLOOKUP(1*LEFT(C278,7),DF!$A$1:$F$9447,2,FALSE),"")</f>
        <v>TRICOTA CUELLO REDONDO VERDE EM</v>
      </c>
      <c r="F278" s="22">
        <v>2301333</v>
      </c>
      <c r="G278" s="9" t="s">
        <v>12913</v>
      </c>
      <c r="H278">
        <v>4</v>
      </c>
      <c r="I278">
        <v>1</v>
      </c>
    </row>
    <row r="279" spans="1:9" x14ac:dyDescent="0.25">
      <c r="A279">
        <v>19599</v>
      </c>
      <c r="B279" t="s">
        <v>7</v>
      </c>
      <c r="C279" t="str">
        <f t="shared" si="3"/>
        <v>2301666##</v>
      </c>
      <c r="E279" t="str">
        <f>IFERROR(VLOOKUP(1*LEFT(C279,7),DF!$A$1:$F$9447,2,FALSE),"")</f>
        <v>TRICOTA ESCOTE V SIN FORRO AZUL EM</v>
      </c>
      <c r="F279">
        <v>2301666</v>
      </c>
      <c r="G279" t="s">
        <v>12914</v>
      </c>
      <c r="H279">
        <v>3</v>
      </c>
      <c r="I279">
        <v>1</v>
      </c>
    </row>
    <row r="280" spans="1:9" x14ac:dyDescent="0.25">
      <c r="A280">
        <v>19599</v>
      </c>
      <c r="B280" t="s">
        <v>7</v>
      </c>
      <c r="C280" t="str">
        <f t="shared" si="3"/>
        <v>2301046##</v>
      </c>
      <c r="E280" t="str">
        <f>IFERROR(VLOOKUP(1*LEFT(C280,7),DF!$A$1:$F$9447,2,FALSE),"")</f>
        <v>TRICOTA ESCOTE V SIN FORRO NEGRA EM</v>
      </c>
      <c r="F280">
        <v>2301046</v>
      </c>
      <c r="G280" t="s">
        <v>12915</v>
      </c>
      <c r="H280">
        <v>5</v>
      </c>
      <c r="I280">
        <v>1</v>
      </c>
    </row>
    <row r="281" spans="1:9" x14ac:dyDescent="0.25">
      <c r="A281" s="2">
        <v>16522</v>
      </c>
      <c r="B281" s="2" t="s">
        <v>4</v>
      </c>
      <c r="C281" s="2" t="str">
        <f>CONCATENATE(F281,"##")</f>
        <v>1120315##</v>
      </c>
      <c r="D281" s="2"/>
      <c r="E281" s="2" t="str">
        <f>IFERROR(VLOOKUP(1*LEFT(C281,7),DF!$A$1:$F$9447,2,FALSE),"")</f>
        <v>BOMB CLAS RIP DESERTICO 34/48 RER</v>
      </c>
      <c r="F281" s="7">
        <v>1120315</v>
      </c>
      <c r="G281" t="s">
        <v>13970</v>
      </c>
      <c r="H281">
        <v>2</v>
      </c>
      <c r="I281">
        <v>1</v>
      </c>
    </row>
    <row r="282" spans="1:9" x14ac:dyDescent="0.25">
      <c r="A282" s="2">
        <v>16522</v>
      </c>
      <c r="B282" s="2" t="s">
        <v>4</v>
      </c>
      <c r="C282" s="2" t="s">
        <v>6589</v>
      </c>
      <c r="D282" s="2"/>
      <c r="E282" s="2" t="str">
        <f>IFERROR(VLOOKUP(1*LEFT(C282,7),DF!$A$1:$F$9447,2,FALSE),"")</f>
        <v>BOMB CLAS RIP DESERTICO 50/54 RER</v>
      </c>
      <c r="F282" s="7">
        <v>1120315</v>
      </c>
      <c r="G282" t="s">
        <v>13970</v>
      </c>
      <c r="H282">
        <v>2</v>
      </c>
      <c r="I282">
        <v>1</v>
      </c>
    </row>
    <row r="283" spans="1:9" x14ac:dyDescent="0.25">
      <c r="A283" s="2">
        <v>16522</v>
      </c>
      <c r="B283" s="2" t="s">
        <v>4</v>
      </c>
      <c r="C283" s="2" t="s">
        <v>13968</v>
      </c>
      <c r="D283" s="2"/>
      <c r="E283" s="2" t="str">
        <f>IFERROR(VLOOKUP(1*LEFT(C283,7),DF!$A$1:$F$9447,2,FALSE),"")</f>
        <v>BOMB CLAS RIP DESERTICO 56/60 RER</v>
      </c>
      <c r="F283" s="7">
        <v>1120315</v>
      </c>
      <c r="G283" t="s">
        <v>13970</v>
      </c>
      <c r="H283">
        <v>2</v>
      </c>
      <c r="I283">
        <v>1</v>
      </c>
    </row>
    <row r="284" spans="1:9" x14ac:dyDescent="0.25">
      <c r="A284" s="2">
        <v>16522</v>
      </c>
      <c r="B284" s="2" t="s">
        <v>4</v>
      </c>
      <c r="C284" s="2" t="s">
        <v>13969</v>
      </c>
      <c r="D284" s="2"/>
      <c r="E284" s="2" t="str">
        <f>IFERROR(VLOOKUP(1*LEFT(C284,7),DF!$A$1:$F$9447,2,FALSE),"")</f>
        <v>BOMB CLAS RIP DESERTICO 62/66 RER</v>
      </c>
      <c r="F284" s="7">
        <v>1120315</v>
      </c>
      <c r="G284" t="s">
        <v>13970</v>
      </c>
      <c r="H284">
        <v>2</v>
      </c>
      <c r="I284">
        <v>1</v>
      </c>
    </row>
    <row r="285" spans="1:9" x14ac:dyDescent="0.25">
      <c r="A285" s="2">
        <v>16522</v>
      </c>
      <c r="B285" s="2" t="s">
        <v>4</v>
      </c>
      <c r="C285" s="2" t="str">
        <f>CONCATENATE(F285,"##")</f>
        <v>1120666##</v>
      </c>
      <c r="D285" s="2"/>
      <c r="E285" s="2" t="str">
        <f>IFERROR(VLOOKUP(1*LEFT(C285,7),DF!$A$1:$F$9447,2,FALSE),"")</f>
        <v>BOMB CLAS RIP DIGITAL BEIGE 34/48 RER</v>
      </c>
      <c r="F285" s="7">
        <v>1120666</v>
      </c>
      <c r="G285" t="s">
        <v>13971</v>
      </c>
      <c r="H285">
        <v>2</v>
      </c>
      <c r="I285">
        <v>1</v>
      </c>
    </row>
    <row r="286" spans="1:9" x14ac:dyDescent="0.25">
      <c r="A286" s="2">
        <v>16522</v>
      </c>
      <c r="B286" s="2" t="s">
        <v>4</v>
      </c>
      <c r="C286" s="2" t="s">
        <v>2253</v>
      </c>
      <c r="D286" s="2"/>
      <c r="E286" s="2" t="str">
        <f>IFERROR(VLOOKUP(1*LEFT(C286,7),DF!$A$1:$F$9447,2,FALSE),"")</f>
        <v>BOMB CLAS RIP DIGITAL BEIGE 50/54 RER</v>
      </c>
      <c r="F286" s="7">
        <v>1120666</v>
      </c>
      <c r="G286" t="s">
        <v>13971</v>
      </c>
      <c r="H286">
        <v>2</v>
      </c>
      <c r="I286">
        <v>1</v>
      </c>
    </row>
    <row r="287" spans="1:9" x14ac:dyDescent="0.25">
      <c r="A287" s="2">
        <v>16522</v>
      </c>
      <c r="B287" s="2" t="s">
        <v>4</v>
      </c>
      <c r="C287" s="2" t="s">
        <v>2261</v>
      </c>
      <c r="D287" s="2"/>
      <c r="E287" s="2" t="str">
        <f>IFERROR(VLOOKUP(1*LEFT(C287,7),DF!$A$1:$F$9447,2,FALSE),"")</f>
        <v>BOMB CLAS RIP DIGITAL BEIGE 56/60 RER</v>
      </c>
      <c r="F287" s="7">
        <v>1120666</v>
      </c>
      <c r="G287" t="s">
        <v>13971</v>
      </c>
      <c r="H287">
        <v>2</v>
      </c>
      <c r="I287">
        <v>1</v>
      </c>
    </row>
    <row r="288" spans="1:9" x14ac:dyDescent="0.25">
      <c r="A288" s="2">
        <v>16522</v>
      </c>
      <c r="B288" s="2" t="s">
        <v>4</v>
      </c>
      <c r="C288" s="2" t="s">
        <v>2269</v>
      </c>
      <c r="D288" s="2"/>
      <c r="E288" s="2" t="str">
        <f>IFERROR(VLOOKUP(1*LEFT(C288,7),DF!$A$1:$F$9447,2,FALSE),"")</f>
        <v>BOMB CLAS RIP DIGITAL BEIGE 62/66 RER</v>
      </c>
      <c r="F288" s="7">
        <v>1120666</v>
      </c>
      <c r="G288" t="s">
        <v>13971</v>
      </c>
      <c r="H288">
        <v>2</v>
      </c>
      <c r="I288">
        <v>1</v>
      </c>
    </row>
    <row r="289" spans="1:9" x14ac:dyDescent="0.25">
      <c r="A289" s="2">
        <v>16522</v>
      </c>
      <c r="B289" s="2" t="s">
        <v>4</v>
      </c>
      <c r="C289" s="2" t="str">
        <f>CONCATENATE(F289,"##")</f>
        <v>1120876##</v>
      </c>
      <c r="D289" s="2"/>
      <c r="E289" s="2" t="str">
        <f>IFERROR(VLOOKUP(1*LEFT(C289,7),DF!$A$1:$F$9447,2,FALSE),"")</f>
        <v>BOMB CLAS RIP VIAL TMAN 34/48 RER</v>
      </c>
      <c r="F289" s="7">
        <v>1120876</v>
      </c>
      <c r="G289" t="s">
        <v>13973</v>
      </c>
      <c r="H289">
        <v>4</v>
      </c>
      <c r="I289">
        <v>1</v>
      </c>
    </row>
    <row r="290" spans="1:9" x14ac:dyDescent="0.25">
      <c r="A290" s="2">
        <v>16522</v>
      </c>
      <c r="B290" s="2" t="s">
        <v>4</v>
      </c>
      <c r="C290" s="2" t="s">
        <v>4067</v>
      </c>
      <c r="D290" s="2"/>
      <c r="E290" s="2" t="str">
        <f>IFERROR(VLOOKUP(1*LEFT(C290,7),DF!$A$1:$F$9447,2,FALSE),"")</f>
        <v>BOMB CLAS RIP VIAL TMAN 50/54 RER</v>
      </c>
      <c r="F290" s="7">
        <v>1120876</v>
      </c>
      <c r="G290" t="s">
        <v>13973</v>
      </c>
      <c r="H290">
        <v>4</v>
      </c>
      <c r="I290">
        <v>1</v>
      </c>
    </row>
    <row r="291" spans="1:9" x14ac:dyDescent="0.25">
      <c r="A291" s="2">
        <v>16522</v>
      </c>
      <c r="B291" s="2" t="s">
        <v>4</v>
      </c>
      <c r="C291" s="2" t="s">
        <v>13972</v>
      </c>
      <c r="D291" s="2"/>
      <c r="E291" s="2" t="str">
        <f>IFERROR(VLOOKUP(1*LEFT(C291,7),DF!$A$1:$F$9447,2,FALSE),"")</f>
        <v>BOMB CLAS RIP VIAL TMAN 56/60 RER</v>
      </c>
      <c r="F291" s="7">
        <v>1120876</v>
      </c>
      <c r="G291" t="s">
        <v>13973</v>
      </c>
      <c r="H291">
        <v>4</v>
      </c>
      <c r="I291">
        <v>1</v>
      </c>
    </row>
    <row r="292" spans="1:9" x14ac:dyDescent="0.25">
      <c r="A292" s="2">
        <v>16522</v>
      </c>
      <c r="B292" s="2" t="s">
        <v>4</v>
      </c>
      <c r="C292" s="2" t="str">
        <f>CONCATENATE(F292,"##")</f>
        <v>1120877##</v>
      </c>
      <c r="D292" s="2"/>
      <c r="E292" s="2" t="str">
        <f>IFERROR(VLOOKUP(1*LEFT(C292,7),DF!$A$1:$F$9447,2,FALSE),"")</f>
        <v>BOMB CLAS RIP MIMET RURAL 34/48 RER</v>
      </c>
      <c r="F292" s="7">
        <v>1120877</v>
      </c>
      <c r="G292" t="s">
        <v>13974</v>
      </c>
      <c r="H292">
        <v>4</v>
      </c>
      <c r="I292">
        <v>1</v>
      </c>
    </row>
    <row r="293" spans="1:9" x14ac:dyDescent="0.25">
      <c r="A293" s="2">
        <v>16522</v>
      </c>
      <c r="B293" s="2" t="s">
        <v>4</v>
      </c>
      <c r="C293" s="2" t="s">
        <v>6675</v>
      </c>
      <c r="D293" s="2"/>
      <c r="E293" s="2" t="str">
        <f>IFERROR(VLOOKUP(1*LEFT(C293,7),DF!$A$1:$F$9447,2,FALSE),"")</f>
        <v>BOMB CLAS RIP MIMET RURAL 50/54 RER</v>
      </c>
      <c r="F293" s="7">
        <v>1120877</v>
      </c>
      <c r="G293" t="s">
        <v>13974</v>
      </c>
      <c r="H293">
        <v>4</v>
      </c>
      <c r="I293">
        <v>1</v>
      </c>
    </row>
    <row r="294" spans="1:9" x14ac:dyDescent="0.25">
      <c r="A294" s="2">
        <v>16522</v>
      </c>
      <c r="B294" s="2" t="s">
        <v>4</v>
      </c>
      <c r="C294" s="2" t="s">
        <v>6691</v>
      </c>
      <c r="D294" s="2"/>
      <c r="E294" s="2" t="str">
        <f>IFERROR(VLOOKUP(1*LEFT(C294,7),DF!$A$1:$F$9447,2,FALSE),"")</f>
        <v>BOMB CLAS RIP MIMET RURAL 62/66 RER</v>
      </c>
      <c r="F294" s="7">
        <v>1120877</v>
      </c>
      <c r="G294" t="s">
        <v>13974</v>
      </c>
      <c r="H294">
        <v>4</v>
      </c>
      <c r="I294">
        <v>1</v>
      </c>
    </row>
    <row r="295" spans="1:9" x14ac:dyDescent="0.25">
      <c r="A295" s="2">
        <v>16522</v>
      </c>
      <c r="B295" s="2" t="s">
        <v>4</v>
      </c>
      <c r="C295" s="2" t="str">
        <f>CONCATENATE(F295,"##")</f>
        <v>1120165##</v>
      </c>
      <c r="D295" s="2"/>
      <c r="E295" s="2" t="str">
        <f>IFERROR(VLOOKUP(1*LEFT(C295,7),DF!$A$1:$F$9447,2,FALSE),"")</f>
        <v>BOMB AMER RIP DIGITAL ACU 34/48 RER</v>
      </c>
      <c r="F295" s="7">
        <v>1120165</v>
      </c>
      <c r="G295" t="s">
        <v>13975</v>
      </c>
      <c r="H295">
        <v>2</v>
      </c>
      <c r="I295">
        <v>1</v>
      </c>
    </row>
    <row r="296" spans="1:9" x14ac:dyDescent="0.25">
      <c r="A296" s="2">
        <v>16522</v>
      </c>
      <c r="B296" s="2" t="s">
        <v>4</v>
      </c>
      <c r="C296" s="2" t="s">
        <v>12264</v>
      </c>
      <c r="D296" s="2"/>
      <c r="E296" s="2" t="str">
        <f>IFERROR(VLOOKUP(1*LEFT(C296,7),DF!$A$1:$F$9447,2,FALSE),"")</f>
        <v>BOMB AMER RIP DIGITAL ACU 50/54 RER</v>
      </c>
      <c r="F296" s="7">
        <v>1120165</v>
      </c>
      <c r="G296" t="s">
        <v>13975</v>
      </c>
      <c r="H296">
        <v>2</v>
      </c>
      <c r="I296">
        <v>1</v>
      </c>
    </row>
    <row r="297" spans="1:9" x14ac:dyDescent="0.25">
      <c r="A297" s="2">
        <v>16522</v>
      </c>
      <c r="B297" s="2" t="s">
        <v>4</v>
      </c>
      <c r="C297" s="2" t="s">
        <v>12265</v>
      </c>
      <c r="D297" s="2"/>
      <c r="E297" s="2" t="str">
        <f>IFERROR(VLOOKUP(1*LEFT(C297,7),DF!$A$1:$F$9447,2,FALSE),"")</f>
        <v>BOMB AMER RIP DIGITAL ACU 56/60 RER</v>
      </c>
      <c r="F297" s="7">
        <v>1120165</v>
      </c>
      <c r="G297" t="s">
        <v>13975</v>
      </c>
      <c r="H297">
        <v>2</v>
      </c>
      <c r="I297">
        <v>1</v>
      </c>
    </row>
    <row r="298" spans="1:9" x14ac:dyDescent="0.25">
      <c r="A298" s="2">
        <v>16522</v>
      </c>
      <c r="B298" s="2" t="s">
        <v>4</v>
      </c>
      <c r="C298" s="2" t="s">
        <v>12266</v>
      </c>
      <c r="D298" s="2"/>
      <c r="E298" s="2" t="str">
        <f>IFERROR(VLOOKUP(1*LEFT(C298,7),DF!$A$1:$F$9447,2,FALSE),"")</f>
        <v>BOMB AMER RIP DIGITAL ACU 62/66 RER</v>
      </c>
      <c r="F298" s="7">
        <v>1120165</v>
      </c>
      <c r="G298" t="s">
        <v>13975</v>
      </c>
      <c r="H298">
        <v>2</v>
      </c>
      <c r="I298">
        <v>1</v>
      </c>
    </row>
    <row r="299" spans="1:9" x14ac:dyDescent="0.25">
      <c r="A299" s="2">
        <v>16522</v>
      </c>
      <c r="B299" s="2" t="s">
        <v>4</v>
      </c>
      <c r="C299" s="2" t="str">
        <f>CONCATENATE(F299,"##")</f>
        <v>1120224##</v>
      </c>
      <c r="D299" s="2"/>
      <c r="E299" s="2" t="str">
        <f>IFERROR(VLOOKUP(1*LEFT(C299,7),DF!$A$1:$F$9447,2,FALSE),"")</f>
        <v>BOMB CLAS RIP AZUL M.L. 36/48 RER</v>
      </c>
      <c r="F299">
        <v>1120224</v>
      </c>
      <c r="G299" t="s">
        <v>13977</v>
      </c>
      <c r="H299">
        <v>6</v>
      </c>
      <c r="I299">
        <v>1</v>
      </c>
    </row>
    <row r="300" spans="1:9" x14ac:dyDescent="0.25">
      <c r="A300" s="2">
        <v>16522</v>
      </c>
      <c r="B300" s="2" t="s">
        <v>4</v>
      </c>
      <c r="C300" s="2" t="s">
        <v>13976</v>
      </c>
      <c r="D300" s="2"/>
      <c r="E300" s="2" t="str">
        <f>IFERROR(VLOOKUP(1*LEFT(C300,7),DF!$A$1:$F$9447,2,FALSE),"")</f>
        <v>BOMB CLAS RIP AZUL M.L. 50/54 RER</v>
      </c>
      <c r="F300">
        <v>1120224</v>
      </c>
      <c r="G300" t="s">
        <v>13977</v>
      </c>
      <c r="H300">
        <v>6</v>
      </c>
      <c r="I300">
        <v>1</v>
      </c>
    </row>
    <row r="301" spans="1:9" x14ac:dyDescent="0.25">
      <c r="A301" s="2">
        <v>16522</v>
      </c>
      <c r="B301" s="2" t="s">
        <v>4</v>
      </c>
      <c r="C301" s="2" t="str">
        <f>CONCATENATE(F301,"##")</f>
        <v>1120323##</v>
      </c>
      <c r="D301" s="2"/>
      <c r="E301" s="2" t="str">
        <f>IFERROR(VLOOKUP(1*LEFT(C301,7),DF!$A$1:$F$9447,2,FALSE),"")</f>
        <v>BOMB CLAS RIP MULTICAM 34/48 RER</v>
      </c>
      <c r="F301">
        <v>1120323</v>
      </c>
      <c r="G301" t="s">
        <v>13978</v>
      </c>
      <c r="H301">
        <v>4</v>
      </c>
      <c r="I301">
        <v>1</v>
      </c>
    </row>
    <row r="302" spans="1:9" x14ac:dyDescent="0.25">
      <c r="A302" s="2">
        <v>16522</v>
      </c>
      <c r="B302" s="2" t="s">
        <v>4</v>
      </c>
      <c r="C302" s="2" t="s">
        <v>12298</v>
      </c>
      <c r="D302" s="2"/>
      <c r="E302" s="2" t="str">
        <f>IFERROR(VLOOKUP(1*LEFT(C302,7),DF!$A$1:$F$9447,2,FALSE),"")</f>
        <v>BOMB CLAS RIP MULTICAM 50/54 RER</v>
      </c>
      <c r="F302">
        <v>1120323</v>
      </c>
      <c r="G302" t="s">
        <v>13978</v>
      </c>
      <c r="H302">
        <v>4</v>
      </c>
      <c r="I302">
        <v>1</v>
      </c>
    </row>
    <row r="303" spans="1:9" x14ac:dyDescent="0.25">
      <c r="A303" s="2">
        <v>16522</v>
      </c>
      <c r="B303" s="2" t="s">
        <v>4</v>
      </c>
      <c r="C303" s="2" t="s">
        <v>12299</v>
      </c>
      <c r="D303" s="2"/>
      <c r="E303" s="2" t="str">
        <f>IFERROR(VLOOKUP(1*LEFT(C303,7),DF!$A$1:$F$9447,2,FALSE),"")</f>
        <v>BOMB CLAS RIP MULTICAM 56/60 RER</v>
      </c>
      <c r="F303">
        <v>1120323</v>
      </c>
      <c r="G303" t="s">
        <v>13978</v>
      </c>
      <c r="H303">
        <v>4</v>
      </c>
      <c r="I303">
        <v>1</v>
      </c>
    </row>
    <row r="304" spans="1:9" x14ac:dyDescent="0.25">
      <c r="A304" s="2">
        <v>16522</v>
      </c>
      <c r="B304" s="2" t="s">
        <v>4</v>
      </c>
      <c r="C304" s="2" t="s">
        <v>12300</v>
      </c>
      <c r="D304" s="2"/>
      <c r="E304" s="2" t="str">
        <f>IFERROR(VLOOKUP(1*LEFT(C304,7),DF!$A$1:$F$9447,2,FALSE),"")</f>
        <v>BOMB CLAS RIP MULTICAM 62/66 RER</v>
      </c>
      <c r="F304">
        <v>1120323</v>
      </c>
      <c r="G304" t="s">
        <v>13978</v>
      </c>
      <c r="H304">
        <v>4</v>
      </c>
      <c r="I304">
        <v>1</v>
      </c>
    </row>
    <row r="305" spans="1:9" x14ac:dyDescent="0.25">
      <c r="A305" s="2">
        <v>16522</v>
      </c>
      <c r="B305" s="2" t="s">
        <v>4</v>
      </c>
      <c r="C305" s="2" t="str">
        <f>CONCATENATE(F305,"##")</f>
        <v>1120878##</v>
      </c>
      <c r="D305" s="2"/>
      <c r="E305" s="2" t="str">
        <f>IFERROR(VLOOKUP(1*LEFT(C305,7),DF!$A$1:$F$9447,2,FALSE),"")</f>
        <v>BOMB CLAS RIP MIMET 2 COL GRIS 34/48 RER</v>
      </c>
      <c r="F305">
        <v>1120878</v>
      </c>
      <c r="G305" t="s">
        <v>13980</v>
      </c>
      <c r="H305">
        <v>4</v>
      </c>
      <c r="I305">
        <v>1</v>
      </c>
    </row>
    <row r="306" spans="1:9" x14ac:dyDescent="0.25">
      <c r="A306" s="2">
        <v>16522</v>
      </c>
      <c r="B306" s="2" t="s">
        <v>4</v>
      </c>
      <c r="C306" s="2" t="s">
        <v>6717</v>
      </c>
      <c r="D306" s="2"/>
      <c r="E306" s="2" t="str">
        <f>IFERROR(VLOOKUP(1*LEFT(C306,7),DF!$A$1:$F$9447,2,FALSE),"")</f>
        <v>BOMB CLAS RIP MIMET 2 COL GRIS 50/54 RER</v>
      </c>
      <c r="F306">
        <v>1120878</v>
      </c>
      <c r="G306" t="s">
        <v>13980</v>
      </c>
      <c r="H306">
        <v>4</v>
      </c>
      <c r="I306">
        <v>1</v>
      </c>
    </row>
    <row r="307" spans="1:9" x14ac:dyDescent="0.25">
      <c r="A307" s="2">
        <v>16522</v>
      </c>
      <c r="B307" s="2" t="s">
        <v>4</v>
      </c>
      <c r="C307" s="2" t="s">
        <v>13979</v>
      </c>
      <c r="D307" s="2"/>
      <c r="E307" s="2" t="str">
        <f>IFERROR(VLOOKUP(1*LEFT(C307,7),DF!$A$1:$F$9447,2,FALSE),"")</f>
        <v>BOMB CLAS RIP MIMET 2 COL GRIS 56/60 RER</v>
      </c>
      <c r="F307">
        <v>1120878</v>
      </c>
      <c r="G307" t="s">
        <v>13980</v>
      </c>
      <c r="H307">
        <v>4</v>
      </c>
      <c r="I307">
        <v>1</v>
      </c>
    </row>
    <row r="308" spans="1:9" x14ac:dyDescent="0.25">
      <c r="A308" s="2">
        <v>16522</v>
      </c>
      <c r="B308" s="2" t="s">
        <v>4</v>
      </c>
      <c r="C308" s="2" t="str">
        <f>CONCATENATE(F308,"##")</f>
        <v>1120858##</v>
      </c>
      <c r="D308" s="2"/>
      <c r="E308" s="2" t="str">
        <f>IFERROR(VLOOKUP(1*LEFT(C308,7),DF!$A$1:$F$9447,2,FALSE),"")</f>
        <v>BOMB AMER RIP NEGRA 34/48 RER</v>
      </c>
      <c r="F308">
        <v>1120858</v>
      </c>
      <c r="G308" t="s">
        <v>13981</v>
      </c>
      <c r="H308">
        <v>8</v>
      </c>
      <c r="I308">
        <v>1</v>
      </c>
    </row>
    <row r="309" spans="1:9" x14ac:dyDescent="0.25">
      <c r="A309" s="2">
        <v>16522</v>
      </c>
      <c r="B309" s="2" t="s">
        <v>4</v>
      </c>
      <c r="C309" s="2" t="s">
        <v>1914</v>
      </c>
      <c r="D309" s="2"/>
      <c r="E309" s="2" t="str">
        <f>IFERROR(VLOOKUP(1*LEFT(C309,7),DF!$A$1:$F$9447,2,FALSE),"")</f>
        <v>BOMB AMER RIP NEGRA 50/54 RER</v>
      </c>
      <c r="F309">
        <v>1120858</v>
      </c>
      <c r="G309" t="s">
        <v>13981</v>
      </c>
      <c r="H309">
        <v>8</v>
      </c>
      <c r="I309">
        <v>1</v>
      </c>
    </row>
    <row r="310" spans="1:9" x14ac:dyDescent="0.25">
      <c r="A310" s="2">
        <v>16522</v>
      </c>
      <c r="B310" s="2" t="s">
        <v>4</v>
      </c>
      <c r="C310" s="2" t="s">
        <v>2229</v>
      </c>
      <c r="D310" s="2"/>
      <c r="E310" s="2" t="str">
        <f>IFERROR(VLOOKUP(1*LEFT(C310,7),DF!$A$1:$F$9447,2,FALSE),"")</f>
        <v>BOMB AMER RIP NEGRA 56/60 RER</v>
      </c>
      <c r="F310">
        <v>1120858</v>
      </c>
      <c r="G310" t="s">
        <v>13981</v>
      </c>
      <c r="H310">
        <v>8</v>
      </c>
      <c r="I310">
        <v>1</v>
      </c>
    </row>
    <row r="311" spans="1:9" x14ac:dyDescent="0.25">
      <c r="A311" s="2">
        <v>16522</v>
      </c>
      <c r="B311" s="2" t="s">
        <v>4</v>
      </c>
      <c r="C311" s="2" t="s">
        <v>5905</v>
      </c>
      <c r="D311" s="2"/>
      <c r="E311" s="2" t="str">
        <f>IFERROR(VLOOKUP(1*LEFT(C311,7),DF!$A$1:$F$9447,2,FALSE),"")</f>
        <v>BOMB AMER RIP NEGRA 62/66 RER</v>
      </c>
      <c r="F311">
        <v>1120858</v>
      </c>
      <c r="G311" t="s">
        <v>13981</v>
      </c>
      <c r="H311">
        <v>8</v>
      </c>
      <c r="I311">
        <v>1</v>
      </c>
    </row>
    <row r="312" spans="1:9" x14ac:dyDescent="0.25">
      <c r="A312" s="2">
        <v>16522</v>
      </c>
      <c r="B312" s="2" t="s">
        <v>4</v>
      </c>
      <c r="C312" s="2" t="str">
        <f>CONCATENATE(F312,"##")</f>
        <v>1120623##</v>
      </c>
      <c r="D312" s="2"/>
      <c r="E312" s="2" t="str">
        <f>IFERROR(VLOOKUP(1*LEFT(C312,7),DF!$A$1:$F$9447,2,FALSE),"")</f>
        <v>BOMB AMER RIP GRIS 34/48 RER</v>
      </c>
      <c r="F312">
        <v>1120623</v>
      </c>
      <c r="G312" t="s">
        <v>13984</v>
      </c>
      <c r="H312">
        <v>8</v>
      </c>
      <c r="I312">
        <v>1</v>
      </c>
    </row>
    <row r="313" spans="1:9" x14ac:dyDescent="0.25">
      <c r="A313" s="2">
        <v>16522</v>
      </c>
      <c r="B313" s="2" t="s">
        <v>4</v>
      </c>
      <c r="C313" s="2" t="s">
        <v>6633</v>
      </c>
      <c r="D313" s="2"/>
      <c r="E313" s="2" t="str">
        <f>IFERROR(VLOOKUP(1*LEFT(C313,7),DF!$A$1:$F$9447,2,FALSE),"")</f>
        <v>BOMB AMER RIP GRIS 50/54 RER</v>
      </c>
      <c r="F313">
        <v>1120623</v>
      </c>
      <c r="G313" t="s">
        <v>13984</v>
      </c>
      <c r="H313">
        <v>8</v>
      </c>
      <c r="I313">
        <v>1</v>
      </c>
    </row>
    <row r="314" spans="1:9" x14ac:dyDescent="0.25">
      <c r="A314" s="2">
        <v>16522</v>
      </c>
      <c r="B314" s="2" t="s">
        <v>4</v>
      </c>
      <c r="C314" s="2" t="s">
        <v>13982</v>
      </c>
      <c r="D314" s="2"/>
      <c r="E314" s="2" t="str">
        <f>IFERROR(VLOOKUP(1*LEFT(C314,7),DF!$A$1:$F$9447,2,FALSE),"")</f>
        <v>BOMB AMER RIP GRIS 56/60 RER</v>
      </c>
      <c r="F314">
        <v>1120623</v>
      </c>
      <c r="G314" t="s">
        <v>13984</v>
      </c>
      <c r="H314">
        <v>8</v>
      </c>
      <c r="I314">
        <v>1</v>
      </c>
    </row>
    <row r="315" spans="1:9" x14ac:dyDescent="0.25">
      <c r="A315" s="2">
        <v>16522</v>
      </c>
      <c r="B315" s="2" t="s">
        <v>4</v>
      </c>
      <c r="C315" s="2" t="s">
        <v>13983</v>
      </c>
      <c r="D315" s="2"/>
      <c r="E315" s="2" t="str">
        <f>IFERROR(VLOOKUP(1*LEFT(C315,7),DF!$A$1:$F$9447,2,FALSE),"")</f>
        <v>BOMB AMER RIP GRIS 62/66 RER</v>
      </c>
      <c r="F315">
        <v>1120623</v>
      </c>
      <c r="G315" t="s">
        <v>13984</v>
      </c>
      <c r="H315">
        <v>8</v>
      </c>
      <c r="I315">
        <v>1</v>
      </c>
    </row>
    <row r="316" spans="1:9" x14ac:dyDescent="0.25">
      <c r="A316" s="2">
        <v>16522</v>
      </c>
      <c r="B316" s="2" t="s">
        <v>4</v>
      </c>
      <c r="C316" s="2" t="str">
        <f>CONCATENATE(F316,"##")</f>
        <v>1120856##</v>
      </c>
      <c r="D316" s="2"/>
      <c r="E316" s="2" t="str">
        <f>IFERROR(VLOOKUP(1*LEFT(C316,7),DF!$A$1:$F$9447,2,FALSE),"")</f>
        <v>BOMB AMER RIP AZUL 34/48 RER</v>
      </c>
      <c r="F316">
        <v>1120856</v>
      </c>
      <c r="G316" t="s">
        <v>13985</v>
      </c>
      <c r="H316">
        <v>8</v>
      </c>
      <c r="I316">
        <v>1</v>
      </c>
    </row>
    <row r="317" spans="1:9" x14ac:dyDescent="0.25">
      <c r="A317" s="2">
        <v>16522</v>
      </c>
      <c r="B317" s="2" t="s">
        <v>4</v>
      </c>
      <c r="C317" s="2" t="s">
        <v>2711</v>
      </c>
      <c r="D317" s="2"/>
      <c r="E317" s="2" t="str">
        <f>IFERROR(VLOOKUP(1*LEFT(C317,7),DF!$A$1:$F$9447,2,FALSE),"")</f>
        <v>BOMB AMER RIP AZUL 50/54 RER</v>
      </c>
      <c r="F317">
        <v>1120856</v>
      </c>
      <c r="G317" t="s">
        <v>13985</v>
      </c>
      <c r="H317">
        <v>8</v>
      </c>
      <c r="I317">
        <v>1</v>
      </c>
    </row>
    <row r="318" spans="1:9" x14ac:dyDescent="0.25">
      <c r="A318" s="2">
        <v>16522</v>
      </c>
      <c r="B318" s="2" t="s">
        <v>4</v>
      </c>
      <c r="C318" s="2" t="s">
        <v>2719</v>
      </c>
      <c r="D318" s="2"/>
      <c r="E318" s="2" t="str">
        <f>IFERROR(VLOOKUP(1*LEFT(C318,7),DF!$A$1:$F$9447,2,FALSE),"")</f>
        <v>BOMB AMER RIP AZUL 56/60 RER</v>
      </c>
      <c r="F318">
        <v>1120856</v>
      </c>
      <c r="G318" t="s">
        <v>13985</v>
      </c>
      <c r="H318">
        <v>8</v>
      </c>
      <c r="I318">
        <v>1</v>
      </c>
    </row>
    <row r="319" spans="1:9" x14ac:dyDescent="0.25">
      <c r="A319" s="2">
        <v>16522</v>
      </c>
      <c r="B319" s="2" t="s">
        <v>4</v>
      </c>
      <c r="C319" s="2" t="s">
        <v>5913</v>
      </c>
      <c r="D319" s="2"/>
      <c r="E319" s="2" t="str">
        <f>IFERROR(VLOOKUP(1*LEFT(C319,7),DF!$A$1:$F$9447,2,FALSE),"")</f>
        <v>BOMB AMER RIP AZUL 62/66 RER</v>
      </c>
      <c r="F319">
        <v>1120856</v>
      </c>
      <c r="G319" t="s">
        <v>13985</v>
      </c>
      <c r="H319">
        <v>8</v>
      </c>
      <c r="I319">
        <v>1</v>
      </c>
    </row>
    <row r="320" spans="1:9" x14ac:dyDescent="0.25">
      <c r="A320" s="2">
        <v>16522</v>
      </c>
      <c r="B320" s="2" t="s">
        <v>4</v>
      </c>
      <c r="C320" s="2" t="str">
        <f>CONCATENATE(F320,"##")</f>
        <v>1120445##</v>
      </c>
      <c r="D320" s="2"/>
      <c r="E320" s="2" t="str">
        <f>IFERROR(VLOOKUP(1*LEFT(C320,7),DF!$A$1:$F$9447,2,FALSE),"")</f>
        <v>BOMB AMER RIP AZUL NOCHE 34/48 RER</v>
      </c>
      <c r="F320">
        <v>1120445</v>
      </c>
      <c r="G320" t="s">
        <v>13986</v>
      </c>
      <c r="H320">
        <v>8</v>
      </c>
      <c r="I320">
        <v>1</v>
      </c>
    </row>
    <row r="321" spans="1:10" x14ac:dyDescent="0.25">
      <c r="A321" s="2">
        <v>16522</v>
      </c>
      <c r="B321" s="2" t="s">
        <v>4</v>
      </c>
      <c r="C321" s="2" t="s">
        <v>5519</v>
      </c>
      <c r="D321" s="2"/>
      <c r="E321" s="2" t="str">
        <f>IFERROR(VLOOKUP(1*LEFT(C321,7),DF!$A$1:$F$9447,2,FALSE),"")</f>
        <v>BOMB AMER RIP AZUL NOCHE 50/54 RER</v>
      </c>
      <c r="F321">
        <v>1120445</v>
      </c>
      <c r="G321" t="s">
        <v>13986</v>
      </c>
      <c r="H321">
        <v>8</v>
      </c>
      <c r="I321">
        <v>1</v>
      </c>
    </row>
    <row r="322" spans="1:10" x14ac:dyDescent="0.25">
      <c r="A322" s="2">
        <v>16522</v>
      </c>
      <c r="B322" s="2" t="s">
        <v>4</v>
      </c>
      <c r="C322" s="2" t="s">
        <v>5527</v>
      </c>
      <c r="D322" s="2"/>
      <c r="E322" s="2" t="str">
        <f>IFERROR(VLOOKUP(1*LEFT(C322,7),DF!$A$1:$F$9447,2,FALSE),"")</f>
        <v>BOMB AMER RIP AZUL NOCHE 56/60 RER</v>
      </c>
      <c r="F322">
        <v>1120445</v>
      </c>
      <c r="G322" t="s">
        <v>13986</v>
      </c>
      <c r="H322">
        <v>8</v>
      </c>
      <c r="I322">
        <v>1</v>
      </c>
    </row>
    <row r="323" spans="1:10" x14ac:dyDescent="0.25">
      <c r="A323" s="2">
        <v>16522</v>
      </c>
      <c r="B323" s="2" t="s">
        <v>4</v>
      </c>
      <c r="C323" s="2" t="s">
        <v>5535</v>
      </c>
      <c r="D323" s="2"/>
      <c r="E323" s="2" t="str">
        <f>IFERROR(VLOOKUP(1*LEFT(C323,7),DF!$A$1:$F$9447,2,FALSE),"")</f>
        <v>BOMB AMER RIP AZUL NOCHE 62/66 RER</v>
      </c>
      <c r="F323">
        <v>1120445</v>
      </c>
      <c r="G323" t="s">
        <v>13986</v>
      </c>
      <c r="H323">
        <v>8</v>
      </c>
      <c r="I323">
        <v>1</v>
      </c>
    </row>
    <row r="324" spans="1:10" x14ac:dyDescent="0.25">
      <c r="A324" s="2">
        <v>16522</v>
      </c>
      <c r="B324" s="2" t="s">
        <v>4</v>
      </c>
      <c r="C324" s="2" t="str">
        <f>CONCATENATE(F324,"##")</f>
        <v>2101202##</v>
      </c>
      <c r="D324" s="2"/>
      <c r="E324" s="2" t="str">
        <f>IFERROR(VLOOKUP(1*LEFT(C324,7),DF!$A$1:$F$9447,2,FALSE),"")</f>
        <v>CHOMBA MC POLO BLANCA 3XS/2XL RER</v>
      </c>
      <c r="F324" s="3">
        <v>2101202</v>
      </c>
      <c r="G324" t="s">
        <v>13987</v>
      </c>
      <c r="H324">
        <v>3</v>
      </c>
      <c r="I324">
        <v>1</v>
      </c>
    </row>
    <row r="325" spans="1:10" x14ac:dyDescent="0.25">
      <c r="A325" s="2">
        <v>16522</v>
      </c>
      <c r="B325" s="2" t="s">
        <v>4</v>
      </c>
      <c r="C325" s="2" t="s">
        <v>3894</v>
      </c>
      <c r="D325" s="2"/>
      <c r="E325" s="2" t="str">
        <f>IFERROR(VLOOKUP(1*LEFT(C325,7),DF!$A$1:$F$9447,2,FALSE),"")</f>
        <v>CHOMBA MC POLO BLANCA 3XL/5XL RER</v>
      </c>
      <c r="F325" s="3">
        <v>2101202</v>
      </c>
      <c r="G325" t="s">
        <v>13987</v>
      </c>
      <c r="H325">
        <v>3</v>
      </c>
      <c r="I325">
        <v>1</v>
      </c>
    </row>
    <row r="326" spans="1:10" x14ac:dyDescent="0.25">
      <c r="A326" s="2">
        <v>16522</v>
      </c>
      <c r="B326" s="2" t="s">
        <v>4</v>
      </c>
      <c r="C326" s="2" t="str">
        <f>CONCATENATE(F326,"##")</f>
        <v>2101500##</v>
      </c>
      <c r="D326" s="2"/>
      <c r="E326" s="2" t="str">
        <f>IFERROR(VLOOKUP(1*LEFT(C326,7),DF!$A$1:$F$9447,2,FALSE),"")</f>
        <v>CHOMBA MC POLO GRIS MELA SPF 3XS/2XL RER</v>
      </c>
      <c r="F326">
        <v>2101500</v>
      </c>
      <c r="G326" t="s">
        <v>13989</v>
      </c>
      <c r="H326">
        <v>3</v>
      </c>
      <c r="I326">
        <v>1</v>
      </c>
    </row>
    <row r="327" spans="1:10" x14ac:dyDescent="0.25">
      <c r="A327" s="2">
        <v>16522</v>
      </c>
      <c r="B327" s="2" t="s">
        <v>4</v>
      </c>
      <c r="C327" s="2" t="s">
        <v>13988</v>
      </c>
      <c r="D327" s="2"/>
      <c r="E327" s="2" t="str">
        <f>IFERROR(VLOOKUP(1*LEFT(C327,7),DF!$A$1:$F$9447,2,FALSE),"")</f>
        <v>CHOMBA MC POLO GRIS MELA SPF 3XL/5XL RER</v>
      </c>
      <c r="F327">
        <v>2101500</v>
      </c>
      <c r="G327" t="s">
        <v>13989</v>
      </c>
      <c r="H327">
        <v>3</v>
      </c>
      <c r="I327">
        <v>1</v>
      </c>
    </row>
    <row r="328" spans="1:10" x14ac:dyDescent="0.25">
      <c r="A328" s="2">
        <v>16522</v>
      </c>
      <c r="B328" s="2" t="s">
        <v>4</v>
      </c>
      <c r="C328" s="2" t="str">
        <f>CONCATENATE(F328,"##")</f>
        <v>2101532##</v>
      </c>
      <c r="D328" s="2"/>
      <c r="E328" s="2" t="str">
        <f>IFERROR(VLOOKUP(1*LEFT(C328,7),DF!$A$1:$F$9447,2,FALSE),"")</f>
        <v>REMERA MC SIN CIERRE BEIGE 2XS/2XL</v>
      </c>
      <c r="F328" s="7">
        <v>2101532</v>
      </c>
      <c r="J328" t="s">
        <v>13998</v>
      </c>
    </row>
    <row r="329" spans="1:10" x14ac:dyDescent="0.25">
      <c r="A329" s="2">
        <v>16522</v>
      </c>
      <c r="B329" s="2" t="s">
        <v>4</v>
      </c>
      <c r="C329" s="2" t="s">
        <v>13990</v>
      </c>
      <c r="D329" s="2"/>
      <c r="E329" s="2" t="str">
        <f>IFERROR(VLOOKUP(1*LEFT(C329,7),DF!$A$1:$F$9447,2,FALSE),"")</f>
        <v>REMERA MC SIN CIERRE BEIGE 3XL/6XL</v>
      </c>
      <c r="F329" s="7">
        <v>2101532</v>
      </c>
      <c r="J329" t="s">
        <v>13998</v>
      </c>
    </row>
    <row r="330" spans="1:10" x14ac:dyDescent="0.25">
      <c r="A330" s="2">
        <v>16522</v>
      </c>
      <c r="B330" s="2" t="s">
        <v>4</v>
      </c>
      <c r="C330" s="2" t="s">
        <v>13194</v>
      </c>
      <c r="D330" s="2"/>
      <c r="E330" s="2" t="str">
        <f>IFERROR(VLOOKUP(1*LEFT(C330,7),DF!$A$1:$F$9447,2,FALSE),"")</f>
        <v>REMERA MC CON CIERRE BEIGE 3XL/5XL RER</v>
      </c>
      <c r="F330">
        <v>2101520</v>
      </c>
      <c r="G330" t="s">
        <v>14016</v>
      </c>
      <c r="H330">
        <v>3</v>
      </c>
      <c r="I330">
        <v>1</v>
      </c>
    </row>
    <row r="331" spans="1:10" x14ac:dyDescent="0.25">
      <c r="A331" s="2">
        <v>16522</v>
      </c>
      <c r="B331" s="2" t="s">
        <v>4</v>
      </c>
      <c r="C331" s="2" t="str">
        <f>CONCATENATE(F331,"##")</f>
        <v>2101520##</v>
      </c>
      <c r="D331" s="2"/>
      <c r="E331" s="2" t="str">
        <f>IFERROR(VLOOKUP(1*LEFT(C331,7),DF!$A$1:$F$9447,2,FALSE),"")</f>
        <v>REMERA MC CON CIERRE BEIGE 3XS/2XL RER</v>
      </c>
      <c r="F331">
        <v>2101520</v>
      </c>
      <c r="G331" t="s">
        <v>14016</v>
      </c>
      <c r="H331">
        <v>3</v>
      </c>
      <c r="I331">
        <v>1</v>
      </c>
    </row>
    <row r="332" spans="1:10" x14ac:dyDescent="0.25">
      <c r="A332" s="2">
        <v>16522</v>
      </c>
      <c r="B332" s="2" t="s">
        <v>4</v>
      </c>
      <c r="C332" s="2" t="str">
        <f>CONCATENATE(F332,"##")</f>
        <v>2101530##</v>
      </c>
      <c r="D332" s="2"/>
      <c r="E332" s="2" t="str">
        <f>IFERROR(VLOOKUP(1*LEFT(C332,7),DF!$A$1:$F$9447,2,FALSE),"")</f>
        <v>REMERA MC SIN CIERRE BEIGE C/VIVO NE 3XS/2XL RER</v>
      </c>
      <c r="F332">
        <v>2101530</v>
      </c>
      <c r="G332" t="s">
        <v>14017</v>
      </c>
      <c r="H332">
        <v>1</v>
      </c>
      <c r="I332">
        <v>1</v>
      </c>
    </row>
    <row r="333" spans="1:10" x14ac:dyDescent="0.25">
      <c r="A333" s="2">
        <v>16522</v>
      </c>
      <c r="B333" s="2" t="s">
        <v>4</v>
      </c>
      <c r="C333" s="2" t="s">
        <v>14015</v>
      </c>
      <c r="D333" s="2"/>
      <c r="E333" s="2" t="str">
        <f>IFERROR(VLOOKUP(1*LEFT(C333,7),DF!$A$1:$F$9447,2,FALSE),"")</f>
        <v>REMERA MC SIN CIERRE BEIGE C/VIVO NE 3XL/6XL RER</v>
      </c>
      <c r="F333">
        <v>2101530</v>
      </c>
      <c r="G333" t="s">
        <v>14017</v>
      </c>
      <c r="H333">
        <v>1</v>
      </c>
      <c r="I333">
        <v>1</v>
      </c>
    </row>
    <row r="334" spans="1:10" x14ac:dyDescent="0.25">
      <c r="A334" s="2">
        <v>16522</v>
      </c>
      <c r="B334" s="2" t="s">
        <v>4</v>
      </c>
      <c r="C334" s="2" t="s">
        <v>5037</v>
      </c>
      <c r="D334" s="2"/>
      <c r="E334" s="2" t="str">
        <f>IFERROR(VLOOKUP(1*LEFT(C334,7),DF!$A$1:$F$9447,2,FALSE),"")</f>
        <v>REMERA MC SIN CIERRE AZUL 3XL/5XL RER</v>
      </c>
      <c r="F334" s="7">
        <v>2101550</v>
      </c>
      <c r="G334" t="s">
        <v>13236</v>
      </c>
      <c r="H334">
        <v>9</v>
      </c>
      <c r="I334">
        <v>1</v>
      </c>
    </row>
    <row r="335" spans="1:10" x14ac:dyDescent="0.25">
      <c r="A335" s="2">
        <v>16522</v>
      </c>
      <c r="B335" s="2" t="s">
        <v>4</v>
      </c>
      <c r="C335" s="2" t="str">
        <f>CONCATENATE(F335,"##")</f>
        <v>2101550##</v>
      </c>
      <c r="D335" s="2"/>
      <c r="E335" s="2" t="str">
        <f>IFERROR(VLOOKUP(1*LEFT(C335,7),DF!$A$1:$F$9447,2,FALSE),"")</f>
        <v>REMERA MC SIN CIERRE AZUL 3XS/2XL RER</v>
      </c>
      <c r="F335" s="7">
        <v>2101550</v>
      </c>
      <c r="G335" t="s">
        <v>13236</v>
      </c>
      <c r="H335">
        <v>9</v>
      </c>
      <c r="I335">
        <v>1</v>
      </c>
    </row>
    <row r="336" spans="1:10" x14ac:dyDescent="0.25">
      <c r="A336" s="2">
        <v>16522</v>
      </c>
      <c r="B336" s="2" t="s">
        <v>4</v>
      </c>
      <c r="C336" s="2" t="s">
        <v>5029</v>
      </c>
      <c r="D336" s="2"/>
      <c r="E336" s="2" t="str">
        <f>IFERROR(VLOOKUP(1*LEFT(C336,7),DF!$A$1:$F$9447,2,FALSE),"")</f>
        <v>REMERA MC SIN CIERRE GRIS 3XL/5XL RER</v>
      </c>
      <c r="F336" s="7">
        <v>2101350</v>
      </c>
      <c r="G336" t="s">
        <v>13237</v>
      </c>
      <c r="H336">
        <v>9</v>
      </c>
      <c r="I336">
        <v>1</v>
      </c>
    </row>
    <row r="337" spans="1:9" x14ac:dyDescent="0.25">
      <c r="A337" s="2">
        <v>16522</v>
      </c>
      <c r="B337" s="2" t="s">
        <v>4</v>
      </c>
      <c r="C337" s="2" t="str">
        <f>CONCATENATE(F337,"##")</f>
        <v>2101350##</v>
      </c>
      <c r="D337" s="2"/>
      <c r="E337" s="2" t="str">
        <f>IFERROR(VLOOKUP(1*LEFT(C337,7),DF!$A$1:$F$9447,2,FALSE),"")</f>
        <v>REMERA MC SIN CIERRE GRIS 3XS/2XL RER</v>
      </c>
      <c r="F337" s="7">
        <v>2101350</v>
      </c>
      <c r="G337" t="s">
        <v>13237</v>
      </c>
      <c r="H337">
        <v>9</v>
      </c>
      <c r="I337">
        <v>1</v>
      </c>
    </row>
    <row r="338" spans="1:9" x14ac:dyDescent="0.25">
      <c r="A338" s="2">
        <v>16522</v>
      </c>
      <c r="B338" s="2" t="s">
        <v>4</v>
      </c>
      <c r="C338" s="2" t="s">
        <v>5007</v>
      </c>
      <c r="D338" s="2"/>
      <c r="E338" s="2" t="str">
        <f>IFERROR(VLOOKUP(1*LEFT(C338,7),DF!$A$1:$F$9447,2,FALSE),"")</f>
        <v>REMERA MC SIN CIERRE NEGRO 3XL/6XL RER</v>
      </c>
      <c r="F338" s="7">
        <v>2101555</v>
      </c>
      <c r="G338" t="s">
        <v>13235</v>
      </c>
      <c r="H338">
        <v>9</v>
      </c>
      <c r="I338">
        <v>1</v>
      </c>
    </row>
    <row r="339" spans="1:9" x14ac:dyDescent="0.25">
      <c r="A339" s="2">
        <v>16522</v>
      </c>
      <c r="B339" s="2" t="s">
        <v>4</v>
      </c>
      <c r="C339" s="2" t="str">
        <f>CONCATENATE(F339,"##")</f>
        <v>2101555##</v>
      </c>
      <c r="D339" s="2"/>
      <c r="E339" s="2" t="str">
        <f>IFERROR(VLOOKUP(1*LEFT(C339,7),DF!$A$1:$F$9447,2,FALSE),"")</f>
        <v>REMERA MC SIN CIERRE NEGRO 3XS/2XL RER</v>
      </c>
      <c r="F339" s="7">
        <v>2101555</v>
      </c>
      <c r="G339" t="s">
        <v>13235</v>
      </c>
      <c r="H339">
        <v>9</v>
      </c>
      <c r="I339">
        <v>1</v>
      </c>
    </row>
    <row r="340" spans="1:9" x14ac:dyDescent="0.25">
      <c r="A340" s="2">
        <v>16522</v>
      </c>
      <c r="B340" s="2" t="s">
        <v>4</v>
      </c>
      <c r="C340" s="2" t="str">
        <f>CONCATENATE(F340,"##")</f>
        <v>4120495##</v>
      </c>
      <c r="D340" s="2"/>
      <c r="E340" s="2" t="str">
        <f>IFERROR(VLOOKUP(1*LEFT(C340,7),DF!$A$1:$F$9447,2,FALSE),"")</f>
        <v>CAMISA ML RIP AZUL 34/44 RER</v>
      </c>
      <c r="F340">
        <v>4120495</v>
      </c>
      <c r="G340" t="s">
        <v>13191</v>
      </c>
      <c r="H340">
        <v>3</v>
      </c>
      <c r="I340">
        <v>1</v>
      </c>
    </row>
    <row r="341" spans="1:9" x14ac:dyDescent="0.25">
      <c r="A341" s="2">
        <v>16522</v>
      </c>
      <c r="B341" s="2" t="s">
        <v>4</v>
      </c>
      <c r="C341" s="2" t="s">
        <v>5087</v>
      </c>
      <c r="D341" s="2"/>
      <c r="E341" s="2" t="str">
        <f>IFERROR(VLOOKUP(1*LEFT(C341,7),DF!$A$1:$F$9447,2,FALSE),"")</f>
        <v>CAMISA ML RIP AZUL 46/50 RER</v>
      </c>
      <c r="F341">
        <v>4120495</v>
      </c>
      <c r="G341" t="s">
        <v>13191</v>
      </c>
      <c r="H341">
        <v>3</v>
      </c>
      <c r="I341">
        <v>1</v>
      </c>
    </row>
    <row r="342" spans="1:9" x14ac:dyDescent="0.25">
      <c r="A342" s="2">
        <v>16522</v>
      </c>
      <c r="B342" s="2" t="s">
        <v>4</v>
      </c>
      <c r="C342" s="2" t="s">
        <v>10916</v>
      </c>
      <c r="D342" s="2"/>
      <c r="E342" s="2" t="str">
        <f>IFERROR(VLOOKUP(1*LEFT(C342,7),DF!$A$1:$F$9447,2,FALSE),"")</f>
        <v>CAMISA ML RIP AZUL 52/56 RER</v>
      </c>
      <c r="F342">
        <v>4120495</v>
      </c>
      <c r="G342" t="s">
        <v>13191</v>
      </c>
      <c r="H342">
        <v>3</v>
      </c>
      <c r="I342">
        <v>1</v>
      </c>
    </row>
    <row r="343" spans="1:9" x14ac:dyDescent="0.25">
      <c r="A343" s="2">
        <v>16522</v>
      </c>
      <c r="B343" s="2" t="s">
        <v>4</v>
      </c>
      <c r="C343" s="2" t="str">
        <f>CONCATENATE(F343,"##")</f>
        <v>4120913##</v>
      </c>
      <c r="D343" s="2"/>
      <c r="E343" s="2" t="str">
        <f>IFERROR(VLOOKUP(1*LEFT(C343,7),DF!$A$1:$F$9447,2,FALSE),"")</f>
        <v>CAMISA ML RIP GRIS 34/44 RER</v>
      </c>
      <c r="F343">
        <v>4120913</v>
      </c>
      <c r="G343" t="s">
        <v>13190</v>
      </c>
      <c r="H343">
        <v>4</v>
      </c>
      <c r="I343">
        <v>1</v>
      </c>
    </row>
    <row r="344" spans="1:9" x14ac:dyDescent="0.25">
      <c r="A344" s="2">
        <v>16522</v>
      </c>
      <c r="B344" s="2" t="s">
        <v>4</v>
      </c>
      <c r="C344" s="2" t="s">
        <v>6413</v>
      </c>
      <c r="D344" s="2"/>
      <c r="E344" s="2" t="str">
        <f>IFERROR(VLOOKUP(1*LEFT(C344,7),DF!$A$1:$F$9447,2,FALSE),"")</f>
        <v>CAMISA ML RIP GRIS 46/50 RER</v>
      </c>
      <c r="F344">
        <v>4120913</v>
      </c>
      <c r="G344" t="s">
        <v>13190</v>
      </c>
      <c r="H344">
        <v>4</v>
      </c>
      <c r="I344">
        <v>1</v>
      </c>
    </row>
    <row r="345" spans="1:9" x14ac:dyDescent="0.25">
      <c r="A345" s="2">
        <v>16522</v>
      </c>
      <c r="B345" s="2" t="s">
        <v>4</v>
      </c>
      <c r="C345" s="2" t="s">
        <v>6421</v>
      </c>
      <c r="D345" s="2"/>
      <c r="E345" s="2" t="str">
        <f>IFERROR(VLOOKUP(1*LEFT(C345,7),DF!$A$1:$F$9447,2,FALSE),"")</f>
        <v>CAMISA ML RIP GRIS 52/56 RER</v>
      </c>
      <c r="F345">
        <v>4120913</v>
      </c>
      <c r="G345" t="s">
        <v>13190</v>
      </c>
      <c r="H345">
        <v>4</v>
      </c>
      <c r="I345">
        <v>1</v>
      </c>
    </row>
    <row r="346" spans="1:9" x14ac:dyDescent="0.25">
      <c r="A346" s="2">
        <v>16522</v>
      </c>
      <c r="B346" s="2" t="s">
        <v>4</v>
      </c>
      <c r="C346" s="2" t="s">
        <v>13189</v>
      </c>
      <c r="D346" s="2"/>
      <c r="E346" s="2" t="str">
        <f>IFERROR(VLOOKUP(1*LEFT(C346,7),DF!$A$1:$F$9447,2,FALSE),"")</f>
        <v>CAMISA ML RIP GRIS 58/62 RER</v>
      </c>
      <c r="F346">
        <v>4120913</v>
      </c>
      <c r="G346" t="s">
        <v>13190</v>
      </c>
      <c r="H346">
        <v>4</v>
      </c>
      <c r="I346">
        <v>1</v>
      </c>
    </row>
    <row r="347" spans="1:9" x14ac:dyDescent="0.25">
      <c r="A347" s="2">
        <v>16522</v>
      </c>
      <c r="B347" s="2" t="s">
        <v>4</v>
      </c>
      <c r="C347" s="2" t="str">
        <f>CONCATENATE(F347,"##")</f>
        <v>1120499##</v>
      </c>
      <c r="D347" s="2"/>
      <c r="E347" s="2" t="str">
        <f>IFERROR(VLOOKUP(1*LEFT(C347,7),DF!$A$1:$F$9447,2,FALSE),"")</f>
        <v>BOMB CLAS RIP AZUL 36/48 RER</v>
      </c>
      <c r="F347">
        <v>1120499</v>
      </c>
      <c r="G347" t="s">
        <v>14002</v>
      </c>
      <c r="H347">
        <v>5</v>
      </c>
      <c r="I347">
        <v>1</v>
      </c>
    </row>
    <row r="348" spans="1:9" x14ac:dyDescent="0.25">
      <c r="A348" s="2">
        <v>16522</v>
      </c>
      <c r="B348" s="2" t="s">
        <v>4</v>
      </c>
      <c r="C348" s="2" t="s">
        <v>3567</v>
      </c>
      <c r="D348" s="2"/>
      <c r="E348" s="2" t="str">
        <f>IFERROR(VLOOKUP(1*LEFT(C348,7),DF!$A$1:$F$9447,2,FALSE),"")</f>
        <v>BOMB CLAS RIP AZUL 50/54 RER</v>
      </c>
      <c r="F348">
        <v>1120499</v>
      </c>
      <c r="G348" t="s">
        <v>14002</v>
      </c>
      <c r="H348">
        <v>5</v>
      </c>
      <c r="I348">
        <v>1</v>
      </c>
    </row>
    <row r="349" spans="1:9" x14ac:dyDescent="0.25">
      <c r="A349" s="2">
        <v>16522</v>
      </c>
      <c r="B349" s="2" t="s">
        <v>4</v>
      </c>
      <c r="C349" s="2" t="s">
        <v>3575</v>
      </c>
      <c r="D349" s="2"/>
      <c r="E349" s="2" t="str">
        <f>IFERROR(VLOOKUP(1*LEFT(C349,7),DF!$A$1:$F$9447,2,FALSE),"")</f>
        <v>BOMB CLAS RIP AZUL 56/60 RER</v>
      </c>
      <c r="F349">
        <v>1120499</v>
      </c>
      <c r="G349" t="s">
        <v>14002</v>
      </c>
      <c r="H349">
        <v>5</v>
      </c>
      <c r="I349">
        <v>1</v>
      </c>
    </row>
    <row r="350" spans="1:9" x14ac:dyDescent="0.25">
      <c r="A350" s="2">
        <v>16522</v>
      </c>
      <c r="B350" s="2" t="s">
        <v>4</v>
      </c>
      <c r="C350" s="2" t="s">
        <v>3583</v>
      </c>
      <c r="D350" s="2"/>
      <c r="E350" s="2" t="str">
        <f>IFERROR(VLOOKUP(1*LEFT(C350,7),DF!$A$1:$F$9447,2,FALSE),"")</f>
        <v>BOMB CLAS RIP AZUL 62/66 RER</v>
      </c>
      <c r="F350">
        <v>1120499</v>
      </c>
      <c r="G350" t="s">
        <v>14002</v>
      </c>
      <c r="H350">
        <v>5</v>
      </c>
      <c r="I350">
        <v>1</v>
      </c>
    </row>
    <row r="351" spans="1:9" x14ac:dyDescent="0.25">
      <c r="A351" s="2">
        <v>16522</v>
      </c>
      <c r="B351" s="2" t="s">
        <v>4</v>
      </c>
      <c r="C351" s="2" t="s">
        <v>14004</v>
      </c>
      <c r="D351" s="2"/>
      <c r="E351" s="2" t="str">
        <f>IFERROR(VLOOKUP(1*LEFT(C351,7),DF!$A$1:$F$9447,2,FALSE),"")</f>
        <v>BOMB CLAS RIP AZUL 68/72</v>
      </c>
      <c r="F351">
        <v>1120499</v>
      </c>
      <c r="G351" t="s">
        <v>14002</v>
      </c>
      <c r="H351">
        <v>5</v>
      </c>
      <c r="I351">
        <v>1</v>
      </c>
    </row>
    <row r="352" spans="1:9" x14ac:dyDescent="0.25">
      <c r="A352" s="2">
        <v>16522</v>
      </c>
      <c r="B352" s="2" t="s">
        <v>4</v>
      </c>
      <c r="C352" s="2" t="str">
        <f>CONCATENATE(F352,"##")</f>
        <v>1120442##</v>
      </c>
      <c r="D352" s="2"/>
      <c r="E352" s="2" t="str">
        <f>IFERROR(VLOOKUP(1*LEFT(C352,7),DF!$A$1:$F$9447,2,FALSE),"")</f>
        <v>BOMB CLAS RIP AZUL NOCHE 442 34/48</v>
      </c>
      <c r="F352">
        <v>1120442</v>
      </c>
      <c r="G352" t="s">
        <v>14003</v>
      </c>
      <c r="H352">
        <v>5</v>
      </c>
      <c r="I352">
        <v>1</v>
      </c>
    </row>
    <row r="353" spans="1:9" x14ac:dyDescent="0.25">
      <c r="A353" s="2">
        <v>16522</v>
      </c>
      <c r="B353" s="2" t="s">
        <v>4</v>
      </c>
      <c r="C353" s="2" t="s">
        <v>13999</v>
      </c>
      <c r="D353" s="2"/>
      <c r="E353" s="2" t="str">
        <f>IFERROR(VLOOKUP(1*LEFT(C353,7),DF!$A$1:$F$9447,2,FALSE),"")</f>
        <v>BOMB CLAS RIP AZUL NOCHE 442 50/54</v>
      </c>
      <c r="F353">
        <v>1120442</v>
      </c>
      <c r="G353" t="s">
        <v>14003</v>
      </c>
      <c r="H353">
        <v>5</v>
      </c>
      <c r="I353">
        <v>1</v>
      </c>
    </row>
    <row r="354" spans="1:9" x14ac:dyDescent="0.25">
      <c r="A354" s="2">
        <v>16522</v>
      </c>
      <c r="B354" s="2" t="s">
        <v>4</v>
      </c>
      <c r="C354" s="2" t="s">
        <v>14000</v>
      </c>
      <c r="D354" s="2"/>
      <c r="E354" s="2" t="str">
        <f>IFERROR(VLOOKUP(1*LEFT(C354,7),DF!$A$1:$F$9447,2,FALSE),"")</f>
        <v>BOMB CLAS RIP AZUL NOCHE 442 56/60</v>
      </c>
      <c r="F354">
        <v>1120442</v>
      </c>
      <c r="G354" t="s">
        <v>14003</v>
      </c>
      <c r="H354">
        <v>5</v>
      </c>
      <c r="I354">
        <v>1</v>
      </c>
    </row>
    <row r="355" spans="1:9" x14ac:dyDescent="0.25">
      <c r="A355" s="2">
        <v>16522</v>
      </c>
      <c r="B355" s="2" t="s">
        <v>4</v>
      </c>
      <c r="C355" s="2" t="s">
        <v>14001</v>
      </c>
      <c r="D355" s="2"/>
      <c r="E355" s="2" t="str">
        <f>IFERROR(VLOOKUP(1*LEFT(C355,7),DF!$A$1:$F$9447,2,FALSE),"")</f>
        <v>BOMB CLAS RIP AZUL NOCHE 442 62/66</v>
      </c>
      <c r="F355">
        <v>1120442</v>
      </c>
      <c r="G355" t="s">
        <v>14003</v>
      </c>
      <c r="H355">
        <v>5</v>
      </c>
      <c r="I355">
        <v>1</v>
      </c>
    </row>
    <row r="356" spans="1:9" x14ac:dyDescent="0.25">
      <c r="A356" s="2">
        <v>16522</v>
      </c>
      <c r="B356" s="2" t="s">
        <v>4</v>
      </c>
      <c r="C356" s="2" t="str">
        <f>CONCATENATE(F356,"##")</f>
        <v>1120875##</v>
      </c>
      <c r="D356" s="2"/>
      <c r="E356" s="2" t="str">
        <f>IFERROR(VLOOKUP(1*LEFT(C356,7),DF!$A$1:$F$9447,2,FALSE),"")</f>
        <v>BOMB CLAS RIP INFANTERIA 34/48 RER</v>
      </c>
      <c r="F356">
        <v>1120875</v>
      </c>
      <c r="G356" t="s">
        <v>14006</v>
      </c>
      <c r="H356">
        <v>4</v>
      </c>
      <c r="I356">
        <v>1</v>
      </c>
    </row>
    <row r="357" spans="1:9" x14ac:dyDescent="0.25">
      <c r="A357" s="2">
        <v>16522</v>
      </c>
      <c r="B357" s="2" t="s">
        <v>4</v>
      </c>
      <c r="C357" s="2" t="s">
        <v>3687</v>
      </c>
      <c r="D357" s="2"/>
      <c r="E357" s="2" t="str">
        <f>IFERROR(VLOOKUP(1*LEFT(C357,7),DF!$A$1:$F$9447,2,FALSE),"")</f>
        <v>BOMB CLAS RIP INFANTERIA 50/54 RER</v>
      </c>
      <c r="F357">
        <v>1120875</v>
      </c>
      <c r="G357" t="s">
        <v>14006</v>
      </c>
      <c r="H357">
        <v>4</v>
      </c>
      <c r="I357">
        <v>1</v>
      </c>
    </row>
    <row r="358" spans="1:9" x14ac:dyDescent="0.25">
      <c r="A358" s="2">
        <v>16522</v>
      </c>
      <c r="B358" s="2" t="s">
        <v>4</v>
      </c>
      <c r="C358" s="2" t="s">
        <v>3591</v>
      </c>
      <c r="D358" s="2"/>
      <c r="E358" s="2" t="str">
        <f>IFERROR(VLOOKUP(1*LEFT(C358,7),DF!$A$1:$F$9447,2,FALSE),"")</f>
        <v>BOMB CLAS RIP INFANTERIA 56/60 RER</v>
      </c>
      <c r="F358">
        <v>1120875</v>
      </c>
      <c r="G358" t="s">
        <v>14006</v>
      </c>
      <c r="H358">
        <v>4</v>
      </c>
      <c r="I358">
        <v>1</v>
      </c>
    </row>
    <row r="359" spans="1:9" x14ac:dyDescent="0.25">
      <c r="A359" s="2">
        <v>16522</v>
      </c>
      <c r="B359" s="2" t="s">
        <v>4</v>
      </c>
      <c r="C359" s="2" t="s">
        <v>14005</v>
      </c>
      <c r="D359" s="2"/>
      <c r="E359" s="2" t="str">
        <f>IFERROR(VLOOKUP(1*LEFT(C359,7),DF!$A$1:$F$9447,2,FALSE),"")</f>
        <v>BOMB CLAS RIP INFANTERIA 62/66 RER</v>
      </c>
      <c r="F359">
        <v>1120875</v>
      </c>
      <c r="G359" t="s">
        <v>14006</v>
      </c>
      <c r="H359">
        <v>4</v>
      </c>
      <c r="I359">
        <v>1</v>
      </c>
    </row>
    <row r="360" spans="1:9" x14ac:dyDescent="0.25">
      <c r="A360" s="2">
        <v>16522</v>
      </c>
      <c r="B360" s="2" t="s">
        <v>4</v>
      </c>
      <c r="C360" s="2" t="str">
        <f>CONCATENATE(F360,"##")</f>
        <v>1120800##</v>
      </c>
      <c r="D360" s="2"/>
      <c r="E360" s="2" t="str">
        <f>IFERROR(VLOOKUP(1*LEFT(C360,7),DF!$A$1:$F$9447,2,FALSE),"")</f>
        <v>BOMB CLAS RIP BEIGE 34/48 RER</v>
      </c>
      <c r="F360">
        <v>1120800</v>
      </c>
      <c r="G360" t="s">
        <v>14009</v>
      </c>
      <c r="H360">
        <v>4</v>
      </c>
      <c r="I360">
        <v>1</v>
      </c>
    </row>
    <row r="361" spans="1:9" x14ac:dyDescent="0.25">
      <c r="A361" s="2">
        <v>16522</v>
      </c>
      <c r="B361" s="2" t="s">
        <v>4</v>
      </c>
      <c r="C361" s="2" t="s">
        <v>5399</v>
      </c>
      <c r="D361" s="2"/>
      <c r="E361" s="2" t="str">
        <f>IFERROR(VLOOKUP(1*LEFT(C361,7),DF!$A$1:$F$9447,2,FALSE),"")</f>
        <v>BOMB CLAS RIP BEIGE 50/54 RER</v>
      </c>
      <c r="F361">
        <v>1120800</v>
      </c>
      <c r="G361" t="s">
        <v>14009</v>
      </c>
      <c r="H361">
        <v>4</v>
      </c>
      <c r="I361">
        <v>1</v>
      </c>
    </row>
    <row r="362" spans="1:9" x14ac:dyDescent="0.25">
      <c r="A362" s="2">
        <v>16522</v>
      </c>
      <c r="B362" s="2" t="s">
        <v>4</v>
      </c>
      <c r="C362" s="2" t="s">
        <v>14007</v>
      </c>
      <c r="D362" s="2"/>
      <c r="E362" s="2" t="str">
        <f>IFERROR(VLOOKUP(1*LEFT(C362,7),DF!$A$1:$F$9447,2,FALSE),"")</f>
        <v>BOMB CLAS RIP BEIGE 56/60 RER</v>
      </c>
      <c r="F362">
        <v>1120800</v>
      </c>
      <c r="G362" t="s">
        <v>14009</v>
      </c>
      <c r="H362">
        <v>4</v>
      </c>
      <c r="I362">
        <v>1</v>
      </c>
    </row>
    <row r="363" spans="1:9" x14ac:dyDescent="0.25">
      <c r="A363" s="2">
        <v>16522</v>
      </c>
      <c r="B363" s="2" t="s">
        <v>4</v>
      </c>
      <c r="C363" s="2" t="s">
        <v>14008</v>
      </c>
      <c r="D363" s="2"/>
      <c r="E363" s="2" t="str">
        <f>IFERROR(VLOOKUP(1*LEFT(C363,7),DF!$A$1:$F$9447,2,FALSE),"")</f>
        <v>BOMB CLAS RIP BEIGE 62/66 RER</v>
      </c>
      <c r="F363">
        <v>1120800</v>
      </c>
      <c r="G363" t="s">
        <v>14009</v>
      </c>
      <c r="H363">
        <v>4</v>
      </c>
      <c r="I363">
        <v>1</v>
      </c>
    </row>
    <row r="364" spans="1:9" x14ac:dyDescent="0.25">
      <c r="A364" s="2">
        <v>16522</v>
      </c>
      <c r="B364" s="2" t="s">
        <v>4</v>
      </c>
      <c r="C364" s="2" t="str">
        <f>CONCATENATE(F364,"##")</f>
        <v>1120182##</v>
      </c>
      <c r="D364" s="2"/>
      <c r="E364" s="2" t="str">
        <f>IFERROR(VLOOKUP(1*LEFT(C364,7),DF!$A$1:$F$9447,2,FALSE),"")</f>
        <v>BOMB CLAS RIP AZUL NEUQUEN 34/48 RER</v>
      </c>
      <c r="F364">
        <v>1120182</v>
      </c>
      <c r="G364" t="s">
        <v>14010</v>
      </c>
      <c r="H364">
        <v>5</v>
      </c>
      <c r="I364">
        <v>1</v>
      </c>
    </row>
    <row r="365" spans="1:9" x14ac:dyDescent="0.25">
      <c r="A365" s="2">
        <v>16522</v>
      </c>
      <c r="B365" s="2" t="s">
        <v>4</v>
      </c>
      <c r="C365" s="2" t="s">
        <v>4443</v>
      </c>
      <c r="D365" s="2"/>
      <c r="E365" s="2" t="str">
        <f>IFERROR(VLOOKUP(1*LEFT(C365,7),DF!$A$1:$F$9447,2,FALSE),"")</f>
        <v>BOMB CLAS RIP AZUL NEUQUEN 50/54 RER</v>
      </c>
      <c r="F365">
        <v>1120182</v>
      </c>
      <c r="G365" t="s">
        <v>14010</v>
      </c>
      <c r="H365">
        <v>5</v>
      </c>
      <c r="I365">
        <v>1</v>
      </c>
    </row>
    <row r="366" spans="1:9" x14ac:dyDescent="0.25">
      <c r="A366" s="2">
        <v>16522</v>
      </c>
      <c r="B366" s="2" t="s">
        <v>4</v>
      </c>
      <c r="C366" s="2" t="s">
        <v>4989</v>
      </c>
      <c r="D366" s="2"/>
      <c r="E366" s="2" t="str">
        <f>IFERROR(VLOOKUP(1*LEFT(C366,7),DF!$A$1:$F$9447,2,FALSE),"")</f>
        <v>BOMB CLAS RIP AZUL NEUQUEN 56/60 RER</v>
      </c>
      <c r="F366">
        <v>1120182</v>
      </c>
      <c r="G366" t="s">
        <v>14010</v>
      </c>
      <c r="H366">
        <v>5</v>
      </c>
      <c r="I366">
        <v>1</v>
      </c>
    </row>
    <row r="367" spans="1:9" x14ac:dyDescent="0.25">
      <c r="A367" s="2">
        <v>16522</v>
      </c>
      <c r="B367" s="2" t="s">
        <v>4</v>
      </c>
      <c r="C367" s="2" t="s">
        <v>5897</v>
      </c>
      <c r="D367" s="2"/>
      <c r="E367" s="2" t="str">
        <f>IFERROR(VLOOKUP(1*LEFT(C367,7),DF!$A$1:$F$9447,2,FALSE),"")</f>
        <v>BOMB CLAS RIP AZUL NEUQUEN 62/66 RER</v>
      </c>
      <c r="F367">
        <v>1120182</v>
      </c>
      <c r="G367" t="s">
        <v>14010</v>
      </c>
      <c r="H367">
        <v>5</v>
      </c>
      <c r="I367">
        <v>1</v>
      </c>
    </row>
    <row r="368" spans="1:9" x14ac:dyDescent="0.25">
      <c r="A368" s="2">
        <v>16522</v>
      </c>
      <c r="B368" s="2" t="s">
        <v>4</v>
      </c>
      <c r="C368" s="2" t="str">
        <f t="shared" ref="C368" si="4">CONCATENATE(F368,"##")</f>
        <v>1120750##</v>
      </c>
      <c r="D368" s="2"/>
      <c r="E368" s="2" t="str">
        <f>IFERROR(VLOOKUP(1*LEFT(C368,7),DF!$A$1:$F$9447,2,FALSE),"")</f>
        <v>BOMB CLAS RIP GRIS 34/48 RER</v>
      </c>
      <c r="F368">
        <v>1120750</v>
      </c>
      <c r="G368" t="s">
        <v>14011</v>
      </c>
      <c r="H368">
        <v>5</v>
      </c>
      <c r="I368">
        <v>1</v>
      </c>
    </row>
    <row r="369" spans="1:9" x14ac:dyDescent="0.25">
      <c r="A369" s="2">
        <v>16522</v>
      </c>
      <c r="B369" s="2" t="s">
        <v>4</v>
      </c>
      <c r="C369" s="2" t="s">
        <v>3599</v>
      </c>
      <c r="D369" s="2"/>
      <c r="E369" s="2" t="str">
        <f>IFERROR(VLOOKUP(1*LEFT(C369,7),DF!$A$1:$F$9447,2,FALSE),"")</f>
        <v>BOMB CLAS RIP GRIS 50/54 RER</v>
      </c>
      <c r="F369">
        <v>1120750</v>
      </c>
      <c r="G369" t="s">
        <v>14011</v>
      </c>
      <c r="H369">
        <v>5</v>
      </c>
      <c r="I369">
        <v>1</v>
      </c>
    </row>
    <row r="370" spans="1:9" x14ac:dyDescent="0.25">
      <c r="A370" s="2">
        <v>16522</v>
      </c>
      <c r="B370" s="2" t="s">
        <v>4</v>
      </c>
      <c r="C370" s="2" t="s">
        <v>3607</v>
      </c>
      <c r="D370" s="2"/>
      <c r="E370" s="2" t="str">
        <f>IFERROR(VLOOKUP(1*LEFT(C370,7),DF!$A$1:$F$9447,2,FALSE),"")</f>
        <v>BOMB CLAS RIP GRIS 56/60 RER</v>
      </c>
      <c r="F370">
        <v>1120750</v>
      </c>
      <c r="G370" t="s">
        <v>14011</v>
      </c>
      <c r="H370">
        <v>5</v>
      </c>
      <c r="I370">
        <v>1</v>
      </c>
    </row>
    <row r="371" spans="1:9" x14ac:dyDescent="0.25">
      <c r="A371" s="2">
        <v>16522</v>
      </c>
      <c r="B371" s="2" t="s">
        <v>4</v>
      </c>
      <c r="C371" s="2" t="s">
        <v>3615</v>
      </c>
      <c r="D371" s="2"/>
      <c r="E371" s="2" t="str">
        <f>IFERROR(VLOOKUP(1*LEFT(C371,7),DF!$A$1:$F$9447,2,FALSE),"")</f>
        <v>BOMB CLAS RIP GRIS 62/68 RER</v>
      </c>
      <c r="F371">
        <v>1120750</v>
      </c>
      <c r="G371" t="s">
        <v>14011</v>
      </c>
      <c r="H371">
        <v>5</v>
      </c>
      <c r="I371">
        <v>1</v>
      </c>
    </row>
    <row r="372" spans="1:9" x14ac:dyDescent="0.25">
      <c r="A372" s="2">
        <v>16522</v>
      </c>
      <c r="B372" s="2" t="s">
        <v>4</v>
      </c>
      <c r="C372" s="2" t="str">
        <f t="shared" ref="C372" si="5">CONCATENATE(F372,"##")</f>
        <v>1120900##</v>
      </c>
      <c r="D372" s="2"/>
      <c r="E372" s="2" t="str">
        <f>IFERROR(VLOOKUP(1*LEFT(C372,7),DF!$A$1:$F$9447,2,FALSE),"")</f>
        <v>BOMB CLAS RIP NEGRA 34/48 RER</v>
      </c>
      <c r="F372">
        <v>1120900</v>
      </c>
      <c r="G372" t="s">
        <v>14012</v>
      </c>
      <c r="H372">
        <v>5</v>
      </c>
      <c r="I372">
        <v>1</v>
      </c>
    </row>
    <row r="373" spans="1:9" x14ac:dyDescent="0.25">
      <c r="A373" s="2">
        <v>16522</v>
      </c>
      <c r="B373" s="2" t="s">
        <v>4</v>
      </c>
      <c r="C373" s="2" t="s">
        <v>3525</v>
      </c>
      <c r="D373" s="2"/>
      <c r="E373" s="2" t="str">
        <f>IFERROR(VLOOKUP(1*LEFT(C373,7),DF!$A$1:$F$9447,2,FALSE),"")</f>
        <v>BOMB CLAS RIP NEGRA 50/54 RER</v>
      </c>
      <c r="F373">
        <v>1120900</v>
      </c>
      <c r="G373" t="s">
        <v>14012</v>
      </c>
      <c r="H373">
        <v>5</v>
      </c>
      <c r="I373">
        <v>1</v>
      </c>
    </row>
    <row r="374" spans="1:9" x14ac:dyDescent="0.25">
      <c r="A374" s="2">
        <v>16522</v>
      </c>
      <c r="B374" s="2" t="s">
        <v>4</v>
      </c>
      <c r="C374" s="2" t="s">
        <v>3533</v>
      </c>
      <c r="D374" s="2"/>
      <c r="E374" s="2" t="str">
        <f>IFERROR(VLOOKUP(1*LEFT(C374,7),DF!$A$1:$F$9447,2,FALSE),"")</f>
        <v>BOMB CLAS RIP NEGRA 56/60 RER</v>
      </c>
      <c r="F374">
        <v>1120900</v>
      </c>
      <c r="G374" t="s">
        <v>14012</v>
      </c>
      <c r="H374">
        <v>5</v>
      </c>
      <c r="I374">
        <v>1</v>
      </c>
    </row>
    <row r="375" spans="1:9" x14ac:dyDescent="0.25">
      <c r="A375" s="2">
        <v>16522</v>
      </c>
      <c r="B375" s="2" t="s">
        <v>4</v>
      </c>
      <c r="C375" s="2" t="s">
        <v>3541</v>
      </c>
      <c r="D375" s="2"/>
      <c r="E375" s="2" t="str">
        <f>IFERROR(VLOOKUP(1*LEFT(C375,7),DF!$A$1:$F$9447,2,FALSE),"")</f>
        <v>BOMB CLAS RIP NEGRA 62/66 RER</v>
      </c>
      <c r="F375">
        <v>1120900</v>
      </c>
      <c r="G375" t="s">
        <v>14012</v>
      </c>
      <c r="H375">
        <v>5</v>
      </c>
      <c r="I375">
        <v>1</v>
      </c>
    </row>
    <row r="1050" spans="8:8" x14ac:dyDescent="0.25">
      <c r="H1050" s="2"/>
    </row>
    <row r="1057" spans="8:8" x14ac:dyDescent="0.25">
      <c r="H1057" s="2"/>
    </row>
    <row r="1061" spans="8:8" x14ac:dyDescent="0.25">
      <c r="H1061" s="2"/>
    </row>
  </sheetData>
  <autoFilter ref="A1:J206">
    <sortState ref="A2:J282">
      <sortCondition ref="E1:E205"/>
    </sortState>
  </autoFilter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202"/>
  <sheetViews>
    <sheetView workbookViewId="0">
      <pane ySplit="1" topLeftCell="A60" activePane="bottomLeft" state="frozen"/>
      <selection pane="bottomLeft"/>
    </sheetView>
  </sheetViews>
  <sheetFormatPr baseColWidth="10" defaultRowHeight="15" x14ac:dyDescent="0.25"/>
  <cols>
    <col min="1" max="1" width="6.28515625" customWidth="1"/>
    <col min="2" max="2" width="10" customWidth="1"/>
    <col min="3" max="3" width="14.140625" customWidth="1"/>
    <col min="4" max="4" width="7.7109375" customWidth="1"/>
    <col min="5" max="5" width="28.42578125" customWidth="1"/>
    <col min="6" max="6" width="9.42578125" customWidth="1"/>
    <col min="7" max="7" width="10" customWidth="1"/>
    <col min="8" max="8" width="8" customWidth="1"/>
    <col min="9" max="53" width="7.7109375" style="11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0"/>
      <c r="J1" s="10"/>
    </row>
    <row r="2" spans="1:16" x14ac:dyDescent="0.25">
      <c r="A2">
        <v>20508</v>
      </c>
      <c r="B2" t="s">
        <v>10</v>
      </c>
      <c r="C2" t="str">
        <f t="shared" ref="C2:C33" si="0">CONCATENATE(F2,"#",D2,"#")</f>
        <v>8518014#09#</v>
      </c>
      <c r="D2" s="3" t="s">
        <v>7026</v>
      </c>
      <c r="E2" t="str">
        <f>IFERROR(VLOOKUP(1*LEFT(C2,7),DF!$A$1:$F$9447,2,FALSE),"")</f>
        <v>MASCARA BALACLAVA 1RA PIEL 8088-1,2/3</v>
      </c>
      <c r="F2">
        <v>8518014</v>
      </c>
      <c r="G2" s="12" t="s">
        <v>13029</v>
      </c>
      <c r="H2" s="7">
        <v>1</v>
      </c>
      <c r="I2" s="11" t="s">
        <v>7028</v>
      </c>
    </row>
    <row r="3" spans="1:16" x14ac:dyDescent="0.25">
      <c r="A3">
        <v>20508</v>
      </c>
      <c r="B3" t="s">
        <v>10</v>
      </c>
      <c r="C3" t="str">
        <f t="shared" si="0"/>
        <v>8518014#06#</v>
      </c>
      <c r="D3" s="3" t="s">
        <v>8376</v>
      </c>
      <c r="E3" t="str">
        <f>IFERROR(VLOOKUP(1*LEFT(C3,7),DF!$A$1:$F$9447,2,FALSE),"")</f>
        <v>MASCARA BALACLAVA 1RA PIEL 8088-1,2/3</v>
      </c>
      <c r="F3">
        <v>8518014</v>
      </c>
      <c r="G3" s="7" t="s">
        <v>13030</v>
      </c>
      <c r="H3" s="7">
        <v>1</v>
      </c>
      <c r="I3" s="11" t="s">
        <v>8377</v>
      </c>
    </row>
    <row r="4" spans="1:16" x14ac:dyDescent="0.25">
      <c r="A4">
        <v>20508</v>
      </c>
      <c r="B4" t="s">
        <v>10</v>
      </c>
      <c r="C4" t="str">
        <f t="shared" si="0"/>
        <v>8518014#03#</v>
      </c>
      <c r="D4" s="3" t="s">
        <v>8375</v>
      </c>
      <c r="E4" t="str">
        <f>IFERROR(VLOOKUP(1*LEFT(C4,7),DF!$A$1:$F$9447,2,FALSE),"")</f>
        <v>MASCARA BALACLAVA 1RA PIEL 8088-1,2/3</v>
      </c>
      <c r="F4">
        <v>8518014</v>
      </c>
      <c r="G4" s="7" t="s">
        <v>13031</v>
      </c>
      <c r="H4" s="7">
        <v>1</v>
      </c>
      <c r="I4" s="11" t="s">
        <v>8378</v>
      </c>
    </row>
    <row r="5" spans="1:16" x14ac:dyDescent="0.25">
      <c r="A5">
        <v>20508</v>
      </c>
      <c r="B5" t="s">
        <v>10</v>
      </c>
      <c r="C5" t="str">
        <f t="shared" si="0"/>
        <v>8701576#09#</v>
      </c>
      <c r="D5" s="3" t="s">
        <v>7026</v>
      </c>
      <c r="E5" t="str">
        <f>IFERROR(VLOOKUP(1*LEFT(C5,7),DF!$A$1:$F$9447,2,FALSE),"")</f>
        <v>CINTURON COBRA HEB METALICA 5576 IMP</v>
      </c>
      <c r="F5">
        <v>8701576</v>
      </c>
      <c r="G5" s="7" t="s">
        <v>13032</v>
      </c>
      <c r="H5" s="7">
        <v>1</v>
      </c>
      <c r="I5" s="11" t="s">
        <v>7028</v>
      </c>
    </row>
    <row r="6" spans="1:16" x14ac:dyDescent="0.25">
      <c r="A6">
        <v>20508</v>
      </c>
      <c r="B6" t="s">
        <v>10</v>
      </c>
      <c r="C6" t="str">
        <f t="shared" si="0"/>
        <v>8701576#06#</v>
      </c>
      <c r="D6" s="3" t="s">
        <v>8376</v>
      </c>
      <c r="E6" t="str">
        <f>IFERROR(VLOOKUP(1*LEFT(C6,7),DF!$A$1:$F$9447,2,FALSE),"")</f>
        <v>CINTURON COBRA HEB METALICA 5576 IMP</v>
      </c>
      <c r="F6">
        <v>8701576</v>
      </c>
      <c r="G6" s="12" t="s">
        <v>13033</v>
      </c>
      <c r="H6" s="7">
        <v>1</v>
      </c>
      <c r="I6" s="11" t="s">
        <v>8377</v>
      </c>
    </row>
    <row r="7" spans="1:16" x14ac:dyDescent="0.25">
      <c r="A7">
        <v>20508</v>
      </c>
      <c r="B7" t="s">
        <v>10</v>
      </c>
      <c r="C7" t="str">
        <f t="shared" si="0"/>
        <v>8701576#03#</v>
      </c>
      <c r="D7" s="3" t="s">
        <v>8375</v>
      </c>
      <c r="E7" t="str">
        <f>IFERROR(VLOOKUP(1*LEFT(C7,7),DF!$A$1:$F$9447,2,FALSE),"")</f>
        <v>CINTURON COBRA HEB METALICA 5576 IMP</v>
      </c>
      <c r="F7">
        <v>8701576</v>
      </c>
      <c r="G7" s="7" t="s">
        <v>13034</v>
      </c>
      <c r="H7" s="7">
        <v>1</v>
      </c>
      <c r="I7" s="11" t="s">
        <v>8378</v>
      </c>
    </row>
    <row r="8" spans="1:16" x14ac:dyDescent="0.25">
      <c r="A8">
        <v>20508</v>
      </c>
      <c r="B8" t="s">
        <v>10</v>
      </c>
      <c r="C8" t="str">
        <f t="shared" si="0"/>
        <v>3101948#03#</v>
      </c>
      <c r="D8" s="3" t="s">
        <v>8375</v>
      </c>
      <c r="E8" t="str">
        <f>IFERROR(VLOOKUP(1*LEFT(C8,7),DF!$A$1:$F$9447,2,FALSE),"")</f>
        <v>CONJ TERMICO RERDA ART.0948/532016 NE/BE</v>
      </c>
      <c r="F8">
        <v>3101948</v>
      </c>
      <c r="G8" s="7" t="s">
        <v>13035</v>
      </c>
      <c r="H8" s="7">
        <v>2</v>
      </c>
      <c r="I8" s="11" t="s">
        <v>8378</v>
      </c>
      <c r="J8" s="11" t="s">
        <v>10914</v>
      </c>
    </row>
    <row r="9" spans="1:16" x14ac:dyDescent="0.25">
      <c r="A9">
        <v>20508</v>
      </c>
      <c r="B9" t="s">
        <v>10</v>
      </c>
      <c r="C9" t="str">
        <f t="shared" si="0"/>
        <v>3101948#09#</v>
      </c>
      <c r="D9" s="3" t="s">
        <v>7026</v>
      </c>
      <c r="E9" t="str">
        <f>IFERROR(VLOOKUP(1*LEFT(C9,7),DF!$A$1:$F$9447,2,FALSE),"")</f>
        <v>CONJ TERMICO RERDA ART.0948/532016 NE/BE</v>
      </c>
      <c r="F9">
        <v>3101948</v>
      </c>
      <c r="G9" s="7" t="s">
        <v>13036</v>
      </c>
      <c r="H9" s="8">
        <v>2</v>
      </c>
      <c r="I9" s="11" t="s">
        <v>7028</v>
      </c>
      <c r="J9" s="11" t="s">
        <v>10915</v>
      </c>
    </row>
    <row r="10" spans="1:16" x14ac:dyDescent="0.25">
      <c r="A10">
        <v>20508</v>
      </c>
      <c r="B10" t="s">
        <v>10</v>
      </c>
      <c r="C10" t="str">
        <f t="shared" si="0"/>
        <v>5101390#09#</v>
      </c>
      <c r="D10" s="3" t="s">
        <v>7026</v>
      </c>
      <c r="E10" t="str">
        <f>IFERROR(VLOOKUP(1*LEFT(C10,7),DF!$A$1:$F$9447,2,FALSE),"")</f>
        <v>CAMP ALPHA FEROCITY 500</v>
      </c>
      <c r="F10">
        <v>5101390</v>
      </c>
      <c r="G10" s="7" t="s">
        <v>13037</v>
      </c>
      <c r="H10" s="7">
        <v>6</v>
      </c>
      <c r="I10" s="11" t="s">
        <v>7028</v>
      </c>
      <c r="J10" s="11" t="s">
        <v>10915</v>
      </c>
      <c r="K10" s="11" t="s">
        <v>10918</v>
      </c>
      <c r="L10" s="11" t="s">
        <v>10919</v>
      </c>
      <c r="M10" s="11" t="s">
        <v>10920</v>
      </c>
      <c r="N10" s="11" t="s">
        <v>10926</v>
      </c>
    </row>
    <row r="11" spans="1:16" x14ac:dyDescent="0.25">
      <c r="A11">
        <v>20508</v>
      </c>
      <c r="B11" t="s">
        <v>10</v>
      </c>
      <c r="C11" t="str">
        <f t="shared" si="0"/>
        <v>5101390#18#</v>
      </c>
      <c r="D11" s="3" t="s">
        <v>10917</v>
      </c>
      <c r="E11" t="str">
        <f>IFERROR(VLOOKUP(1*LEFT(C11,7),DF!$A$1:$F$9447,2,FALSE),"")</f>
        <v>CAMP ALPHA FEROCITY 500</v>
      </c>
      <c r="F11">
        <v>5101390</v>
      </c>
      <c r="G11" s="7" t="s">
        <v>13038</v>
      </c>
      <c r="H11" s="7">
        <v>6</v>
      </c>
      <c r="I11" s="11" t="s">
        <v>10921</v>
      </c>
      <c r="J11" s="11" t="s">
        <v>10922</v>
      </c>
      <c r="K11" s="11" t="s">
        <v>10923</v>
      </c>
      <c r="L11" s="11" t="s">
        <v>10924</v>
      </c>
      <c r="M11" s="11" t="s">
        <v>10925</v>
      </c>
      <c r="N11" s="11" t="s">
        <v>10927</v>
      </c>
    </row>
    <row r="12" spans="1:16" x14ac:dyDescent="0.25">
      <c r="A12">
        <v>20508</v>
      </c>
      <c r="B12" t="s">
        <v>10</v>
      </c>
      <c r="C12" t="str">
        <f t="shared" si="0"/>
        <v>5101445#09#</v>
      </c>
      <c r="D12" s="3" t="s">
        <v>7026</v>
      </c>
      <c r="E12" t="str">
        <f>IFERROR(VLOOKUP(1*LEFT(C12,7),DF!$A$1:$F$9447,2,FALSE),"")</f>
        <v>CAMP ALPHA  SONIC 600</v>
      </c>
      <c r="F12">
        <v>5101445</v>
      </c>
      <c r="G12" s="7" t="s">
        <v>13039</v>
      </c>
      <c r="H12" s="7">
        <v>8</v>
      </c>
      <c r="I12" s="11" t="s">
        <v>7028</v>
      </c>
      <c r="J12" s="11" t="s">
        <v>10915</v>
      </c>
      <c r="K12" s="11" t="s">
        <v>10918</v>
      </c>
      <c r="L12" s="11" t="s">
        <v>10919</v>
      </c>
      <c r="M12" s="11" t="s">
        <v>10920</v>
      </c>
      <c r="N12" s="11" t="s">
        <v>10926</v>
      </c>
      <c r="O12" s="11" t="s">
        <v>10928</v>
      </c>
      <c r="P12" s="11" t="s">
        <v>10929</v>
      </c>
    </row>
    <row r="13" spans="1:16" x14ac:dyDescent="0.25">
      <c r="A13">
        <v>20508</v>
      </c>
      <c r="B13" t="s">
        <v>10</v>
      </c>
      <c r="C13" t="str">
        <f t="shared" si="0"/>
        <v>5101445#18#</v>
      </c>
      <c r="D13" s="3" t="s">
        <v>10917</v>
      </c>
      <c r="E13" t="str">
        <f>IFERROR(VLOOKUP(1*LEFT(C13,7),DF!$A$1:$F$9447,2,FALSE),"")</f>
        <v>CAMP ALPHA  SONIC 600</v>
      </c>
      <c r="F13">
        <v>5101445</v>
      </c>
      <c r="G13" s="7" t="s">
        <v>13040</v>
      </c>
      <c r="H13" s="7">
        <v>8</v>
      </c>
      <c r="I13" s="11" t="s">
        <v>10921</v>
      </c>
      <c r="J13" s="11" t="s">
        <v>10922</v>
      </c>
      <c r="K13" s="11" t="s">
        <v>10923</v>
      </c>
      <c r="L13" s="11" t="s">
        <v>10924</v>
      </c>
      <c r="M13" s="11" t="s">
        <v>10925</v>
      </c>
      <c r="N13" s="11" t="s">
        <v>10927</v>
      </c>
      <c r="O13" s="11" t="s">
        <v>10930</v>
      </c>
      <c r="P13" s="11" t="s">
        <v>10931</v>
      </c>
    </row>
    <row r="14" spans="1:16" x14ac:dyDescent="0.25">
      <c r="A14">
        <v>20508</v>
      </c>
      <c r="B14" t="s">
        <v>10</v>
      </c>
      <c r="C14" t="str">
        <f t="shared" si="0"/>
        <v>8708907#03#</v>
      </c>
      <c r="D14" s="3" t="s">
        <v>8375</v>
      </c>
      <c r="E14" t="str">
        <f>IFERROR(VLOOKUP(1*LEFT(C14,7),DF!$A$1:$F$9447,2,FALSE),"")</f>
        <v>MOCHILA ASALTO TACT40LT 3P LASER JSH1907</v>
      </c>
      <c r="F14">
        <v>8708907</v>
      </c>
      <c r="G14" s="7" t="s">
        <v>13041</v>
      </c>
      <c r="H14" s="7">
        <v>2</v>
      </c>
      <c r="I14" s="11" t="s">
        <v>8378</v>
      </c>
      <c r="J14" s="11" t="s">
        <v>10914</v>
      </c>
    </row>
    <row r="15" spans="1:16" x14ac:dyDescent="0.25">
      <c r="A15">
        <v>20508</v>
      </c>
      <c r="B15" t="s">
        <v>10</v>
      </c>
      <c r="C15" t="str">
        <f t="shared" si="0"/>
        <v>8708907#06#</v>
      </c>
      <c r="D15" s="3" t="s">
        <v>8376</v>
      </c>
      <c r="E15" t="str">
        <f>IFERROR(VLOOKUP(1*LEFT(C15,7),DF!$A$1:$F$9447,2,FALSE),"")</f>
        <v>MOCHILA ASALTO TACT40LT 3P LASER JSH1907</v>
      </c>
      <c r="F15">
        <v>8708907</v>
      </c>
      <c r="G15" s="7" t="s">
        <v>13042</v>
      </c>
      <c r="H15" s="7">
        <v>2</v>
      </c>
      <c r="I15" s="11" t="s">
        <v>8377</v>
      </c>
      <c r="J15" s="11" t="s">
        <v>12235</v>
      </c>
    </row>
    <row r="16" spans="1:16" x14ac:dyDescent="0.25">
      <c r="A16">
        <v>20508</v>
      </c>
      <c r="B16" t="s">
        <v>10</v>
      </c>
      <c r="C16" t="str">
        <f t="shared" si="0"/>
        <v>8708907#09#</v>
      </c>
      <c r="D16" s="3" t="s">
        <v>7026</v>
      </c>
      <c r="E16" t="str">
        <f>IFERROR(VLOOKUP(1*LEFT(C16,7),DF!$A$1:$F$9447,2,FALSE),"")</f>
        <v>MOCHILA ASALTO TACT40LT 3P LASER JSH1907</v>
      </c>
      <c r="F16">
        <v>8708907</v>
      </c>
      <c r="G16" s="7" t="s">
        <v>13043</v>
      </c>
      <c r="H16" s="7">
        <v>2</v>
      </c>
      <c r="I16" s="11" t="s">
        <v>7028</v>
      </c>
      <c r="J16" s="11" t="s">
        <v>10915</v>
      </c>
    </row>
    <row r="17" spans="1:16" x14ac:dyDescent="0.25">
      <c r="A17">
        <v>20508</v>
      </c>
      <c r="B17" t="s">
        <v>10</v>
      </c>
      <c r="C17" t="str">
        <f t="shared" si="0"/>
        <v>8708907#23#</v>
      </c>
      <c r="D17" s="3" t="s">
        <v>12234</v>
      </c>
      <c r="E17" t="str">
        <f>IFERROR(VLOOKUP(1*LEFT(C17,7),DF!$A$1:$F$9447,2,FALSE),"")</f>
        <v>MOCHILA ASALTO TACT40LT 3P LASER JSH1907</v>
      </c>
      <c r="F17">
        <v>8708907</v>
      </c>
      <c r="G17" s="7" t="s">
        <v>13044</v>
      </c>
      <c r="H17" s="7">
        <v>8</v>
      </c>
      <c r="I17" s="11" t="s">
        <v>12236</v>
      </c>
      <c r="J17" s="11" t="s">
        <v>12237</v>
      </c>
      <c r="K17" s="11" t="s">
        <v>12238</v>
      </c>
      <c r="L17" s="11" t="s">
        <v>12239</v>
      </c>
      <c r="M17" s="11" t="s">
        <v>12240</v>
      </c>
      <c r="N17" s="11" t="s">
        <v>12241</v>
      </c>
      <c r="O17" s="11" t="s">
        <v>12242</v>
      </c>
      <c r="P17" s="11" t="s">
        <v>12243</v>
      </c>
    </row>
    <row r="18" spans="1:16" x14ac:dyDescent="0.25">
      <c r="A18">
        <v>20508</v>
      </c>
      <c r="B18" t="s">
        <v>10</v>
      </c>
      <c r="C18" t="str">
        <f t="shared" si="0"/>
        <v>8708637#03#</v>
      </c>
      <c r="D18" s="3" t="s">
        <v>8375</v>
      </c>
      <c r="E18" t="str">
        <f>IFERROR(VLOOKUP(1*LEFT(C18,7),DF!$A$1:$F$9447,2,FALSE),"")</f>
        <v>MOCHILA 3D GRANDE MZ-RJ-ZE-002 37.5L FRO</v>
      </c>
      <c r="F18">
        <v>8708637</v>
      </c>
      <c r="G18" s="7" t="s">
        <v>13045</v>
      </c>
      <c r="H18" s="7">
        <v>3</v>
      </c>
      <c r="I18" s="11" t="s">
        <v>8378</v>
      </c>
      <c r="J18" s="11" t="s">
        <v>10914</v>
      </c>
      <c r="K18" s="11" t="s">
        <v>12244</v>
      </c>
    </row>
    <row r="19" spans="1:16" x14ac:dyDescent="0.25">
      <c r="A19">
        <v>20508</v>
      </c>
      <c r="B19" t="s">
        <v>10</v>
      </c>
      <c r="C19" t="str">
        <f t="shared" si="0"/>
        <v>8708637#09#</v>
      </c>
      <c r="D19" s="3" t="s">
        <v>7026</v>
      </c>
      <c r="E19" t="str">
        <f>IFERROR(VLOOKUP(1*LEFT(C19,7),DF!$A$1:$F$9447,2,FALSE),"")</f>
        <v>MOCHILA 3D GRANDE MZ-RJ-ZE-002 37.5L FRO</v>
      </c>
      <c r="F19">
        <v>8708637</v>
      </c>
      <c r="G19" s="7" t="s">
        <v>13046</v>
      </c>
      <c r="H19" s="7">
        <v>5</v>
      </c>
      <c r="I19" s="11" t="s">
        <v>7028</v>
      </c>
      <c r="J19" s="11" t="s">
        <v>10915</v>
      </c>
      <c r="K19" s="11" t="s">
        <v>10918</v>
      </c>
      <c r="L19" s="11" t="s">
        <v>10919</v>
      </c>
      <c r="M19" s="11" t="s">
        <v>10920</v>
      </c>
    </row>
    <row r="20" spans="1:16" x14ac:dyDescent="0.25">
      <c r="A20">
        <v>20508</v>
      </c>
      <c r="B20" t="s">
        <v>10</v>
      </c>
      <c r="C20" t="str">
        <f t="shared" si="0"/>
        <v>8708536#06#</v>
      </c>
      <c r="D20" s="3" t="s">
        <v>8376</v>
      </c>
      <c r="E20" t="str">
        <f>IFERROR(VLOOKUP(1*LEFT(C20,7),DF!$A$1:$F$9447,2,FALSE),"")</f>
        <v>POUCH BOTIQUIN SIST MOLLE 536</v>
      </c>
      <c r="F20">
        <v>8708536</v>
      </c>
      <c r="G20" s="7" t="s">
        <v>13047</v>
      </c>
      <c r="H20" s="7">
        <v>4</v>
      </c>
      <c r="I20" s="11" t="s">
        <v>8377</v>
      </c>
      <c r="J20" s="11" t="s">
        <v>12235</v>
      </c>
      <c r="K20" s="11" t="s">
        <v>12252</v>
      </c>
      <c r="L20" s="11" t="s">
        <v>12253</v>
      </c>
    </row>
    <row r="21" spans="1:16" x14ac:dyDescent="0.25">
      <c r="A21">
        <v>20508</v>
      </c>
      <c r="B21" t="s">
        <v>10</v>
      </c>
      <c r="C21" t="str">
        <f t="shared" si="0"/>
        <v>8708536#08#</v>
      </c>
      <c r="D21" s="3" t="s">
        <v>12250</v>
      </c>
      <c r="E21" t="str">
        <f>IFERROR(VLOOKUP(1*LEFT(C21,7),DF!$A$1:$F$9447,2,FALSE),"")</f>
        <v>POUCH BOTIQUIN SIST MOLLE 536</v>
      </c>
      <c r="F21">
        <v>8708536</v>
      </c>
      <c r="G21" s="7" t="s">
        <v>13048</v>
      </c>
      <c r="H21" s="7">
        <v>5</v>
      </c>
      <c r="I21" s="11" t="s">
        <v>12254</v>
      </c>
      <c r="J21" s="11" t="s">
        <v>12255</v>
      </c>
      <c r="K21" s="11" t="s">
        <v>12256</v>
      </c>
      <c r="L21" s="11" t="s">
        <v>12257</v>
      </c>
      <c r="M21" s="11" t="s">
        <v>12258</v>
      </c>
    </row>
    <row r="22" spans="1:16" x14ac:dyDescent="0.25">
      <c r="A22">
        <v>20508</v>
      </c>
      <c r="B22" t="s">
        <v>10</v>
      </c>
      <c r="C22" t="str">
        <f t="shared" si="0"/>
        <v>8708536#09#</v>
      </c>
      <c r="D22" s="3" t="s">
        <v>7026</v>
      </c>
      <c r="E22" t="str">
        <f>IFERROR(VLOOKUP(1*LEFT(C22,7),DF!$A$1:$F$9447,2,FALSE),"")</f>
        <v>POUCH BOTIQUIN SIST MOLLE 536</v>
      </c>
      <c r="F22">
        <v>8708536</v>
      </c>
      <c r="G22" s="7" t="s">
        <v>13049</v>
      </c>
      <c r="H22" s="7">
        <v>4</v>
      </c>
      <c r="I22" s="11" t="s">
        <v>7028</v>
      </c>
      <c r="J22" s="11" t="s">
        <v>10915</v>
      </c>
      <c r="K22" s="11" t="s">
        <v>10918</v>
      </c>
      <c r="L22" s="11" t="s">
        <v>10919</v>
      </c>
    </row>
    <row r="23" spans="1:16" x14ac:dyDescent="0.25">
      <c r="A23">
        <v>20508</v>
      </c>
      <c r="B23" t="s">
        <v>10</v>
      </c>
      <c r="C23" t="str">
        <f t="shared" si="0"/>
        <v>8708536#22#</v>
      </c>
      <c r="D23" s="3" t="s">
        <v>12251</v>
      </c>
      <c r="E23" t="str">
        <f>IFERROR(VLOOKUP(1*LEFT(C23,7),DF!$A$1:$F$9447,2,FALSE),"")</f>
        <v>POUCH BOTIQUIN SIST MOLLE 536</v>
      </c>
      <c r="F23">
        <v>8708536</v>
      </c>
      <c r="G23" s="7" t="s">
        <v>13050</v>
      </c>
      <c r="H23" s="7">
        <v>5</v>
      </c>
      <c r="I23" s="11" t="s">
        <v>12259</v>
      </c>
      <c r="J23" s="11" t="s">
        <v>12260</v>
      </c>
      <c r="K23" s="11" t="s">
        <v>12261</v>
      </c>
      <c r="L23" s="11" t="s">
        <v>12262</v>
      </c>
      <c r="M23" s="11" t="s">
        <v>12263</v>
      </c>
    </row>
    <row r="24" spans="1:16" x14ac:dyDescent="0.25">
      <c r="A24">
        <v>20508</v>
      </c>
      <c r="B24" t="s">
        <v>10</v>
      </c>
      <c r="C24" t="str">
        <f t="shared" si="0"/>
        <v>8708012#07#</v>
      </c>
      <c r="D24" s="3" t="s">
        <v>12267</v>
      </c>
      <c r="E24" t="str">
        <f>IFERROR(VLOOKUP(1*LEFT(C24,7),DF!$A$1:$F$9447,2,FALSE),"")</f>
        <v>MOCHILA MOLLE MZ-RJ-A12</v>
      </c>
      <c r="F24">
        <v>8708012</v>
      </c>
      <c r="G24" s="7" t="s">
        <v>13051</v>
      </c>
      <c r="H24" s="7">
        <v>4</v>
      </c>
      <c r="I24" s="11" t="s">
        <v>12268</v>
      </c>
      <c r="J24" s="11" t="s">
        <v>12269</v>
      </c>
      <c r="K24" s="11" t="s">
        <v>12270</v>
      </c>
      <c r="L24" s="11" t="s">
        <v>12271</v>
      </c>
    </row>
    <row r="25" spans="1:16" x14ac:dyDescent="0.25">
      <c r="A25">
        <v>20508</v>
      </c>
      <c r="B25" t="s">
        <v>10</v>
      </c>
      <c r="C25" t="str">
        <f t="shared" si="0"/>
        <v>8708012#08#</v>
      </c>
      <c r="D25" s="3" t="s">
        <v>12250</v>
      </c>
      <c r="E25" t="str">
        <f>IFERROR(VLOOKUP(1*LEFT(C25,7),DF!$A$1:$F$9447,2,FALSE),"")</f>
        <v>MOCHILA MOLLE MZ-RJ-A12</v>
      </c>
      <c r="F25">
        <v>8708012</v>
      </c>
      <c r="G25" s="7" t="s">
        <v>13052</v>
      </c>
      <c r="H25" s="7">
        <v>4</v>
      </c>
      <c r="I25" s="11" t="s">
        <v>12254</v>
      </c>
      <c r="J25" s="11" t="s">
        <v>12255</v>
      </c>
      <c r="K25" s="11" t="s">
        <v>12256</v>
      </c>
      <c r="L25" s="11" t="s">
        <v>12257</v>
      </c>
    </row>
    <row r="26" spans="1:16" x14ac:dyDescent="0.25">
      <c r="A26">
        <v>20508</v>
      </c>
      <c r="B26" t="s">
        <v>10</v>
      </c>
      <c r="C26" t="str">
        <f t="shared" si="0"/>
        <v>8708012#09#</v>
      </c>
      <c r="D26" s="3" t="s">
        <v>7026</v>
      </c>
      <c r="E26" t="str">
        <f>IFERROR(VLOOKUP(1*LEFT(C26,7),DF!$A$1:$F$9447,2,FALSE),"")</f>
        <v>MOCHILA MOLLE MZ-RJ-A12</v>
      </c>
      <c r="F26">
        <v>8708012</v>
      </c>
      <c r="G26" s="7" t="s">
        <v>13053</v>
      </c>
      <c r="H26" s="7">
        <v>4</v>
      </c>
      <c r="I26" s="11" t="s">
        <v>7028</v>
      </c>
      <c r="J26" s="11" t="s">
        <v>10915</v>
      </c>
      <c r="K26" s="11" t="s">
        <v>10918</v>
      </c>
      <c r="L26" s="11" t="s">
        <v>10919</v>
      </c>
    </row>
    <row r="27" spans="1:16" x14ac:dyDescent="0.25">
      <c r="A27">
        <v>20508</v>
      </c>
      <c r="B27" t="s">
        <v>10</v>
      </c>
      <c r="C27" t="str">
        <f t="shared" si="0"/>
        <v>8708304#03#</v>
      </c>
      <c r="D27" s="3" t="s">
        <v>8375</v>
      </c>
      <c r="E27" t="str">
        <f>IFERROR(VLOOKUP(1*LEFT(C27,7),DF!$A$1:$F$9447,2,FALSE),"")</f>
        <v>MOCHILA MOLLE MEDIANA 2304A</v>
      </c>
      <c r="F27">
        <v>8708304</v>
      </c>
      <c r="G27" s="7" t="s">
        <v>13054</v>
      </c>
      <c r="H27" s="7">
        <v>4</v>
      </c>
      <c r="I27" s="11" t="s">
        <v>8378</v>
      </c>
      <c r="J27" s="11" t="s">
        <v>10914</v>
      </c>
      <c r="K27" s="11" t="s">
        <v>12244</v>
      </c>
      <c r="L27" s="11" t="s">
        <v>12272</v>
      </c>
    </row>
    <row r="28" spans="1:16" x14ac:dyDescent="0.25">
      <c r="A28">
        <v>20508</v>
      </c>
      <c r="B28" t="s">
        <v>10</v>
      </c>
      <c r="C28" t="str">
        <f t="shared" si="0"/>
        <v>8708304#06#</v>
      </c>
      <c r="D28" s="3" t="s">
        <v>8376</v>
      </c>
      <c r="E28" t="str">
        <f>IFERROR(VLOOKUP(1*LEFT(C28,7),DF!$A$1:$F$9447,2,FALSE),"")</f>
        <v>MOCHILA MOLLE MEDIANA 2304A</v>
      </c>
      <c r="F28">
        <v>8708304</v>
      </c>
      <c r="G28" s="7" t="s">
        <v>13055</v>
      </c>
      <c r="H28" s="7">
        <v>4</v>
      </c>
      <c r="I28" s="11" t="s">
        <v>8377</v>
      </c>
      <c r="J28" s="11" t="s">
        <v>12235</v>
      </c>
      <c r="K28" s="11" t="s">
        <v>12252</v>
      </c>
      <c r="L28" s="11" t="s">
        <v>12253</v>
      </c>
    </row>
    <row r="29" spans="1:16" x14ac:dyDescent="0.25">
      <c r="A29">
        <v>20508</v>
      </c>
      <c r="B29" t="s">
        <v>10</v>
      </c>
      <c r="C29" t="str">
        <f t="shared" si="0"/>
        <v>8708304#07#</v>
      </c>
      <c r="D29" s="3" t="s">
        <v>12267</v>
      </c>
      <c r="E29" t="str">
        <f>IFERROR(VLOOKUP(1*LEFT(C29,7),DF!$A$1:$F$9447,2,FALSE),"")</f>
        <v>MOCHILA MOLLE MEDIANA 2304A</v>
      </c>
      <c r="F29">
        <v>8708304</v>
      </c>
      <c r="G29" s="7" t="s">
        <v>13056</v>
      </c>
      <c r="H29" s="7">
        <v>4</v>
      </c>
      <c r="I29" s="11" t="s">
        <v>12268</v>
      </c>
      <c r="J29" s="11" t="s">
        <v>12269</v>
      </c>
      <c r="K29" s="11" t="s">
        <v>12270</v>
      </c>
      <c r="L29" s="11" t="s">
        <v>12271</v>
      </c>
    </row>
    <row r="30" spans="1:16" x14ac:dyDescent="0.25">
      <c r="A30">
        <v>20508</v>
      </c>
      <c r="B30" t="s">
        <v>10</v>
      </c>
      <c r="C30" t="str">
        <f t="shared" si="0"/>
        <v>8708304#08#</v>
      </c>
      <c r="D30" s="3" t="s">
        <v>12250</v>
      </c>
      <c r="E30" t="str">
        <f>IFERROR(VLOOKUP(1*LEFT(C30,7),DF!$A$1:$F$9447,2,FALSE),"")</f>
        <v>MOCHILA MOLLE MEDIANA 2304A</v>
      </c>
      <c r="F30">
        <v>8708304</v>
      </c>
      <c r="G30" s="7" t="s">
        <v>13057</v>
      </c>
      <c r="H30" s="7">
        <v>4</v>
      </c>
      <c r="I30" s="11" t="s">
        <v>12254</v>
      </c>
      <c r="J30" s="11" t="s">
        <v>12255</v>
      </c>
      <c r="K30" s="11" t="s">
        <v>12256</v>
      </c>
      <c r="L30" s="11" t="s">
        <v>12257</v>
      </c>
    </row>
    <row r="31" spans="1:16" x14ac:dyDescent="0.25">
      <c r="A31">
        <v>20508</v>
      </c>
      <c r="B31" t="s">
        <v>10</v>
      </c>
      <c r="C31" t="str">
        <f t="shared" si="0"/>
        <v>8708304#09#</v>
      </c>
      <c r="D31" s="3" t="s">
        <v>7026</v>
      </c>
      <c r="E31" t="str">
        <f>IFERROR(VLOOKUP(1*LEFT(C31,7),DF!$A$1:$F$9447,2,FALSE),"")</f>
        <v>MOCHILA MOLLE MEDIANA 2304A</v>
      </c>
      <c r="F31">
        <v>8708304</v>
      </c>
      <c r="G31" s="7" t="s">
        <v>13058</v>
      </c>
      <c r="H31" s="7">
        <v>4</v>
      </c>
      <c r="I31" s="11" t="s">
        <v>7028</v>
      </c>
      <c r="J31" s="11" t="s">
        <v>10915</v>
      </c>
      <c r="K31" s="11" t="s">
        <v>10918</v>
      </c>
      <c r="L31" s="11" t="s">
        <v>10919</v>
      </c>
    </row>
    <row r="32" spans="1:16" x14ac:dyDescent="0.25">
      <c r="A32">
        <v>20508</v>
      </c>
      <c r="B32" t="s">
        <v>10</v>
      </c>
      <c r="C32" t="str">
        <f t="shared" si="0"/>
        <v>8708310#03#</v>
      </c>
      <c r="D32" s="3" t="s">
        <v>8375</v>
      </c>
      <c r="E32" t="str">
        <f>IFERROR(VLOOKUP(1*LEFT(C32,7),DF!$A$1:$F$9447,2,FALSE),"")</f>
        <v>MOCHILA TACTICA MOLLE 2310</v>
      </c>
      <c r="F32" s="7">
        <v>8708310</v>
      </c>
      <c r="G32" s="7" t="s">
        <v>13059</v>
      </c>
      <c r="H32" s="7">
        <v>3</v>
      </c>
      <c r="I32" s="11" t="s">
        <v>8378</v>
      </c>
      <c r="J32" s="11" t="s">
        <v>10914</v>
      </c>
      <c r="K32" s="11" t="s">
        <v>12244</v>
      </c>
    </row>
    <row r="33" spans="1:17" x14ac:dyDescent="0.25">
      <c r="A33">
        <v>20508</v>
      </c>
      <c r="B33" t="s">
        <v>10</v>
      </c>
      <c r="C33" t="str">
        <f t="shared" si="0"/>
        <v>8708310#07#</v>
      </c>
      <c r="D33" s="3" t="s">
        <v>12267</v>
      </c>
      <c r="E33" t="str">
        <f>IFERROR(VLOOKUP(1*LEFT(C33,7),DF!$A$1:$F$9447,2,FALSE),"")</f>
        <v>MOCHILA TACTICA MOLLE 2310</v>
      </c>
      <c r="F33" s="7">
        <v>8708310</v>
      </c>
      <c r="G33" s="7" t="s">
        <v>13060</v>
      </c>
      <c r="H33" s="7">
        <v>3</v>
      </c>
      <c r="I33" s="11" t="s">
        <v>12268</v>
      </c>
      <c r="J33" s="11" t="s">
        <v>12269</v>
      </c>
      <c r="K33" s="11" t="s">
        <v>12270</v>
      </c>
    </row>
    <row r="34" spans="1:17" x14ac:dyDescent="0.25">
      <c r="A34">
        <v>20508</v>
      </c>
      <c r="B34" t="s">
        <v>10</v>
      </c>
      <c r="C34" t="str">
        <f t="shared" ref="C34:C65" si="1">CONCATENATE(F34,"#",D34,"#")</f>
        <v>8708310#08#</v>
      </c>
      <c r="D34" s="3" t="s">
        <v>12250</v>
      </c>
      <c r="E34" t="str">
        <f>IFERROR(VLOOKUP(1*LEFT(C34,7),DF!$A$1:$F$9447,2,FALSE),"")</f>
        <v>MOCHILA TACTICA MOLLE 2310</v>
      </c>
      <c r="F34" s="7">
        <v>8708310</v>
      </c>
      <c r="G34" s="7" t="s">
        <v>13061</v>
      </c>
      <c r="H34" s="7">
        <v>3</v>
      </c>
      <c r="I34" s="11" t="s">
        <v>12254</v>
      </c>
      <c r="J34" s="11" t="s">
        <v>12255</v>
      </c>
      <c r="K34" s="11" t="s">
        <v>12256</v>
      </c>
    </row>
    <row r="35" spans="1:17" x14ac:dyDescent="0.25">
      <c r="A35">
        <v>20508</v>
      </c>
      <c r="B35" t="s">
        <v>10</v>
      </c>
      <c r="C35" t="str">
        <f t="shared" si="1"/>
        <v>8708310#09#</v>
      </c>
      <c r="D35" s="3" t="s">
        <v>7026</v>
      </c>
      <c r="E35" t="str">
        <f>IFERROR(VLOOKUP(1*LEFT(C35,7),DF!$A$1:$F$9447,2,FALSE),"")</f>
        <v>MOCHILA TACTICA MOLLE 2310</v>
      </c>
      <c r="F35" s="7">
        <v>8708310</v>
      </c>
      <c r="G35" s="7" t="s">
        <v>13062</v>
      </c>
      <c r="H35" s="7">
        <v>3</v>
      </c>
      <c r="I35" s="11" t="s">
        <v>7028</v>
      </c>
      <c r="J35" s="11" t="s">
        <v>10915</v>
      </c>
      <c r="K35" s="11" t="s">
        <v>10918</v>
      </c>
    </row>
    <row r="36" spans="1:17" x14ac:dyDescent="0.25">
      <c r="A36">
        <v>20508</v>
      </c>
      <c r="B36" t="s">
        <v>10</v>
      </c>
      <c r="C36" t="str">
        <f t="shared" si="1"/>
        <v>8708323#07#</v>
      </c>
      <c r="D36" s="3" t="s">
        <v>12267</v>
      </c>
      <c r="E36" t="str">
        <f>IFERROR(VLOOKUP(1*LEFT(C36,7),DF!$A$1:$F$9447,2,FALSE),"")</f>
        <v>MORRAL TACTICO CIERRE CRUZADO 2323</v>
      </c>
      <c r="F36" s="7">
        <v>8708323</v>
      </c>
      <c r="G36" s="7" t="s">
        <v>13063</v>
      </c>
      <c r="H36" s="7">
        <v>3</v>
      </c>
      <c r="I36" s="11" t="s">
        <v>12268</v>
      </c>
      <c r="J36" s="11" t="s">
        <v>12269</v>
      </c>
      <c r="K36" s="11" t="s">
        <v>12270</v>
      </c>
    </row>
    <row r="37" spans="1:17" x14ac:dyDescent="0.25">
      <c r="A37">
        <v>20508</v>
      </c>
      <c r="B37" t="s">
        <v>10</v>
      </c>
      <c r="C37" t="str">
        <f t="shared" si="1"/>
        <v>8708323#08#</v>
      </c>
      <c r="D37" s="3" t="s">
        <v>12250</v>
      </c>
      <c r="E37" t="str">
        <f>IFERROR(VLOOKUP(1*LEFT(C37,7),DF!$A$1:$F$9447,2,FALSE),"")</f>
        <v>MORRAL TACTICO CIERRE CRUZADO 2323</v>
      </c>
      <c r="F37" s="7">
        <v>8708323</v>
      </c>
      <c r="G37" s="7" t="s">
        <v>13064</v>
      </c>
      <c r="H37" s="7">
        <v>3</v>
      </c>
      <c r="I37" s="11" t="s">
        <v>12254</v>
      </c>
      <c r="J37" s="11" t="s">
        <v>12255</v>
      </c>
      <c r="K37" s="11" t="s">
        <v>12256</v>
      </c>
    </row>
    <row r="38" spans="1:17" x14ac:dyDescent="0.25">
      <c r="A38">
        <v>20508</v>
      </c>
      <c r="B38" t="s">
        <v>10</v>
      </c>
      <c r="C38" t="str">
        <f t="shared" si="1"/>
        <v>8708323#09#</v>
      </c>
      <c r="D38" s="3" t="s">
        <v>7026</v>
      </c>
      <c r="E38" t="str">
        <f>IFERROR(VLOOKUP(1*LEFT(C38,7),DF!$A$1:$F$9447,2,FALSE),"")</f>
        <v>MORRAL TACTICO CIERRE CRUZADO 2323</v>
      </c>
      <c r="F38" s="7">
        <v>8708323</v>
      </c>
      <c r="G38" s="7" t="s">
        <v>13065</v>
      </c>
      <c r="H38" s="7">
        <v>3</v>
      </c>
      <c r="I38" s="11" t="s">
        <v>7028</v>
      </c>
      <c r="J38" s="11" t="s">
        <v>10915</v>
      </c>
      <c r="K38" s="11" t="s">
        <v>10918</v>
      </c>
    </row>
    <row r="39" spans="1:17" x14ac:dyDescent="0.25">
      <c r="A39">
        <v>20508</v>
      </c>
      <c r="B39" t="s">
        <v>10</v>
      </c>
      <c r="C39" t="str">
        <f t="shared" si="1"/>
        <v>8708774#06#</v>
      </c>
      <c r="D39" s="3" t="s">
        <v>8376</v>
      </c>
      <c r="E39" t="str">
        <f>IFERROR(VLOOKUP(1*LEFT(C39,7),DF!$A$1:$F$9447,2,FALSE),"")</f>
        <v>MORRAL TACTICO MOLLE C/ELASTICO 0774-78</v>
      </c>
      <c r="F39" s="7">
        <v>8708774</v>
      </c>
      <c r="G39" s="7" t="s">
        <v>13066</v>
      </c>
      <c r="H39" s="7">
        <v>4</v>
      </c>
      <c r="I39" s="11" t="s">
        <v>8377</v>
      </c>
      <c r="J39" s="11" t="s">
        <v>12235</v>
      </c>
      <c r="K39" s="11" t="s">
        <v>12252</v>
      </c>
      <c r="L39" s="11" t="s">
        <v>12253</v>
      </c>
    </row>
    <row r="40" spans="1:17" x14ac:dyDescent="0.25">
      <c r="A40">
        <v>20508</v>
      </c>
      <c r="B40" t="s">
        <v>10</v>
      </c>
      <c r="C40" t="str">
        <f t="shared" si="1"/>
        <v>8708774#09#</v>
      </c>
      <c r="D40" s="3" t="s">
        <v>7026</v>
      </c>
      <c r="E40" t="str">
        <f>IFERROR(VLOOKUP(1*LEFT(C40,7),DF!$A$1:$F$9447,2,FALSE),"")</f>
        <v>MORRAL TACTICO MOLLE C/ELASTICO 0774-78</v>
      </c>
      <c r="F40" s="7">
        <v>8708774</v>
      </c>
      <c r="G40" s="7" t="s">
        <v>13067</v>
      </c>
      <c r="H40" s="7">
        <v>4</v>
      </c>
      <c r="I40" s="11" t="s">
        <v>7028</v>
      </c>
      <c r="J40" s="11" t="s">
        <v>10915</v>
      </c>
      <c r="K40" s="11" t="s">
        <v>10918</v>
      </c>
      <c r="L40" s="11" t="s">
        <v>10919</v>
      </c>
    </row>
    <row r="41" spans="1:17" x14ac:dyDescent="0.25">
      <c r="A41">
        <v>20508</v>
      </c>
      <c r="B41" t="s">
        <v>10</v>
      </c>
      <c r="C41" t="str">
        <f t="shared" si="1"/>
        <v>8708774#11#</v>
      </c>
      <c r="D41" s="3" t="s">
        <v>12302</v>
      </c>
      <c r="E41" t="str">
        <f>IFERROR(VLOOKUP(1*LEFT(C41,7),DF!$A$1:$F$9447,2,FALSE),"")</f>
        <v>MORRAL TACTICO MOLLE C/ELASTICO 0774-78</v>
      </c>
      <c r="F41" s="7">
        <v>8708774</v>
      </c>
      <c r="G41" s="7" t="s">
        <v>13068</v>
      </c>
      <c r="H41" s="7">
        <v>4</v>
      </c>
      <c r="I41" s="11" t="s">
        <v>12303</v>
      </c>
      <c r="J41" s="11" t="s">
        <v>12304</v>
      </c>
      <c r="K41" s="11" t="s">
        <v>12305</v>
      </c>
      <c r="L41" s="11" t="s">
        <v>12306</v>
      </c>
    </row>
    <row r="42" spans="1:17" x14ac:dyDescent="0.25">
      <c r="A42">
        <v>20508</v>
      </c>
      <c r="B42" t="s">
        <v>10</v>
      </c>
      <c r="C42" t="str">
        <f t="shared" si="1"/>
        <v>8612122#04#</v>
      </c>
      <c r="D42" s="3" t="s">
        <v>12273</v>
      </c>
      <c r="E42" t="str">
        <f>IFERROR(VLOOKUP(1*LEFT(C42,7),DF!$A$1:$F$9447,2,FALSE),"")</f>
        <v>GAZEBO PLEGABLE 3X3 AUTOMATICO</v>
      </c>
      <c r="F42" s="7">
        <v>8612122</v>
      </c>
      <c r="G42" s="7" t="s">
        <v>13069</v>
      </c>
      <c r="H42" s="7">
        <v>9</v>
      </c>
      <c r="I42" s="11" t="s">
        <v>12274</v>
      </c>
      <c r="J42" s="11" t="s">
        <v>12275</v>
      </c>
      <c r="K42" s="11" t="s">
        <v>12276</v>
      </c>
      <c r="L42" s="11" t="s">
        <v>12277</v>
      </c>
      <c r="M42" s="11" t="s">
        <v>12278</v>
      </c>
      <c r="N42" s="11" t="s">
        <v>12279</v>
      </c>
      <c r="O42" s="11" t="s">
        <v>12280</v>
      </c>
      <c r="P42" s="11" t="s">
        <v>12281</v>
      </c>
      <c r="Q42" s="11" t="s">
        <v>12282</v>
      </c>
    </row>
    <row r="43" spans="1:17" x14ac:dyDescent="0.25">
      <c r="A43">
        <v>20508</v>
      </c>
      <c r="B43" t="s">
        <v>10</v>
      </c>
      <c r="C43" t="str">
        <f t="shared" si="1"/>
        <v>8612122#18#</v>
      </c>
      <c r="D43" s="3" t="s">
        <v>10917</v>
      </c>
      <c r="E43" t="str">
        <f>IFERROR(VLOOKUP(1*LEFT(C43,7),DF!$A$1:$F$9447,2,FALSE),"")</f>
        <v>GAZEBO PLEGABLE 3X3 AUTOMATICO</v>
      </c>
      <c r="F43" s="7">
        <v>8612122</v>
      </c>
      <c r="G43" s="7" t="s">
        <v>13070</v>
      </c>
      <c r="H43" s="7">
        <v>9</v>
      </c>
      <c r="I43" s="11" t="s">
        <v>10921</v>
      </c>
      <c r="J43" s="11" t="s">
        <v>10922</v>
      </c>
      <c r="K43" s="11" t="s">
        <v>10923</v>
      </c>
      <c r="L43" s="11" t="s">
        <v>10924</v>
      </c>
      <c r="M43" s="11" t="s">
        <v>10925</v>
      </c>
      <c r="N43" s="11" t="s">
        <v>10927</v>
      </c>
      <c r="O43" s="11" t="s">
        <v>10930</v>
      </c>
      <c r="P43" s="11" t="s">
        <v>10931</v>
      </c>
      <c r="Q43" s="11" t="s">
        <v>12283</v>
      </c>
    </row>
    <row r="44" spans="1:17" x14ac:dyDescent="0.25">
      <c r="A44">
        <v>20508</v>
      </c>
      <c r="B44" t="s">
        <v>10</v>
      </c>
      <c r="C44" t="str">
        <f t="shared" si="1"/>
        <v>8612122#22#</v>
      </c>
      <c r="D44" s="3" t="s">
        <v>12251</v>
      </c>
      <c r="E44" t="str">
        <f>IFERROR(VLOOKUP(1*LEFT(C44,7),DF!$A$1:$F$9447,2,FALSE),"")</f>
        <v>GAZEBO PLEGABLE 3X3 AUTOMATICO</v>
      </c>
      <c r="F44" s="7">
        <v>8612122</v>
      </c>
      <c r="G44" s="7" t="s">
        <v>13071</v>
      </c>
      <c r="H44" s="7">
        <v>9</v>
      </c>
      <c r="I44" s="11" t="s">
        <v>12259</v>
      </c>
      <c r="J44" s="11" t="s">
        <v>12260</v>
      </c>
      <c r="K44" s="11" t="s">
        <v>12261</v>
      </c>
      <c r="L44" s="11" t="s">
        <v>12262</v>
      </c>
      <c r="M44" s="11" t="s">
        <v>12263</v>
      </c>
      <c r="N44" s="11" t="s">
        <v>12284</v>
      </c>
      <c r="O44" s="11" t="s">
        <v>12285</v>
      </c>
      <c r="P44" s="11" t="s">
        <v>12286</v>
      </c>
      <c r="Q44" s="11" t="s">
        <v>12287</v>
      </c>
    </row>
    <row r="45" spans="1:17" x14ac:dyDescent="0.25">
      <c r="A45">
        <v>20508</v>
      </c>
      <c r="B45" t="s">
        <v>10</v>
      </c>
      <c r="C45" t="str">
        <f t="shared" si="1"/>
        <v>8303297#08#</v>
      </c>
      <c r="D45" s="3" t="s">
        <v>12250</v>
      </c>
      <c r="E45" t="str">
        <f>IFERROR(VLOOKUP(1*LEFT(C45,7),DF!$A$1:$F$9447,2,FALSE),"")</f>
        <v>RELOJ TACTICO MALLA/PLASTI ICE FROG 5524</v>
      </c>
      <c r="F45" s="7">
        <v>8303297</v>
      </c>
      <c r="G45" s="7" t="s">
        <v>13072</v>
      </c>
      <c r="H45" s="7">
        <v>2</v>
      </c>
      <c r="I45" s="11" t="s">
        <v>12254</v>
      </c>
      <c r="J45" s="11" t="s">
        <v>12255</v>
      </c>
    </row>
    <row r="46" spans="1:17" x14ac:dyDescent="0.25">
      <c r="A46">
        <v>20508</v>
      </c>
      <c r="B46" t="s">
        <v>10</v>
      </c>
      <c r="C46" t="str">
        <f t="shared" si="1"/>
        <v>8303297#09#</v>
      </c>
      <c r="D46" s="3" t="s">
        <v>7026</v>
      </c>
      <c r="E46" t="str">
        <f>IFERROR(VLOOKUP(1*LEFT(C46,7),DF!$A$1:$F$9447,2,FALSE),"")</f>
        <v>RELOJ TACTICO MALLA/PLASTI ICE FROG 5524</v>
      </c>
      <c r="F46" s="7">
        <v>8303297</v>
      </c>
      <c r="G46" s="7" t="s">
        <v>13073</v>
      </c>
      <c r="H46" s="7">
        <v>2</v>
      </c>
      <c r="I46" s="11" t="s">
        <v>7028</v>
      </c>
      <c r="J46" s="11" t="s">
        <v>10915</v>
      </c>
    </row>
    <row r="47" spans="1:17" x14ac:dyDescent="0.25">
      <c r="A47">
        <v>20508</v>
      </c>
      <c r="B47" t="s">
        <v>10</v>
      </c>
      <c r="C47" t="str">
        <f t="shared" si="1"/>
        <v>8303297#21#</v>
      </c>
      <c r="D47" s="3" t="s">
        <v>12289</v>
      </c>
      <c r="E47" t="str">
        <f>IFERROR(VLOOKUP(1*LEFT(C47,7),DF!$A$1:$F$9447,2,FALSE),"")</f>
        <v>RELOJ TACTICO MALLA/PLASTI ICE FROG 5524</v>
      </c>
      <c r="F47" s="7">
        <v>8303297</v>
      </c>
      <c r="G47" s="7" t="s">
        <v>13074</v>
      </c>
      <c r="H47" s="7">
        <v>2</v>
      </c>
      <c r="I47" s="11" t="s">
        <v>12290</v>
      </c>
      <c r="J47" s="11" t="s">
        <v>12291</v>
      </c>
    </row>
    <row r="48" spans="1:17" x14ac:dyDescent="0.25">
      <c r="A48">
        <v>20508</v>
      </c>
      <c r="B48" t="s">
        <v>10</v>
      </c>
      <c r="C48" t="str">
        <f t="shared" si="1"/>
        <v>8701255#03#</v>
      </c>
      <c r="D48" s="3" t="s">
        <v>8375</v>
      </c>
      <c r="E48" t="str">
        <f>IFERROR(VLOOKUP(1*LEFT(C48,7),DF!$A$1:$F$9447,2,FALSE),"")</f>
        <v>CINTURON TACTICO 3255 TG017</v>
      </c>
      <c r="F48" s="7">
        <v>8701255</v>
      </c>
      <c r="G48" s="7" t="s">
        <v>13075</v>
      </c>
      <c r="H48" s="7">
        <v>2</v>
      </c>
      <c r="I48" s="11" t="s">
        <v>8378</v>
      </c>
      <c r="J48" s="11" t="s">
        <v>10914</v>
      </c>
    </row>
    <row r="49" spans="1:13" x14ac:dyDescent="0.25">
      <c r="A49">
        <v>20508</v>
      </c>
      <c r="B49" t="s">
        <v>10</v>
      </c>
      <c r="C49" t="str">
        <f t="shared" si="1"/>
        <v>8701255#09#</v>
      </c>
      <c r="D49" s="3" t="s">
        <v>7026</v>
      </c>
      <c r="E49" t="str">
        <f>IFERROR(VLOOKUP(1*LEFT(C49,7),DF!$A$1:$F$9447,2,FALSE),"")</f>
        <v>CINTURON TACTICO 3255 TG017</v>
      </c>
      <c r="F49" s="7">
        <v>8701255</v>
      </c>
      <c r="G49" s="7" t="s">
        <v>13076</v>
      </c>
      <c r="H49" s="7">
        <v>1</v>
      </c>
      <c r="I49" s="11" t="s">
        <v>7028</v>
      </c>
    </row>
    <row r="50" spans="1:13" x14ac:dyDescent="0.25">
      <c r="A50">
        <v>20508</v>
      </c>
      <c r="B50" t="s">
        <v>10</v>
      </c>
      <c r="C50" t="str">
        <f t="shared" si="1"/>
        <v>8708634#03#</v>
      </c>
      <c r="D50" s="3" t="s">
        <v>8375</v>
      </c>
      <c r="E50" t="str">
        <f>IFERROR(VLOOKUP(1*LEFT(C50,7),DF!$A$1:$F$9447,2,FALSE),"")</f>
        <v>MOCHILA CON CORDON GRANDE 8132-34 65L YW</v>
      </c>
      <c r="F50" s="7">
        <v>8708634</v>
      </c>
      <c r="G50" s="7" t="s">
        <v>13077</v>
      </c>
      <c r="H50" s="7">
        <v>2</v>
      </c>
      <c r="I50" s="11" t="s">
        <v>8378</v>
      </c>
      <c r="J50" s="11" t="s">
        <v>10914</v>
      </c>
    </row>
    <row r="51" spans="1:13" x14ac:dyDescent="0.25">
      <c r="A51">
        <v>20508</v>
      </c>
      <c r="B51" t="s">
        <v>10</v>
      </c>
      <c r="C51" t="str">
        <f t="shared" si="1"/>
        <v>8708634#05#</v>
      </c>
      <c r="D51" s="3" t="s">
        <v>12307</v>
      </c>
      <c r="E51" t="str">
        <f>IFERROR(VLOOKUP(1*LEFT(C51,7),DF!$A$1:$F$9447,2,FALSE),"")</f>
        <v>MOCHILA CON CORDON GRANDE 8132-34 65L YW</v>
      </c>
      <c r="F51" s="7">
        <v>8708634</v>
      </c>
      <c r="G51" s="7" t="s">
        <v>13078</v>
      </c>
      <c r="H51" s="7">
        <v>1</v>
      </c>
      <c r="I51" s="11" t="s">
        <v>12389</v>
      </c>
    </row>
    <row r="52" spans="1:13" x14ac:dyDescent="0.25">
      <c r="A52">
        <v>20508</v>
      </c>
      <c r="B52" t="s">
        <v>10</v>
      </c>
      <c r="C52" t="str">
        <f t="shared" si="1"/>
        <v>8708634#07#</v>
      </c>
      <c r="D52" s="3" t="s">
        <v>12267</v>
      </c>
      <c r="E52" t="str">
        <f>IFERROR(VLOOKUP(1*LEFT(C52,7),DF!$A$1:$F$9447,2,FALSE),"")</f>
        <v>MOCHILA CON CORDON GRANDE 8132-34 65L YW</v>
      </c>
      <c r="F52" s="7">
        <v>8708634</v>
      </c>
      <c r="G52" s="7" t="s">
        <v>13079</v>
      </c>
      <c r="H52" s="7">
        <v>1</v>
      </c>
      <c r="I52" s="11" t="s">
        <v>12268</v>
      </c>
    </row>
    <row r="53" spans="1:13" x14ac:dyDescent="0.25">
      <c r="A53">
        <v>20508</v>
      </c>
      <c r="B53" t="s">
        <v>10</v>
      </c>
      <c r="C53" t="str">
        <f t="shared" si="1"/>
        <v>8708634#09#</v>
      </c>
      <c r="D53" s="3" t="s">
        <v>7026</v>
      </c>
      <c r="E53" t="str">
        <f>IFERROR(VLOOKUP(1*LEFT(C53,7),DF!$A$1:$F$9447,2,FALSE),"")</f>
        <v>MOCHILA CON CORDON GRANDE 8132-34 65L YW</v>
      </c>
      <c r="F53" s="7">
        <v>8708634</v>
      </c>
      <c r="G53" s="7" t="s">
        <v>13080</v>
      </c>
      <c r="H53" s="7">
        <v>4</v>
      </c>
      <c r="I53" s="11" t="s">
        <v>7028</v>
      </c>
      <c r="J53" s="11" t="s">
        <v>10915</v>
      </c>
      <c r="K53" s="11" t="s">
        <v>10918</v>
      </c>
      <c r="L53" s="11" t="s">
        <v>10919</v>
      </c>
    </row>
    <row r="54" spans="1:13" x14ac:dyDescent="0.25">
      <c r="A54">
        <v>20508</v>
      </c>
      <c r="B54" t="s">
        <v>10</v>
      </c>
      <c r="C54" t="str">
        <f t="shared" si="1"/>
        <v>8708628#06#</v>
      </c>
      <c r="D54" s="3" t="s">
        <v>8376</v>
      </c>
      <c r="E54" t="str">
        <f>IFERROR(VLOOKUP(1*LEFT(C54,7),DF!$A$1:$F$9447,2,FALSE),"")</f>
        <v>MOCHILA BOLSO 8126-2 50L YW-140/3</v>
      </c>
      <c r="F54" s="7">
        <v>8708628</v>
      </c>
      <c r="G54" s="7" t="s">
        <v>13081</v>
      </c>
      <c r="H54" s="7">
        <v>1</v>
      </c>
      <c r="I54" s="11" t="s">
        <v>8377</v>
      </c>
    </row>
    <row r="55" spans="1:13" x14ac:dyDescent="0.25">
      <c r="A55">
        <v>20508</v>
      </c>
      <c r="B55" t="s">
        <v>10</v>
      </c>
      <c r="C55" t="str">
        <f t="shared" si="1"/>
        <v>8708628#07#</v>
      </c>
      <c r="D55" s="3" t="s">
        <v>12267</v>
      </c>
      <c r="E55" t="str">
        <f>IFERROR(VLOOKUP(1*LEFT(C55,7),DF!$A$1:$F$9447,2,FALSE),"")</f>
        <v>MOCHILA BOLSO 8126-2 50L YW-140/3</v>
      </c>
      <c r="F55" s="7">
        <v>8708628</v>
      </c>
      <c r="G55" s="7" t="s">
        <v>13082</v>
      </c>
      <c r="H55" s="7">
        <v>5</v>
      </c>
      <c r="I55" s="11" t="s">
        <v>12268</v>
      </c>
      <c r="J55" s="11" t="s">
        <v>12269</v>
      </c>
      <c r="K55" s="11" t="s">
        <v>12270</v>
      </c>
      <c r="L55" s="11" t="s">
        <v>12271</v>
      </c>
      <c r="M55" s="11" t="s">
        <v>12390</v>
      </c>
    </row>
    <row r="56" spans="1:13" x14ac:dyDescent="0.25">
      <c r="A56">
        <v>20508</v>
      </c>
      <c r="B56" t="s">
        <v>10</v>
      </c>
      <c r="C56" t="str">
        <f t="shared" si="1"/>
        <v>8520511#09#</v>
      </c>
      <c r="D56" s="3" t="s">
        <v>7026</v>
      </c>
      <c r="E56" t="str">
        <f>IFERROR(VLOOKUP(1*LEFT(C56,7),DF!$A$1:$F$9447,2,FALSE),"")</f>
        <v>MOSQUETON POLIM PLASTICO 2072</v>
      </c>
      <c r="F56" s="7">
        <v>8520511</v>
      </c>
      <c r="G56" s="7" t="s">
        <v>13083</v>
      </c>
      <c r="H56" s="7">
        <v>2</v>
      </c>
      <c r="I56" s="11" t="s">
        <v>7028</v>
      </c>
      <c r="J56" s="11" t="s">
        <v>10915</v>
      </c>
    </row>
    <row r="57" spans="1:13" x14ac:dyDescent="0.25">
      <c r="A57">
        <v>20508</v>
      </c>
      <c r="B57" t="s">
        <v>10</v>
      </c>
      <c r="C57" t="str">
        <f t="shared" si="1"/>
        <v>8520511#06#</v>
      </c>
      <c r="D57" s="3" t="s">
        <v>8376</v>
      </c>
      <c r="E57" t="str">
        <f>IFERROR(VLOOKUP(1*LEFT(C57,7),DF!$A$1:$F$9447,2,FALSE),"")</f>
        <v>MOSQUETON POLIM PLASTICO 2072</v>
      </c>
      <c r="F57" s="7">
        <v>8520511</v>
      </c>
      <c r="G57" s="7" t="s">
        <v>13084</v>
      </c>
      <c r="H57" s="7">
        <v>2</v>
      </c>
      <c r="I57" s="11" t="s">
        <v>8377</v>
      </c>
      <c r="J57" s="11" t="s">
        <v>12235</v>
      </c>
    </row>
    <row r="58" spans="1:13" x14ac:dyDescent="0.25">
      <c r="A58">
        <v>20508</v>
      </c>
      <c r="B58" t="s">
        <v>10</v>
      </c>
      <c r="C58" t="str">
        <f t="shared" si="1"/>
        <v>8520511#03#</v>
      </c>
      <c r="D58" s="3" t="s">
        <v>8375</v>
      </c>
      <c r="E58" t="str">
        <f>IFERROR(VLOOKUP(1*LEFT(C58,7),DF!$A$1:$F$9447,2,FALSE),"")</f>
        <v>MOSQUETON POLIM PLASTICO 2072</v>
      </c>
      <c r="F58" s="7">
        <v>8520511</v>
      </c>
      <c r="G58" s="7" t="s">
        <v>13085</v>
      </c>
      <c r="H58" s="7">
        <v>2</v>
      </c>
      <c r="I58" s="11" t="s">
        <v>8378</v>
      </c>
      <c r="J58" s="11" t="s">
        <v>10914</v>
      </c>
    </row>
    <row r="59" spans="1:13" x14ac:dyDescent="0.25">
      <c r="A59">
        <v>20508</v>
      </c>
      <c r="B59" t="s">
        <v>10</v>
      </c>
      <c r="C59" t="str">
        <f t="shared" si="1"/>
        <v>8505824#09#</v>
      </c>
      <c r="D59" s="3" t="s">
        <v>7026</v>
      </c>
      <c r="E59" t="str">
        <f>IFERROR(VLOOKUP(1*LEFT(C59,7),DF!$A$1:$F$9447,2,FALSE),"")</f>
        <v>BARBIJO CORDON BICOLOR RER</v>
      </c>
      <c r="F59" s="7">
        <v>8505824</v>
      </c>
      <c r="G59" s="7" t="s">
        <v>13086</v>
      </c>
      <c r="H59" s="7">
        <v>1</v>
      </c>
      <c r="I59" s="11" t="s">
        <v>7028</v>
      </c>
    </row>
    <row r="60" spans="1:13" x14ac:dyDescent="0.25">
      <c r="A60">
        <v>20508</v>
      </c>
      <c r="B60" t="s">
        <v>10</v>
      </c>
      <c r="C60" t="str">
        <f t="shared" si="1"/>
        <v>8505824#18#</v>
      </c>
      <c r="D60" s="3" t="s">
        <v>10917</v>
      </c>
      <c r="E60" t="str">
        <f>IFERROR(VLOOKUP(1*LEFT(C60,7),DF!$A$1:$F$9447,2,FALSE),"")</f>
        <v>BARBIJO CORDON BICOLOR RER</v>
      </c>
      <c r="F60" s="7">
        <v>8505824</v>
      </c>
      <c r="G60" s="7" t="s">
        <v>13087</v>
      </c>
      <c r="H60" s="7">
        <v>1</v>
      </c>
      <c r="I60" s="11" t="s">
        <v>10921</v>
      </c>
    </row>
    <row r="61" spans="1:13" x14ac:dyDescent="0.25">
      <c r="A61">
        <v>20508</v>
      </c>
      <c r="B61" t="s">
        <v>10</v>
      </c>
      <c r="C61" t="str">
        <f t="shared" si="1"/>
        <v>8692230#11#</v>
      </c>
      <c r="D61" s="3" t="s">
        <v>12302</v>
      </c>
      <c r="E61" t="str">
        <f>IFERROR(VLOOKUP(1*LEFT(C61,7),DF!$A$1:$F$9447,2,FALSE),"")</f>
        <v>BOLSA DORMIR KC-003-2</v>
      </c>
      <c r="F61" s="7">
        <v>8692230</v>
      </c>
      <c r="G61" s="7" t="s">
        <v>13088</v>
      </c>
      <c r="H61" s="7">
        <v>4</v>
      </c>
      <c r="I61" s="11" t="s">
        <v>12303</v>
      </c>
      <c r="J61" s="11" t="s">
        <v>12304</v>
      </c>
      <c r="K61" s="11" t="s">
        <v>12305</v>
      </c>
      <c r="L61" s="11" t="s">
        <v>12306</v>
      </c>
    </row>
    <row r="62" spans="1:13" x14ac:dyDescent="0.25">
      <c r="A62">
        <v>20508</v>
      </c>
      <c r="B62" t="s">
        <v>10</v>
      </c>
      <c r="C62" t="str">
        <f t="shared" si="1"/>
        <v>8692230#04#</v>
      </c>
      <c r="D62" s="3" t="s">
        <v>12273</v>
      </c>
      <c r="E62" t="str">
        <f>IFERROR(VLOOKUP(1*LEFT(C62,7),DF!$A$1:$F$9447,2,FALSE),"")</f>
        <v>BOLSA DORMIR KC-003-2</v>
      </c>
      <c r="F62" s="7">
        <v>8692230</v>
      </c>
      <c r="G62" s="7" t="s">
        <v>13089</v>
      </c>
      <c r="H62" s="7">
        <v>4</v>
      </c>
      <c r="I62" s="11" t="s">
        <v>12274</v>
      </c>
      <c r="J62" s="11" t="s">
        <v>12275</v>
      </c>
      <c r="K62" s="11" t="s">
        <v>12276</v>
      </c>
      <c r="L62" s="11" t="s">
        <v>12277</v>
      </c>
    </row>
    <row r="63" spans="1:13" x14ac:dyDescent="0.25">
      <c r="A63">
        <v>20508</v>
      </c>
      <c r="B63" t="s">
        <v>10</v>
      </c>
      <c r="C63" t="str">
        <f t="shared" si="1"/>
        <v>8692230#18#</v>
      </c>
      <c r="D63" s="3" t="s">
        <v>10917</v>
      </c>
      <c r="E63" t="str">
        <f>IFERROR(VLOOKUP(1*LEFT(C63,7),DF!$A$1:$F$9447,2,FALSE),"")</f>
        <v>BOLSA DORMIR KC-003-2</v>
      </c>
      <c r="F63" s="7">
        <v>8692230</v>
      </c>
      <c r="G63" s="7" t="s">
        <v>13090</v>
      </c>
      <c r="H63" s="7">
        <v>4</v>
      </c>
      <c r="I63" s="11" t="s">
        <v>10921</v>
      </c>
      <c r="J63" s="11" t="s">
        <v>10922</v>
      </c>
      <c r="K63" s="11" t="s">
        <v>10923</v>
      </c>
      <c r="L63" s="11" t="s">
        <v>10924</v>
      </c>
    </row>
    <row r="64" spans="1:13" x14ac:dyDescent="0.25">
      <c r="A64">
        <v>20508</v>
      </c>
      <c r="B64" t="s">
        <v>10</v>
      </c>
      <c r="C64" t="str">
        <f t="shared" si="1"/>
        <v>8692230#06#</v>
      </c>
      <c r="D64" s="3" t="s">
        <v>8376</v>
      </c>
      <c r="E64" t="str">
        <f>IFERROR(VLOOKUP(1*LEFT(C64,7),DF!$A$1:$F$9447,2,FALSE),"")</f>
        <v>BOLSA DORMIR KC-003-2</v>
      </c>
      <c r="F64" s="7">
        <v>8692230</v>
      </c>
      <c r="G64" s="7" t="s">
        <v>13091</v>
      </c>
      <c r="H64" s="7">
        <v>4</v>
      </c>
      <c r="I64" s="11" t="s">
        <v>8377</v>
      </c>
      <c r="J64" s="11" t="s">
        <v>12235</v>
      </c>
      <c r="K64" s="11" t="s">
        <v>12252</v>
      </c>
      <c r="L64" s="11" t="s">
        <v>12253</v>
      </c>
    </row>
    <row r="65" spans="1:15" x14ac:dyDescent="0.25">
      <c r="A65">
        <v>20508</v>
      </c>
      <c r="B65" t="s">
        <v>10</v>
      </c>
      <c r="C65" t="str">
        <f t="shared" si="1"/>
        <v>8692230#29#</v>
      </c>
      <c r="D65" s="3" t="s">
        <v>12391</v>
      </c>
      <c r="E65" t="str">
        <f>IFERROR(VLOOKUP(1*LEFT(C65,7),DF!$A$1:$F$9447,2,FALSE),"")</f>
        <v>BOLSA DORMIR KC-003-2</v>
      </c>
      <c r="F65" s="7">
        <v>8692230</v>
      </c>
      <c r="G65" s="7" t="s">
        <v>13092</v>
      </c>
      <c r="H65" s="7">
        <v>5</v>
      </c>
      <c r="I65" s="11" t="s">
        <v>12393</v>
      </c>
      <c r="J65" s="11" t="s">
        <v>12394</v>
      </c>
      <c r="K65" s="11" t="s">
        <v>12395</v>
      </c>
      <c r="L65" s="11" t="s">
        <v>12396</v>
      </c>
      <c r="M65" s="11" t="s">
        <v>12397</v>
      </c>
    </row>
    <row r="66" spans="1:15" x14ac:dyDescent="0.25">
      <c r="A66">
        <v>20508</v>
      </c>
      <c r="B66" t="s">
        <v>10</v>
      </c>
      <c r="C66" t="str">
        <f t="shared" ref="C66:C93" si="2">CONCATENATE(F66,"#",D66,"#")</f>
        <v>8692230#06#</v>
      </c>
      <c r="D66" s="24" t="s">
        <v>8376</v>
      </c>
      <c r="E66" t="str">
        <f>IFERROR(VLOOKUP(1*LEFT(C66,7),DF!$A$1:$F$9447,2,FALSE),"")</f>
        <v>BOLSA DORMIR KC-003-2</v>
      </c>
      <c r="F66" s="7">
        <v>8692230</v>
      </c>
      <c r="G66" s="7" t="s">
        <v>13091</v>
      </c>
      <c r="H66" s="7">
        <v>4</v>
      </c>
      <c r="I66" s="11" t="s">
        <v>8377</v>
      </c>
      <c r="J66" s="11" t="s">
        <v>12235</v>
      </c>
      <c r="K66" s="11" t="s">
        <v>12252</v>
      </c>
      <c r="L66" s="11" t="s">
        <v>12253</v>
      </c>
    </row>
    <row r="67" spans="1:15" x14ac:dyDescent="0.25">
      <c r="A67">
        <v>20508</v>
      </c>
      <c r="B67" t="s">
        <v>10</v>
      </c>
      <c r="C67" t="str">
        <f t="shared" si="2"/>
        <v>8692230#13#</v>
      </c>
      <c r="D67" s="24" t="s">
        <v>12392</v>
      </c>
      <c r="E67" t="str">
        <f>IFERROR(VLOOKUP(1*LEFT(C67,7),DF!$A$1:$F$9447,2,FALSE),"")</f>
        <v>BOLSA DORMIR KC-003-2</v>
      </c>
      <c r="F67" s="7">
        <v>8692230</v>
      </c>
      <c r="G67" s="7" t="s">
        <v>13093</v>
      </c>
      <c r="H67" s="7">
        <v>2</v>
      </c>
      <c r="I67" s="11" t="s">
        <v>12398</v>
      </c>
      <c r="J67" s="11" t="s">
        <v>12399</v>
      </c>
    </row>
    <row r="68" spans="1:15" x14ac:dyDescent="0.25">
      <c r="A68">
        <v>20508</v>
      </c>
      <c r="B68" t="s">
        <v>10</v>
      </c>
      <c r="C68" t="str">
        <f t="shared" si="2"/>
        <v>8400008#01#</v>
      </c>
      <c r="D68" s="24" t="s">
        <v>12400</v>
      </c>
      <c r="E68" t="str">
        <f>IFERROR(VLOOKUP(1*LEFT(C68,7),DF!$A$1:$F$9447,2,FALSE),"")</f>
        <v>GORRITA BEISBOL CAMUFLADAS 2280</v>
      </c>
      <c r="F68" s="7">
        <v>8400008</v>
      </c>
      <c r="G68" s="7" t="s">
        <v>13094</v>
      </c>
      <c r="H68" s="7">
        <v>3</v>
      </c>
      <c r="I68" s="11" t="s">
        <v>12401</v>
      </c>
      <c r="J68" s="11" t="s">
        <v>12402</v>
      </c>
      <c r="K68" s="11" t="s">
        <v>12403</v>
      </c>
    </row>
    <row r="69" spans="1:15" x14ac:dyDescent="0.25">
      <c r="A69">
        <v>20508</v>
      </c>
      <c r="B69" t="s">
        <v>10</v>
      </c>
      <c r="C69" t="str">
        <f t="shared" si="2"/>
        <v>8400008#03#</v>
      </c>
      <c r="D69" s="24" t="s">
        <v>8375</v>
      </c>
      <c r="E69" t="str">
        <f>IFERROR(VLOOKUP(1*LEFT(C69,7),DF!$A$1:$F$9447,2,FALSE),"")</f>
        <v>GORRITA BEISBOL CAMUFLADAS 2280</v>
      </c>
      <c r="F69" s="7">
        <v>8400008</v>
      </c>
      <c r="G69" s="7" t="s">
        <v>13095</v>
      </c>
      <c r="H69" s="7">
        <v>1</v>
      </c>
      <c r="I69" s="11" t="s">
        <v>8378</v>
      </c>
    </row>
    <row r="70" spans="1:15" x14ac:dyDescent="0.25">
      <c r="A70">
        <v>20508</v>
      </c>
      <c r="B70" t="s">
        <v>10</v>
      </c>
      <c r="C70" t="str">
        <f t="shared" si="2"/>
        <v>8400008#06#</v>
      </c>
      <c r="D70" s="24" t="s">
        <v>8376</v>
      </c>
      <c r="E70" t="str">
        <f>IFERROR(VLOOKUP(1*LEFT(C70,7),DF!$A$1:$F$9447,2,FALSE),"")</f>
        <v>GORRITA BEISBOL CAMUFLADAS 2280</v>
      </c>
      <c r="F70" s="7">
        <v>8400008</v>
      </c>
      <c r="G70" s="7" t="s">
        <v>13096</v>
      </c>
      <c r="H70" s="7">
        <v>1</v>
      </c>
      <c r="I70" s="11" t="s">
        <v>8377</v>
      </c>
    </row>
    <row r="71" spans="1:15" x14ac:dyDescent="0.25">
      <c r="A71">
        <v>20508</v>
      </c>
      <c r="B71" t="s">
        <v>10</v>
      </c>
      <c r="C71" t="str">
        <f t="shared" si="2"/>
        <v>8400008#07#</v>
      </c>
      <c r="D71" s="24" t="s">
        <v>12267</v>
      </c>
      <c r="E71" t="str">
        <f>IFERROR(VLOOKUP(1*LEFT(C71,7),DF!$A$1:$F$9447,2,FALSE),"")</f>
        <v>GORRITA BEISBOL CAMUFLADAS 2280</v>
      </c>
      <c r="F71" s="7">
        <v>8400008</v>
      </c>
      <c r="G71" s="7" t="s">
        <v>13097</v>
      </c>
      <c r="H71" s="7">
        <v>1</v>
      </c>
      <c r="I71" s="11" t="s">
        <v>12268</v>
      </c>
    </row>
    <row r="72" spans="1:15" x14ac:dyDescent="0.25">
      <c r="A72">
        <v>20508</v>
      </c>
      <c r="B72" t="s">
        <v>10</v>
      </c>
      <c r="C72" t="str">
        <f t="shared" si="2"/>
        <v>8400008#08#</v>
      </c>
      <c r="D72" s="24" t="s">
        <v>12250</v>
      </c>
      <c r="E72" t="str">
        <f>IFERROR(VLOOKUP(1*LEFT(C72,7),DF!$A$1:$F$9447,2,FALSE),"")</f>
        <v>GORRITA BEISBOL CAMUFLADAS 2280</v>
      </c>
      <c r="F72" s="7">
        <v>8400008</v>
      </c>
      <c r="G72" s="7" t="s">
        <v>13098</v>
      </c>
      <c r="H72" s="7">
        <v>1</v>
      </c>
      <c r="I72" s="11" t="s">
        <v>12254</v>
      </c>
    </row>
    <row r="73" spans="1:15" x14ac:dyDescent="0.25">
      <c r="A73">
        <v>20508</v>
      </c>
      <c r="B73" t="s">
        <v>10</v>
      </c>
      <c r="C73" t="str">
        <f t="shared" si="2"/>
        <v>8400008#11#</v>
      </c>
      <c r="D73" s="24" t="s">
        <v>12302</v>
      </c>
      <c r="E73" t="str">
        <f>IFERROR(VLOOKUP(1*LEFT(C73,7),DF!$A$1:$F$9447,2,FALSE),"")</f>
        <v>GORRITA BEISBOL CAMUFLADAS 2280</v>
      </c>
      <c r="F73" s="7">
        <v>8400008</v>
      </c>
      <c r="G73" s="7" t="s">
        <v>13099</v>
      </c>
      <c r="H73" s="7">
        <v>1</v>
      </c>
      <c r="I73" s="11" t="s">
        <v>12303</v>
      </c>
    </row>
    <row r="74" spans="1:15" x14ac:dyDescent="0.25">
      <c r="A74">
        <v>20508</v>
      </c>
      <c r="B74" t="s">
        <v>10</v>
      </c>
      <c r="C74" t="str">
        <f t="shared" si="2"/>
        <v>8400008#21#</v>
      </c>
      <c r="D74" s="24" t="s">
        <v>12289</v>
      </c>
      <c r="E74" t="str">
        <f>IFERROR(VLOOKUP(1*LEFT(C74,7),DF!$A$1:$F$9447,2,FALSE),"")</f>
        <v>GORRITA BEISBOL CAMUFLADAS 2280</v>
      </c>
      <c r="F74" s="7">
        <v>8400008</v>
      </c>
      <c r="G74" s="7" t="s">
        <v>13100</v>
      </c>
      <c r="H74" s="7">
        <v>1</v>
      </c>
      <c r="I74" s="11" t="s">
        <v>12290</v>
      </c>
    </row>
    <row r="75" spans="1:15" x14ac:dyDescent="0.25">
      <c r="A75">
        <v>20508</v>
      </c>
      <c r="B75" t="s">
        <v>10</v>
      </c>
      <c r="C75" t="str">
        <f t="shared" si="2"/>
        <v>8708998#04#</v>
      </c>
      <c r="D75" s="24" t="s">
        <v>12273</v>
      </c>
      <c r="E75" t="str">
        <f>IFERROR(VLOOKUP(1*LEFT(C75,7),DF!$A$1:$F$9447,2,FALSE),"")</f>
        <v>MOCHILA TIPO CAMELBACK CON SILBATO Y CIERRE FRONTAL 2998</v>
      </c>
      <c r="F75" s="7">
        <v>8708998</v>
      </c>
      <c r="G75" s="7" t="s">
        <v>13101</v>
      </c>
      <c r="H75" s="7">
        <v>7</v>
      </c>
      <c r="I75" s="11" t="s">
        <v>12274</v>
      </c>
      <c r="J75" s="11" t="s">
        <v>12275</v>
      </c>
      <c r="K75" s="11" t="s">
        <v>12276</v>
      </c>
      <c r="L75" s="11" t="s">
        <v>12278</v>
      </c>
      <c r="M75" s="11" t="s">
        <v>12279</v>
      </c>
      <c r="N75" s="11" t="s">
        <v>12280</v>
      </c>
      <c r="O75" s="11" t="s">
        <v>12281</v>
      </c>
    </row>
    <row r="76" spans="1:15" x14ac:dyDescent="0.25">
      <c r="A76">
        <v>20508</v>
      </c>
      <c r="B76" t="s">
        <v>10</v>
      </c>
      <c r="C76" t="str">
        <f t="shared" si="2"/>
        <v>8708998#05#</v>
      </c>
      <c r="D76" s="24" t="s">
        <v>12307</v>
      </c>
      <c r="E76" t="str">
        <f>IFERROR(VLOOKUP(1*LEFT(C76,7),DF!$A$1:$F$9447,2,FALSE),"")</f>
        <v>MOCHILA TIPO CAMELBACK CON SILBATO Y CIERRE FRONTAL 2998</v>
      </c>
      <c r="F76" s="7">
        <v>8708998</v>
      </c>
      <c r="G76" s="7" t="s">
        <v>13102</v>
      </c>
      <c r="H76" s="7">
        <v>4</v>
      </c>
      <c r="I76" s="11" t="s">
        <v>12389</v>
      </c>
      <c r="J76" s="11" t="s">
        <v>12408</v>
      </c>
      <c r="K76" s="11" t="s">
        <v>12409</v>
      </c>
      <c r="L76" s="11" t="s">
        <v>12410</v>
      </c>
    </row>
    <row r="77" spans="1:15" x14ac:dyDescent="0.25">
      <c r="A77">
        <v>20508</v>
      </c>
      <c r="B77" t="s">
        <v>10</v>
      </c>
      <c r="C77" t="str">
        <f t="shared" si="2"/>
        <v>8708998#07#</v>
      </c>
      <c r="D77" s="24" t="s">
        <v>12267</v>
      </c>
      <c r="E77" t="str">
        <f>IFERROR(VLOOKUP(1*LEFT(C77,7),DF!$A$1:$F$9447,2,FALSE),"")</f>
        <v>MOCHILA TIPO CAMELBACK CON SILBATO Y CIERRE FRONTAL 2998</v>
      </c>
      <c r="F77" s="7">
        <v>8708998</v>
      </c>
      <c r="G77" s="7" t="s">
        <v>13103</v>
      </c>
      <c r="H77" s="7">
        <v>4</v>
      </c>
      <c r="I77" s="11" t="s">
        <v>12268</v>
      </c>
      <c r="J77" s="11" t="s">
        <v>12269</v>
      </c>
      <c r="K77" s="11" t="s">
        <v>12270</v>
      </c>
      <c r="L77" s="11" t="s">
        <v>12271</v>
      </c>
    </row>
    <row r="78" spans="1:15" x14ac:dyDescent="0.25">
      <c r="A78">
        <v>20508</v>
      </c>
      <c r="B78" t="s">
        <v>10</v>
      </c>
      <c r="C78" t="str">
        <f t="shared" si="2"/>
        <v>8708998#08#</v>
      </c>
      <c r="D78" s="24" t="s">
        <v>12250</v>
      </c>
      <c r="E78" t="str">
        <f>IFERROR(VLOOKUP(1*LEFT(C78,7),DF!$A$1:$F$9447,2,FALSE),"")</f>
        <v>MOCHILA TIPO CAMELBACK CON SILBATO Y CIERRE FRONTAL 2998</v>
      </c>
      <c r="F78" s="7">
        <v>8708998</v>
      </c>
      <c r="G78" s="7" t="s">
        <v>13104</v>
      </c>
      <c r="H78" s="7">
        <v>5</v>
      </c>
      <c r="I78" s="11" t="s">
        <v>12254</v>
      </c>
      <c r="J78" s="11" t="s">
        <v>12255</v>
      </c>
      <c r="K78" s="11" t="s">
        <v>12256</v>
      </c>
      <c r="L78" s="11" t="s">
        <v>12257</v>
      </c>
      <c r="M78" s="11" t="s">
        <v>12258</v>
      </c>
    </row>
    <row r="79" spans="1:15" x14ac:dyDescent="0.25">
      <c r="A79">
        <v>20508</v>
      </c>
      <c r="B79" t="s">
        <v>10</v>
      </c>
      <c r="C79" t="str">
        <f t="shared" si="2"/>
        <v>8708998#11#</v>
      </c>
      <c r="D79" s="24" t="s">
        <v>12302</v>
      </c>
      <c r="E79" t="str">
        <f>IFERROR(VLOOKUP(1*LEFT(C79,7),DF!$A$1:$F$9447,2,FALSE),"")</f>
        <v>MOCHILA TIPO CAMELBACK CON SILBATO Y CIERRE FRONTAL 2998</v>
      </c>
      <c r="F79" s="7">
        <v>8708998</v>
      </c>
      <c r="G79" s="7" t="s">
        <v>13105</v>
      </c>
      <c r="H79" s="7">
        <v>4</v>
      </c>
      <c r="I79" s="11" t="s">
        <v>12303</v>
      </c>
      <c r="J79" s="11" t="s">
        <v>12304</v>
      </c>
      <c r="K79" s="11" t="s">
        <v>12305</v>
      </c>
      <c r="L79" s="11" t="s">
        <v>12306</v>
      </c>
    </row>
    <row r="80" spans="1:15" x14ac:dyDescent="0.25">
      <c r="A80">
        <v>20508</v>
      </c>
      <c r="B80" t="s">
        <v>10</v>
      </c>
      <c r="C80" t="str">
        <f t="shared" si="2"/>
        <v>8708333#03#</v>
      </c>
      <c r="D80" s="24" t="s">
        <v>8375</v>
      </c>
      <c r="E80" t="str">
        <f>IFERROR(VLOOKUP(1*LEFT(C80,7),DF!$A$1:$F$9447,2,FALSE),"")</f>
        <v>MOCHILA TACTICA  MZ-RJ-A33 25 LTS</v>
      </c>
      <c r="F80" s="7">
        <v>8708333</v>
      </c>
      <c r="G80" s="7" t="s">
        <v>13106</v>
      </c>
      <c r="H80" s="7">
        <v>3</v>
      </c>
      <c r="I80" s="11" t="s">
        <v>8378</v>
      </c>
      <c r="J80" s="11" t="s">
        <v>10914</v>
      </c>
      <c r="K80" s="11" t="s">
        <v>12244</v>
      </c>
    </row>
    <row r="81" spans="1:13" x14ac:dyDescent="0.25">
      <c r="A81">
        <v>20508</v>
      </c>
      <c r="B81" t="s">
        <v>10</v>
      </c>
      <c r="C81" t="str">
        <f t="shared" si="2"/>
        <v>8708333#09#</v>
      </c>
      <c r="D81" s="24" t="s">
        <v>7026</v>
      </c>
      <c r="E81" t="str">
        <f>IFERROR(VLOOKUP(1*LEFT(C81,7),DF!$A$1:$F$9447,2,FALSE),"")</f>
        <v>MOCHILA TACTICA  MZ-RJ-A33 25 LTS</v>
      </c>
      <c r="F81" s="7">
        <v>8708333</v>
      </c>
      <c r="G81" s="7" t="s">
        <v>13107</v>
      </c>
      <c r="H81" s="7">
        <v>3</v>
      </c>
      <c r="I81" s="11" t="s">
        <v>7028</v>
      </c>
      <c r="J81" s="11" t="s">
        <v>10915</v>
      </c>
      <c r="K81" s="11" t="s">
        <v>10918</v>
      </c>
    </row>
    <row r="82" spans="1:13" x14ac:dyDescent="0.25">
      <c r="A82">
        <v>20508</v>
      </c>
      <c r="B82" t="s">
        <v>10</v>
      </c>
      <c r="C82" t="str">
        <f t="shared" si="2"/>
        <v>8708426#03#</v>
      </c>
      <c r="D82" s="24" t="s">
        <v>8375</v>
      </c>
      <c r="E82" t="str">
        <f>IFERROR(VLOOKUP(1*LEFT(C82,7),DF!$A$1:$F$9447,2,FALSE),"")</f>
        <v>MOCHILA TACTICA CORTE LASER  MZ-RJ-A26 25 LTS</v>
      </c>
      <c r="F82" s="7">
        <v>8708426</v>
      </c>
      <c r="G82" s="7" t="s">
        <v>13108</v>
      </c>
      <c r="H82" s="7">
        <v>3</v>
      </c>
      <c r="I82" s="11" t="s">
        <v>8378</v>
      </c>
      <c r="J82" s="11" t="s">
        <v>10914</v>
      </c>
      <c r="K82" s="11" t="s">
        <v>12244</v>
      </c>
    </row>
    <row r="83" spans="1:13" x14ac:dyDescent="0.25">
      <c r="A83">
        <v>20508</v>
      </c>
      <c r="B83" t="s">
        <v>10</v>
      </c>
      <c r="C83" t="str">
        <f t="shared" si="2"/>
        <v>8708426#06#</v>
      </c>
      <c r="D83" s="24" t="s">
        <v>8376</v>
      </c>
      <c r="E83" t="str">
        <f>IFERROR(VLOOKUP(1*LEFT(C83,7),DF!$A$1:$F$9447,2,FALSE),"")</f>
        <v>MOCHILA TACTICA CORTE LASER  MZ-RJ-A26 25 LTS</v>
      </c>
      <c r="F83" s="7">
        <v>8708426</v>
      </c>
      <c r="G83" s="7" t="s">
        <v>13109</v>
      </c>
      <c r="H83" s="7">
        <v>3</v>
      </c>
      <c r="I83" s="11" t="s">
        <v>8377</v>
      </c>
      <c r="J83" s="11" t="s">
        <v>12235</v>
      </c>
      <c r="K83" s="11" t="s">
        <v>12252</v>
      </c>
    </row>
    <row r="84" spans="1:13" x14ac:dyDescent="0.25">
      <c r="A84">
        <v>20508</v>
      </c>
      <c r="B84" t="s">
        <v>10</v>
      </c>
      <c r="C84" t="str">
        <f t="shared" si="2"/>
        <v>8708426#09#</v>
      </c>
      <c r="D84" s="24" t="s">
        <v>7026</v>
      </c>
      <c r="E84" t="str">
        <f>IFERROR(VLOOKUP(1*LEFT(C84,7),DF!$A$1:$F$9447,2,FALSE),"")</f>
        <v>MOCHILA TACTICA CORTE LASER  MZ-RJ-A26 25 LTS</v>
      </c>
      <c r="F84" s="7">
        <v>8708426</v>
      </c>
      <c r="G84" s="7" t="s">
        <v>13110</v>
      </c>
      <c r="H84" s="7">
        <v>3</v>
      </c>
      <c r="I84" s="11" t="s">
        <v>7028</v>
      </c>
      <c r="J84" s="11" t="s">
        <v>10915</v>
      </c>
      <c r="K84" s="11" t="s">
        <v>10918</v>
      </c>
    </row>
    <row r="85" spans="1:13" x14ac:dyDescent="0.25">
      <c r="A85">
        <v>20508</v>
      </c>
      <c r="B85" t="s">
        <v>10</v>
      </c>
      <c r="C85" t="str">
        <f t="shared" si="2"/>
        <v>8708611#01#</v>
      </c>
      <c r="D85" s="24" t="s">
        <v>12400</v>
      </c>
      <c r="E85" t="str">
        <f>IFERROR(VLOOKUP(1*LEFT(C85,7),DF!$A$1:$F$9447,2,FALSE),"")</f>
        <v>MOCHILA 3D MEDIANA 35L FRONT C/PORTABOTELLA</v>
      </c>
      <c r="F85" s="7">
        <v>8708611</v>
      </c>
      <c r="G85" s="7" t="s">
        <v>13111</v>
      </c>
      <c r="H85" s="7">
        <v>4</v>
      </c>
      <c r="I85" s="11" t="s">
        <v>12401</v>
      </c>
      <c r="J85" s="11" t="s">
        <v>12402</v>
      </c>
      <c r="K85" s="11" t="s">
        <v>12403</v>
      </c>
      <c r="L85" s="11" t="s">
        <v>13013</v>
      </c>
    </row>
    <row r="86" spans="1:13" x14ac:dyDescent="0.25">
      <c r="A86">
        <v>20508</v>
      </c>
      <c r="B86" t="s">
        <v>10</v>
      </c>
      <c r="C86" t="str">
        <f t="shared" si="2"/>
        <v>8708611#04#</v>
      </c>
      <c r="D86" s="24" t="s">
        <v>12273</v>
      </c>
      <c r="E86" t="str">
        <f>IFERROR(VLOOKUP(1*LEFT(C86,7),DF!$A$1:$F$9447,2,FALSE),"")</f>
        <v>MOCHILA 3D MEDIANA 35L FRONT C/PORTABOTELLA</v>
      </c>
      <c r="F86" s="7">
        <v>8708611</v>
      </c>
      <c r="G86" s="7" t="s">
        <v>13112</v>
      </c>
      <c r="H86" s="7">
        <v>5</v>
      </c>
      <c r="I86" s="11" t="s">
        <v>12274</v>
      </c>
      <c r="J86" s="11" t="s">
        <v>12275</v>
      </c>
      <c r="K86" s="11" t="s">
        <v>12276</v>
      </c>
      <c r="L86" s="11" t="s">
        <v>12277</v>
      </c>
      <c r="M86" s="11" t="s">
        <v>12278</v>
      </c>
    </row>
    <row r="87" spans="1:13" x14ac:dyDescent="0.25">
      <c r="A87">
        <v>20508</v>
      </c>
      <c r="B87" t="s">
        <v>10</v>
      </c>
      <c r="C87" t="str">
        <f t="shared" si="2"/>
        <v>8708611#07#</v>
      </c>
      <c r="D87" s="24" t="s">
        <v>12267</v>
      </c>
      <c r="E87" t="str">
        <f>IFERROR(VLOOKUP(1*LEFT(C87,7),DF!$A$1:$F$9447,2,FALSE),"")</f>
        <v>MOCHILA 3D MEDIANA 35L FRONT C/PORTABOTELLA</v>
      </c>
      <c r="F87" s="7">
        <v>8708611</v>
      </c>
      <c r="G87" s="7" t="s">
        <v>13113</v>
      </c>
      <c r="H87" s="7">
        <v>5</v>
      </c>
      <c r="I87" s="11" t="s">
        <v>12268</v>
      </c>
      <c r="J87" s="11" t="s">
        <v>12269</v>
      </c>
      <c r="K87" s="11" t="s">
        <v>12270</v>
      </c>
      <c r="L87" s="11" t="s">
        <v>12271</v>
      </c>
      <c r="M87" s="11" t="s">
        <v>12390</v>
      </c>
    </row>
    <row r="88" spans="1:13" x14ac:dyDescent="0.25">
      <c r="A88">
        <v>20508</v>
      </c>
      <c r="B88" t="s">
        <v>10</v>
      </c>
      <c r="C88" t="str">
        <f t="shared" si="2"/>
        <v>8708611#09#</v>
      </c>
      <c r="D88" s="24" t="s">
        <v>7026</v>
      </c>
      <c r="E88" t="str">
        <f>IFERROR(VLOOKUP(1*LEFT(C88,7),DF!$A$1:$F$9447,2,FALSE),"")</f>
        <v>MOCHILA 3D MEDIANA 35L FRONT C/PORTABOTELLA</v>
      </c>
      <c r="F88" s="7">
        <v>8708611</v>
      </c>
      <c r="G88" s="7" t="s">
        <v>13114</v>
      </c>
      <c r="H88" s="7">
        <v>4</v>
      </c>
      <c r="I88" s="11" t="s">
        <v>7028</v>
      </c>
      <c r="J88" s="11" t="s">
        <v>10915</v>
      </c>
      <c r="K88" s="11" t="s">
        <v>10918</v>
      </c>
      <c r="L88" s="11" t="s">
        <v>10919</v>
      </c>
    </row>
    <row r="89" spans="1:13" x14ac:dyDescent="0.25">
      <c r="A89">
        <v>20508</v>
      </c>
      <c r="B89" t="s">
        <v>10</v>
      </c>
      <c r="C89" t="str">
        <f t="shared" si="2"/>
        <v>8708611#11#</v>
      </c>
      <c r="D89" s="24" t="s">
        <v>12302</v>
      </c>
      <c r="E89" t="str">
        <f>IFERROR(VLOOKUP(1*LEFT(C89,7),DF!$A$1:$F$9447,2,FALSE),"")</f>
        <v>MOCHILA 3D MEDIANA 35L FRONT C/PORTABOTELLA</v>
      </c>
      <c r="F89" s="7">
        <v>8708611</v>
      </c>
      <c r="G89" s="7" t="s">
        <v>13115</v>
      </c>
      <c r="H89" s="7">
        <v>4</v>
      </c>
      <c r="I89" s="11" t="s">
        <v>12303</v>
      </c>
      <c r="J89" s="11" t="s">
        <v>12304</v>
      </c>
      <c r="K89" s="11" t="s">
        <v>12305</v>
      </c>
      <c r="L89" s="11" t="s">
        <v>12306</v>
      </c>
    </row>
    <row r="90" spans="1:13" x14ac:dyDescent="0.25">
      <c r="A90">
        <v>20508</v>
      </c>
      <c r="B90" t="s">
        <v>10</v>
      </c>
      <c r="C90" t="str">
        <f t="shared" si="2"/>
        <v>8708611#36#</v>
      </c>
      <c r="D90" s="24" t="s">
        <v>13009</v>
      </c>
      <c r="E90" t="str">
        <f>IFERROR(VLOOKUP(1*LEFT(C90,7),DF!$A$1:$F$9447,2,FALSE),"")</f>
        <v>MOCHILA 3D MEDIANA 35L FRONT C/PORTABOTELLA</v>
      </c>
      <c r="F90" s="7">
        <v>8708611</v>
      </c>
      <c r="G90" s="7" t="s">
        <v>13116</v>
      </c>
      <c r="H90" s="7">
        <v>4</v>
      </c>
      <c r="I90" s="11" t="s">
        <v>13014</v>
      </c>
      <c r="J90" s="11" t="s">
        <v>13015</v>
      </c>
      <c r="K90" s="11" t="s">
        <v>13016</v>
      </c>
      <c r="L90" s="11" t="s">
        <v>13017</v>
      </c>
    </row>
    <row r="91" spans="1:13" x14ac:dyDescent="0.25">
      <c r="A91">
        <v>20508</v>
      </c>
      <c r="B91" t="s">
        <v>10</v>
      </c>
      <c r="C91" t="str">
        <f t="shared" si="2"/>
        <v>8708611#37#</v>
      </c>
      <c r="D91" s="24" t="s">
        <v>13010</v>
      </c>
      <c r="E91" t="str">
        <f>IFERROR(VLOOKUP(1*LEFT(C91,7),DF!$A$1:$F$9447,2,FALSE),"")</f>
        <v>MOCHILA 3D MEDIANA 35L FRONT C/PORTABOTELLA</v>
      </c>
      <c r="F91" s="7">
        <v>8708611</v>
      </c>
      <c r="G91" s="7" t="s">
        <v>13117</v>
      </c>
      <c r="H91" s="7">
        <v>4</v>
      </c>
      <c r="I91" s="11" t="s">
        <v>13018</v>
      </c>
      <c r="J91" s="11" t="s">
        <v>13019</v>
      </c>
      <c r="K91" s="11" t="s">
        <v>13020</v>
      </c>
      <c r="L91" s="11" t="s">
        <v>13021</v>
      </c>
    </row>
    <row r="92" spans="1:13" x14ac:dyDescent="0.25">
      <c r="A92">
        <v>20508</v>
      </c>
      <c r="B92" t="s">
        <v>10</v>
      </c>
      <c r="C92" t="str">
        <f t="shared" si="2"/>
        <v>8708611#38#</v>
      </c>
      <c r="D92" s="24" t="s">
        <v>13011</v>
      </c>
      <c r="E92" t="str">
        <f>IFERROR(VLOOKUP(1*LEFT(C92,7),DF!$A$1:$F$9447,2,FALSE),"")</f>
        <v>MOCHILA 3D MEDIANA 35L FRONT C/PORTABOTELLA</v>
      </c>
      <c r="F92" s="7">
        <v>8708611</v>
      </c>
      <c r="G92" s="7" t="s">
        <v>13118</v>
      </c>
      <c r="H92" s="7">
        <v>3</v>
      </c>
      <c r="I92" s="11" t="s">
        <v>13022</v>
      </c>
      <c r="J92" s="11" t="s">
        <v>13023</v>
      </c>
      <c r="K92" s="11" t="s">
        <v>13024</v>
      </c>
    </row>
    <row r="93" spans="1:13" x14ac:dyDescent="0.25">
      <c r="A93">
        <v>20508</v>
      </c>
      <c r="B93" t="s">
        <v>10</v>
      </c>
      <c r="C93" t="str">
        <f t="shared" si="2"/>
        <v>8708611#39#</v>
      </c>
      <c r="D93" s="24" t="s">
        <v>13012</v>
      </c>
      <c r="E93" t="str">
        <f>IFERROR(VLOOKUP(1*LEFT(C93,7),DF!$A$1:$F$9447,2,FALSE),"")</f>
        <v>MOCHILA 3D MEDIANA 35L FRONT C/PORTABOTELLA</v>
      </c>
      <c r="F93" s="7">
        <v>8708611</v>
      </c>
      <c r="G93" s="7" t="s">
        <v>13119</v>
      </c>
      <c r="H93" s="7">
        <v>4</v>
      </c>
      <c r="I93" s="11" t="s">
        <v>13025</v>
      </c>
      <c r="J93" s="11" t="s">
        <v>13026</v>
      </c>
      <c r="K93" s="11" t="s">
        <v>13027</v>
      </c>
      <c r="L93" s="11" t="s">
        <v>13028</v>
      </c>
    </row>
    <row r="94" spans="1:13" x14ac:dyDescent="0.25">
      <c r="A94" s="7"/>
      <c r="B94" s="7"/>
      <c r="C94" s="7"/>
      <c r="D94" s="7"/>
      <c r="E94" s="7"/>
      <c r="F94" s="7"/>
      <c r="G94" s="7"/>
      <c r="H94" s="7"/>
    </row>
    <row r="95" spans="1:13" x14ac:dyDescent="0.25">
      <c r="A95" s="7"/>
      <c r="B95" s="7"/>
      <c r="C95" s="7"/>
      <c r="D95" s="7"/>
      <c r="E95" s="7"/>
      <c r="F95" s="7"/>
      <c r="G95" s="7"/>
      <c r="H95" s="7"/>
    </row>
    <row r="96" spans="1:13" x14ac:dyDescent="0.25">
      <c r="A96" s="7"/>
      <c r="B96" s="7"/>
      <c r="C96" s="7"/>
      <c r="D96" s="7"/>
      <c r="E96" s="7"/>
      <c r="F96" s="7"/>
      <c r="G96" s="7"/>
      <c r="H96" s="7"/>
    </row>
    <row r="97" spans="1:8" x14ac:dyDescent="0.25">
      <c r="A97" s="7"/>
      <c r="B97" s="7"/>
      <c r="C97" s="7"/>
      <c r="D97" s="7"/>
      <c r="E97" s="7"/>
      <c r="F97" s="7"/>
      <c r="G97" s="7"/>
      <c r="H97" s="7"/>
    </row>
    <row r="98" spans="1:8" x14ac:dyDescent="0.25">
      <c r="A98" s="7"/>
      <c r="B98" s="7"/>
      <c r="C98" s="7"/>
      <c r="D98" s="7"/>
      <c r="E98" s="7"/>
      <c r="F98" s="7"/>
      <c r="G98" s="7"/>
      <c r="H98" s="7"/>
    </row>
    <row r="99" spans="1:8" x14ac:dyDescent="0.25">
      <c r="A99" s="7"/>
      <c r="B99" s="7"/>
      <c r="C99" s="7"/>
      <c r="D99" s="7"/>
      <c r="E99" s="7"/>
      <c r="F99" s="7"/>
      <c r="G99" s="7"/>
      <c r="H99" s="7"/>
    </row>
    <row r="100" spans="1:8" x14ac:dyDescent="0.25">
      <c r="A100" s="7"/>
      <c r="B100" s="7"/>
      <c r="C100" s="7"/>
      <c r="D100" s="7"/>
      <c r="E100" s="7"/>
      <c r="F100" s="7"/>
      <c r="G100" s="7"/>
      <c r="H100" s="7"/>
    </row>
    <row r="101" spans="1:8" x14ac:dyDescent="0.25">
      <c r="A101" s="7"/>
      <c r="B101" s="7"/>
      <c r="C101" s="7"/>
      <c r="D101" s="7"/>
      <c r="E101" s="7"/>
      <c r="F101" s="7"/>
      <c r="G101" s="7"/>
      <c r="H101" s="7"/>
    </row>
    <row r="102" spans="1:8" x14ac:dyDescent="0.25">
      <c r="A102" s="7"/>
      <c r="B102" s="7"/>
      <c r="C102" s="7"/>
      <c r="D102" s="7"/>
      <c r="E102" s="7"/>
      <c r="F102" s="7"/>
      <c r="G102" s="7"/>
      <c r="H102" s="7"/>
    </row>
    <row r="103" spans="1:8" x14ac:dyDescent="0.25">
      <c r="A103" s="7"/>
      <c r="B103" s="7"/>
      <c r="C103" s="7"/>
      <c r="D103" s="7"/>
      <c r="E103" s="7"/>
      <c r="F103" s="7"/>
      <c r="G103" s="7"/>
      <c r="H103" s="7"/>
    </row>
    <row r="104" spans="1:8" x14ac:dyDescent="0.25">
      <c r="A104" s="7"/>
      <c r="B104" s="7"/>
      <c r="C104" s="7"/>
      <c r="D104" s="7"/>
      <c r="E104" s="7"/>
      <c r="F104" s="7"/>
      <c r="G104" s="7"/>
      <c r="H104" s="7"/>
    </row>
    <row r="105" spans="1:8" x14ac:dyDescent="0.25">
      <c r="A105" s="7"/>
      <c r="B105" s="7"/>
      <c r="C105" s="7"/>
      <c r="D105" s="7"/>
      <c r="E105" s="7"/>
      <c r="F105" s="7"/>
      <c r="G105" s="7"/>
      <c r="H105" s="7"/>
    </row>
    <row r="106" spans="1:8" x14ac:dyDescent="0.25">
      <c r="A106" s="7"/>
      <c r="B106" s="7"/>
      <c r="C106" s="7"/>
      <c r="D106" s="7"/>
      <c r="E106" s="7"/>
      <c r="F106" s="7"/>
      <c r="G106" s="7"/>
      <c r="H106" s="7"/>
    </row>
    <row r="107" spans="1:8" x14ac:dyDescent="0.25">
      <c r="A107" s="7"/>
      <c r="B107" s="7"/>
      <c r="C107" s="7"/>
      <c r="D107" s="7"/>
      <c r="E107" s="7"/>
      <c r="F107" s="7"/>
      <c r="G107" s="7"/>
      <c r="H107" s="7"/>
    </row>
    <row r="108" spans="1:8" x14ac:dyDescent="0.25">
      <c r="A108" s="7"/>
      <c r="B108" s="7"/>
      <c r="C108" s="7"/>
      <c r="D108" s="7"/>
      <c r="E108" s="7"/>
      <c r="F108" s="7"/>
      <c r="G108" s="7"/>
      <c r="H108" s="7"/>
    </row>
    <row r="109" spans="1:8" x14ac:dyDescent="0.25">
      <c r="A109" s="7"/>
      <c r="B109" s="7"/>
      <c r="C109" s="7"/>
      <c r="D109" s="7"/>
      <c r="E109" s="7"/>
      <c r="F109" s="7"/>
      <c r="G109" s="7"/>
      <c r="H109" s="7"/>
    </row>
    <row r="110" spans="1:8" x14ac:dyDescent="0.25">
      <c r="A110" s="7"/>
      <c r="B110" s="7"/>
      <c r="C110" s="7"/>
      <c r="D110" s="7"/>
      <c r="E110" s="7"/>
      <c r="F110" s="7"/>
      <c r="G110" s="7"/>
      <c r="H110" s="7"/>
    </row>
    <row r="111" spans="1:8" x14ac:dyDescent="0.25">
      <c r="A111" s="7"/>
      <c r="B111" s="7"/>
      <c r="C111" s="7"/>
      <c r="D111" s="7"/>
      <c r="E111" s="7"/>
      <c r="F111" s="7"/>
      <c r="G111" s="7"/>
      <c r="H111" s="7"/>
    </row>
    <row r="112" spans="1:8" x14ac:dyDescent="0.25">
      <c r="A112" s="7"/>
      <c r="B112" s="7"/>
      <c r="C112" s="7"/>
      <c r="D112" s="7"/>
      <c r="E112" s="7"/>
      <c r="F112" s="7"/>
      <c r="G112" s="7"/>
      <c r="H112" s="7"/>
    </row>
    <row r="113" spans="1:8" x14ac:dyDescent="0.25">
      <c r="A113" s="7"/>
      <c r="B113" s="7"/>
      <c r="C113" s="7"/>
      <c r="D113" s="7"/>
      <c r="E113" s="7"/>
      <c r="F113" s="7"/>
      <c r="G113" s="7"/>
      <c r="H113" s="7"/>
    </row>
    <row r="114" spans="1:8" x14ac:dyDescent="0.25">
      <c r="A114" s="7"/>
      <c r="B114" s="7"/>
      <c r="C114" s="7"/>
      <c r="D114" s="7"/>
      <c r="E114" s="7"/>
      <c r="F114" s="7"/>
      <c r="G114" s="7"/>
      <c r="H114" s="7"/>
    </row>
    <row r="115" spans="1:8" x14ac:dyDescent="0.25">
      <c r="A115" s="7"/>
      <c r="B115" s="7"/>
      <c r="C115" s="7"/>
      <c r="D115" s="7"/>
      <c r="E115" s="7"/>
      <c r="F115" s="7"/>
      <c r="G115" s="7"/>
      <c r="H115" s="7"/>
    </row>
    <row r="116" spans="1:8" x14ac:dyDescent="0.25">
      <c r="A116" s="7"/>
      <c r="B116" s="7"/>
      <c r="C116" s="7"/>
      <c r="D116" s="7"/>
      <c r="E116" s="7"/>
      <c r="F116" s="7"/>
      <c r="G116" s="7"/>
      <c r="H116" s="7"/>
    </row>
    <row r="117" spans="1:8" x14ac:dyDescent="0.25">
      <c r="A117" s="7"/>
      <c r="B117" s="7"/>
      <c r="C117" s="7"/>
      <c r="D117" s="7"/>
      <c r="E117" s="7"/>
      <c r="F117" s="7"/>
      <c r="G117" s="7"/>
      <c r="H117" s="7"/>
    </row>
    <row r="118" spans="1:8" x14ac:dyDescent="0.25">
      <c r="A118" s="7"/>
      <c r="B118" s="7"/>
      <c r="C118" s="7"/>
      <c r="D118" s="7"/>
      <c r="E118" s="7"/>
      <c r="F118" s="7"/>
      <c r="G118" s="7"/>
      <c r="H118" s="7"/>
    </row>
    <row r="119" spans="1:8" x14ac:dyDescent="0.25">
      <c r="A119" s="7"/>
      <c r="B119" s="7"/>
      <c r="C119" s="7"/>
      <c r="D119" s="7"/>
      <c r="E119" s="7"/>
      <c r="F119" s="7"/>
      <c r="G119" s="7"/>
      <c r="H119" s="7"/>
    </row>
    <row r="120" spans="1:8" x14ac:dyDescent="0.25">
      <c r="A120" s="7"/>
      <c r="B120" s="7"/>
      <c r="C120" s="7"/>
      <c r="D120" s="7"/>
      <c r="E120" s="7"/>
      <c r="F120" s="7"/>
      <c r="G120" s="7"/>
      <c r="H120" s="7"/>
    </row>
    <row r="121" spans="1:8" x14ac:dyDescent="0.25">
      <c r="A121" s="7"/>
      <c r="B121" s="7"/>
      <c r="C121" s="7"/>
      <c r="D121" s="7"/>
      <c r="E121" s="7"/>
      <c r="F121" s="7"/>
      <c r="G121" s="7"/>
      <c r="H121" s="7"/>
    </row>
    <row r="122" spans="1:8" x14ac:dyDescent="0.25">
      <c r="A122" s="7"/>
      <c r="B122" s="7"/>
      <c r="C122" s="7"/>
      <c r="D122" s="7"/>
      <c r="E122" s="7"/>
      <c r="F122" s="7"/>
      <c r="G122" s="7"/>
      <c r="H122" s="7"/>
    </row>
    <row r="123" spans="1:8" x14ac:dyDescent="0.25">
      <c r="A123" s="7"/>
      <c r="B123" s="7"/>
      <c r="C123" s="7"/>
      <c r="D123" s="7"/>
      <c r="E123" s="7"/>
      <c r="F123" s="7"/>
      <c r="G123" s="7"/>
      <c r="H123" s="7"/>
    </row>
    <row r="124" spans="1:8" x14ac:dyDescent="0.25">
      <c r="A124" s="7"/>
      <c r="B124" s="7"/>
      <c r="C124" s="7"/>
      <c r="D124" s="7"/>
      <c r="E124" s="7"/>
      <c r="F124" s="7"/>
      <c r="G124" s="7"/>
      <c r="H124" s="7"/>
    </row>
    <row r="125" spans="1:8" x14ac:dyDescent="0.25">
      <c r="A125" s="7"/>
      <c r="B125" s="7"/>
      <c r="C125" s="7"/>
      <c r="D125" s="7"/>
      <c r="E125" s="7"/>
      <c r="F125" s="7"/>
      <c r="G125" s="7"/>
      <c r="H125" s="7"/>
    </row>
    <row r="126" spans="1:8" x14ac:dyDescent="0.25">
      <c r="A126" s="7"/>
      <c r="B126" s="7"/>
      <c r="C126" s="7"/>
      <c r="D126" s="7"/>
      <c r="E126" s="7"/>
      <c r="F126" s="7"/>
      <c r="G126" s="7"/>
      <c r="H126" s="7"/>
    </row>
    <row r="127" spans="1:8" x14ac:dyDescent="0.25">
      <c r="A127" s="7"/>
      <c r="B127" s="7"/>
      <c r="C127" s="7"/>
      <c r="D127" s="7"/>
      <c r="E127" s="7"/>
      <c r="F127" s="7"/>
      <c r="G127" s="7"/>
      <c r="H127" s="7"/>
    </row>
    <row r="128" spans="1:8" x14ac:dyDescent="0.25">
      <c r="A128" s="7"/>
      <c r="B128" s="7"/>
      <c r="C128" s="7"/>
      <c r="D128" s="7"/>
      <c r="E128" s="7"/>
      <c r="F128" s="7"/>
      <c r="G128" s="7"/>
      <c r="H128" s="7"/>
    </row>
    <row r="129" spans="1:8" x14ac:dyDescent="0.25">
      <c r="A129" s="7"/>
      <c r="B129" s="7"/>
      <c r="C129" s="7"/>
      <c r="D129" s="7"/>
      <c r="E129" s="7"/>
      <c r="F129" s="7"/>
      <c r="G129" s="7"/>
      <c r="H129" s="7"/>
    </row>
    <row r="130" spans="1:8" x14ac:dyDescent="0.25">
      <c r="A130" s="7"/>
      <c r="B130" s="7"/>
      <c r="C130" s="7"/>
      <c r="D130" s="7"/>
      <c r="E130" s="7"/>
      <c r="F130" s="7"/>
      <c r="G130" s="7"/>
      <c r="H130" s="7"/>
    </row>
    <row r="131" spans="1:8" x14ac:dyDescent="0.25">
      <c r="A131" s="7"/>
      <c r="B131" s="7"/>
      <c r="C131" s="7"/>
      <c r="D131" s="7"/>
      <c r="E131" s="7"/>
      <c r="F131" s="7"/>
      <c r="G131" s="7"/>
      <c r="H131" s="7"/>
    </row>
    <row r="132" spans="1:8" x14ac:dyDescent="0.25">
      <c r="A132" s="7"/>
      <c r="B132" s="7"/>
      <c r="C132" s="7"/>
      <c r="D132" s="7"/>
      <c r="E132" s="7"/>
      <c r="F132" s="7"/>
      <c r="G132" s="7"/>
      <c r="H132" s="7"/>
    </row>
    <row r="133" spans="1:8" x14ac:dyDescent="0.25">
      <c r="A133" s="7"/>
      <c r="B133" s="7"/>
      <c r="C133" s="7"/>
      <c r="D133" s="7"/>
      <c r="E133" s="7"/>
      <c r="F133" s="7"/>
      <c r="G133" s="7"/>
      <c r="H133" s="7"/>
    </row>
    <row r="134" spans="1:8" x14ac:dyDescent="0.25">
      <c r="A134" s="7"/>
      <c r="B134" s="7"/>
      <c r="C134" s="7"/>
      <c r="D134" s="7"/>
      <c r="E134" s="7"/>
      <c r="F134" s="7"/>
      <c r="G134" s="7"/>
      <c r="H134" s="7"/>
    </row>
    <row r="135" spans="1:8" x14ac:dyDescent="0.25">
      <c r="A135" s="7"/>
      <c r="B135" s="7"/>
      <c r="C135" s="7"/>
      <c r="D135" s="7"/>
      <c r="E135" s="7"/>
      <c r="F135" s="7"/>
      <c r="G135" s="7"/>
      <c r="H135" s="7"/>
    </row>
    <row r="136" spans="1:8" x14ac:dyDescent="0.25">
      <c r="A136" s="7"/>
      <c r="B136" s="7"/>
      <c r="C136" s="7"/>
      <c r="D136" s="7"/>
      <c r="E136" s="7"/>
      <c r="F136" s="7"/>
      <c r="G136" s="7"/>
      <c r="H136" s="7"/>
    </row>
    <row r="137" spans="1:8" x14ac:dyDescent="0.25">
      <c r="A137" s="7"/>
      <c r="B137" s="7"/>
      <c r="C137" s="7"/>
      <c r="D137" s="7"/>
      <c r="E137" s="7"/>
      <c r="F137" s="7"/>
      <c r="G137" s="7"/>
      <c r="H137" s="7"/>
    </row>
    <row r="138" spans="1:8" x14ac:dyDescent="0.25">
      <c r="A138" s="7"/>
      <c r="B138" s="7"/>
      <c r="C138" s="7"/>
      <c r="D138" s="7"/>
      <c r="E138" s="7"/>
      <c r="F138" s="7"/>
      <c r="G138" s="7"/>
      <c r="H138" s="7"/>
    </row>
    <row r="139" spans="1:8" x14ac:dyDescent="0.25">
      <c r="A139" s="7"/>
      <c r="B139" s="7"/>
      <c r="C139" s="7"/>
      <c r="D139" s="7"/>
      <c r="E139" s="7"/>
      <c r="F139" s="7"/>
      <c r="G139" s="7"/>
      <c r="H139" s="7"/>
    </row>
    <row r="140" spans="1:8" x14ac:dyDescent="0.25">
      <c r="A140" s="7"/>
      <c r="B140" s="7"/>
      <c r="C140" s="7"/>
      <c r="D140" s="7"/>
      <c r="E140" s="7"/>
      <c r="F140" s="7"/>
      <c r="G140" s="7"/>
      <c r="H140" s="7"/>
    </row>
    <row r="141" spans="1:8" x14ac:dyDescent="0.25">
      <c r="A141" s="7"/>
      <c r="B141" s="7"/>
      <c r="C141" s="7"/>
      <c r="D141" s="7"/>
      <c r="E141" s="7"/>
      <c r="F141" s="7"/>
      <c r="G141" s="7"/>
      <c r="H141" s="7"/>
    </row>
    <row r="142" spans="1:8" x14ac:dyDescent="0.25">
      <c r="A142" s="7"/>
      <c r="B142" s="7"/>
      <c r="C142" s="7"/>
      <c r="D142" s="7"/>
      <c r="E142" s="7"/>
      <c r="F142" s="7"/>
      <c r="G142" s="7"/>
      <c r="H142" s="7"/>
    </row>
    <row r="143" spans="1:8" x14ac:dyDescent="0.25">
      <c r="A143" s="7"/>
      <c r="B143" s="7"/>
      <c r="C143" s="7"/>
      <c r="D143" s="7"/>
      <c r="E143" s="7"/>
      <c r="F143" s="7"/>
      <c r="G143" s="7"/>
      <c r="H143" s="7"/>
    </row>
    <row r="144" spans="1:8" x14ac:dyDescent="0.25">
      <c r="A144" s="7"/>
      <c r="B144" s="7"/>
      <c r="C144" s="7"/>
      <c r="D144" s="7"/>
      <c r="E144" s="7"/>
      <c r="F144" s="7"/>
      <c r="G144" s="7"/>
      <c r="H144" s="7"/>
    </row>
    <row r="145" spans="1:8" x14ac:dyDescent="0.25">
      <c r="A145" s="7"/>
      <c r="B145" s="7"/>
      <c r="C145" s="7"/>
      <c r="D145" s="7"/>
      <c r="E145" s="7"/>
      <c r="F145" s="7"/>
      <c r="G145" s="7"/>
      <c r="H145" s="7"/>
    </row>
    <row r="146" spans="1:8" x14ac:dyDescent="0.25">
      <c r="A146" s="7"/>
      <c r="B146" s="7"/>
      <c r="C146" s="7"/>
      <c r="D146" s="7"/>
      <c r="E146" s="7"/>
      <c r="F146" s="7"/>
      <c r="G146" s="7"/>
      <c r="H146" s="7"/>
    </row>
    <row r="147" spans="1:8" x14ac:dyDescent="0.25">
      <c r="A147" s="7"/>
      <c r="B147" s="7"/>
      <c r="C147" s="7"/>
      <c r="D147" s="7"/>
      <c r="E147" s="7"/>
      <c r="F147" s="7"/>
      <c r="G147" s="7"/>
      <c r="H147" s="7"/>
    </row>
    <row r="148" spans="1:8" x14ac:dyDescent="0.25">
      <c r="A148" s="7"/>
      <c r="B148" s="7"/>
      <c r="C148" s="7"/>
      <c r="D148" s="7"/>
      <c r="E148" s="7"/>
      <c r="F148" s="7"/>
      <c r="G148" s="7"/>
      <c r="H148" s="7"/>
    </row>
    <row r="149" spans="1:8" x14ac:dyDescent="0.25">
      <c r="A149" s="7"/>
      <c r="B149" s="7"/>
      <c r="C149" s="7"/>
      <c r="D149" s="7"/>
      <c r="E149" s="7"/>
      <c r="F149" s="7"/>
      <c r="G149" s="7"/>
      <c r="H149" s="7"/>
    </row>
    <row r="150" spans="1:8" x14ac:dyDescent="0.25">
      <c r="A150" s="7"/>
      <c r="B150" s="7"/>
      <c r="C150" s="7"/>
      <c r="D150" s="7"/>
      <c r="E150" s="7"/>
      <c r="F150" s="7"/>
      <c r="G150" s="7"/>
      <c r="H150" s="7"/>
    </row>
    <row r="151" spans="1:8" x14ac:dyDescent="0.25">
      <c r="A151" s="7"/>
      <c r="B151" s="7"/>
      <c r="C151" s="7"/>
      <c r="D151" s="7"/>
      <c r="E151" s="7"/>
      <c r="F151" s="7"/>
      <c r="G151" s="7"/>
      <c r="H151" s="7"/>
    </row>
    <row r="152" spans="1:8" x14ac:dyDescent="0.25">
      <c r="A152" s="7"/>
      <c r="B152" s="7"/>
      <c r="C152" s="7"/>
      <c r="D152" s="7"/>
      <c r="E152" s="7"/>
      <c r="F152" s="7"/>
      <c r="G152" s="7"/>
      <c r="H152" s="7"/>
    </row>
    <row r="153" spans="1:8" x14ac:dyDescent="0.25">
      <c r="A153" s="7"/>
      <c r="B153" s="7"/>
      <c r="C153" s="7"/>
      <c r="D153" s="7"/>
      <c r="E153" s="7"/>
      <c r="F153" s="7"/>
      <c r="G153" s="7"/>
      <c r="H153" s="7"/>
    </row>
    <row r="154" spans="1:8" x14ac:dyDescent="0.25">
      <c r="A154" s="7"/>
      <c r="B154" s="7"/>
      <c r="C154" s="7"/>
      <c r="D154" s="7"/>
      <c r="E154" s="7"/>
      <c r="F154" s="7"/>
      <c r="G154" s="7"/>
      <c r="H154" s="7"/>
    </row>
    <row r="155" spans="1:8" x14ac:dyDescent="0.25">
      <c r="A155" s="7"/>
      <c r="B155" s="7"/>
      <c r="C155" s="7"/>
      <c r="D155" s="7"/>
      <c r="E155" s="7"/>
      <c r="F155" s="7"/>
      <c r="G155" s="7"/>
      <c r="H155" s="7"/>
    </row>
    <row r="156" spans="1:8" x14ac:dyDescent="0.25">
      <c r="A156" s="7"/>
      <c r="B156" s="7"/>
      <c r="C156" s="7"/>
      <c r="D156" s="7"/>
      <c r="E156" s="7"/>
      <c r="F156" s="7"/>
      <c r="G156" s="7"/>
      <c r="H156" s="7"/>
    </row>
    <row r="157" spans="1:8" x14ac:dyDescent="0.25">
      <c r="A157" s="7"/>
      <c r="B157" s="7"/>
      <c r="C157" s="7"/>
      <c r="D157" s="7"/>
      <c r="E157" s="7"/>
      <c r="F157" s="7"/>
      <c r="G157" s="7"/>
      <c r="H157" s="7"/>
    </row>
    <row r="158" spans="1:8" x14ac:dyDescent="0.25">
      <c r="A158" s="7"/>
      <c r="B158" s="7"/>
      <c r="C158" s="7"/>
      <c r="D158" s="7"/>
      <c r="E158" s="7"/>
      <c r="F158" s="7"/>
      <c r="G158" s="7"/>
      <c r="H158" s="7"/>
    </row>
    <row r="159" spans="1:8" x14ac:dyDescent="0.25">
      <c r="A159" s="7"/>
      <c r="B159" s="7"/>
      <c r="C159" s="7"/>
      <c r="D159" s="7"/>
      <c r="E159" s="7"/>
      <c r="F159" s="7"/>
      <c r="G159" s="7"/>
      <c r="H159" s="7"/>
    </row>
    <row r="160" spans="1:8" x14ac:dyDescent="0.25">
      <c r="A160" s="7"/>
      <c r="B160" s="7"/>
      <c r="C160" s="7"/>
      <c r="D160" s="7"/>
      <c r="E160" s="7"/>
      <c r="F160" s="7"/>
      <c r="G160" s="7"/>
      <c r="H160" s="7"/>
    </row>
    <row r="161" spans="1:8" x14ac:dyDescent="0.25">
      <c r="A161" s="7"/>
      <c r="B161" s="7"/>
      <c r="C161" s="7"/>
      <c r="D161" s="7"/>
      <c r="E161" s="7"/>
      <c r="F161" s="7"/>
      <c r="G161" s="7"/>
      <c r="H161" s="7"/>
    </row>
    <row r="162" spans="1:8" x14ac:dyDescent="0.25">
      <c r="A162" s="7"/>
      <c r="B162" s="7"/>
      <c r="C162" s="7"/>
      <c r="D162" s="7"/>
      <c r="E162" s="7"/>
      <c r="F162" s="7"/>
      <c r="G162" s="7"/>
      <c r="H162" s="7"/>
    </row>
    <row r="163" spans="1:8" x14ac:dyDescent="0.25">
      <c r="A163" s="7"/>
      <c r="B163" s="7"/>
      <c r="C163" s="7"/>
      <c r="D163" s="7"/>
      <c r="E163" s="7"/>
      <c r="F163" s="7"/>
      <c r="G163" s="7"/>
      <c r="H163" s="7"/>
    </row>
    <row r="164" spans="1:8" x14ac:dyDescent="0.25">
      <c r="A164" s="7"/>
      <c r="B164" s="7"/>
      <c r="C164" s="7"/>
      <c r="D164" s="7"/>
      <c r="E164" s="7"/>
      <c r="F164" s="7"/>
      <c r="G164" s="7"/>
      <c r="H164" s="7"/>
    </row>
    <row r="165" spans="1:8" x14ac:dyDescent="0.25">
      <c r="A165" s="7"/>
      <c r="B165" s="7"/>
      <c r="C165" s="7"/>
      <c r="D165" s="7"/>
      <c r="E165" s="7"/>
      <c r="F165" s="7"/>
      <c r="G165" s="7"/>
      <c r="H165" s="7"/>
    </row>
    <row r="166" spans="1:8" x14ac:dyDescent="0.25">
      <c r="A166" s="7"/>
      <c r="B166" s="7"/>
      <c r="C166" s="7"/>
      <c r="D166" s="7"/>
      <c r="E166" s="7"/>
      <c r="F166" s="7"/>
      <c r="G166" s="7"/>
      <c r="H166" s="7"/>
    </row>
    <row r="167" spans="1:8" x14ac:dyDescent="0.25">
      <c r="A167" s="7"/>
      <c r="B167" s="7"/>
      <c r="C167" s="7"/>
      <c r="D167" s="7"/>
      <c r="E167" s="7"/>
      <c r="F167" s="7"/>
      <c r="G167" s="7"/>
      <c r="H167" s="7"/>
    </row>
    <row r="168" spans="1:8" x14ac:dyDescent="0.25">
      <c r="A168" s="7"/>
      <c r="B168" s="7"/>
      <c r="C168" s="7"/>
      <c r="D168" s="7"/>
      <c r="E168" s="7"/>
      <c r="F168" s="7"/>
      <c r="G168" s="7"/>
      <c r="H168" s="7"/>
    </row>
    <row r="169" spans="1:8" x14ac:dyDescent="0.25">
      <c r="A169" s="7"/>
      <c r="B169" s="7"/>
      <c r="C169" s="7"/>
      <c r="D169" s="7"/>
      <c r="E169" s="7"/>
      <c r="F169" s="7"/>
      <c r="G169" s="7"/>
      <c r="H169" s="7"/>
    </row>
    <row r="170" spans="1:8" x14ac:dyDescent="0.25">
      <c r="A170" s="7"/>
      <c r="B170" s="7"/>
      <c r="C170" s="7"/>
      <c r="D170" s="7"/>
      <c r="E170" s="7"/>
      <c r="F170" s="7"/>
      <c r="G170" s="7"/>
      <c r="H170" s="7"/>
    </row>
    <row r="171" spans="1:8" x14ac:dyDescent="0.25">
      <c r="A171" s="7"/>
      <c r="B171" s="7"/>
      <c r="C171" s="7"/>
      <c r="D171" s="7"/>
      <c r="E171" s="7"/>
      <c r="F171" s="7"/>
      <c r="G171" s="7"/>
      <c r="H171" s="7"/>
    </row>
    <row r="172" spans="1:8" x14ac:dyDescent="0.25">
      <c r="A172" s="7"/>
      <c r="B172" s="7"/>
      <c r="C172" s="7"/>
      <c r="D172" s="7"/>
      <c r="E172" s="7"/>
      <c r="F172" s="7"/>
      <c r="G172" s="7"/>
      <c r="H172" s="7"/>
    </row>
    <row r="173" spans="1:8" x14ac:dyDescent="0.25">
      <c r="A173" s="7"/>
      <c r="B173" s="7"/>
      <c r="C173" s="7"/>
      <c r="D173" s="7"/>
      <c r="E173" s="7"/>
      <c r="F173" s="7"/>
      <c r="G173" s="7"/>
      <c r="H173" s="7"/>
    </row>
    <row r="174" spans="1:8" x14ac:dyDescent="0.25">
      <c r="A174" s="7"/>
      <c r="B174" s="7"/>
      <c r="C174" s="7"/>
      <c r="D174" s="7"/>
      <c r="E174" s="7"/>
      <c r="F174" s="7"/>
      <c r="G174" s="7"/>
      <c r="H174" s="7"/>
    </row>
    <row r="175" spans="1:8" x14ac:dyDescent="0.25">
      <c r="A175" s="7"/>
      <c r="B175" s="7"/>
      <c r="C175" s="7"/>
      <c r="D175" s="7"/>
      <c r="E175" s="7"/>
      <c r="F175" s="7"/>
      <c r="G175" s="7"/>
      <c r="H175" s="7"/>
    </row>
    <row r="176" spans="1:8" x14ac:dyDescent="0.25">
      <c r="A176" s="7"/>
      <c r="B176" s="7"/>
      <c r="C176" s="7"/>
      <c r="D176" s="7"/>
      <c r="E176" s="7"/>
      <c r="F176" s="7"/>
      <c r="G176" s="7"/>
      <c r="H176" s="7"/>
    </row>
    <row r="177" spans="1:8" x14ac:dyDescent="0.25">
      <c r="A177" s="7"/>
      <c r="B177" s="7"/>
      <c r="C177" s="7"/>
      <c r="D177" s="7"/>
      <c r="E177" s="7"/>
      <c r="F177" s="7"/>
      <c r="G177" s="7"/>
      <c r="H177" s="7"/>
    </row>
    <row r="178" spans="1:8" x14ac:dyDescent="0.25">
      <c r="A178" s="7"/>
      <c r="B178" s="7"/>
      <c r="C178" s="7"/>
      <c r="D178" s="7"/>
      <c r="E178" s="7"/>
      <c r="F178" s="7"/>
      <c r="G178" s="7"/>
      <c r="H178" s="7"/>
    </row>
    <row r="179" spans="1:8" x14ac:dyDescent="0.25">
      <c r="A179" s="7"/>
      <c r="B179" s="7"/>
      <c r="C179" s="7"/>
      <c r="D179" s="7"/>
      <c r="E179" s="7"/>
      <c r="F179" s="7"/>
      <c r="G179" s="7"/>
      <c r="H179" s="7"/>
    </row>
    <row r="180" spans="1:8" x14ac:dyDescent="0.25">
      <c r="A180" s="7"/>
      <c r="B180" s="7"/>
      <c r="C180" s="7"/>
      <c r="D180" s="7"/>
      <c r="E180" s="7"/>
      <c r="F180" s="7"/>
      <c r="G180" s="7"/>
      <c r="H180" s="7"/>
    </row>
    <row r="181" spans="1:8" x14ac:dyDescent="0.25">
      <c r="A181" s="7"/>
      <c r="B181" s="7"/>
      <c r="C181" s="7"/>
      <c r="D181" s="7"/>
      <c r="E181" s="7"/>
      <c r="F181" s="7"/>
      <c r="G181" s="7"/>
      <c r="H181" s="7"/>
    </row>
    <row r="182" spans="1:8" x14ac:dyDescent="0.25">
      <c r="A182" s="7"/>
      <c r="B182" s="7"/>
      <c r="C182" s="7"/>
      <c r="D182" s="7"/>
      <c r="E182" s="7"/>
      <c r="F182" s="7"/>
      <c r="G182" s="7"/>
      <c r="H182" s="7"/>
    </row>
    <row r="183" spans="1:8" x14ac:dyDescent="0.25">
      <c r="A183" s="7"/>
      <c r="B183" s="7"/>
      <c r="C183" s="7"/>
      <c r="D183" s="7"/>
      <c r="E183" s="7"/>
      <c r="F183" s="7"/>
      <c r="G183" s="7"/>
      <c r="H183" s="7"/>
    </row>
    <row r="184" spans="1:8" x14ac:dyDescent="0.25">
      <c r="A184" s="7"/>
      <c r="B184" s="7"/>
      <c r="C184" s="7"/>
      <c r="D184" s="7"/>
      <c r="E184" s="7"/>
      <c r="F184" s="7"/>
      <c r="G184" s="7"/>
      <c r="H184" s="7"/>
    </row>
    <row r="185" spans="1:8" x14ac:dyDescent="0.25">
      <c r="A185" s="7"/>
      <c r="B185" s="7"/>
      <c r="C185" s="7"/>
      <c r="D185" s="7"/>
      <c r="E185" s="7"/>
      <c r="F185" s="7"/>
      <c r="G185" s="7"/>
      <c r="H185" s="7"/>
    </row>
    <row r="186" spans="1:8" x14ac:dyDescent="0.25">
      <c r="A186" s="7"/>
      <c r="B186" s="7"/>
      <c r="C186" s="7"/>
      <c r="D186" s="7"/>
      <c r="E186" s="7"/>
      <c r="F186" s="7"/>
      <c r="G186" s="7"/>
      <c r="H186" s="7"/>
    </row>
    <row r="187" spans="1:8" x14ac:dyDescent="0.25">
      <c r="A187" s="7"/>
      <c r="B187" s="7"/>
      <c r="C187" s="7"/>
      <c r="D187" s="7"/>
      <c r="E187" s="7"/>
      <c r="F187" s="7"/>
      <c r="G187" s="7"/>
      <c r="H187" s="7"/>
    </row>
    <row r="188" spans="1:8" x14ac:dyDescent="0.25">
      <c r="A188" s="7"/>
      <c r="B188" s="7"/>
      <c r="C188" s="7"/>
      <c r="D188" s="7"/>
      <c r="E188" s="7"/>
      <c r="F188" s="7"/>
      <c r="G188" s="7"/>
      <c r="H188" s="7"/>
    </row>
    <row r="189" spans="1:8" x14ac:dyDescent="0.25">
      <c r="A189" s="7"/>
      <c r="B189" s="7"/>
      <c r="C189" s="7"/>
      <c r="D189" s="7"/>
      <c r="E189" s="7"/>
      <c r="F189" s="7"/>
      <c r="G189" s="7"/>
      <c r="H189" s="7"/>
    </row>
    <row r="190" spans="1:8" x14ac:dyDescent="0.25">
      <c r="A190" s="7"/>
      <c r="B190" s="7"/>
      <c r="C190" s="7"/>
      <c r="D190" s="7"/>
      <c r="E190" s="7"/>
      <c r="F190" s="7"/>
      <c r="G190" s="7"/>
      <c r="H190" s="7"/>
    </row>
    <row r="191" spans="1:8" x14ac:dyDescent="0.25">
      <c r="A191" s="7"/>
      <c r="B191" s="7"/>
      <c r="C191" s="7"/>
      <c r="D191" s="7"/>
      <c r="E191" s="7"/>
      <c r="F191" s="7"/>
      <c r="G191" s="7"/>
      <c r="H191" s="7"/>
    </row>
    <row r="192" spans="1:8" x14ac:dyDescent="0.25">
      <c r="A192" s="7"/>
      <c r="B192" s="7"/>
      <c r="C192" s="7"/>
      <c r="D192" s="7"/>
      <c r="E192" s="7"/>
      <c r="F192" s="7"/>
      <c r="G192" s="7"/>
      <c r="H192" s="7"/>
    </row>
    <row r="193" spans="1:8" x14ac:dyDescent="0.25">
      <c r="A193" s="7"/>
      <c r="B193" s="7"/>
      <c r="C193" s="7"/>
      <c r="D193" s="7"/>
      <c r="E193" s="7"/>
      <c r="F193" s="7"/>
      <c r="G193" s="7"/>
      <c r="H193" s="7"/>
    </row>
    <row r="194" spans="1:8" x14ac:dyDescent="0.25">
      <c r="A194" s="7"/>
      <c r="B194" s="7"/>
      <c r="C194" s="7"/>
      <c r="D194" s="7"/>
      <c r="E194" s="7"/>
      <c r="F194" s="7"/>
      <c r="G194" s="7"/>
      <c r="H194" s="7"/>
    </row>
    <row r="195" spans="1:8" x14ac:dyDescent="0.25">
      <c r="A195" s="7"/>
      <c r="B195" s="7"/>
      <c r="C195" s="7"/>
      <c r="D195" s="7"/>
      <c r="E195" s="7"/>
      <c r="F195" s="7"/>
      <c r="G195" s="7"/>
      <c r="H195" s="7"/>
    </row>
    <row r="196" spans="1:8" x14ac:dyDescent="0.25">
      <c r="A196" s="7"/>
      <c r="B196" s="7"/>
      <c r="C196" s="7"/>
      <c r="D196" s="7"/>
      <c r="E196" s="7"/>
      <c r="F196" s="7"/>
      <c r="G196" s="7"/>
      <c r="H196" s="7"/>
    </row>
    <row r="197" spans="1:8" x14ac:dyDescent="0.25">
      <c r="A197" s="7"/>
      <c r="B197" s="7"/>
      <c r="C197" s="7"/>
      <c r="D197" s="7"/>
      <c r="E197" s="7"/>
      <c r="F197" s="7"/>
      <c r="G197" s="7"/>
      <c r="H197" s="7"/>
    </row>
    <row r="198" spans="1:8" x14ac:dyDescent="0.25">
      <c r="A198" s="7"/>
      <c r="B198" s="7"/>
      <c r="C198" s="7"/>
      <c r="D198" s="7"/>
      <c r="E198" s="7"/>
      <c r="F198" s="7"/>
      <c r="G198" s="7"/>
      <c r="H198" s="7"/>
    </row>
    <row r="199" spans="1:8" x14ac:dyDescent="0.25">
      <c r="A199" s="7"/>
      <c r="B199" s="7"/>
      <c r="C199" s="7"/>
      <c r="D199" s="7"/>
      <c r="E199" s="7"/>
      <c r="F199" s="7"/>
      <c r="G199" s="7"/>
      <c r="H199" s="7"/>
    </row>
    <row r="200" spans="1:8" x14ac:dyDescent="0.25">
      <c r="A200" s="7"/>
      <c r="B200" s="7"/>
      <c r="C200" s="7"/>
      <c r="D200" s="7"/>
      <c r="E200" s="7"/>
      <c r="F200" s="7"/>
      <c r="G200" s="7"/>
      <c r="H200" s="7"/>
    </row>
    <row r="201" spans="1:8" x14ac:dyDescent="0.25">
      <c r="A201" s="7"/>
      <c r="B201" s="7"/>
      <c r="C201" s="7"/>
      <c r="D201" s="7"/>
      <c r="E201" s="7"/>
      <c r="F201" s="7"/>
      <c r="G201" s="7"/>
      <c r="H201" s="7"/>
    </row>
    <row r="202" spans="1:8" x14ac:dyDescent="0.25">
      <c r="A202" s="7"/>
      <c r="B202" s="7"/>
      <c r="C202" s="7"/>
      <c r="D202" s="7"/>
      <c r="E202" s="7"/>
      <c r="F202" s="7"/>
      <c r="G202" s="7"/>
      <c r="H202" s="7"/>
    </row>
  </sheetData>
  <sortState ref="A2:Q93">
    <sortCondition ref="A1"/>
  </sortState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496"/>
  <sheetViews>
    <sheetView workbookViewId="0">
      <pane ySplit="1" topLeftCell="A467" activePane="bottomLeft" state="frozen"/>
      <selection pane="bottomLeft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9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  <c r="K1" s="1"/>
      <c r="L1" s="1"/>
    </row>
    <row r="2" spans="1:12" x14ac:dyDescent="0.25">
      <c r="A2" s="2">
        <v>16522</v>
      </c>
      <c r="B2" s="2" t="s">
        <v>4</v>
      </c>
      <c r="C2" s="2" t="str">
        <f t="shared" ref="C2:C33" si="0">CONCATENATE(F2,"##")</f>
        <v>7709853##</v>
      </c>
      <c r="D2" s="2"/>
      <c r="E2" s="2" t="str">
        <f>IFERROR(VLOOKUP(1*LEFT(C2,7),DF!$A$1:$F$9447,2,FALSE),"")</f>
        <v>BAND ARG GENDARMERIA NACIONAL</v>
      </c>
      <c r="F2">
        <v>7709853</v>
      </c>
      <c r="G2" t="s">
        <v>13124</v>
      </c>
      <c r="H2">
        <v>1</v>
      </c>
    </row>
    <row r="3" spans="1:12" x14ac:dyDescent="0.25">
      <c r="A3" s="2">
        <v>16522</v>
      </c>
      <c r="B3" s="2" t="s">
        <v>4</v>
      </c>
      <c r="C3" s="2" t="str">
        <f t="shared" si="0"/>
        <v>7711214##</v>
      </c>
      <c r="D3" s="2"/>
      <c r="E3" s="2" t="str">
        <f>IFERROR(VLOOKUP(1*LEFT(C3,7),DF!$A$1:$F$9447,2,FALSE),"")</f>
        <v>BANDERA BORD S.CRUZ BAJA V</v>
      </c>
      <c r="F3">
        <v>7711214</v>
      </c>
      <c r="G3" t="s">
        <v>13199</v>
      </c>
      <c r="H3">
        <v>1</v>
      </c>
    </row>
    <row r="4" spans="1:12" x14ac:dyDescent="0.25">
      <c r="A4" s="2">
        <v>16522</v>
      </c>
      <c r="B4" s="2" t="s">
        <v>4</v>
      </c>
      <c r="C4" s="2" t="str">
        <f t="shared" si="0"/>
        <v>7711213##</v>
      </c>
      <c r="D4" s="2"/>
      <c r="E4" s="2" t="str">
        <f>IFERROR(VLOOKUP(1*LEFT(C4,7),DF!$A$1:$F$9447,2,FALSE),"")</f>
        <v>BANDERA S.CRUZ  RER 077 RER</v>
      </c>
      <c r="F4">
        <v>7711213</v>
      </c>
      <c r="G4" t="s">
        <v>13165</v>
      </c>
      <c r="H4">
        <v>1</v>
      </c>
    </row>
    <row r="5" spans="1:12" x14ac:dyDescent="0.25">
      <c r="A5">
        <v>16522</v>
      </c>
      <c r="B5" t="s">
        <v>4</v>
      </c>
      <c r="C5" t="str">
        <f t="shared" si="0"/>
        <v>8505827##</v>
      </c>
      <c r="E5" t="str">
        <f>IFERROR(VLOOKUP(1*LEFT(C5,7),DF!$A$1:$F$9447,2,FALSE),"")</f>
        <v>BARBIJO BAT REV. PLISADO CELESTE</v>
      </c>
      <c r="F5">
        <v>8505827</v>
      </c>
      <c r="G5" t="s">
        <v>12486</v>
      </c>
      <c r="H5">
        <v>1</v>
      </c>
    </row>
    <row r="6" spans="1:12" x14ac:dyDescent="0.25">
      <c r="A6">
        <v>16522</v>
      </c>
      <c r="B6" t="s">
        <v>4</v>
      </c>
      <c r="C6" t="str">
        <f t="shared" si="0"/>
        <v>8505822##</v>
      </c>
      <c r="E6" t="str">
        <f>IFERROR(VLOOKUP(1*LEFT(C6,7),DF!$A$1:$F$9447,2,FALSE),"")</f>
        <v>BARBIJO CHAROLADO NEGRO CON SOUTACH ESC</v>
      </c>
      <c r="F6">
        <v>8505822</v>
      </c>
      <c r="G6" t="s">
        <v>12487</v>
      </c>
      <c r="H6">
        <v>1</v>
      </c>
    </row>
    <row r="7" spans="1:12" x14ac:dyDescent="0.25">
      <c r="A7">
        <v>16522</v>
      </c>
      <c r="B7" t="s">
        <v>4</v>
      </c>
      <c r="C7" t="str">
        <f t="shared" si="0"/>
        <v>8505821##</v>
      </c>
      <c r="E7" t="str">
        <f>IFERROR(VLOOKUP(1*LEFT(C7,7),DF!$A$1:$F$9447,2,FALSE),"")</f>
        <v>BARBIJO CHAROLADO NEGRO LISO ESC</v>
      </c>
      <c r="F7">
        <v>8505821</v>
      </c>
      <c r="G7" t="s">
        <v>12488</v>
      </c>
      <c r="H7">
        <v>3</v>
      </c>
    </row>
    <row r="8" spans="1:12" x14ac:dyDescent="0.25">
      <c r="A8">
        <v>16522</v>
      </c>
      <c r="B8" t="s">
        <v>4</v>
      </c>
      <c r="C8" t="str">
        <f t="shared" si="0"/>
        <v>8505823##</v>
      </c>
      <c r="E8" t="str">
        <f>IFERROR(VLOOKUP(1*LEFT(C8,7),DF!$A$1:$F$9447,2,FALSE),"")</f>
        <v>BARBIJO CORDON DORADO AZZ</v>
      </c>
      <c r="F8">
        <v>8505823</v>
      </c>
      <c r="G8" t="s">
        <v>12489</v>
      </c>
      <c r="H8">
        <v>1</v>
      </c>
    </row>
    <row r="9" spans="1:12" x14ac:dyDescent="0.25">
      <c r="A9">
        <v>16522</v>
      </c>
      <c r="B9" t="s">
        <v>4</v>
      </c>
      <c r="C9" t="str">
        <f t="shared" si="0"/>
        <v>8505820##</v>
      </c>
      <c r="E9" t="str">
        <f>IFERROR(VLOOKUP(1*LEFT(C9,7),DF!$A$1:$F$9447,2,FALSE),"")</f>
        <v>BARBIJO CORDON NEGRO AZZ</v>
      </c>
      <c r="F9">
        <v>8505820</v>
      </c>
      <c r="G9" t="s">
        <v>12490</v>
      </c>
      <c r="H9">
        <v>1</v>
      </c>
    </row>
    <row r="10" spans="1:12" x14ac:dyDescent="0.25">
      <c r="A10">
        <v>16522</v>
      </c>
      <c r="B10" t="s">
        <v>4</v>
      </c>
      <c r="C10" t="str">
        <f t="shared" si="0"/>
        <v>8505825##</v>
      </c>
      <c r="E10" t="str">
        <f>IFERROR(VLOOKUP(1*LEFT(C10,7),DF!$A$1:$F$9447,2,FALSE),"")</f>
        <v>BARBIJO RIP REV. PLISADO AZUL NOCHE</v>
      </c>
      <c r="F10">
        <v>8505825</v>
      </c>
      <c r="G10" t="s">
        <v>12491</v>
      </c>
      <c r="H10">
        <v>1</v>
      </c>
    </row>
    <row r="11" spans="1:12" x14ac:dyDescent="0.25">
      <c r="A11">
        <v>16522</v>
      </c>
      <c r="B11" t="s">
        <v>4</v>
      </c>
      <c r="C11" t="str">
        <f t="shared" si="0"/>
        <v>8505149##</v>
      </c>
      <c r="E11" t="str">
        <f>IFERROR(VLOOKUP(1*LEFT(C11,7),DF!$A$1:$F$9447,2,FALSE),"")</f>
        <v>BASE ACRIL AUXILIAR MAYOR RER</v>
      </c>
      <c r="F11">
        <v>8505149</v>
      </c>
      <c r="G11" t="s">
        <v>12492</v>
      </c>
      <c r="H11">
        <v>2</v>
      </c>
    </row>
    <row r="12" spans="1:12" x14ac:dyDescent="0.25">
      <c r="A12">
        <v>16522</v>
      </c>
      <c r="B12" t="s">
        <v>4</v>
      </c>
      <c r="C12" t="str">
        <f t="shared" si="0"/>
        <v>8505172##</v>
      </c>
      <c r="E12" t="str">
        <f>IFERROR(VLOOKUP(1*LEFT(C12,7),DF!$A$1:$F$9447,2,FALSE),"")</f>
        <v>BASE ACRIL DOS ROMBOS GRANDE Y SERRE RER</v>
      </c>
      <c r="F12">
        <v>8505172</v>
      </c>
      <c r="G12" t="s">
        <v>12493</v>
      </c>
      <c r="H12">
        <v>2</v>
      </c>
    </row>
    <row r="13" spans="1:12" x14ac:dyDescent="0.25">
      <c r="A13">
        <v>16522</v>
      </c>
      <c r="B13" t="s">
        <v>4</v>
      </c>
      <c r="C13" t="str">
        <f t="shared" si="0"/>
        <v>8505171##</v>
      </c>
      <c r="E13" t="str">
        <f>IFERROR(VLOOKUP(1*LEFT(C13,7),DF!$A$1:$F$9447,2,FALSE),"")</f>
        <v>BASE ACRIL ROMBO GRANDE+SERRETA RER</v>
      </c>
      <c r="F13">
        <v>8505171</v>
      </c>
      <c r="G13" t="s">
        <v>12494</v>
      </c>
      <c r="H13">
        <v>2</v>
      </c>
    </row>
    <row r="14" spans="1:12" x14ac:dyDescent="0.25">
      <c r="A14">
        <v>16522</v>
      </c>
      <c r="B14" t="s">
        <v>4</v>
      </c>
      <c r="C14" t="str">
        <f t="shared" si="0"/>
        <v>8505173##</v>
      </c>
      <c r="E14" t="str">
        <f>IFERROR(VLOOKUP(1*LEFT(C14,7),DF!$A$1:$F$9447,2,FALSE),"")</f>
        <v>BASE ACRIL ROMBO+PALMA+SERRETA RER</v>
      </c>
      <c r="F14">
        <v>8505173</v>
      </c>
      <c r="G14" t="s">
        <v>12495</v>
      </c>
      <c r="H14">
        <v>2</v>
      </c>
    </row>
    <row r="15" spans="1:12" x14ac:dyDescent="0.25">
      <c r="A15">
        <v>16522</v>
      </c>
      <c r="B15" t="s">
        <v>4</v>
      </c>
      <c r="C15" t="str">
        <f t="shared" si="0"/>
        <v>8505151##</v>
      </c>
      <c r="E15" t="str">
        <f>IFERROR(VLOOKUP(1*LEFT(C15,7),DF!$A$1:$F$9447,2,FALSE),"")</f>
        <v>BASE ACRIL. 1 UN ROMBO CHICO 3X3 RER</v>
      </c>
      <c r="F15">
        <v>8505151</v>
      </c>
      <c r="G15" t="s">
        <v>12496</v>
      </c>
      <c r="H15">
        <v>2</v>
      </c>
    </row>
    <row r="16" spans="1:12" x14ac:dyDescent="0.25">
      <c r="A16">
        <v>16522</v>
      </c>
      <c r="B16" t="s">
        <v>4</v>
      </c>
      <c r="C16" t="str">
        <f t="shared" si="0"/>
        <v>8505161##</v>
      </c>
      <c r="E16" t="str">
        <f>IFERROR(VLOOKUP(1*LEFT(C16,7),DF!$A$1:$F$9447,2,FALSE),"")</f>
        <v>BASE ACRIL. 1 UN ROMBO GRANDE RER</v>
      </c>
      <c r="F16">
        <v>8505161</v>
      </c>
      <c r="G16" t="s">
        <v>12497</v>
      </c>
      <c r="H16">
        <v>2</v>
      </c>
    </row>
    <row r="17" spans="1:8" x14ac:dyDescent="0.25">
      <c r="A17">
        <v>16522</v>
      </c>
      <c r="B17" t="s">
        <v>4</v>
      </c>
      <c r="C17" t="str">
        <f t="shared" si="0"/>
        <v>8505121##</v>
      </c>
      <c r="E17" t="str">
        <f>IFERROR(VLOOKUP(1*LEFT(C17,7),DF!$A$1:$F$9447,2,FALSE),"")</f>
        <v>BASE ACRIL. 1 UNA ESTRELLA  6X2 RER</v>
      </c>
      <c r="F17">
        <v>8505121</v>
      </c>
      <c r="G17" t="s">
        <v>12498</v>
      </c>
      <c r="H17">
        <v>1</v>
      </c>
    </row>
    <row r="18" spans="1:8" x14ac:dyDescent="0.25">
      <c r="A18">
        <v>16522</v>
      </c>
      <c r="B18" t="s">
        <v>4</v>
      </c>
      <c r="C18" t="str">
        <f t="shared" si="0"/>
        <v>8505170##</v>
      </c>
      <c r="E18" t="str">
        <f>IFERROR(VLOOKUP(1*LEFT(C18,7),DF!$A$1:$F$9447,2,FALSE),"")</f>
        <v>BASE ACRIL. 2 DOS BARRAS CURSO CADE RER</v>
      </c>
      <c r="F18">
        <v>8505170</v>
      </c>
      <c r="G18" t="s">
        <v>12499</v>
      </c>
      <c r="H18">
        <v>2</v>
      </c>
    </row>
    <row r="19" spans="1:8" x14ac:dyDescent="0.25">
      <c r="A19">
        <v>16522</v>
      </c>
      <c r="B19" t="s">
        <v>4</v>
      </c>
      <c r="C19" t="str">
        <f t="shared" si="0"/>
        <v>8505122##</v>
      </c>
      <c r="E19" t="str">
        <f>IFERROR(VLOOKUP(1*LEFT(C19,7),DF!$A$1:$F$9447,2,FALSE),"")</f>
        <v>BASE ACRIL. 2 DOS ESTRELLAS 6X2 RER</v>
      </c>
      <c r="F19">
        <v>8505122</v>
      </c>
      <c r="G19" t="s">
        <v>12500</v>
      </c>
      <c r="H19">
        <v>2</v>
      </c>
    </row>
    <row r="20" spans="1:8" x14ac:dyDescent="0.25">
      <c r="A20">
        <v>16522</v>
      </c>
      <c r="B20" t="s">
        <v>4</v>
      </c>
      <c r="C20" t="str">
        <f t="shared" si="0"/>
        <v>8505133##</v>
      </c>
      <c r="E20" t="str">
        <f>IFERROR(VLOOKUP(1*LEFT(C20,7),DF!$A$1:$F$9447,2,FALSE),"")</f>
        <v>BASE ACRIL. 2 DOS ROMBOS CHICOS 3X6 RER</v>
      </c>
      <c r="F20">
        <v>8505133</v>
      </c>
      <c r="G20" t="s">
        <v>12501</v>
      </c>
      <c r="H20">
        <v>1</v>
      </c>
    </row>
    <row r="21" spans="1:8" x14ac:dyDescent="0.25">
      <c r="A21">
        <v>16522</v>
      </c>
      <c r="B21" t="s">
        <v>4</v>
      </c>
      <c r="C21" t="str">
        <f t="shared" si="0"/>
        <v>8505162##</v>
      </c>
      <c r="E21" t="str">
        <f>IFERROR(VLOOKUP(1*LEFT(C21,7),DF!$A$1:$F$9447,2,FALSE),"")</f>
        <v>BASE ACRIL. 2 DOS ROMBOS GRANDES RER</v>
      </c>
      <c r="F21">
        <v>8505162</v>
      </c>
      <c r="G21" t="s">
        <v>12502</v>
      </c>
      <c r="H21">
        <v>2</v>
      </c>
    </row>
    <row r="22" spans="1:8" x14ac:dyDescent="0.25">
      <c r="A22">
        <v>16522</v>
      </c>
      <c r="B22" t="s">
        <v>4</v>
      </c>
      <c r="C22" t="str">
        <f t="shared" si="0"/>
        <v>8505153##</v>
      </c>
      <c r="E22" t="str">
        <f>IFERROR(VLOOKUP(1*LEFT(C22,7),DF!$A$1:$F$9447,2,FALSE),"")</f>
        <v>BASE ACRIL. 3  ROMBOS CHICOS 8X RER</v>
      </c>
      <c r="F22">
        <v>8505153</v>
      </c>
      <c r="G22" t="s">
        <v>12503</v>
      </c>
      <c r="H22">
        <v>1</v>
      </c>
    </row>
    <row r="23" spans="1:8" x14ac:dyDescent="0.25">
      <c r="A23">
        <v>16522</v>
      </c>
      <c r="B23" t="s">
        <v>4</v>
      </c>
      <c r="C23" t="str">
        <f t="shared" si="0"/>
        <v>8505123##</v>
      </c>
      <c r="E23" t="str">
        <f>IFERROR(VLOOKUP(1*LEFT(C23,7),DF!$A$1:$F$9447,2,FALSE),"")</f>
        <v>BASE ACRIL. 3 TRES ESTRELLAS 2X10 RER</v>
      </c>
      <c r="F23">
        <v>8505123</v>
      </c>
      <c r="G23" t="s">
        <v>12504</v>
      </c>
      <c r="H23">
        <v>1</v>
      </c>
    </row>
    <row r="24" spans="1:8" x14ac:dyDescent="0.25">
      <c r="A24">
        <v>16522</v>
      </c>
      <c r="B24" t="s">
        <v>4</v>
      </c>
      <c r="C24" t="str">
        <f t="shared" si="0"/>
        <v>8505124##</v>
      </c>
      <c r="E24" t="str">
        <f>IFERROR(VLOOKUP(1*LEFT(C24,7),DF!$A$1:$F$9447,2,FALSE),"")</f>
        <v>BASE ACRIL. 4 CUATRO ESTRELLAS 2X10 RER</v>
      </c>
      <c r="F24">
        <v>8505124</v>
      </c>
      <c r="G24" t="s">
        <v>12505</v>
      </c>
      <c r="H24">
        <v>1</v>
      </c>
    </row>
    <row r="25" spans="1:8" x14ac:dyDescent="0.25">
      <c r="A25">
        <v>16522</v>
      </c>
      <c r="B25" t="s">
        <v>4</v>
      </c>
      <c r="C25" t="str">
        <f t="shared" si="0"/>
        <v>8505125##</v>
      </c>
      <c r="E25" t="str">
        <f>IFERROR(VLOOKUP(1*LEFT(C25,7),DF!$A$1:$F$9447,2,FALSE),"")</f>
        <v>BASE ACRIL. 5 CINCO ESTRELLAS 2X10 RER</v>
      </c>
      <c r="F25">
        <v>8505125</v>
      </c>
      <c r="G25" t="s">
        <v>12506</v>
      </c>
      <c r="H25">
        <v>1</v>
      </c>
    </row>
    <row r="26" spans="1:8" x14ac:dyDescent="0.25">
      <c r="A26">
        <v>16522</v>
      </c>
      <c r="B26" t="s">
        <v>4</v>
      </c>
      <c r="C26" t="str">
        <f t="shared" si="0"/>
        <v>8505126##</v>
      </c>
      <c r="E26" t="str">
        <f>IFERROR(VLOOKUP(1*LEFT(C26,7),DF!$A$1:$F$9447,2,FALSE),"")</f>
        <v>BASE ACRIL. 6 SEIS ESTRELLAS 2X10 RER</v>
      </c>
      <c r="F26">
        <v>8505126</v>
      </c>
      <c r="G26" t="s">
        <v>12507</v>
      </c>
      <c r="H26">
        <v>2</v>
      </c>
    </row>
    <row r="27" spans="1:8" x14ac:dyDescent="0.25">
      <c r="A27">
        <v>16522</v>
      </c>
      <c r="B27" t="s">
        <v>4</v>
      </c>
      <c r="C27" t="str">
        <f t="shared" si="0"/>
        <v>8505155##</v>
      </c>
      <c r="E27" t="str">
        <f>IFERROR(VLOOKUP(1*LEFT(C27,7),DF!$A$1:$F$9447,2,FALSE),"")</f>
        <v>BASE ACRIL. AUXILIAR 1ERA RER</v>
      </c>
      <c r="F27">
        <v>8505155</v>
      </c>
      <c r="G27" t="s">
        <v>12508</v>
      </c>
      <c r="H27">
        <v>2</v>
      </c>
    </row>
    <row r="28" spans="1:8" x14ac:dyDescent="0.25">
      <c r="A28">
        <v>16522</v>
      </c>
      <c r="B28" t="s">
        <v>4</v>
      </c>
      <c r="C28" t="str">
        <f t="shared" si="0"/>
        <v>8505154##</v>
      </c>
      <c r="E28" t="str">
        <f>IFERROR(VLOOKUP(1*LEFT(C28,7),DF!$A$1:$F$9447,2,FALSE),"")</f>
        <v>BASE ACRIL. AUXILIAR RER</v>
      </c>
      <c r="F28">
        <v>8505154</v>
      </c>
      <c r="G28" t="s">
        <v>12509</v>
      </c>
      <c r="H28">
        <v>3</v>
      </c>
    </row>
    <row r="29" spans="1:8" x14ac:dyDescent="0.25">
      <c r="A29">
        <v>16522</v>
      </c>
      <c r="B29" t="s">
        <v>4</v>
      </c>
      <c r="C29" t="str">
        <f t="shared" si="0"/>
        <v>8505174##</v>
      </c>
      <c r="E29" t="str">
        <f>IFERROR(VLOOKUP(1*LEFT(C29,7),DF!$A$1:$F$9447,2,FALSE),"")</f>
        <v>BASE ACRIL. AUXILIAR SEGUNDO</v>
      </c>
      <c r="F29">
        <v>8505174</v>
      </c>
      <c r="G29" t="s">
        <v>12510</v>
      </c>
      <c r="H29">
        <v>2</v>
      </c>
    </row>
    <row r="30" spans="1:8" x14ac:dyDescent="0.25">
      <c r="A30" s="2">
        <v>16522</v>
      </c>
      <c r="B30" s="2" t="s">
        <v>4</v>
      </c>
      <c r="C30" s="2" t="str">
        <f t="shared" si="0"/>
        <v>8505003##</v>
      </c>
      <c r="D30" s="2"/>
      <c r="E30" s="2" t="str">
        <f>IFERROR(VLOOKUP(1*LEFT(C30,7),DF!$A$1:$F$9447,2,FALSE),"")</f>
        <v>BASE DE TELA</v>
      </c>
      <c r="F30">
        <v>8505003</v>
      </c>
      <c r="G30" t="s">
        <v>13140</v>
      </c>
      <c r="H30">
        <v>2</v>
      </c>
    </row>
    <row r="31" spans="1:8" x14ac:dyDescent="0.25">
      <c r="A31">
        <v>16522</v>
      </c>
      <c r="B31" t="s">
        <v>4</v>
      </c>
      <c r="C31" t="str">
        <f t="shared" si="0"/>
        <v>8503125##</v>
      </c>
      <c r="E31" t="str">
        <f>IFERROR(VLOOKUP(1*LEFT(C31,7),DF!$A$1:$F$9447,2,FALSE),"")</f>
        <v>BASTON EXTENSIBLE CROM.5736</v>
      </c>
      <c r="F31">
        <v>8503125</v>
      </c>
      <c r="G31" t="s">
        <v>12511</v>
      </c>
      <c r="H31">
        <v>3</v>
      </c>
    </row>
    <row r="32" spans="1:8" x14ac:dyDescent="0.25">
      <c r="A32">
        <v>16522</v>
      </c>
      <c r="B32" t="s">
        <v>4</v>
      </c>
      <c r="C32" t="str">
        <f t="shared" si="0"/>
        <v>8503428##</v>
      </c>
      <c r="E32" t="str">
        <f>IFERROR(VLOOKUP(1*LEFT(C32,7),DF!$A$1:$F$9447,2,FALSE),"")</f>
        <v>BASTON EXTENSIBLE IMP. NEGRO 0807</v>
      </c>
      <c r="F32">
        <v>8503428</v>
      </c>
      <c r="G32" t="s">
        <v>12512</v>
      </c>
      <c r="H32">
        <v>3</v>
      </c>
    </row>
    <row r="33" spans="1:9" x14ac:dyDescent="0.25">
      <c r="A33">
        <v>16522</v>
      </c>
      <c r="B33" t="s">
        <v>4</v>
      </c>
      <c r="C33" t="str">
        <f t="shared" si="0"/>
        <v>8520042##</v>
      </c>
      <c r="E33" t="str">
        <f>IFERROR(VLOOKUP(1*LEFT(C33,7),DF!$A$1:$F$9447,2,FALSE),"")</f>
        <v>BINOCULAR LARGAVISTA  TACTICO HIGH QUALITY 20X50 10282</v>
      </c>
      <c r="F33">
        <v>8520042</v>
      </c>
      <c r="G33" t="s">
        <v>12513</v>
      </c>
      <c r="H33">
        <v>6</v>
      </c>
    </row>
    <row r="34" spans="1:9" x14ac:dyDescent="0.25">
      <c r="A34" s="2">
        <v>16522</v>
      </c>
      <c r="B34" s="2" t="s">
        <v>4</v>
      </c>
      <c r="C34" s="2" t="str">
        <f t="shared" ref="C34:C52" si="1">CONCATENATE(F34,"##")</f>
        <v>8301558##</v>
      </c>
      <c r="D34" s="2"/>
      <c r="E34" s="2" t="str">
        <f>IFERROR(VLOOKUP(1*LEFT(C34,7),DF!$A$1:$F$9447,2,FALSE),"")</f>
        <v>BOINA LANA AZUL 5581-26-2/3</v>
      </c>
      <c r="F34" s="7">
        <v>8301558</v>
      </c>
      <c r="G34" t="s">
        <v>12514</v>
      </c>
      <c r="H34">
        <v>3</v>
      </c>
    </row>
    <row r="35" spans="1:9" x14ac:dyDescent="0.25">
      <c r="A35">
        <v>16522</v>
      </c>
      <c r="B35" t="s">
        <v>4</v>
      </c>
      <c r="C35" t="str">
        <f t="shared" si="1"/>
        <v>8301000##</v>
      </c>
      <c r="E35" t="str">
        <f>IFERROR(VLOOKUP(1*LEFT(C35,7),DF!$A$1:$F$9447,2,FALSE),"")</f>
        <v>BOINA PANA AZUL RER</v>
      </c>
      <c r="F35">
        <v>8301000</v>
      </c>
      <c r="G35" t="s">
        <v>12515</v>
      </c>
      <c r="H35">
        <v>2</v>
      </c>
    </row>
    <row r="36" spans="1:9" x14ac:dyDescent="0.25">
      <c r="A36">
        <v>16522</v>
      </c>
      <c r="B36" t="s">
        <v>4</v>
      </c>
      <c r="C36" t="str">
        <f t="shared" si="1"/>
        <v>8301008##</v>
      </c>
      <c r="E36" t="str">
        <f>IFERROR(VLOOKUP(1*LEFT(C36,7),DF!$A$1:$F$9447,2,FALSE),"")</f>
        <v>BOINA PANA BEIGE LMGE RER</v>
      </c>
      <c r="F36">
        <v>8301008</v>
      </c>
      <c r="G36" t="s">
        <v>12516</v>
      </c>
      <c r="H36">
        <v>3</v>
      </c>
    </row>
    <row r="37" spans="1:9" x14ac:dyDescent="0.25">
      <c r="A37">
        <v>16522</v>
      </c>
      <c r="B37" t="s">
        <v>4</v>
      </c>
      <c r="C37" t="str">
        <f t="shared" si="1"/>
        <v>8301805##</v>
      </c>
      <c r="E37" t="str">
        <f>IFERROR(VLOOKUP(1*LEFT(C37,7),DF!$A$1:$F$9447,2,FALSE),"")</f>
        <v>BOINA PANA NEGRA RER</v>
      </c>
      <c r="F37">
        <v>8301805</v>
      </c>
      <c r="G37" t="s">
        <v>12517</v>
      </c>
      <c r="H37">
        <v>2</v>
      </c>
    </row>
    <row r="38" spans="1:9" x14ac:dyDescent="0.25">
      <c r="A38">
        <v>16522</v>
      </c>
      <c r="B38" t="s">
        <v>4</v>
      </c>
      <c r="C38" t="str">
        <f t="shared" si="1"/>
        <v>8301495##</v>
      </c>
      <c r="E38" t="str">
        <f>IFERROR(VLOOKUP(1*LEFT(C38,7),DF!$A$1:$F$9447,2,FALSE),"")</f>
        <v>BOINA TELA AZUL MF</v>
      </c>
      <c r="F38">
        <v>8301495</v>
      </c>
      <c r="G38" t="s">
        <v>12518</v>
      </c>
      <c r="H38">
        <v>6</v>
      </c>
    </row>
    <row r="39" spans="1:9" x14ac:dyDescent="0.25">
      <c r="A39">
        <v>16522</v>
      </c>
      <c r="B39" t="s">
        <v>4</v>
      </c>
      <c r="C39" t="str">
        <f t="shared" si="1"/>
        <v>8301700##</v>
      </c>
      <c r="E39" t="str">
        <f>IFERROR(VLOOKUP(1*LEFT(C39,7),DF!$A$1:$F$9447,2,FALSE),"")</f>
        <v>BOINA TELA NEGRA MF</v>
      </c>
      <c r="F39">
        <v>8301700</v>
      </c>
      <c r="G39" t="s">
        <v>12519</v>
      </c>
      <c r="H39">
        <v>6</v>
      </c>
    </row>
    <row r="40" spans="1:9" x14ac:dyDescent="0.25">
      <c r="A40">
        <v>16522</v>
      </c>
      <c r="B40" t="s">
        <v>4</v>
      </c>
      <c r="C40" t="str">
        <f t="shared" si="1"/>
        <v>8692232##</v>
      </c>
      <c r="E40" t="str">
        <f>IFERROR(VLOOKUP(1*LEFT(C40,7),DF!$A$1:$F$9447,2,FALSE),"")</f>
        <v>BOLSA DE DORMIR KC-002-1</v>
      </c>
      <c r="F40">
        <v>8692232</v>
      </c>
      <c r="G40" t="s">
        <v>12520</v>
      </c>
      <c r="H40">
        <v>4</v>
      </c>
    </row>
    <row r="41" spans="1:9" x14ac:dyDescent="0.25">
      <c r="A41">
        <v>16522</v>
      </c>
      <c r="B41" t="s">
        <v>4</v>
      </c>
      <c r="C41" t="str">
        <f t="shared" si="1"/>
        <v>8692231##</v>
      </c>
      <c r="E41" t="str">
        <f>IFERROR(VLOOKUP(1*LEFT(C41,7),DF!$A$1:$F$9447,2,FALSE),"")</f>
        <v>BOLSA DE DORMIR KC-008-4</v>
      </c>
      <c r="F41">
        <v>8692231</v>
      </c>
      <c r="G41" t="s">
        <v>12521</v>
      </c>
      <c r="H41">
        <v>5</v>
      </c>
    </row>
    <row r="42" spans="1:9" x14ac:dyDescent="0.25">
      <c r="A42">
        <v>16522</v>
      </c>
      <c r="B42" t="s">
        <v>4</v>
      </c>
      <c r="C42" t="str">
        <f t="shared" si="1"/>
        <v>8692233##</v>
      </c>
      <c r="E42" t="str">
        <f>IFERROR(VLOOKUP(1*LEFT(C42,7),DF!$A$1:$F$9447,2,FALSE),"")</f>
        <v>BOLSA DE DORMIR KC016</v>
      </c>
      <c r="F42">
        <v>8692233</v>
      </c>
      <c r="G42" t="s">
        <v>12522</v>
      </c>
      <c r="H42">
        <v>5</v>
      </c>
    </row>
    <row r="43" spans="1:9" x14ac:dyDescent="0.25">
      <c r="A43" s="2">
        <v>16522</v>
      </c>
      <c r="B43" s="2" t="s">
        <v>4</v>
      </c>
      <c r="C43" s="2" t="str">
        <f t="shared" si="1"/>
        <v>8708099##</v>
      </c>
      <c r="D43" s="2"/>
      <c r="E43" s="2" t="str">
        <f>IFERROR(VLOOKUP(1*LEFT(C43,7),DF!$A$1:$F$9447,2,FALSE),"")</f>
        <v>BOLSO MOCHILA GRANDE</v>
      </c>
      <c r="F43">
        <v>8708099</v>
      </c>
      <c r="G43" t="s">
        <v>12940</v>
      </c>
      <c r="H43">
        <v>3</v>
      </c>
    </row>
    <row r="44" spans="1:9" x14ac:dyDescent="0.25">
      <c r="A44" s="2">
        <v>16522</v>
      </c>
      <c r="B44" s="2" t="s">
        <v>4</v>
      </c>
      <c r="C44" s="2" t="str">
        <f t="shared" si="1"/>
        <v>8205080##</v>
      </c>
      <c r="D44" s="2"/>
      <c r="E44" s="2" t="str">
        <f>IFERROR(VLOOKUP(1*LEFT(C44,7),DF!$A$1:$F$9447,2,FALSE),"")</f>
        <v>BORCEGUI COMANDO CORTO ART80 C/CIERRE CA</v>
      </c>
      <c r="F44" s="7">
        <v>8205080</v>
      </c>
      <c r="G44" t="s">
        <v>12523</v>
      </c>
      <c r="H44">
        <v>8</v>
      </c>
      <c r="I44">
        <v>1</v>
      </c>
    </row>
    <row r="45" spans="1:9" x14ac:dyDescent="0.25">
      <c r="A45" s="2">
        <v>16522</v>
      </c>
      <c r="B45" s="2" t="s">
        <v>4</v>
      </c>
      <c r="C45" s="2" t="str">
        <f t="shared" si="1"/>
        <v>8205881##</v>
      </c>
      <c r="D45" s="2"/>
      <c r="E45" s="2" t="str">
        <f>IFERROR(VLOOKUP(1*LEFT(C45,7),DF!$A$1:$F$9447,2,FALSE),"")</f>
        <v>BORCEGUI COMANDO CORTO ART81 BEIGE C/CIE</v>
      </c>
      <c r="F45" s="7">
        <v>8205881</v>
      </c>
      <c r="G45" t="s">
        <v>12524</v>
      </c>
      <c r="H45">
        <v>6</v>
      </c>
      <c r="I45">
        <v>1</v>
      </c>
    </row>
    <row r="46" spans="1:9" x14ac:dyDescent="0.25">
      <c r="A46" s="2">
        <v>16522</v>
      </c>
      <c r="B46" s="2" t="s">
        <v>4</v>
      </c>
      <c r="C46" s="2" t="str">
        <f t="shared" si="1"/>
        <v>8205118##</v>
      </c>
      <c r="D46" s="2"/>
      <c r="E46" s="2" t="str">
        <f>IFERROR(VLOOKUP(1*LEFT(C46,7),DF!$A$1:$F$9447,2,FALSE),"")</f>
        <v>BORCEGUI COMANDO RERDA ART60 CIERRE CAR</v>
      </c>
      <c r="F46" s="7">
        <v>8205118</v>
      </c>
      <c r="G46" t="s">
        <v>12525</v>
      </c>
      <c r="H46">
        <v>7</v>
      </c>
      <c r="I46">
        <v>1</v>
      </c>
    </row>
    <row r="47" spans="1:9" x14ac:dyDescent="0.25">
      <c r="A47" s="2">
        <v>16522</v>
      </c>
      <c r="B47" s="2" t="s">
        <v>4</v>
      </c>
      <c r="C47" s="2" t="str">
        <f t="shared" si="1"/>
        <v>8205119##</v>
      </c>
      <c r="D47" s="2"/>
      <c r="E47" s="2" t="str">
        <f>IFERROR(VLOOKUP(1*LEFT(C47,7),DF!$A$1:$F$9447,2,FALSE),"")</f>
        <v>BORCEGUI COMANDO RERDA BEIGE CIERRE CAR ART61</v>
      </c>
      <c r="F47" s="7">
        <v>8205119</v>
      </c>
      <c r="G47" t="s">
        <v>12526</v>
      </c>
      <c r="H47">
        <v>6</v>
      </c>
      <c r="I47">
        <v>1</v>
      </c>
    </row>
    <row r="48" spans="1:9" x14ac:dyDescent="0.25">
      <c r="A48" s="2">
        <v>16522</v>
      </c>
      <c r="B48" s="2" t="s">
        <v>4</v>
      </c>
      <c r="C48" s="2" t="str">
        <f t="shared" si="1"/>
        <v>8205051##</v>
      </c>
      <c r="D48" s="2"/>
      <c r="E48" s="2" t="str">
        <f>IFERROR(VLOOKUP(1*LEFT(C48,7),DF!$A$1:$F$9447,2,FALSE),"")</f>
        <v>BORCEGUI CON PELUCHE CC</v>
      </c>
      <c r="F48" s="7">
        <v>8205051</v>
      </c>
      <c r="G48" t="s">
        <v>12527</v>
      </c>
      <c r="H48">
        <v>10</v>
      </c>
      <c r="I48">
        <v>1</v>
      </c>
    </row>
    <row r="49" spans="1:9" x14ac:dyDescent="0.25">
      <c r="A49" s="2">
        <v>16522</v>
      </c>
      <c r="B49" s="2" t="s">
        <v>4</v>
      </c>
      <c r="C49" s="2" t="str">
        <f t="shared" si="1"/>
        <v>8205050##</v>
      </c>
      <c r="D49" s="2"/>
      <c r="E49" s="2" t="str">
        <f>IFERROR(VLOOKUP(1*LEFT(C49,7),DF!$A$1:$F$9447,2,FALSE),"")</f>
        <v>BORCEGUI CUERO  CLASICO RER</v>
      </c>
      <c r="F49" s="7">
        <v>8205050</v>
      </c>
      <c r="G49" t="s">
        <v>12528</v>
      </c>
      <c r="H49">
        <v>8</v>
      </c>
      <c r="I49">
        <v>1</v>
      </c>
    </row>
    <row r="50" spans="1:9" x14ac:dyDescent="0.25">
      <c r="A50">
        <v>16522</v>
      </c>
      <c r="B50" t="s">
        <v>4</v>
      </c>
      <c r="C50" t="str">
        <f t="shared" si="1"/>
        <v>8205600##</v>
      </c>
      <c r="E50" t="str">
        <f>IFERROR(VLOOKUP(1*LEFT(C50,7),DF!$A$1:$F$9447,2,FALSE),"")</f>
        <v>BORCEGUI TACTICO DEL600</v>
      </c>
      <c r="F50">
        <v>8205600</v>
      </c>
      <c r="G50" t="s">
        <v>12529</v>
      </c>
      <c r="H50">
        <v>4</v>
      </c>
    </row>
    <row r="51" spans="1:9" x14ac:dyDescent="0.25">
      <c r="A51">
        <v>16522</v>
      </c>
      <c r="B51" t="s">
        <v>4</v>
      </c>
      <c r="C51" t="str">
        <f t="shared" si="1"/>
        <v>8205006##</v>
      </c>
      <c r="E51" t="str">
        <f>IFERROR(VLOOKUP(1*LEFT(C51,7),DF!$A$1:$F$9447,2,FALSE),"")</f>
        <v>BORCEGUI TACTICO DL006</v>
      </c>
      <c r="F51">
        <v>8205006</v>
      </c>
      <c r="G51" t="s">
        <v>13233</v>
      </c>
      <c r="H51">
        <v>6</v>
      </c>
    </row>
    <row r="52" spans="1:9" x14ac:dyDescent="0.25">
      <c r="A52">
        <v>16522</v>
      </c>
      <c r="B52" t="s">
        <v>4</v>
      </c>
      <c r="C52" t="str">
        <f t="shared" si="1"/>
        <v>8205037##</v>
      </c>
      <c r="E52" t="str">
        <f>IFERROR(VLOOKUP(1*LEFT(C52,7),DF!$A$1:$F$9447,2,FALSE),"")</f>
        <v>BORCEGUI TACTICO FULL GRAIN LEATHER</v>
      </c>
      <c r="F52">
        <v>8205037</v>
      </c>
      <c r="G52" t="s">
        <v>12530</v>
      </c>
      <c r="H52">
        <v>4</v>
      </c>
    </row>
    <row r="53" spans="1:9" x14ac:dyDescent="0.25">
      <c r="A53">
        <v>16522</v>
      </c>
      <c r="B53" t="s">
        <v>4</v>
      </c>
      <c r="C53" t="s">
        <v>12308</v>
      </c>
      <c r="E53" t="str">
        <f>IFERROR(VLOOKUP(1*LEFT(C53,7),DF!$A$1:$F$9447,2,FALSE),"")</f>
        <v>BORCEGUI TACTICO FULL GRAIN LEATHER T.ESPECIAL</v>
      </c>
      <c r="F53">
        <v>8205037</v>
      </c>
      <c r="G53" t="s">
        <v>12530</v>
      </c>
      <c r="H53">
        <v>4</v>
      </c>
    </row>
    <row r="54" spans="1:9" x14ac:dyDescent="0.25">
      <c r="A54">
        <v>16522</v>
      </c>
      <c r="B54" t="s">
        <v>4</v>
      </c>
      <c r="C54" t="str">
        <f>CONCATENATE(F54,"##")</f>
        <v>8205818##</v>
      </c>
      <c r="E54" t="str">
        <f>IFERROR(VLOOKUP(1*LEFT(C54,7),DF!$A$1:$F$9447,2,FALSE),"")</f>
        <v>BORCEGUI TACTICO GL818</v>
      </c>
      <c r="F54">
        <v>8205818</v>
      </c>
      <c r="G54" t="s">
        <v>12531</v>
      </c>
      <c r="H54">
        <v>6</v>
      </c>
    </row>
    <row r="55" spans="1:9" x14ac:dyDescent="0.25">
      <c r="A55" s="2">
        <v>16522</v>
      </c>
      <c r="B55" s="2" t="s">
        <v>4</v>
      </c>
      <c r="C55" s="2" t="str">
        <f>CONCATENATE(F55,"##")</f>
        <v>8205115##</v>
      </c>
      <c r="D55" s="2"/>
      <c r="E55" s="2" t="str">
        <f>IFERROR(VLOOKUP(1*LEFT(C55,7),DF!$A$1:$F$9447,2,FALSE),"")</f>
        <v>BORCEGUI TACTICO RERDA LMGE CC</v>
      </c>
      <c r="F55" s="7">
        <v>8205115</v>
      </c>
      <c r="G55" t="s">
        <v>12532</v>
      </c>
      <c r="H55">
        <v>7</v>
      </c>
      <c r="I55">
        <v>1</v>
      </c>
    </row>
    <row r="56" spans="1:9" x14ac:dyDescent="0.25">
      <c r="A56" s="2">
        <v>16522</v>
      </c>
      <c r="B56" s="2" t="s">
        <v>4</v>
      </c>
      <c r="C56" s="2" t="s">
        <v>4113</v>
      </c>
      <c r="D56" s="2"/>
      <c r="E56" s="2" t="str">
        <f>IFERROR(VLOOKUP(1*LEFT(C56,7),DF!$A$1:$F$9447,2,FALSE),"")</f>
        <v>BORCEGUI TACTICO RERDA T. ESPECIAL RER</v>
      </c>
      <c r="F56" s="7">
        <v>8205115</v>
      </c>
      <c r="G56" t="s">
        <v>12532</v>
      </c>
      <c r="H56">
        <v>7</v>
      </c>
      <c r="I56">
        <v>1</v>
      </c>
    </row>
    <row r="57" spans="1:9" x14ac:dyDescent="0.25">
      <c r="A57" s="2">
        <v>16522</v>
      </c>
      <c r="B57" s="2" t="s">
        <v>4</v>
      </c>
      <c r="C57" s="2" t="str">
        <f t="shared" ref="C57:C88" si="2">CONCATENATE(F57,"##")</f>
        <v>8205041##</v>
      </c>
      <c r="D57" s="2"/>
      <c r="E57" s="2" t="str">
        <f>IFERROR(VLOOKUP(1*LEFT(C57,7),DF!$A$1:$F$9447,2,FALSE),"")</f>
        <v>BORCEGUI TODO CUERO RERDA RER</v>
      </c>
      <c r="F57" s="7">
        <v>8205041</v>
      </c>
      <c r="G57" t="s">
        <v>12533</v>
      </c>
      <c r="H57">
        <v>7</v>
      </c>
      <c r="I57">
        <v>1</v>
      </c>
    </row>
    <row r="58" spans="1:9" x14ac:dyDescent="0.25">
      <c r="A58" s="2">
        <v>16522</v>
      </c>
      <c r="B58" s="2" t="s">
        <v>4</v>
      </c>
      <c r="C58" s="2" t="str">
        <f t="shared" si="2"/>
        <v>8205090##</v>
      </c>
      <c r="D58" s="2"/>
      <c r="E58" s="2" t="str">
        <f>IFERROR(VLOOKUP(1*LEFT(C58,7),DF!$A$1:$F$9447,2,FALSE),"")</f>
        <v>BORCEGUIE COMBAT ART.40</v>
      </c>
      <c r="F58" s="7">
        <v>8205090</v>
      </c>
      <c r="G58" t="s">
        <v>12534</v>
      </c>
      <c r="H58">
        <v>7</v>
      </c>
    </row>
    <row r="59" spans="1:9" x14ac:dyDescent="0.25">
      <c r="A59" s="2">
        <v>16522</v>
      </c>
      <c r="B59" s="2" t="s">
        <v>4</v>
      </c>
      <c r="C59" s="2" t="str">
        <f t="shared" si="2"/>
        <v>8205120##</v>
      </c>
      <c r="D59" s="2"/>
      <c r="E59" s="2" t="str">
        <f>IFERROR(VLOOKUP(1*LEFT(C59,7),DF!$A$1:$F$9447,2,FALSE),"")</f>
        <v>BORCEGUIE TACTICO MARRON RERDA</v>
      </c>
      <c r="F59" s="7">
        <v>8205120</v>
      </c>
      <c r="G59" t="s">
        <v>12535</v>
      </c>
      <c r="H59">
        <v>2</v>
      </c>
      <c r="I59">
        <v>1</v>
      </c>
    </row>
    <row r="60" spans="1:9" x14ac:dyDescent="0.25">
      <c r="A60" s="2">
        <v>16522</v>
      </c>
      <c r="B60" s="2" t="s">
        <v>4</v>
      </c>
      <c r="C60" s="2" t="str">
        <f t="shared" si="2"/>
        <v>8205040##</v>
      </c>
      <c r="D60" s="2"/>
      <c r="E60" s="2" t="str">
        <f>IFERROR(VLOOKUP(1*LEFT(C60,7),DF!$A$1:$F$9447,2,FALSE),"")</f>
        <v>BOTIN AMERICANO RER</v>
      </c>
      <c r="F60" s="7">
        <v>8205040</v>
      </c>
      <c r="G60" t="s">
        <v>12536</v>
      </c>
      <c r="H60">
        <v>3</v>
      </c>
      <c r="I60">
        <v>1</v>
      </c>
    </row>
    <row r="61" spans="1:9" x14ac:dyDescent="0.25">
      <c r="A61" s="2">
        <v>16522</v>
      </c>
      <c r="B61" s="2" t="s">
        <v>4</v>
      </c>
      <c r="C61" s="2" t="str">
        <f t="shared" si="2"/>
        <v>8205060##</v>
      </c>
      <c r="D61" s="2"/>
      <c r="E61" s="2" t="str">
        <f>IFERROR(VLOOKUP(1*LEFT(C61,7),DF!$A$1:$F$9447,2,FALSE),"")</f>
        <v>BOTIN CLASICO RER</v>
      </c>
      <c r="F61" s="7">
        <v>8205060</v>
      </c>
      <c r="G61" t="s">
        <v>12537</v>
      </c>
      <c r="H61">
        <v>4</v>
      </c>
      <c r="I61">
        <v>1</v>
      </c>
    </row>
    <row r="62" spans="1:9" x14ac:dyDescent="0.25">
      <c r="A62" s="2">
        <v>16522</v>
      </c>
      <c r="B62" s="2" t="s">
        <v>4</v>
      </c>
      <c r="C62" s="2" t="str">
        <f t="shared" si="2"/>
        <v>8205016##</v>
      </c>
      <c r="D62" s="2"/>
      <c r="E62" s="2" t="str">
        <f>IFERROR(VLOOKUP(1*LEFT(C62,7),DF!$A$1:$F$9447,2,FALSE),"")</f>
        <v>BOTIN CORTO BLANCO CUERO/GAMUZA 1016</v>
      </c>
      <c r="F62" s="7">
        <v>8205016</v>
      </c>
      <c r="G62" t="s">
        <v>12538</v>
      </c>
      <c r="H62">
        <v>4</v>
      </c>
      <c r="I62">
        <v>1</v>
      </c>
    </row>
    <row r="63" spans="1:9" x14ac:dyDescent="0.25">
      <c r="A63" s="2">
        <v>16522</v>
      </c>
      <c r="B63" s="2" t="s">
        <v>4</v>
      </c>
      <c r="C63" s="2" t="str">
        <f t="shared" si="2"/>
        <v>8205018##</v>
      </c>
      <c r="D63" s="2"/>
      <c r="E63" s="2" t="str">
        <f>IFERROR(VLOOKUP(1*LEFT(C63,7),DF!$A$1:$F$9447,2,FALSE),"")</f>
        <v>BOTIN DE TRABAJO PUNTA ACERO NEGRO AFU</v>
      </c>
      <c r="F63" s="7">
        <v>8205018</v>
      </c>
      <c r="G63" t="s">
        <v>12539</v>
      </c>
      <c r="H63">
        <v>7</v>
      </c>
      <c r="I63">
        <v>1</v>
      </c>
    </row>
    <row r="64" spans="1:9" x14ac:dyDescent="0.25">
      <c r="A64" s="2">
        <v>16522</v>
      </c>
      <c r="B64" s="2" t="s">
        <v>4</v>
      </c>
      <c r="C64" s="2" t="str">
        <f t="shared" si="2"/>
        <v>8205010##</v>
      </c>
      <c r="D64" s="2"/>
      <c r="E64" s="2" t="str">
        <f>IFERROR(VLOOKUP(1*LEFT(C64,7),DF!$A$1:$F$9447,2,FALSE),"")</f>
        <v>BOTIN PRUSIANO MARRON RER</v>
      </c>
      <c r="F64" s="7">
        <v>8205010</v>
      </c>
      <c r="G64" t="s">
        <v>12540</v>
      </c>
      <c r="H64">
        <v>3</v>
      </c>
      <c r="I64">
        <v>1</v>
      </c>
    </row>
    <row r="65" spans="1:9" x14ac:dyDescent="0.25">
      <c r="A65" s="2">
        <v>16522</v>
      </c>
      <c r="B65" s="2" t="s">
        <v>4</v>
      </c>
      <c r="C65" s="2" t="str">
        <f t="shared" si="2"/>
        <v>8205020##</v>
      </c>
      <c r="D65" s="2"/>
      <c r="E65" s="2" t="str">
        <f>IFERROR(VLOOKUP(1*LEFT(C65,7),DF!$A$1:$F$9447,2,FALSE),"")</f>
        <v>BOTIN PRUSIANO NEGRO RER</v>
      </c>
      <c r="F65" s="7">
        <v>8205020</v>
      </c>
      <c r="G65" t="s">
        <v>12541</v>
      </c>
      <c r="H65">
        <v>3</v>
      </c>
      <c r="I65">
        <v>1</v>
      </c>
    </row>
    <row r="66" spans="1:9" x14ac:dyDescent="0.25">
      <c r="A66" s="2">
        <v>16522</v>
      </c>
      <c r="B66" s="2" t="s">
        <v>4</v>
      </c>
      <c r="C66" s="2" t="str">
        <f t="shared" si="2"/>
        <v>8520124##</v>
      </c>
      <c r="D66" s="2"/>
      <c r="E66" s="2" t="str">
        <f>IFERROR(VLOOKUP(1*LEFT(C66,7),DF!$A$1:$F$9447,2,FALSE),"")</f>
        <v>BRAZALETE PARACOR BRUJ+ TERMOMETRO 4321</v>
      </c>
      <c r="F66" s="7">
        <v>8520124</v>
      </c>
      <c r="G66" t="s">
        <v>13239</v>
      </c>
      <c r="H66">
        <v>5</v>
      </c>
    </row>
    <row r="67" spans="1:9" x14ac:dyDescent="0.25">
      <c r="A67">
        <v>16522</v>
      </c>
      <c r="B67" t="s">
        <v>4</v>
      </c>
      <c r="C67" t="str">
        <f t="shared" si="2"/>
        <v>7800000##</v>
      </c>
      <c r="E67" t="str">
        <f>IFERROR(VLOOKUP(1*LEFT(C67,7),DF!$A$1:$F$9447,2,FALSE),"")</f>
        <v>CABLE USB</v>
      </c>
      <c r="F67">
        <v>7800000</v>
      </c>
      <c r="G67" t="s">
        <v>12542</v>
      </c>
      <c r="H67">
        <v>2</v>
      </c>
    </row>
    <row r="68" spans="1:9" x14ac:dyDescent="0.25">
      <c r="A68">
        <v>16522</v>
      </c>
      <c r="B68" t="s">
        <v>4</v>
      </c>
      <c r="C68" t="str">
        <f t="shared" si="2"/>
        <v>8511522##</v>
      </c>
      <c r="E68" t="str">
        <f>IFERROR(VLOOKUP(1*LEFT(C68,7),DF!$A$1:$F$9447,2,FALSE),"")</f>
        <v>CACHAS ANATOMICAS BERSA  10442 RER</v>
      </c>
      <c r="F68">
        <v>8511522</v>
      </c>
      <c r="G68" t="s">
        <v>12543</v>
      </c>
      <c r="H68">
        <v>2</v>
      </c>
    </row>
    <row r="69" spans="1:9" x14ac:dyDescent="0.25">
      <c r="A69">
        <v>16522</v>
      </c>
      <c r="B69" t="s">
        <v>4</v>
      </c>
      <c r="C69" t="str">
        <f t="shared" si="2"/>
        <v>8692010##</v>
      </c>
      <c r="E69" t="str">
        <f>IFERROR(VLOOKUP(1*LEFT(C69,7),DF!$A$1:$F$9447,2,FALSE),"")</f>
        <v>CAMPING CARPA DE EMERGENCIA 4319</v>
      </c>
      <c r="F69">
        <v>8692010</v>
      </c>
      <c r="G69" t="s">
        <v>12544</v>
      </c>
      <c r="H69">
        <v>3</v>
      </c>
    </row>
    <row r="70" spans="1:9" x14ac:dyDescent="0.25">
      <c r="A70">
        <v>16522</v>
      </c>
      <c r="B70" t="s">
        <v>4</v>
      </c>
      <c r="C70" t="str">
        <f t="shared" si="2"/>
        <v>8692011##</v>
      </c>
      <c r="E70" t="str">
        <f>IFERROR(VLOOKUP(1*LEFT(C70,7),DF!$A$1:$F$9447,2,FALSE),"")</f>
        <v>CAMPING INFLADOR 68612</v>
      </c>
      <c r="F70">
        <v>8692011</v>
      </c>
      <c r="G70" t="s">
        <v>12545</v>
      </c>
      <c r="H70">
        <v>3</v>
      </c>
    </row>
    <row r="71" spans="1:9" x14ac:dyDescent="0.25">
      <c r="A71">
        <v>16522</v>
      </c>
      <c r="B71" t="s">
        <v>4</v>
      </c>
      <c r="C71" t="str">
        <f t="shared" si="2"/>
        <v>8612057##</v>
      </c>
      <c r="E71" t="str">
        <f>IFERROR(VLOOKUP(1*LEFT(C71,7),DF!$A$1:$F$9447,2,FALSE),"")</f>
        <v>CARPA 16986-3</v>
      </c>
      <c r="F71">
        <v>8612057</v>
      </c>
      <c r="G71" t="s">
        <v>12546</v>
      </c>
      <c r="H71">
        <v>4</v>
      </c>
    </row>
    <row r="72" spans="1:9" x14ac:dyDescent="0.25">
      <c r="A72">
        <v>16522</v>
      </c>
      <c r="B72" t="s">
        <v>4</v>
      </c>
      <c r="C72" t="str">
        <f t="shared" si="2"/>
        <v>8612056##</v>
      </c>
      <c r="E72" t="str">
        <f>IFERROR(VLOOKUP(1*LEFT(C72,7),DF!$A$1:$F$9447,2,FALSE),"")</f>
        <v>CARPA 3 PERS 16986-1</v>
      </c>
      <c r="F72">
        <v>8612056</v>
      </c>
      <c r="G72" t="s">
        <v>12547</v>
      </c>
      <c r="H72">
        <v>6</v>
      </c>
    </row>
    <row r="73" spans="1:9" x14ac:dyDescent="0.25">
      <c r="A73">
        <v>16522</v>
      </c>
      <c r="B73" t="s">
        <v>4</v>
      </c>
      <c r="C73" t="str">
        <f t="shared" si="2"/>
        <v>8612058##</v>
      </c>
      <c r="E73" t="str">
        <f>IFERROR(VLOOKUP(1*LEFT(C73,7),DF!$A$1:$F$9447,2,FALSE),"")</f>
        <v>CARPA CAMPING A03</v>
      </c>
      <c r="F73">
        <v>8612058</v>
      </c>
      <c r="G73" t="s">
        <v>12548</v>
      </c>
      <c r="H73">
        <v>4</v>
      </c>
    </row>
    <row r="74" spans="1:9" x14ac:dyDescent="0.25">
      <c r="A74" s="2">
        <v>16522</v>
      </c>
      <c r="B74" s="2" t="s">
        <v>4</v>
      </c>
      <c r="C74" s="2" t="str">
        <f t="shared" si="2"/>
        <v>8303123##</v>
      </c>
      <c r="D74" s="2"/>
      <c r="E74" s="2" t="str">
        <f>IFERROR(VLOOKUP(1*LEFT(C74,7),DF!$A$1:$F$9447,2,FALSE),"")</f>
        <v>CASQ AMER REVER RIP STOP</v>
      </c>
      <c r="F74" s="7">
        <v>8303123</v>
      </c>
      <c r="G74" t="s">
        <v>13243</v>
      </c>
      <c r="H74">
        <v>7</v>
      </c>
    </row>
    <row r="75" spans="1:9" x14ac:dyDescent="0.25">
      <c r="A75">
        <v>16522</v>
      </c>
      <c r="B75" t="s">
        <v>4</v>
      </c>
      <c r="C75" t="str">
        <f t="shared" si="2"/>
        <v>8303665##</v>
      </c>
      <c r="E75" s="2" t="str">
        <f>IFERROR(VLOOKUP(1*LEFT(C75,7),DF!$A$1:$F$9447,2,FALSE),"")</f>
        <v>CASQ ARMADO  VERDE</v>
      </c>
      <c r="F75">
        <v>8303665</v>
      </c>
      <c r="G75" t="s">
        <v>12549</v>
      </c>
      <c r="H75">
        <v>5</v>
      </c>
    </row>
    <row r="76" spans="1:9" x14ac:dyDescent="0.25">
      <c r="A76">
        <v>16522</v>
      </c>
      <c r="B76" t="s">
        <v>4</v>
      </c>
      <c r="C76" t="str">
        <f t="shared" si="2"/>
        <v>8303222##</v>
      </c>
      <c r="E76" s="2" t="str">
        <f>IFERROR(VLOOKUP(1*LEFT(C76,7),DF!$A$1:$F$9447,2,FALSE),"")</f>
        <v>CASQ ARMADO GAB AZUL</v>
      </c>
      <c r="F76">
        <v>8303222</v>
      </c>
      <c r="G76" t="s">
        <v>12550</v>
      </c>
      <c r="H76">
        <v>5</v>
      </c>
    </row>
    <row r="77" spans="1:9" x14ac:dyDescent="0.25">
      <c r="A77" s="2">
        <v>16522</v>
      </c>
      <c r="B77" s="2" t="s">
        <v>4</v>
      </c>
      <c r="C77" s="2" t="str">
        <f t="shared" si="2"/>
        <v>8303014##</v>
      </c>
      <c r="D77" s="2"/>
      <c r="E77" s="2" t="str">
        <f>IFERROR(VLOOKUP(1*LEFT(C77,7),DF!$A$1:$F$9447,2,FALSE),"")</f>
        <v>CASQ AZUL URBANO TUCUMAN</v>
      </c>
      <c r="F77">
        <v>8303014</v>
      </c>
      <c r="G77" t="s">
        <v>13225</v>
      </c>
      <c r="H77">
        <v>5</v>
      </c>
    </row>
    <row r="78" spans="1:9" x14ac:dyDescent="0.25">
      <c r="A78">
        <v>16522</v>
      </c>
      <c r="B78" t="s">
        <v>4</v>
      </c>
      <c r="C78" t="str">
        <f t="shared" si="2"/>
        <v>8303677##</v>
      </c>
      <c r="E78" s="2" t="str">
        <f>IFERROR(VLOOKUP(1*LEFT(C78,7),DF!$A$1:$F$9447,2,FALSE),"")</f>
        <v>CASQ GAB AZUL AJUSTABLE C/TRABA 4674</v>
      </c>
      <c r="F78">
        <v>8303677</v>
      </c>
      <c r="G78" t="s">
        <v>13963</v>
      </c>
      <c r="H78">
        <v>6</v>
      </c>
    </row>
    <row r="79" spans="1:9" x14ac:dyDescent="0.25">
      <c r="A79" s="2">
        <v>16522</v>
      </c>
      <c r="B79" s="2" t="s">
        <v>4</v>
      </c>
      <c r="C79" s="2" t="str">
        <f t="shared" si="2"/>
        <v>8303005##</v>
      </c>
      <c r="D79" s="2"/>
      <c r="E79" s="2" t="str">
        <f>IFERROR(VLOOKUP(1*LEFT(C79,7),DF!$A$1:$F$9447,2,FALSE),"")</f>
        <v>CASQ GAB AZUL CON ABROJO</v>
      </c>
      <c r="F79" s="2">
        <v>8303005</v>
      </c>
      <c r="G79" t="s">
        <v>13226</v>
      </c>
      <c r="H79">
        <v>4</v>
      </c>
    </row>
    <row r="80" spans="1:9" x14ac:dyDescent="0.25">
      <c r="A80" s="2">
        <v>16522</v>
      </c>
      <c r="B80" s="2" t="s">
        <v>4</v>
      </c>
      <c r="C80" s="2" t="str">
        <f t="shared" si="2"/>
        <v>8303010##</v>
      </c>
      <c r="D80" s="2"/>
      <c r="E80" s="2" t="str">
        <f>IFERROR(VLOOKUP(1*LEFT(C80,7),DF!$A$1:$F$9447,2,FALSE),"")</f>
        <v>CASQ GAB AZUL CON ABROJO</v>
      </c>
      <c r="F80" s="2">
        <v>8303010</v>
      </c>
      <c r="G80" t="s">
        <v>13227</v>
      </c>
      <c r="H80">
        <v>4</v>
      </c>
    </row>
    <row r="81" spans="1:8" x14ac:dyDescent="0.25">
      <c r="A81" s="2">
        <v>16522</v>
      </c>
      <c r="B81" s="2" t="s">
        <v>4</v>
      </c>
      <c r="C81" s="2" t="str">
        <f t="shared" si="2"/>
        <v>8303114##</v>
      </c>
      <c r="D81" s="2"/>
      <c r="E81" s="2" t="str">
        <f>IFERROR(VLOOKUP(1*LEFT(C81,7),DF!$A$1:$F$9447,2,FALSE),"")</f>
        <v>CASQ GAB GRIS ABROJO</v>
      </c>
      <c r="F81">
        <v>8303114</v>
      </c>
      <c r="G81" t="s">
        <v>13234</v>
      </c>
      <c r="H81">
        <v>5</v>
      </c>
    </row>
    <row r="82" spans="1:8" x14ac:dyDescent="0.25">
      <c r="A82" s="2">
        <v>16522</v>
      </c>
      <c r="B82" s="2" t="s">
        <v>4</v>
      </c>
      <c r="C82" s="2" t="str">
        <f t="shared" si="2"/>
        <v>8303674##</v>
      </c>
      <c r="D82" s="2"/>
      <c r="E82" s="2" t="str">
        <f>IFERROR(VLOOKUP(1*LEFT(C82,7),DF!$A$1:$F$9447,2,FALSE),"")</f>
        <v>CASQ GAB NEGRO AJUSTABLE C/TRABA 4674</v>
      </c>
      <c r="F82">
        <v>8303674</v>
      </c>
      <c r="G82" t="s">
        <v>13244</v>
      </c>
      <c r="H82">
        <v>6</v>
      </c>
    </row>
    <row r="83" spans="1:8" x14ac:dyDescent="0.25">
      <c r="A83" s="2">
        <v>16522</v>
      </c>
      <c r="B83" s="2" t="s">
        <v>4</v>
      </c>
      <c r="C83" s="2" t="str">
        <f t="shared" si="2"/>
        <v>8303006##</v>
      </c>
      <c r="D83" s="2"/>
      <c r="E83" s="2" t="str">
        <f>IFERROR(VLOOKUP(1*LEFT(C83,7),DF!$A$1:$F$9447,2,FALSE),"")</f>
        <v>CASQ GAB NEGRO CON ABROJO</v>
      </c>
      <c r="F83" s="7">
        <v>8303006</v>
      </c>
      <c r="G83" t="s">
        <v>13242</v>
      </c>
      <c r="H83">
        <v>4</v>
      </c>
    </row>
    <row r="84" spans="1:8" x14ac:dyDescent="0.25">
      <c r="A84" s="2">
        <v>16522</v>
      </c>
      <c r="B84" s="2" t="s">
        <v>4</v>
      </c>
      <c r="C84" s="2" t="str">
        <f t="shared" si="2"/>
        <v>8303112##</v>
      </c>
      <c r="D84" s="2"/>
      <c r="E84" s="2" t="str">
        <f>IFERROR(VLOOKUP(1*LEFT(C84,7),DF!$A$1:$F$9447,2,FALSE),"")</f>
        <v>CASQ GRIS BORD NEUQUEN</v>
      </c>
      <c r="F84" s="7">
        <v>8303112</v>
      </c>
      <c r="G84" t="s">
        <v>13232</v>
      </c>
      <c r="H84">
        <v>6</v>
      </c>
    </row>
    <row r="85" spans="1:8" x14ac:dyDescent="0.25">
      <c r="A85" s="2">
        <v>16522</v>
      </c>
      <c r="B85" s="2" t="s">
        <v>4</v>
      </c>
      <c r="C85" s="2" t="str">
        <f t="shared" si="2"/>
        <v>8303111##</v>
      </c>
      <c r="D85" s="2"/>
      <c r="E85" s="2" t="str">
        <f>IFERROR(VLOOKUP(1*LEFT(C85,7),DF!$A$1:$F$9447,2,FALSE),"")</f>
        <v>CASQ NEGRO BORD NEUQUEN</v>
      </c>
      <c r="F85">
        <v>8303111</v>
      </c>
      <c r="G85" t="s">
        <v>13222</v>
      </c>
      <c r="H85">
        <v>6</v>
      </c>
    </row>
    <row r="86" spans="1:8" x14ac:dyDescent="0.25">
      <c r="A86" s="2">
        <v>16522</v>
      </c>
      <c r="B86" s="2" t="s">
        <v>4</v>
      </c>
      <c r="C86" s="2" t="str">
        <f t="shared" si="2"/>
        <v>8303120##</v>
      </c>
      <c r="D86" s="2"/>
      <c r="E86" s="2" t="str">
        <f>IFERROR(VLOOKUP(1*LEFT(C86,7),DF!$A$1:$F$9447,2,FALSE),"")</f>
        <v>CASQ REVER GABARD.</v>
      </c>
      <c r="F86" s="7">
        <v>8303120</v>
      </c>
      <c r="G86" t="s">
        <v>12551</v>
      </c>
      <c r="H86">
        <v>8</v>
      </c>
    </row>
    <row r="87" spans="1:8" x14ac:dyDescent="0.25">
      <c r="A87" s="2">
        <v>16522</v>
      </c>
      <c r="B87" s="2" t="s">
        <v>4</v>
      </c>
      <c r="C87" s="2" t="str">
        <f t="shared" si="2"/>
        <v>8303495##</v>
      </c>
      <c r="D87" s="2"/>
      <c r="E87" s="2" t="str">
        <f>IFERROR(VLOOKUP(1*LEFT(C87,7),DF!$A$1:$F$9447,2,FALSE),"")</f>
        <v>CASQ RIP AZUL C ABROJO</v>
      </c>
      <c r="F87">
        <v>8303495</v>
      </c>
      <c r="G87" t="s">
        <v>13240</v>
      </c>
      <c r="H87">
        <v>5</v>
      </c>
    </row>
    <row r="88" spans="1:8" x14ac:dyDescent="0.25">
      <c r="A88" s="2">
        <v>16522</v>
      </c>
      <c r="B88" s="2" t="s">
        <v>4</v>
      </c>
      <c r="C88" s="2" t="str">
        <f t="shared" si="2"/>
        <v>8303130##</v>
      </c>
      <c r="D88" s="2"/>
      <c r="E88" s="2" t="str">
        <f>IFERROR(VLOOKUP(1*LEFT(C88,7),DF!$A$1:$F$9447,2,FALSE),"")</f>
        <v>CASQ RIP AZUL C/OJALILLOS IMP</v>
      </c>
      <c r="F88" s="7">
        <v>8303130</v>
      </c>
      <c r="G88" t="s">
        <v>12552</v>
      </c>
      <c r="H88">
        <v>3</v>
      </c>
    </row>
    <row r="89" spans="1:8" x14ac:dyDescent="0.25">
      <c r="A89">
        <v>16522</v>
      </c>
      <c r="B89" t="s">
        <v>4</v>
      </c>
      <c r="C89" t="str">
        <f t="shared" ref="C89:C120" si="3">CONCATENATE(F89,"##")</f>
        <v>8303003##</v>
      </c>
      <c r="E89" s="2" t="str">
        <f>IFERROR(VLOOKUP(1*LEFT(C89,7),DF!$A$1:$F$9447,2,FALSE),"")</f>
        <v>CASQ RIP AZUL CRIO GENERAL VISERA BORD</v>
      </c>
      <c r="F89">
        <v>8303003</v>
      </c>
      <c r="G89" t="s">
        <v>12553</v>
      </c>
      <c r="H89">
        <v>3</v>
      </c>
    </row>
    <row r="90" spans="1:8" x14ac:dyDescent="0.25">
      <c r="A90" s="2">
        <v>16522</v>
      </c>
      <c r="B90" s="2" t="s">
        <v>4</v>
      </c>
      <c r="C90" s="2" t="str">
        <f t="shared" si="3"/>
        <v>8303442##</v>
      </c>
      <c r="D90" s="2"/>
      <c r="E90" s="2" t="str">
        <f>IFERROR(VLOOKUP(1*LEFT(C90,7),DF!$A$1:$F$9447,2,FALSE),"")</f>
        <v>CASQ RIP AZUL NOCHE 442 C/ABR</v>
      </c>
      <c r="F90" s="7">
        <v>8303442</v>
      </c>
      <c r="G90" t="s">
        <v>13964</v>
      </c>
      <c r="H90">
        <v>5</v>
      </c>
    </row>
    <row r="91" spans="1:8" x14ac:dyDescent="0.25">
      <c r="A91" s="2">
        <v>16522</v>
      </c>
      <c r="B91" s="2" t="s">
        <v>4</v>
      </c>
      <c r="C91" s="2" t="str">
        <f t="shared" si="3"/>
        <v>8303800##</v>
      </c>
      <c r="D91" s="2"/>
      <c r="E91" s="2" t="str">
        <f>IFERROR(VLOOKUP(1*LEFT(C91,7),DF!$A$1:$F$9447,2,FALSE),"")</f>
        <v>CASQ RIP AZUL NQUEN. RER</v>
      </c>
      <c r="F91">
        <v>8303800</v>
      </c>
      <c r="G91" t="s">
        <v>13220</v>
      </c>
      <c r="H91">
        <v>5</v>
      </c>
    </row>
    <row r="92" spans="1:8" x14ac:dyDescent="0.25">
      <c r="A92" s="2">
        <v>16522</v>
      </c>
      <c r="B92" s="2" t="s">
        <v>4</v>
      </c>
      <c r="C92" s="2" t="str">
        <f t="shared" si="3"/>
        <v>8303902##</v>
      </c>
      <c r="D92" s="2"/>
      <c r="E92" s="2" t="str">
        <f>IFERROR(VLOOKUP(1*LEFT(C92,7),DF!$A$1:$F$9447,2,FALSE),"")</f>
        <v>CASQ RIP BEIGE ABROJO</v>
      </c>
      <c r="F92">
        <v>8303902</v>
      </c>
      <c r="G92" t="s">
        <v>13223</v>
      </c>
      <c r="H92">
        <v>3</v>
      </c>
    </row>
    <row r="93" spans="1:8" x14ac:dyDescent="0.25">
      <c r="A93" s="2">
        <v>16522</v>
      </c>
      <c r="B93" s="2" t="s">
        <v>4</v>
      </c>
      <c r="C93" s="2" t="str">
        <f t="shared" si="3"/>
        <v>8303128##</v>
      </c>
      <c r="D93" s="2"/>
      <c r="E93" s="2" t="str">
        <f>IFERROR(VLOOKUP(1*LEFT(C93,7),DF!$A$1:$F$9447,2,FALSE),"")</f>
        <v>CASQ RIP DIGITAL ACU</v>
      </c>
      <c r="F93" s="7">
        <v>8303128</v>
      </c>
      <c r="G93" t="s">
        <v>13965</v>
      </c>
      <c r="H93">
        <v>5</v>
      </c>
    </row>
    <row r="94" spans="1:8" x14ac:dyDescent="0.25">
      <c r="A94" s="2">
        <v>16522</v>
      </c>
      <c r="B94" s="2" t="s">
        <v>4</v>
      </c>
      <c r="C94" s="2" t="str">
        <f t="shared" si="3"/>
        <v>8303113##</v>
      </c>
      <c r="D94" s="2"/>
      <c r="E94" s="2" t="str">
        <f>IFERROR(VLOOKUP(1*LEFT(C94,7),DF!$A$1:$F$9447,2,FALSE),"")</f>
        <v>CASQ RIP GRIS ABROJO</v>
      </c>
      <c r="F94">
        <v>8303113</v>
      </c>
      <c r="G94" t="s">
        <v>13966</v>
      </c>
      <c r="H94">
        <v>5</v>
      </c>
    </row>
    <row r="95" spans="1:8" x14ac:dyDescent="0.25">
      <c r="A95" s="2">
        <v>16522</v>
      </c>
      <c r="B95" s="2" t="s">
        <v>4</v>
      </c>
      <c r="C95" s="2" t="str">
        <f t="shared" si="3"/>
        <v>8303544##</v>
      </c>
      <c r="D95" s="2"/>
      <c r="E95" s="2" t="str">
        <f>IFERROR(VLOOKUP(1*LEFT(C95,7),DF!$A$1:$F$9447,2,FALSE),"")</f>
        <v>CASQ RIP INFANTERIA CON ABROJO</v>
      </c>
      <c r="F95">
        <v>8303544</v>
      </c>
      <c r="G95" t="s">
        <v>13228</v>
      </c>
      <c r="H95">
        <v>3</v>
      </c>
    </row>
    <row r="96" spans="1:8" x14ac:dyDescent="0.25">
      <c r="A96" s="2">
        <v>16522</v>
      </c>
      <c r="B96" s="2" t="s">
        <v>4</v>
      </c>
      <c r="C96" s="2" t="str">
        <f t="shared" si="3"/>
        <v>8303900##</v>
      </c>
      <c r="D96" s="2"/>
      <c r="E96" s="2" t="str">
        <f>IFERROR(VLOOKUP(1*LEFT(C96,7),DF!$A$1:$F$9447,2,FALSE),"")</f>
        <v>CASQ RIP NEGRO ABROJO</v>
      </c>
      <c r="F96">
        <v>8303900</v>
      </c>
      <c r="G96" t="s">
        <v>13241</v>
      </c>
      <c r="H96">
        <v>5</v>
      </c>
    </row>
    <row r="97" spans="1:9" x14ac:dyDescent="0.25">
      <c r="A97" s="2">
        <v>16522</v>
      </c>
      <c r="B97" s="2" t="s">
        <v>4</v>
      </c>
      <c r="C97" s="2" t="str">
        <f t="shared" si="3"/>
        <v>8303129##</v>
      </c>
      <c r="D97" s="2"/>
      <c r="E97" s="2" t="str">
        <f>IFERROR(VLOOKUP(1*LEFT(C97,7),DF!$A$1:$F$9447,2,FALSE),"")</f>
        <v>CASQ RIP NEGRO C/OJALILLOS IMP</v>
      </c>
      <c r="F97" s="7">
        <v>8303129</v>
      </c>
      <c r="G97" t="s">
        <v>13229</v>
      </c>
      <c r="H97">
        <v>5</v>
      </c>
    </row>
    <row r="98" spans="1:9" x14ac:dyDescent="0.25">
      <c r="A98" s="2">
        <v>16522</v>
      </c>
      <c r="B98" s="2" t="s">
        <v>4</v>
      </c>
      <c r="C98" s="2" t="str">
        <f t="shared" si="3"/>
        <v>8303701##</v>
      </c>
      <c r="D98" s="2"/>
      <c r="E98" s="2" t="str">
        <f>IFERROR(VLOOKUP(1*LEFT(C98,7),DF!$A$1:$F$9447,2,FALSE),"")</f>
        <v>CASQ RIP NEGRO NQUEN. VISERA BORDADA RER</v>
      </c>
      <c r="F98">
        <v>8303701</v>
      </c>
      <c r="G98" t="s">
        <v>13221</v>
      </c>
      <c r="H98">
        <v>5</v>
      </c>
    </row>
    <row r="99" spans="1:9" x14ac:dyDescent="0.25">
      <c r="A99" s="2">
        <v>16522</v>
      </c>
      <c r="B99" s="2" t="s">
        <v>4</v>
      </c>
      <c r="C99" s="2" t="str">
        <f t="shared" si="3"/>
        <v>8303007##</v>
      </c>
      <c r="D99" s="2"/>
      <c r="E99" s="2" t="str">
        <f>IFERROR(VLOOKUP(1*LEFT(C99,7),DF!$A$1:$F$9447,2,FALSE),"")</f>
        <v>CASQ RIP REQUISA</v>
      </c>
      <c r="F99">
        <v>8303007</v>
      </c>
      <c r="G99" t="s">
        <v>13230</v>
      </c>
      <c r="H99">
        <v>5</v>
      </c>
    </row>
    <row r="100" spans="1:9" x14ac:dyDescent="0.25">
      <c r="A100" s="2">
        <v>16522</v>
      </c>
      <c r="B100" s="2" t="s">
        <v>4</v>
      </c>
      <c r="C100" s="2" t="str">
        <f t="shared" si="3"/>
        <v>8303133##</v>
      </c>
      <c r="D100" s="2"/>
      <c r="E100" s="2" t="str">
        <f>IFERROR(VLOOKUP(1*LEFT(C100,7),DF!$A$1:$F$9447,2,FALSE),"")</f>
        <v>CASQ RIP RURAL  C/ABROJO</v>
      </c>
      <c r="F100">
        <v>8303133</v>
      </c>
      <c r="G100" t="s">
        <v>13224</v>
      </c>
      <c r="H100">
        <v>5</v>
      </c>
    </row>
    <row r="101" spans="1:9" x14ac:dyDescent="0.25">
      <c r="A101" s="2">
        <v>16522</v>
      </c>
      <c r="B101" s="2" t="s">
        <v>4</v>
      </c>
      <c r="C101" s="2" t="str">
        <f t="shared" si="3"/>
        <v>8203124##</v>
      </c>
      <c r="D101" s="2"/>
      <c r="E101" s="2" t="str">
        <f>IFERROR(VLOOKUP(1*LEFT(C101,7),DF!$A$1:$F$9447,2,FALSE),"")</f>
        <v>CASQ RIP TIGER CELESTE</v>
      </c>
      <c r="F101">
        <v>8203124</v>
      </c>
      <c r="G101" t="s">
        <v>13231</v>
      </c>
      <c r="H101">
        <v>6</v>
      </c>
    </row>
    <row r="102" spans="1:9" x14ac:dyDescent="0.25">
      <c r="A102" s="2">
        <v>16522</v>
      </c>
      <c r="B102" s="2" t="s">
        <v>4</v>
      </c>
      <c r="C102" s="2" t="str">
        <f t="shared" si="3"/>
        <v>2401101##</v>
      </c>
      <c r="D102" s="2"/>
      <c r="E102" s="2" t="str">
        <f>IFERROR(VLOOKUP(1*LEFT(C102,7),DF!$A$1:$F$9447,2,FALSE),"")</f>
        <v>CHALECO ARNES ISARELI C/REFLACTARIORRD2B</v>
      </c>
      <c r="F102">
        <v>2401101</v>
      </c>
      <c r="G102" t="s">
        <v>12934</v>
      </c>
      <c r="H102">
        <v>5</v>
      </c>
    </row>
    <row r="103" spans="1:9" x14ac:dyDescent="0.25">
      <c r="A103">
        <v>16522</v>
      </c>
      <c r="B103" t="s">
        <v>4</v>
      </c>
      <c r="C103" t="str">
        <f t="shared" si="3"/>
        <v>2401242##</v>
      </c>
      <c r="E103" t="str">
        <f>IFERROR(VLOOKUP(1*LEFT(C103,7),DF!$A$1:$F$9447,2,FALSE),"")</f>
        <v>CHALECO ARNES ISRAELI MOLLE RRD1 BLK</v>
      </c>
      <c r="F103">
        <v>2401242</v>
      </c>
      <c r="G103" t="s">
        <v>12554</v>
      </c>
      <c r="H103">
        <v>3</v>
      </c>
    </row>
    <row r="104" spans="1:9" x14ac:dyDescent="0.25">
      <c r="A104">
        <v>16522</v>
      </c>
      <c r="B104" t="s">
        <v>4</v>
      </c>
      <c r="C104" t="str">
        <f t="shared" si="3"/>
        <v>2401550##</v>
      </c>
      <c r="E104" t="str">
        <f>IFERROR(VLOOKUP(1*LEFT(C104,7),DF!$A$1:$F$9447,2,FALSE),"")</f>
        <v>CHALECO ARNES VIAL VERDE GN RRD2b BLK</v>
      </c>
      <c r="F104">
        <v>2401550</v>
      </c>
      <c r="G104" t="s">
        <v>12555</v>
      </c>
      <c r="H104">
        <v>4</v>
      </c>
    </row>
    <row r="105" spans="1:9" x14ac:dyDescent="0.25">
      <c r="A105" s="2">
        <v>16522</v>
      </c>
      <c r="B105" s="2" t="s">
        <v>4</v>
      </c>
      <c r="C105" s="2" t="str">
        <f t="shared" si="3"/>
        <v>5102001##</v>
      </c>
      <c r="D105" s="2"/>
      <c r="E105" s="2" t="str">
        <f>IFERROR(VLOOKUP(1*LEFT(C105,7),DF!$A$1:$F$9447,2,FALSE),"")</f>
        <v>CHALECO BOMBERO C/REFLECIVA RER</v>
      </c>
      <c r="F105" s="7">
        <v>5102001</v>
      </c>
      <c r="G105" t="s">
        <v>12556</v>
      </c>
      <c r="H105">
        <v>3</v>
      </c>
    </row>
    <row r="106" spans="1:9" x14ac:dyDescent="0.25">
      <c r="A106" s="2">
        <v>16522</v>
      </c>
      <c r="B106" s="2" t="s">
        <v>4</v>
      </c>
      <c r="C106" s="2" t="str">
        <f t="shared" si="3"/>
        <v>2401584##</v>
      </c>
      <c r="D106" s="2"/>
      <c r="E106" s="2" t="str">
        <f>IFERROR(VLOOKUP(1*LEFT(C106,7),DF!$A$1:$F$9447,2,FALSE),"")</f>
        <v>CHALECO C/V LANA NEGRO MILIT EMTRI007 EM</v>
      </c>
      <c r="F106" s="7">
        <v>2401584</v>
      </c>
      <c r="G106" t="s">
        <v>12557</v>
      </c>
      <c r="H106">
        <v>3</v>
      </c>
      <c r="I106">
        <v>1</v>
      </c>
    </row>
    <row r="107" spans="1:9" x14ac:dyDescent="0.25">
      <c r="A107" s="2">
        <v>16522</v>
      </c>
      <c r="B107" s="2" t="s">
        <v>4</v>
      </c>
      <c r="C107" s="2" t="str">
        <f t="shared" si="3"/>
        <v>2401249##</v>
      </c>
      <c r="D107" s="2"/>
      <c r="E107" s="2" t="str">
        <f>IFERROR(VLOOKUP(1*LEFT(C107,7),DF!$A$1:$F$9447,2,FALSE),"")</f>
        <v>CHALECO CARRIER C/PORTA ELEM MAZ/RRD</v>
      </c>
      <c r="F107" s="7">
        <v>2401249</v>
      </c>
      <c r="G107" t="s">
        <v>12558</v>
      </c>
      <c r="H107">
        <v>8</v>
      </c>
    </row>
    <row r="108" spans="1:9" x14ac:dyDescent="0.25">
      <c r="A108" s="2">
        <v>16522</v>
      </c>
      <c r="B108" s="2" t="s">
        <v>4</v>
      </c>
      <c r="C108" s="2" t="str">
        <f t="shared" si="3"/>
        <v>2401022##</v>
      </c>
      <c r="D108" s="2"/>
      <c r="E108" s="2" t="str">
        <f>IFERROR(VLOOKUP(1*LEFT(C108,7),DF!$A$1:$F$9447,2,FALSE),"")</f>
        <v>CHALECO DE TRANSPORTE RIV / RRD5 RER</v>
      </c>
      <c r="F108" s="7">
        <v>2401022</v>
      </c>
      <c r="G108" t="s">
        <v>12559</v>
      </c>
      <c r="H108">
        <v>3</v>
      </c>
    </row>
    <row r="109" spans="1:9" x14ac:dyDescent="0.25">
      <c r="A109" s="2">
        <v>16522</v>
      </c>
      <c r="B109" s="2" t="s">
        <v>4</v>
      </c>
      <c r="C109" s="2" t="str">
        <f t="shared" si="3"/>
        <v>8708116##</v>
      </c>
      <c r="D109" s="2"/>
      <c r="E109" s="2" t="str">
        <f>IFERROR(VLOOKUP(1*LEFT(C109,7),DF!$A$1:$F$9447,2,FALSE),"")</f>
        <v>CHALECO FUNDA ALBATROS 5 ELEM RRD63 BLK</v>
      </c>
      <c r="F109" s="7">
        <v>8708116</v>
      </c>
      <c r="G109" t="s">
        <v>12560</v>
      </c>
      <c r="H109">
        <v>6</v>
      </c>
      <c r="I109">
        <v>1</v>
      </c>
    </row>
    <row r="110" spans="1:9" x14ac:dyDescent="0.25">
      <c r="A110" s="2">
        <v>16522</v>
      </c>
      <c r="B110" s="2" t="s">
        <v>4</v>
      </c>
      <c r="C110" s="2" t="str">
        <f t="shared" si="3"/>
        <v>8708113##</v>
      </c>
      <c r="D110" s="2"/>
      <c r="E110" s="2" t="str">
        <f>IFERROR(VLOOKUP(1*LEFT(C110,7),DF!$A$1:$F$9447,2,FALSE),"")</f>
        <v>CHALECO FUNDA ALPHA BALISTICA RRD42 BLK</v>
      </c>
      <c r="F110" s="7">
        <v>8708113</v>
      </c>
      <c r="G110" t="s">
        <v>12561</v>
      </c>
      <c r="H110">
        <v>4</v>
      </c>
      <c r="I110">
        <v>1</v>
      </c>
    </row>
    <row r="111" spans="1:9" x14ac:dyDescent="0.25">
      <c r="A111" s="2">
        <v>16522</v>
      </c>
      <c r="B111" s="2" t="s">
        <v>4</v>
      </c>
      <c r="C111" s="2" t="str">
        <f t="shared" si="3"/>
        <v>2401103##</v>
      </c>
      <c r="D111" s="2"/>
      <c r="E111" s="2" t="str">
        <f>IFERROR(VLOOKUP(1*LEFT(C111,7),DF!$A$1:$F$9447,2,FALSE),"")</f>
        <v>CHALECO FUNDA BALIST MOLLE RRD4 BLK</v>
      </c>
      <c r="F111" s="7">
        <v>2401103</v>
      </c>
      <c r="G111" t="s">
        <v>12562</v>
      </c>
      <c r="H111">
        <v>4</v>
      </c>
    </row>
    <row r="112" spans="1:9" x14ac:dyDescent="0.25">
      <c r="A112" s="2">
        <v>16522</v>
      </c>
      <c r="B112" s="2" t="s">
        <v>4</v>
      </c>
      <c r="C112" s="2" t="str">
        <f t="shared" si="3"/>
        <v>8708111##</v>
      </c>
      <c r="D112" s="2"/>
      <c r="E112" s="2" t="str">
        <f>IFERROR(VLOOKUP(1*LEFT(C112,7),DF!$A$1:$F$9447,2,FALSE),"")</f>
        <v>CHALECO FUNDA BALISTICA BASICA RRD6 BLK</v>
      </c>
      <c r="F112" s="7">
        <v>8708111</v>
      </c>
      <c r="G112" t="s">
        <v>12563</v>
      </c>
      <c r="H112">
        <v>4</v>
      </c>
    </row>
    <row r="113" spans="1:9" x14ac:dyDescent="0.25">
      <c r="A113" s="2">
        <v>16522</v>
      </c>
      <c r="B113" s="2" t="s">
        <v>4</v>
      </c>
      <c r="C113" s="2" t="str">
        <f t="shared" si="3"/>
        <v>8708112##</v>
      </c>
      <c r="D113" s="2"/>
      <c r="E113" s="2" t="str">
        <f>IFERROR(VLOOKUP(1*LEFT(C113,7),DF!$A$1:$F$9447,2,FALSE),"")</f>
        <v>CHALECO FUNDA BALISTICA COMPL RRD7 BLK</v>
      </c>
      <c r="F113" s="7">
        <v>8708112</v>
      </c>
      <c r="G113" t="s">
        <v>12564</v>
      </c>
      <c r="H113">
        <v>7</v>
      </c>
    </row>
    <row r="114" spans="1:9" x14ac:dyDescent="0.25">
      <c r="A114">
        <v>16522</v>
      </c>
      <c r="B114" t="s">
        <v>4</v>
      </c>
      <c r="C114" t="str">
        <f t="shared" si="3"/>
        <v>8708999##</v>
      </c>
      <c r="E114" t="str">
        <f>IFERROR(VLOOKUP(1*LEFT(C114,7),DF!$A$1:$F$9447,2,FALSE),"")</f>
        <v>CHALECO FUNDA MAGAL CHICO MOLLE RRD/ET B</v>
      </c>
      <c r="F114">
        <v>8708999</v>
      </c>
      <c r="G114" t="s">
        <v>12565</v>
      </c>
      <c r="H114">
        <v>5</v>
      </c>
    </row>
    <row r="115" spans="1:9" x14ac:dyDescent="0.25">
      <c r="A115">
        <v>16522</v>
      </c>
      <c r="B115" t="s">
        <v>4</v>
      </c>
      <c r="C115" t="str">
        <f t="shared" si="3"/>
        <v>8708888##</v>
      </c>
      <c r="E115" t="str">
        <f>IFERROR(VLOOKUP(1*LEFT(C115,7),DF!$A$1:$F$9447,2,FALSE),"")</f>
        <v>CHALECO FUNDA MAGAL GRANDE MOLLE RRD/ET</v>
      </c>
      <c r="F115">
        <v>8708888</v>
      </c>
      <c r="G115" t="s">
        <v>12566</v>
      </c>
      <c r="H115">
        <v>5</v>
      </c>
    </row>
    <row r="116" spans="1:9" x14ac:dyDescent="0.25">
      <c r="A116" s="2">
        <v>16522</v>
      </c>
      <c r="B116" s="2" t="s">
        <v>4</v>
      </c>
      <c r="C116" s="2" t="str">
        <f t="shared" si="3"/>
        <v>8708300##</v>
      </c>
      <c r="D116" s="2"/>
      <c r="E116" s="2" t="str">
        <f>IFERROR(VLOOKUP(1*LEFT(C116,7),DF!$A$1:$F$9447,2,FALSE),"")</f>
        <v>CHALECO FUNDA MOLLE</v>
      </c>
      <c r="F116" s="7">
        <v>8708300</v>
      </c>
      <c r="G116" t="s">
        <v>12567</v>
      </c>
      <c r="H116">
        <v>4</v>
      </c>
    </row>
    <row r="117" spans="1:9" x14ac:dyDescent="0.25">
      <c r="A117" s="2">
        <v>16522</v>
      </c>
      <c r="B117" s="2" t="s">
        <v>4</v>
      </c>
      <c r="C117" s="2" t="str">
        <f t="shared" si="3"/>
        <v>8708301##</v>
      </c>
      <c r="D117" s="2"/>
      <c r="E117" s="2" t="str">
        <f>IFERROR(VLOOKUP(1*LEFT(C117,7),DF!$A$1:$F$9447,2,FALSE),"")</f>
        <v>CHALECO FUNDA MOLLE PORTA NIVEL2</v>
      </c>
      <c r="F117" s="7">
        <v>8708301</v>
      </c>
      <c r="G117" t="s">
        <v>12568</v>
      </c>
      <c r="H117">
        <v>4</v>
      </c>
      <c r="I117">
        <v>1</v>
      </c>
    </row>
    <row r="118" spans="1:9" x14ac:dyDescent="0.25">
      <c r="A118" s="2">
        <v>16522</v>
      </c>
      <c r="B118" s="2" t="s">
        <v>4</v>
      </c>
      <c r="C118" s="2" t="str">
        <f t="shared" si="3"/>
        <v>2401298##</v>
      </c>
      <c r="D118" s="2"/>
      <c r="E118" s="2" t="str">
        <f>IFERROR(VLOOKUP(1*LEFT(C118,7),DF!$A$1:$F$9447,2,FALSE),"")</f>
        <v>CHALECO LANA AZUL MILTAR RER</v>
      </c>
      <c r="F118" s="7">
        <v>2401298</v>
      </c>
      <c r="G118" t="s">
        <v>12569</v>
      </c>
      <c r="H118">
        <v>3</v>
      </c>
      <c r="I118">
        <v>1</v>
      </c>
    </row>
    <row r="119" spans="1:9" x14ac:dyDescent="0.25">
      <c r="A119">
        <v>16522</v>
      </c>
      <c r="B119" t="s">
        <v>4</v>
      </c>
      <c r="C119" t="str">
        <f t="shared" si="3"/>
        <v>8708651##</v>
      </c>
      <c r="E119" t="str">
        <f>IFERROR(VLOOKUP(1*LEFT(C119,7),DF!$A$1:$F$9447,2,FALSE),"")</f>
        <v>CHALECO TACTICO MOLLE AIRSOFT/PAINTBALL</v>
      </c>
      <c r="F119">
        <v>8708651</v>
      </c>
      <c r="G119" t="s">
        <v>12570</v>
      </c>
      <c r="H119">
        <v>5</v>
      </c>
    </row>
    <row r="120" spans="1:9" x14ac:dyDescent="0.25">
      <c r="A120" s="2">
        <v>16522</v>
      </c>
      <c r="B120" s="2" t="s">
        <v>4</v>
      </c>
      <c r="C120" s="2" t="str">
        <f t="shared" si="3"/>
        <v>2401100##</v>
      </c>
      <c r="D120" s="2"/>
      <c r="E120" s="2" t="str">
        <f>IFERROR(VLOOKUP(1*LEFT(C120,7),DF!$A$1:$F$9447,2,FALSE),"")</f>
        <v>CHALECO TACTICO RRD3 BLK</v>
      </c>
      <c r="F120" s="7">
        <v>2401100</v>
      </c>
      <c r="G120" t="s">
        <v>12571</v>
      </c>
      <c r="H120">
        <v>3</v>
      </c>
    </row>
    <row r="121" spans="1:9" x14ac:dyDescent="0.25">
      <c r="A121" s="2">
        <v>16522</v>
      </c>
      <c r="B121" s="2" t="s">
        <v>4</v>
      </c>
      <c r="C121" s="2" t="str">
        <f t="shared" ref="C121:C139" si="4">CONCATENATE(F121,"##")</f>
        <v>8307810##</v>
      </c>
      <c r="D121" s="2"/>
      <c r="E121" s="2" t="str">
        <f>IFERROR(VLOOKUP(1*LEFT(C121,7),DF!$A$1:$F$9447,2,FALSE),"")</f>
        <v>CHAMBERGO DE PELO DE LIEBRE RER</v>
      </c>
      <c r="F121" s="7">
        <v>8307810</v>
      </c>
      <c r="G121" t="s">
        <v>12572</v>
      </c>
      <c r="H121">
        <v>5</v>
      </c>
    </row>
    <row r="122" spans="1:9" x14ac:dyDescent="0.25">
      <c r="A122">
        <v>16522</v>
      </c>
      <c r="B122" t="s">
        <v>4</v>
      </c>
      <c r="C122" t="str">
        <f t="shared" si="4"/>
        <v>5320787##</v>
      </c>
      <c r="E122" t="str">
        <f>IFERROR(VLOOKUP(1*LEFT(C122,7),DF!$A$1:$F$9447,2,FALSE),"")</f>
        <v>CHAQUETILLA POLICIA/PENIT 176N0110 FC</v>
      </c>
      <c r="F122">
        <v>5320787</v>
      </c>
      <c r="G122" t="s">
        <v>12573</v>
      </c>
      <c r="H122">
        <v>3</v>
      </c>
    </row>
    <row r="123" spans="1:9" x14ac:dyDescent="0.25">
      <c r="A123" s="2">
        <v>16522</v>
      </c>
      <c r="B123" s="2" t="s">
        <v>4</v>
      </c>
      <c r="C123" s="2" t="str">
        <f t="shared" si="4"/>
        <v>2101300##</v>
      </c>
      <c r="D123" s="2"/>
      <c r="E123" s="2" t="str">
        <f>IFERROR(VLOOKUP(1*LEFT(C123,7),DF!$A$1:$F$9447,2,FALSE),"")</f>
        <v>CHOMBA MC CIERRE CIENTIFICA RER</v>
      </c>
      <c r="F123" s="7">
        <v>2101300</v>
      </c>
      <c r="G123" t="s">
        <v>13238</v>
      </c>
      <c r="H123">
        <v>3</v>
      </c>
      <c r="I123">
        <v>1</v>
      </c>
    </row>
    <row r="124" spans="1:9" x14ac:dyDescent="0.25">
      <c r="A124">
        <v>16522</v>
      </c>
      <c r="B124" t="s">
        <v>4</v>
      </c>
      <c r="C124" t="str">
        <f t="shared" si="4"/>
        <v>8601050##</v>
      </c>
      <c r="E124" t="str">
        <f>IFERROR(VLOOKUP(1*LEFT(C124,7),DF!$A$1:$F$9447,2,FALSE),"")</f>
        <v>CINTA DUCT TAPE DOBLE TELA SILVER PLATEA</v>
      </c>
      <c r="F124">
        <v>8601050</v>
      </c>
      <c r="G124" t="s">
        <v>12574</v>
      </c>
      <c r="H124">
        <v>4</v>
      </c>
    </row>
    <row r="125" spans="1:9" x14ac:dyDescent="0.25">
      <c r="A125">
        <v>16522</v>
      </c>
      <c r="B125" t="s">
        <v>4</v>
      </c>
      <c r="C125" t="str">
        <f t="shared" si="4"/>
        <v>8701093##</v>
      </c>
      <c r="E125" t="str">
        <f>IFERROR(VLOOKUP(1*LEFT(C125,7),DF!$A$1:$F$9447,2,FALSE),"")</f>
        <v>CINTO DELTA XTL 549 BEIGE XTR</v>
      </c>
      <c r="F125">
        <v>8701093</v>
      </c>
      <c r="G125" t="s">
        <v>12575</v>
      </c>
      <c r="H125">
        <v>1</v>
      </c>
    </row>
    <row r="126" spans="1:9" x14ac:dyDescent="0.25">
      <c r="A126">
        <v>16522</v>
      </c>
      <c r="B126" t="s">
        <v>4</v>
      </c>
      <c r="C126" t="str">
        <f t="shared" si="4"/>
        <v>8701090##</v>
      </c>
      <c r="E126" t="str">
        <f>IFERROR(VLOOKUP(1*LEFT(C126,7),DF!$A$1:$F$9447,2,FALSE),"")</f>
        <v>CINTO DELTA XTL 549 NEGRO XTR</v>
      </c>
      <c r="F126">
        <v>8701090</v>
      </c>
      <c r="G126" t="s">
        <v>12576</v>
      </c>
      <c r="H126">
        <v>1</v>
      </c>
    </row>
    <row r="127" spans="1:9" x14ac:dyDescent="0.25">
      <c r="A127">
        <v>16522</v>
      </c>
      <c r="B127" t="s">
        <v>4</v>
      </c>
      <c r="C127" t="str">
        <f t="shared" si="4"/>
        <v>8701092##</v>
      </c>
      <c r="E127" t="str">
        <f>IFERROR(VLOOKUP(1*LEFT(C127,7),DF!$A$1:$F$9447,2,FALSE),"")</f>
        <v>CINTO DELTA XTL 549 VERDE XTR</v>
      </c>
      <c r="F127">
        <v>8701092</v>
      </c>
      <c r="G127" t="s">
        <v>12577</v>
      </c>
      <c r="H127">
        <v>1</v>
      </c>
    </row>
    <row r="128" spans="1:9" x14ac:dyDescent="0.25">
      <c r="A128">
        <v>16522</v>
      </c>
      <c r="B128" t="s">
        <v>4</v>
      </c>
      <c r="C128" t="str">
        <f t="shared" si="4"/>
        <v>8701750##</v>
      </c>
      <c r="E128" t="str">
        <f>IFERROR(VLOOKUP(1*LEFT(C128,7),DF!$A$1:$F$9447,2,FALSE),"")</f>
        <v>CINTURON AMERIC GRIS T650 TB</v>
      </c>
      <c r="F128">
        <v>8701750</v>
      </c>
      <c r="G128" t="s">
        <v>12578</v>
      </c>
      <c r="H128">
        <v>2</v>
      </c>
    </row>
    <row r="129" spans="1:8" x14ac:dyDescent="0.25">
      <c r="A129">
        <v>16522</v>
      </c>
      <c r="B129" t="s">
        <v>4</v>
      </c>
      <c r="C129" t="str">
        <f t="shared" si="4"/>
        <v>8701541##</v>
      </c>
      <c r="E129" t="str">
        <f>IFERROR(VLOOKUP(1*LEFT(C129,7),DF!$A$1:$F$9447,2,FALSE),"")</f>
        <v>CINTURON AMERIC TRIPLE SEG 016 H RED RER</v>
      </c>
      <c r="F129">
        <v>8701541</v>
      </c>
      <c r="G129" t="s">
        <v>12579</v>
      </c>
      <c r="H129">
        <v>3</v>
      </c>
    </row>
    <row r="130" spans="1:8" x14ac:dyDescent="0.25">
      <c r="A130" s="2">
        <v>16522</v>
      </c>
      <c r="B130" s="2" t="s">
        <v>4</v>
      </c>
      <c r="C130" s="2" t="str">
        <f t="shared" si="4"/>
        <v>8701542##</v>
      </c>
      <c r="D130" s="2"/>
      <c r="E130" s="2" t="str">
        <f>IFERROR(VLOOKUP(1*LEFT(C130,7),DF!$A$1:$F$9447,2,FALSE),"")</f>
        <v>CINTURON AMERIC TRIPLE SEG 018 H CUA RER</v>
      </c>
      <c r="F130" s="7">
        <v>8701542</v>
      </c>
      <c r="G130" t="s">
        <v>12580</v>
      </c>
      <c r="H130">
        <v>4</v>
      </c>
    </row>
    <row r="131" spans="1:8" x14ac:dyDescent="0.25">
      <c r="A131">
        <v>16522</v>
      </c>
      <c r="B131" t="s">
        <v>4</v>
      </c>
      <c r="C131" t="str">
        <f t="shared" si="4"/>
        <v>8701999##</v>
      </c>
      <c r="E131" t="str">
        <f>IFERROR(VLOOKUP(1*LEFT(C131,7),DF!$A$1:$F$9447,2,FALSE),"")</f>
        <v>CINTURON CUERO 30 MM LMGE RER</v>
      </c>
      <c r="F131">
        <v>8701999</v>
      </c>
      <c r="G131" t="s">
        <v>12581</v>
      </c>
      <c r="H131">
        <v>4</v>
      </c>
    </row>
    <row r="132" spans="1:8" x14ac:dyDescent="0.25">
      <c r="A132">
        <v>16522</v>
      </c>
      <c r="B132" t="s">
        <v>4</v>
      </c>
      <c r="C132" t="str">
        <f t="shared" si="4"/>
        <v>8701735##</v>
      </c>
      <c r="E132" t="str">
        <f>IFERROR(VLOOKUP(1*LEFT(C132,7),DF!$A$1:$F$9447,2,FALSE),"")</f>
        <v>CINTURON CUERO OFICAL SIN DADO 1050 TB</v>
      </c>
      <c r="F132">
        <v>8701735</v>
      </c>
      <c r="G132" t="s">
        <v>12582</v>
      </c>
      <c r="H132">
        <v>4</v>
      </c>
    </row>
    <row r="133" spans="1:8" x14ac:dyDescent="0.25">
      <c r="A133">
        <v>16522</v>
      </c>
      <c r="B133" t="s">
        <v>4</v>
      </c>
      <c r="C133" t="str">
        <f t="shared" si="4"/>
        <v>8701033##</v>
      </c>
      <c r="E133" t="str">
        <f>IFERROR(VLOOKUP(1*LEFT(C133,7),DF!$A$1:$F$9447,2,FALSE),"")</f>
        <v>CINTURON CUERO OFICIAL CON DADO 1033 TB</v>
      </c>
      <c r="F133">
        <v>8701033</v>
      </c>
      <c r="G133" t="s">
        <v>12583</v>
      </c>
      <c r="H133">
        <v>3</v>
      </c>
    </row>
    <row r="134" spans="1:8" x14ac:dyDescent="0.25">
      <c r="A134">
        <v>16522</v>
      </c>
      <c r="B134" t="s">
        <v>4</v>
      </c>
      <c r="C134" t="str">
        <f t="shared" si="4"/>
        <v>8701856##</v>
      </c>
      <c r="E134" t="str">
        <f>IFERROR(VLOOKUP(1*LEFT(C134,7),DF!$A$1:$F$9447,2,FALSE),"")</f>
        <v>CINTURON RERDA DOBLEACCION GRIS RER</v>
      </c>
      <c r="F134">
        <v>8701856</v>
      </c>
      <c r="G134" t="s">
        <v>12584</v>
      </c>
      <c r="H134">
        <v>3</v>
      </c>
    </row>
    <row r="135" spans="1:8" x14ac:dyDescent="0.25">
      <c r="A135">
        <v>16522</v>
      </c>
      <c r="B135" t="s">
        <v>4</v>
      </c>
      <c r="C135" t="str">
        <f t="shared" si="4"/>
        <v>8701575##</v>
      </c>
      <c r="E135" t="str">
        <f>IFERROR(VLOOKUP(1*LEFT(C135,7),DF!$A$1:$F$9447,2,FALSE),"")</f>
        <v>CINTURON TACTICO C/HEBILLA METALICA 5575</v>
      </c>
      <c r="F135">
        <v>8701575</v>
      </c>
      <c r="G135" t="s">
        <v>12585</v>
      </c>
      <c r="H135">
        <v>3</v>
      </c>
    </row>
    <row r="136" spans="1:8" x14ac:dyDescent="0.25">
      <c r="A136">
        <v>16522</v>
      </c>
      <c r="B136" t="s">
        <v>4</v>
      </c>
      <c r="C136" t="str">
        <f t="shared" si="4"/>
        <v>8701495##</v>
      </c>
      <c r="E136" t="str">
        <f>IFERROR(VLOOKUP(1*LEFT(C136,7),DF!$A$1:$F$9447,2,FALSE),"")</f>
        <v>CINTURON TACTICO URBANO CHICO  5494/2</v>
      </c>
      <c r="F136">
        <v>8701495</v>
      </c>
      <c r="G136" t="s">
        <v>12586</v>
      </c>
      <c r="H136">
        <v>4</v>
      </c>
    </row>
    <row r="137" spans="1:8" x14ac:dyDescent="0.25">
      <c r="A137">
        <v>16522</v>
      </c>
      <c r="B137" t="s">
        <v>4</v>
      </c>
      <c r="C137" t="str">
        <f t="shared" si="4"/>
        <v>8701494##</v>
      </c>
      <c r="E137" t="str">
        <f>IFERROR(VLOOKUP(1*LEFT(C137,7),DF!$A$1:$F$9447,2,FALSE),"")</f>
        <v>CINTURON TACTICO URBANO GRANDE  5494/3</v>
      </c>
      <c r="F137">
        <v>8701494</v>
      </c>
      <c r="G137" t="s">
        <v>12587</v>
      </c>
      <c r="H137">
        <v>4</v>
      </c>
    </row>
    <row r="138" spans="1:8" x14ac:dyDescent="0.25">
      <c r="A138">
        <v>16522</v>
      </c>
      <c r="B138" t="s">
        <v>4</v>
      </c>
      <c r="C138" t="str">
        <f t="shared" si="4"/>
        <v>8614015##</v>
      </c>
      <c r="E138" t="str">
        <f>IFERROR(VLOOKUP(1*LEFT(C138,7),DF!$A$1:$F$9447,2,FALSE),"")</f>
        <v>COLCHON INFLABLE AVENLI 1 PLAZA 20411</v>
      </c>
      <c r="F138">
        <v>8614015</v>
      </c>
      <c r="G138" t="s">
        <v>12588</v>
      </c>
      <c r="H138">
        <v>5</v>
      </c>
    </row>
    <row r="139" spans="1:8" x14ac:dyDescent="0.25">
      <c r="A139">
        <v>16522</v>
      </c>
      <c r="B139" t="s">
        <v>4</v>
      </c>
      <c r="C139" t="str">
        <f t="shared" si="4"/>
        <v>8614016##</v>
      </c>
      <c r="E139" t="str">
        <f>IFERROR(VLOOKUP(1*LEFT(C139,7),DF!$A$1:$F$9447,2,FALSE),"")</f>
        <v>COLCHON INFLABLE AVENLI 2 PLAZA 20256</v>
      </c>
      <c r="F139">
        <v>8614016</v>
      </c>
      <c r="G139" t="s">
        <v>12589</v>
      </c>
      <c r="H139">
        <v>4</v>
      </c>
    </row>
    <row r="140" spans="1:8" x14ac:dyDescent="0.25">
      <c r="A140" s="2">
        <v>16522</v>
      </c>
      <c r="B140" s="2" t="s">
        <v>4</v>
      </c>
      <c r="C140" s="2" t="s">
        <v>12932</v>
      </c>
      <c r="D140" s="2"/>
      <c r="E140" s="2" t="str">
        <f>IFERROR(VLOOKUP(1*LEFT(C140,7),DF!$A$1:$F$9447,2,FALSE),"")</f>
        <v>CONJ DEPORTIVO AGENTES INFOPE RER</v>
      </c>
      <c r="F140">
        <v>3101102</v>
      </c>
      <c r="G140" t="s">
        <v>12925</v>
      </c>
      <c r="H140">
        <v>3</v>
      </c>
    </row>
    <row r="141" spans="1:8" x14ac:dyDescent="0.25">
      <c r="A141" s="2">
        <v>16522</v>
      </c>
      <c r="B141" s="2" t="s">
        <v>4</v>
      </c>
      <c r="C141" s="2" t="s">
        <v>12933</v>
      </c>
      <c r="D141" s="2"/>
      <c r="E141" s="2" t="str">
        <f>IFERROR(VLOOKUP(1*LEFT(C141,7),DF!$A$1:$F$9447,2,FALSE),"")</f>
        <v>CONJ DEPORTIVO AUXILIAR IUSP RER</v>
      </c>
      <c r="F141">
        <v>3101370</v>
      </c>
      <c r="G141" t="s">
        <v>12926</v>
      </c>
      <c r="H141">
        <v>3</v>
      </c>
    </row>
    <row r="142" spans="1:8" x14ac:dyDescent="0.25">
      <c r="A142" s="2">
        <v>16522</v>
      </c>
      <c r="B142" s="2" t="s">
        <v>4</v>
      </c>
      <c r="C142" s="2" t="str">
        <f t="shared" ref="C142:C173" si="5">CONCATENATE(F142,"##")</f>
        <v>3101102##</v>
      </c>
      <c r="D142" s="2"/>
      <c r="E142" s="2" t="str">
        <f>IFERROR(VLOOKUP(1*LEFT(C142,7),DF!$A$1:$F$9447,2,FALSE),"")</f>
        <v>CONJ DEPORTIVO TECNICO INFOPE RER</v>
      </c>
      <c r="F142">
        <v>3101102</v>
      </c>
      <c r="G142" t="s">
        <v>12925</v>
      </c>
      <c r="H142">
        <v>3</v>
      </c>
    </row>
    <row r="143" spans="1:8" x14ac:dyDescent="0.25">
      <c r="A143" s="2">
        <v>16522</v>
      </c>
      <c r="B143" s="2" t="s">
        <v>4</v>
      </c>
      <c r="C143" s="2" t="str">
        <f t="shared" si="5"/>
        <v>3101370##</v>
      </c>
      <c r="D143" s="2"/>
      <c r="E143" s="2" t="str">
        <f>IFERROR(VLOOKUP(1*LEFT(C143,7),DF!$A$1:$F$9447,2,FALSE),"")</f>
        <v>CONJ DEPORTIVO TECNICO IUSP RER</v>
      </c>
      <c r="F143">
        <v>3101370</v>
      </c>
      <c r="G143" t="s">
        <v>12926</v>
      </c>
      <c r="H143">
        <v>3</v>
      </c>
    </row>
    <row r="144" spans="1:8" x14ac:dyDescent="0.25">
      <c r="A144" s="2">
        <v>16522</v>
      </c>
      <c r="B144" s="2" t="s">
        <v>4</v>
      </c>
      <c r="C144" s="2" t="str">
        <f t="shared" si="5"/>
        <v>8518753##</v>
      </c>
      <c r="D144" s="2"/>
      <c r="E144" s="2" t="str">
        <f>IFERROR(VLOOKUP(1*LEFT(C144,7),DF!$A$1:$F$9447,2,FALSE),"")</f>
        <v>CONJ MASCARA NEOPRENE Y GAFAS RER</v>
      </c>
      <c r="F144">
        <v>8518753</v>
      </c>
      <c r="G144" t="s">
        <v>13991</v>
      </c>
      <c r="H144">
        <v>3</v>
      </c>
    </row>
    <row r="145" spans="1:8" x14ac:dyDescent="0.25">
      <c r="A145" s="2">
        <v>16522</v>
      </c>
      <c r="B145" s="2" t="s">
        <v>4</v>
      </c>
      <c r="C145" s="2" t="str">
        <f t="shared" si="5"/>
        <v>3101949##</v>
      </c>
      <c r="D145" s="2"/>
      <c r="E145" s="2" t="str">
        <f>IFERROR(VLOOKUP(1*LEFT(C145,7),DF!$A$1:$F$9447,2,FALSE),"")</f>
        <v>CONJUNTO 1RA PIEL NEG/VER ART 0948532016</v>
      </c>
      <c r="F145">
        <v>3101949</v>
      </c>
      <c r="G145" t="s">
        <v>13209</v>
      </c>
      <c r="H145">
        <v>2</v>
      </c>
    </row>
    <row r="146" spans="1:8" x14ac:dyDescent="0.25">
      <c r="A146" s="2">
        <v>16522</v>
      </c>
      <c r="B146" s="2" t="s">
        <v>4</v>
      </c>
      <c r="C146" s="2" t="str">
        <f t="shared" si="5"/>
        <v>8515760##</v>
      </c>
      <c r="D146" s="2"/>
      <c r="E146" s="2" t="str">
        <f>IFERROR(VLOOKUP(1*LEFT(C146,7),DF!$A$1:$F$9447,2,FALSE),"")</f>
        <v>CORBATA UNIFORME GRIS JLC</v>
      </c>
      <c r="F146">
        <v>8515760</v>
      </c>
      <c r="G146" t="s">
        <v>13135</v>
      </c>
      <c r="H146">
        <v>1</v>
      </c>
    </row>
    <row r="147" spans="1:8" x14ac:dyDescent="0.25">
      <c r="A147" s="2">
        <v>16522</v>
      </c>
      <c r="B147" s="2" t="s">
        <v>4</v>
      </c>
      <c r="C147" s="2" t="str">
        <f t="shared" si="5"/>
        <v>8515749##</v>
      </c>
      <c r="D147" s="2"/>
      <c r="E147" s="2" t="str">
        <f>IFERROR(VLOOKUP(1*LEFT(C147,7),DF!$A$1:$F$9447,2,FALSE),"")</f>
        <v>CORBATA UNIFORME MARRON JLC</v>
      </c>
      <c r="F147">
        <v>8515749</v>
      </c>
      <c r="G147" t="s">
        <v>13134</v>
      </c>
      <c r="H147">
        <v>1</v>
      </c>
    </row>
    <row r="148" spans="1:8" x14ac:dyDescent="0.25">
      <c r="A148" s="2">
        <v>16522</v>
      </c>
      <c r="B148" s="2" t="s">
        <v>4</v>
      </c>
      <c r="C148" s="2" t="str">
        <f t="shared" si="5"/>
        <v>8515740##</v>
      </c>
      <c r="D148" s="2"/>
      <c r="E148" s="2" t="str">
        <f>IFERROR(VLOOKUP(1*LEFT(C148,7),DF!$A$1:$F$9447,2,FALSE),"")</f>
        <v>CORBATA UNIFORME VERDE JLC</v>
      </c>
      <c r="F148">
        <v>8515740</v>
      </c>
      <c r="G148" t="s">
        <v>13133</v>
      </c>
      <c r="H148">
        <v>1</v>
      </c>
    </row>
    <row r="149" spans="1:8" x14ac:dyDescent="0.25">
      <c r="A149">
        <v>16522</v>
      </c>
      <c r="B149" t="s">
        <v>4</v>
      </c>
      <c r="C149" t="str">
        <f t="shared" si="5"/>
        <v>8508132##</v>
      </c>
      <c r="E149" t="str">
        <f>IFERROR(VLOOKUP(1*LEFT(C149,7),DF!$A$1:$F$9447,2,FALSE),"")</f>
        <v>CREMA PARA BORCEGUIES RER</v>
      </c>
      <c r="F149">
        <v>8508132</v>
      </c>
      <c r="G149" t="s">
        <v>12590</v>
      </c>
      <c r="H149">
        <v>2</v>
      </c>
    </row>
    <row r="150" spans="1:8" x14ac:dyDescent="0.25">
      <c r="A150">
        <v>16522</v>
      </c>
      <c r="B150" t="s">
        <v>4</v>
      </c>
      <c r="C150" t="str">
        <f t="shared" si="5"/>
        <v>8521024##</v>
      </c>
      <c r="E150" t="str">
        <f>IFERROR(VLOOKUP(1*LEFT(C150,7),DF!$A$1:$F$9447,2,FALSE),"")</f>
        <v>CUCHILLO 2175 27CM</v>
      </c>
      <c r="F150">
        <v>8521024</v>
      </c>
      <c r="G150" t="s">
        <v>12591</v>
      </c>
      <c r="H150">
        <v>4</v>
      </c>
    </row>
    <row r="151" spans="1:8" x14ac:dyDescent="0.25">
      <c r="A151" s="2">
        <v>16522</v>
      </c>
      <c r="B151" s="2" t="s">
        <v>4</v>
      </c>
      <c r="C151" s="2" t="str">
        <f t="shared" si="5"/>
        <v>8521040##</v>
      </c>
      <c r="D151" s="2"/>
      <c r="E151" s="2" t="str">
        <f>IFERROR(VLOOKUP(1*LEFT(C151,7),DF!$A$1:$F$9447,2,FALSE),"")</f>
        <v>CUCHILLO DA1 FUNDA NEGRA</v>
      </c>
      <c r="F151">
        <v>8521040</v>
      </c>
      <c r="G151" t="s">
        <v>13008</v>
      </c>
      <c r="H151">
        <v>6</v>
      </c>
    </row>
    <row r="152" spans="1:8" x14ac:dyDescent="0.25">
      <c r="A152">
        <v>16522</v>
      </c>
      <c r="B152" t="s">
        <v>4</v>
      </c>
      <c r="C152" t="str">
        <f t="shared" si="5"/>
        <v>8521102##</v>
      </c>
      <c r="E152" t="str">
        <f>IFERROR(VLOOKUP(1*LEFT(C152,7),DF!$A$1:$F$9447,2,FALSE),"")</f>
        <v>CUCHILLO NEGRO C/FUNDA Y AFILADOR 0812-14 IMP</v>
      </c>
      <c r="F152">
        <v>8521102</v>
      </c>
      <c r="G152" t="s">
        <v>12592</v>
      </c>
      <c r="H152">
        <v>10</v>
      </c>
    </row>
    <row r="153" spans="1:8" x14ac:dyDescent="0.25">
      <c r="A153">
        <v>16522</v>
      </c>
      <c r="B153" t="s">
        <v>4</v>
      </c>
      <c r="C153" t="str">
        <f t="shared" si="5"/>
        <v>7709204##</v>
      </c>
      <c r="E153" t="str">
        <f>IFERROR(VLOOKUP(1*LEFT(C153,7),DF!$A$1:$F$9447,2,FALSE),"")</f>
        <v>ESC BORD CATACPOL</v>
      </c>
      <c r="F153" s="7">
        <v>7709204</v>
      </c>
      <c r="G153" t="s">
        <v>12593</v>
      </c>
      <c r="H153">
        <v>1</v>
      </c>
    </row>
    <row r="154" spans="1:8" x14ac:dyDescent="0.25">
      <c r="A154" s="2">
        <v>16522</v>
      </c>
      <c r="B154" s="2" t="s">
        <v>4</v>
      </c>
      <c r="C154" s="2" t="str">
        <f t="shared" si="5"/>
        <v>7709204##</v>
      </c>
      <c r="D154" s="2"/>
      <c r="E154" s="2" t="str">
        <f>IFERROR(VLOOKUP(1*LEFT(C154,7),DF!$A$1:$F$9447,2,FALSE),"")</f>
        <v>ESC BORD CATACPOL</v>
      </c>
      <c r="F154">
        <v>7709204</v>
      </c>
      <c r="G154" t="s">
        <v>12593</v>
      </c>
      <c r="H154">
        <v>1</v>
      </c>
    </row>
    <row r="155" spans="1:8" x14ac:dyDescent="0.25">
      <c r="A155">
        <v>16522</v>
      </c>
      <c r="B155" t="s">
        <v>4</v>
      </c>
      <c r="C155" t="str">
        <f t="shared" si="5"/>
        <v>7709203##</v>
      </c>
      <c r="E155" t="str">
        <f>IFERROR(VLOOKUP(1*LEFT(C155,7),DF!$A$1:$F$9447,2,FALSE),"")</f>
        <v>ESC BORD CATACPOL   BAJA VISIV</v>
      </c>
      <c r="F155">
        <v>7709203</v>
      </c>
      <c r="G155" t="s">
        <v>12594</v>
      </c>
      <c r="H155">
        <v>1</v>
      </c>
    </row>
    <row r="156" spans="1:8" x14ac:dyDescent="0.25">
      <c r="A156" s="2">
        <v>16522</v>
      </c>
      <c r="B156" s="2" t="s">
        <v>4</v>
      </c>
      <c r="C156" s="2" t="str">
        <f t="shared" si="5"/>
        <v>7709203##</v>
      </c>
      <c r="D156" s="2"/>
      <c r="E156" s="2" t="str">
        <f>IFERROR(VLOOKUP(1*LEFT(C156,7),DF!$A$1:$F$9447,2,FALSE),"")</f>
        <v>ESC BORD CATACPOL   BAJA VISIV</v>
      </c>
      <c r="F156">
        <v>7709203</v>
      </c>
      <c r="G156" t="s">
        <v>12594</v>
      </c>
      <c r="H156">
        <v>1</v>
      </c>
    </row>
    <row r="157" spans="1:8" x14ac:dyDescent="0.25">
      <c r="A157" s="2">
        <v>16522</v>
      </c>
      <c r="B157" s="2" t="s">
        <v>4</v>
      </c>
      <c r="C157" s="2" t="str">
        <f t="shared" si="5"/>
        <v>7709440##</v>
      </c>
      <c r="D157" s="2"/>
      <c r="E157" s="2" t="str">
        <f>IFERROR(VLOOKUP(1*LEFT(C157,7),DF!$A$1:$F$9447,2,FALSE),"")</f>
        <v>ESC BORD CATAM. POL OFICIAL 36</v>
      </c>
      <c r="F157">
        <v>7709440</v>
      </c>
      <c r="G157" t="s">
        <v>13179</v>
      </c>
      <c r="H157">
        <v>1</v>
      </c>
    </row>
    <row r="158" spans="1:8" x14ac:dyDescent="0.25">
      <c r="A158">
        <v>16522</v>
      </c>
      <c r="B158" t="s">
        <v>4</v>
      </c>
      <c r="C158" t="str">
        <f t="shared" si="5"/>
        <v>7709459##</v>
      </c>
      <c r="E158" t="str">
        <f>IFERROR(VLOOKUP(1*LEFT(C158,7),DF!$A$1:$F$9447,2,FALSE),"")</f>
        <v>ESC BORD G.N.  (BRAZO)</v>
      </c>
      <c r="F158" s="7">
        <v>7709459</v>
      </c>
      <c r="G158" t="s">
        <v>12595</v>
      </c>
      <c r="H158">
        <v>1</v>
      </c>
    </row>
    <row r="159" spans="1:8" x14ac:dyDescent="0.25">
      <c r="A159" s="2">
        <v>16522</v>
      </c>
      <c r="B159" s="2" t="s">
        <v>4</v>
      </c>
      <c r="C159" s="2" t="str">
        <f t="shared" si="5"/>
        <v>7709439##</v>
      </c>
      <c r="D159" s="2"/>
      <c r="E159" s="2" t="str">
        <f>IFERROR(VLOOKUP(1*LEFT(C159,7),DF!$A$1:$F$9447,2,FALSE),"")</f>
        <v>ESC BORD JUJUY POLICIA BB TVS434-2</v>
      </c>
      <c r="F159">
        <v>7709439</v>
      </c>
      <c r="G159" t="s">
        <v>13170</v>
      </c>
      <c r="H159">
        <v>1</v>
      </c>
    </row>
    <row r="160" spans="1:8" x14ac:dyDescent="0.25">
      <c r="A160" s="2">
        <v>16522</v>
      </c>
      <c r="B160" s="2" t="s">
        <v>4</v>
      </c>
      <c r="C160" s="2" t="str">
        <f t="shared" si="5"/>
        <v>7709833##</v>
      </c>
      <c r="D160" s="2"/>
      <c r="E160" s="2" t="str">
        <f>IFERROR(VLOOKUP(1*LEFT(C160,7),DF!$A$1:$F$9447,2,FALSE),"")</f>
        <v>ESC BORD LA RIOJA POLICIA   TVS 515</v>
      </c>
      <c r="F160">
        <v>7709833</v>
      </c>
      <c r="G160" t="s">
        <v>13206</v>
      </c>
      <c r="H160">
        <v>1</v>
      </c>
    </row>
    <row r="161" spans="1:8" x14ac:dyDescent="0.25">
      <c r="A161">
        <v>16522</v>
      </c>
      <c r="B161" t="s">
        <v>4</v>
      </c>
      <c r="C161" t="str">
        <f t="shared" si="5"/>
        <v>7709654##</v>
      </c>
      <c r="E161" t="str">
        <f>IFERROR(VLOOKUP(1*LEFT(C161,7),DF!$A$1:$F$9447,2,FALSE),"")</f>
        <v>ESC BORD MZA B CIVICO    BARG</v>
      </c>
      <c r="F161" s="7">
        <v>7709654</v>
      </c>
      <c r="G161" t="s">
        <v>12596</v>
      </c>
      <c r="H161">
        <v>1</v>
      </c>
    </row>
    <row r="162" spans="1:8" x14ac:dyDescent="0.25">
      <c r="A162">
        <v>16522</v>
      </c>
      <c r="B162" t="s">
        <v>4</v>
      </c>
      <c r="C162" t="str">
        <f t="shared" si="5"/>
        <v>7709855##</v>
      </c>
      <c r="E162" t="str">
        <f>IFERROR(VLOOKUP(1*LEFT(C162,7),DF!$A$1:$F$9447,2,FALSE),"")</f>
        <v>ESC BORD MZA BANDA DE MUSICA GUSTAVO BAR</v>
      </c>
      <c r="F162" s="7">
        <v>7709855</v>
      </c>
      <c r="G162" t="s">
        <v>12597</v>
      </c>
      <c r="H162">
        <v>1</v>
      </c>
    </row>
    <row r="163" spans="1:8" x14ac:dyDescent="0.25">
      <c r="A163">
        <v>16522</v>
      </c>
      <c r="B163" t="s">
        <v>4</v>
      </c>
      <c r="C163" t="str">
        <f t="shared" si="5"/>
        <v>7709365##</v>
      </c>
      <c r="E163" s="2" t="str">
        <f>IFERROR(VLOOKUP(1*LEFT(C163,7),DF!$A$1:$F$9447,2,FALSE),"")</f>
        <v>ESC BORD MZA BOINA  INFANTERIA     BARG</v>
      </c>
      <c r="F163" s="7">
        <v>7709365</v>
      </c>
      <c r="G163" t="s">
        <v>12598</v>
      </c>
      <c r="H163">
        <v>1</v>
      </c>
    </row>
    <row r="164" spans="1:8" x14ac:dyDescent="0.25">
      <c r="A164">
        <v>16522</v>
      </c>
      <c r="B164" t="s">
        <v>4</v>
      </c>
      <c r="C164" t="str">
        <f t="shared" si="5"/>
        <v>7709101##</v>
      </c>
      <c r="E164" s="2" t="str">
        <f>IFERROR(VLOOKUP(1*LEFT(C164,7),DF!$A$1:$F$9447,2,FALSE),"")</f>
        <v>ESC BORD MZA BOINA CABALLERIA     BARG</v>
      </c>
      <c r="F164" s="7">
        <v>7709101</v>
      </c>
      <c r="G164" t="s">
        <v>12599</v>
      </c>
      <c r="H164">
        <v>1</v>
      </c>
    </row>
    <row r="165" spans="1:8" x14ac:dyDescent="0.25">
      <c r="A165">
        <v>16522</v>
      </c>
      <c r="B165" t="s">
        <v>4</v>
      </c>
      <c r="C165" t="str">
        <f t="shared" si="5"/>
        <v>7709364##</v>
      </c>
      <c r="E165" s="2" t="str">
        <f>IFERROR(VLOOKUP(1*LEFT(C165,7),DF!$A$1:$F$9447,2,FALSE),"")</f>
        <v>ESC BORD MZA BOINA CANES</v>
      </c>
      <c r="F165" s="7">
        <v>7709364</v>
      </c>
      <c r="G165" t="s">
        <v>12600</v>
      </c>
      <c r="H165">
        <v>1</v>
      </c>
    </row>
    <row r="166" spans="1:8" x14ac:dyDescent="0.25">
      <c r="A166">
        <v>16522</v>
      </c>
      <c r="B166" t="s">
        <v>4</v>
      </c>
      <c r="C166" t="str">
        <f t="shared" si="5"/>
        <v>7709021##</v>
      </c>
      <c r="E166" s="2" t="str">
        <f>IFERROR(VLOOKUP(1*LEFT(C166,7),DF!$A$1:$F$9447,2,FALSE),"")</f>
        <v>ESC BORD MZA BOINA GEOP</v>
      </c>
      <c r="F166" s="7">
        <v>7709021</v>
      </c>
      <c r="G166" t="s">
        <v>12601</v>
      </c>
      <c r="H166">
        <v>1</v>
      </c>
    </row>
    <row r="167" spans="1:8" x14ac:dyDescent="0.25">
      <c r="A167">
        <v>16522</v>
      </c>
      <c r="B167" t="s">
        <v>4</v>
      </c>
      <c r="C167" t="str">
        <f t="shared" si="5"/>
        <v>7709401##</v>
      </c>
      <c r="E167" s="2" t="str">
        <f>IFERROR(VLOOKUP(1*LEFT(C167,7),DF!$A$1:$F$9447,2,FALSE),"")</f>
        <v>ESC BORD MZA BOINA GES       BARG</v>
      </c>
      <c r="F167" s="7">
        <v>7709401</v>
      </c>
      <c r="G167" t="s">
        <v>12602</v>
      </c>
      <c r="H167">
        <v>1</v>
      </c>
    </row>
    <row r="168" spans="1:8" x14ac:dyDescent="0.25">
      <c r="A168">
        <v>16522</v>
      </c>
      <c r="B168" t="s">
        <v>4</v>
      </c>
      <c r="C168" t="str">
        <f t="shared" si="5"/>
        <v>7709233##</v>
      </c>
      <c r="E168" s="2" t="str">
        <f>IFERROR(VLOOKUP(1*LEFT(C168,7),DF!$A$1:$F$9447,2,FALSE),"")</f>
        <v>ESC BORD MZA BOINA LICEO LMGE BARG</v>
      </c>
      <c r="F168" s="7">
        <v>7709233</v>
      </c>
      <c r="G168" t="s">
        <v>12603</v>
      </c>
      <c r="H168">
        <v>1</v>
      </c>
    </row>
    <row r="169" spans="1:8" x14ac:dyDescent="0.25">
      <c r="A169">
        <v>16522</v>
      </c>
      <c r="B169" t="s">
        <v>4</v>
      </c>
      <c r="C169" t="str">
        <f t="shared" si="5"/>
        <v>7709016##</v>
      </c>
      <c r="E169" s="2" t="str">
        <f>IFERROR(VLOOKUP(1*LEFT(C169,7),DF!$A$1:$F$9447,2,FALSE),"")</f>
        <v>ESC BORD MZA BOINA MOTORIZADA   BARG</v>
      </c>
      <c r="F169" s="7">
        <v>7709016</v>
      </c>
      <c r="G169" t="s">
        <v>12604</v>
      </c>
      <c r="H169">
        <v>1</v>
      </c>
    </row>
    <row r="170" spans="1:8" x14ac:dyDescent="0.25">
      <c r="A170">
        <v>16522</v>
      </c>
      <c r="B170" t="s">
        <v>4</v>
      </c>
      <c r="C170" t="str">
        <f t="shared" si="5"/>
        <v>7709572##</v>
      </c>
      <c r="E170" t="str">
        <f>IFERROR(VLOOKUP(1*LEFT(C170,7),DF!$A$1:$F$9447,2,FALSE),"")</f>
        <v>ESC BORD MZA BOMBEROS          BARG</v>
      </c>
      <c r="F170" s="7">
        <v>7709572</v>
      </c>
      <c r="G170" t="s">
        <v>12605</v>
      </c>
      <c r="H170">
        <v>1</v>
      </c>
    </row>
    <row r="171" spans="1:8" x14ac:dyDescent="0.25">
      <c r="A171">
        <v>16522</v>
      </c>
      <c r="B171" t="s">
        <v>4</v>
      </c>
      <c r="C171" t="str">
        <f t="shared" si="5"/>
        <v>7709103##</v>
      </c>
      <c r="E171" t="str">
        <f>IFERROR(VLOOKUP(1*LEFT(C171,7),DF!$A$1:$F$9447,2,FALSE),"")</f>
        <v>ESC BORD MZA BRAZO GES</v>
      </c>
      <c r="F171" s="7">
        <v>7709103</v>
      </c>
      <c r="G171" t="s">
        <v>12606</v>
      </c>
      <c r="H171">
        <v>1</v>
      </c>
    </row>
    <row r="172" spans="1:8" x14ac:dyDescent="0.25">
      <c r="A172" s="2">
        <v>16522</v>
      </c>
      <c r="B172" s="2" t="s">
        <v>4</v>
      </c>
      <c r="C172" s="2" t="str">
        <f t="shared" si="5"/>
        <v>7709103##</v>
      </c>
      <c r="D172" s="2"/>
      <c r="E172" s="2" t="str">
        <f>IFERROR(VLOOKUP(1*LEFT(C172,7),DF!$A$1:$F$9447,2,FALSE),"")</f>
        <v>ESC BORD MZA BRAZO GES</v>
      </c>
      <c r="F172">
        <v>7709103</v>
      </c>
      <c r="G172" t="s">
        <v>12606</v>
      </c>
      <c r="H172">
        <v>1</v>
      </c>
    </row>
    <row r="173" spans="1:8" x14ac:dyDescent="0.25">
      <c r="A173">
        <v>16522</v>
      </c>
      <c r="B173" t="s">
        <v>4</v>
      </c>
      <c r="C173" t="str">
        <f t="shared" si="5"/>
        <v>7709753##</v>
      </c>
      <c r="E173" t="str">
        <f>IFERROR(VLOOKUP(1*LEFT(C173,7),DF!$A$1:$F$9447,2,FALSE),"")</f>
        <v>ESC BORD MZA CABALLERIA TV 424-14</v>
      </c>
      <c r="F173" s="7">
        <v>7709753</v>
      </c>
      <c r="G173" t="s">
        <v>12607</v>
      </c>
      <c r="H173">
        <v>1</v>
      </c>
    </row>
    <row r="174" spans="1:8" x14ac:dyDescent="0.25">
      <c r="A174">
        <v>16522</v>
      </c>
      <c r="B174" t="s">
        <v>4</v>
      </c>
      <c r="C174" t="str">
        <f t="shared" ref="C174:C205" si="6">CONCATENATE(F174,"##")</f>
        <v>7709854##</v>
      </c>
      <c r="E174" t="str">
        <f>IFERROR(VLOOKUP(1*LEFT(C174,7),DF!$A$1:$F$9447,2,FALSE),"")</f>
        <v>ESC BORD MZA CANES BRAZO</v>
      </c>
      <c r="F174" s="7">
        <v>7709854</v>
      </c>
      <c r="G174" t="s">
        <v>12608</v>
      </c>
      <c r="H174">
        <v>1</v>
      </c>
    </row>
    <row r="175" spans="1:8" x14ac:dyDescent="0.25">
      <c r="A175" s="2">
        <v>16522</v>
      </c>
      <c r="B175" s="2" t="s">
        <v>4</v>
      </c>
      <c r="C175" s="2" t="str">
        <f t="shared" si="6"/>
        <v>7709017##</v>
      </c>
      <c r="D175" s="2"/>
      <c r="E175" s="2" t="str">
        <f>IFERROR(VLOOKUP(1*LEFT(C175,7),DF!$A$1:$F$9447,2,FALSE),"")</f>
        <v>ESC BORD MZA DEFENSA CIVIL</v>
      </c>
      <c r="F175">
        <v>7709017</v>
      </c>
      <c r="G175" t="s">
        <v>13210</v>
      </c>
      <c r="H175">
        <v>1</v>
      </c>
    </row>
    <row r="176" spans="1:8" x14ac:dyDescent="0.25">
      <c r="A176">
        <v>16522</v>
      </c>
      <c r="B176" t="s">
        <v>4</v>
      </c>
      <c r="C176" t="str">
        <f t="shared" si="6"/>
        <v>7709625##</v>
      </c>
      <c r="E176" t="str">
        <f>IFERROR(VLOOKUP(1*LEFT(C176,7),DF!$A$1:$F$9447,2,FALSE),"")</f>
        <v>ESC BORD MZA INFANTERIA BAJA V. TV</v>
      </c>
      <c r="F176" s="7">
        <v>7709625</v>
      </c>
      <c r="G176" t="s">
        <v>12609</v>
      </c>
      <c r="H176">
        <v>1</v>
      </c>
    </row>
    <row r="177" spans="1:8" x14ac:dyDescent="0.25">
      <c r="A177">
        <v>16522</v>
      </c>
      <c r="B177" t="s">
        <v>4</v>
      </c>
      <c r="C177" t="str">
        <f t="shared" si="6"/>
        <v>7709158##</v>
      </c>
      <c r="E177" t="str">
        <f>IFERROR(VLOOKUP(1*LEFT(C177,7),DF!$A$1:$F$9447,2,FALSE),"")</f>
        <v>ESC BORD MZA INFANTERIA BELGRANO</v>
      </c>
      <c r="F177" s="7">
        <v>7709158</v>
      </c>
      <c r="G177" t="s">
        <v>12610</v>
      </c>
      <c r="H177">
        <v>1</v>
      </c>
    </row>
    <row r="178" spans="1:8" x14ac:dyDescent="0.25">
      <c r="A178" s="2">
        <v>16522</v>
      </c>
      <c r="B178" s="2" t="s">
        <v>4</v>
      </c>
      <c r="C178" s="2" t="str">
        <f t="shared" si="6"/>
        <v>7709158##</v>
      </c>
      <c r="D178" s="2"/>
      <c r="E178" s="2" t="str">
        <f>IFERROR(VLOOKUP(1*LEFT(C178,7),DF!$A$1:$F$9447,2,FALSE),"")</f>
        <v>ESC BORD MZA INFANTERIA BELGRANO</v>
      </c>
      <c r="F178">
        <v>7709158</v>
      </c>
      <c r="G178" t="s">
        <v>12610</v>
      </c>
      <c r="H178">
        <v>1</v>
      </c>
    </row>
    <row r="179" spans="1:8" x14ac:dyDescent="0.25">
      <c r="A179">
        <v>16522</v>
      </c>
      <c r="B179" t="s">
        <v>4</v>
      </c>
      <c r="C179" t="str">
        <f t="shared" si="6"/>
        <v>7709139##</v>
      </c>
      <c r="E179" t="str">
        <f>IFERROR(VLOOKUP(1*LEFT(C179,7),DF!$A$1:$F$9447,2,FALSE),"")</f>
        <v>ESC BORD MZA IUSP BEIGE CUERPO INSTR.</v>
      </c>
      <c r="F179" s="7">
        <v>7709139</v>
      </c>
      <c r="G179" t="s">
        <v>12611</v>
      </c>
      <c r="H179">
        <v>1</v>
      </c>
    </row>
    <row r="180" spans="1:8" x14ac:dyDescent="0.25">
      <c r="A180" s="2">
        <v>16522</v>
      </c>
      <c r="B180" s="2" t="s">
        <v>4</v>
      </c>
      <c r="C180" s="2" t="str">
        <f t="shared" si="6"/>
        <v>7709139##</v>
      </c>
      <c r="D180" s="2"/>
      <c r="E180" s="2" t="str">
        <f>IFERROR(VLOOKUP(1*LEFT(C180,7),DF!$A$1:$F$9447,2,FALSE),"")</f>
        <v>ESC BORD MZA IUSP BEIGE CUERPO INSTR.</v>
      </c>
      <c r="F180">
        <v>7709139</v>
      </c>
      <c r="G180" t="s">
        <v>12611</v>
      </c>
      <c r="H180">
        <v>1</v>
      </c>
    </row>
    <row r="181" spans="1:8" x14ac:dyDescent="0.25">
      <c r="A181">
        <v>16522</v>
      </c>
      <c r="B181" t="s">
        <v>4</v>
      </c>
      <c r="C181" t="str">
        <f t="shared" si="6"/>
        <v>7709138##</v>
      </c>
      <c r="E181" t="str">
        <f>IFERROR(VLOOKUP(1*LEFT(C181,7),DF!$A$1:$F$9447,2,FALSE),"")</f>
        <v>ESC BORD MZA IUSP DE BRAZO TVS413-2 16.5</v>
      </c>
      <c r="F181" s="7">
        <v>7709138</v>
      </c>
      <c r="G181" t="s">
        <v>12612</v>
      </c>
      <c r="H181">
        <v>1</v>
      </c>
    </row>
    <row r="182" spans="1:8" x14ac:dyDescent="0.25">
      <c r="A182" s="2">
        <v>16522</v>
      </c>
      <c r="B182" s="2" t="s">
        <v>4</v>
      </c>
      <c r="C182" s="2" t="str">
        <f t="shared" si="6"/>
        <v>7709137##</v>
      </c>
      <c r="D182" s="2"/>
      <c r="E182" s="2" t="str">
        <f>IFERROR(VLOOKUP(1*LEFT(C182,7),DF!$A$1:$F$9447,2,FALSE),"")</f>
        <v>ESC BORD MZA IUSP PENITENCIARIO</v>
      </c>
      <c r="F182">
        <v>7709137</v>
      </c>
      <c r="G182" t="s">
        <v>13139</v>
      </c>
      <c r="H182">
        <v>1</v>
      </c>
    </row>
    <row r="183" spans="1:8" x14ac:dyDescent="0.25">
      <c r="A183" s="2">
        <v>16522</v>
      </c>
      <c r="B183" s="2" t="s">
        <v>4</v>
      </c>
      <c r="C183" s="2" t="str">
        <f t="shared" si="6"/>
        <v>7709043##</v>
      </c>
      <c r="D183" s="2"/>
      <c r="E183" s="2" t="str">
        <f>IFERROR(VLOOKUP(1*LEFT(C183,7),DF!$A$1:$F$9447,2,FALSE),"")</f>
        <v>ESC BORD MZA JEFATURA DEPART.CORRED BARG</v>
      </c>
      <c r="F183">
        <v>7709043</v>
      </c>
      <c r="G183" t="s">
        <v>13137</v>
      </c>
      <c r="H183">
        <v>1</v>
      </c>
    </row>
    <row r="184" spans="1:8" x14ac:dyDescent="0.25">
      <c r="A184">
        <v>16522</v>
      </c>
      <c r="B184" t="s">
        <v>4</v>
      </c>
      <c r="C184" t="str">
        <f t="shared" si="6"/>
        <v>7709041##</v>
      </c>
      <c r="E184" t="str">
        <f>IFERROR(VLOOKUP(1*LEFT(C184,7),DF!$A$1:$F$9447,2,FALSE),"")</f>
        <v>ESC BORD MZA JEFATURA DEPARTAMENT</v>
      </c>
      <c r="F184" s="7">
        <v>7709041</v>
      </c>
      <c r="G184" t="s">
        <v>12613</v>
      </c>
      <c r="H184">
        <v>1</v>
      </c>
    </row>
    <row r="185" spans="1:8" x14ac:dyDescent="0.25">
      <c r="A185">
        <v>16522</v>
      </c>
      <c r="B185" t="s">
        <v>4</v>
      </c>
      <c r="C185" t="str">
        <f t="shared" si="6"/>
        <v>7709754##</v>
      </c>
      <c r="E185" t="str">
        <f>IFERROR(VLOOKUP(1*LEFT(C185,7),DF!$A$1:$F$9447,2,FALSE),"")</f>
        <v>ESC BORD MZA MOTORIZADA B VISIB.  BARG</v>
      </c>
      <c r="F185" s="7">
        <v>7709754</v>
      </c>
      <c r="G185" t="s">
        <v>12614</v>
      </c>
      <c r="H185">
        <v>1</v>
      </c>
    </row>
    <row r="186" spans="1:8" x14ac:dyDescent="0.25">
      <c r="A186" s="2">
        <v>16522</v>
      </c>
      <c r="B186" s="2" t="s">
        <v>4</v>
      </c>
      <c r="C186" s="2" t="str">
        <f t="shared" si="6"/>
        <v>7709246##</v>
      </c>
      <c r="D186" s="2"/>
      <c r="E186" s="2" t="str">
        <f>IFERROR(VLOOKUP(1*LEFT(C186,7),DF!$A$1:$F$9447,2,FALSE),"")</f>
        <v>ESC BORD MZA OF JEFES Y SUP BEIGE</v>
      </c>
      <c r="F186">
        <v>7709246</v>
      </c>
      <c r="G186" t="s">
        <v>13136</v>
      </c>
      <c r="H186">
        <v>1</v>
      </c>
    </row>
    <row r="187" spans="1:8" x14ac:dyDescent="0.25">
      <c r="A187">
        <v>16522</v>
      </c>
      <c r="B187" t="s">
        <v>4</v>
      </c>
      <c r="C187" t="str">
        <f t="shared" si="6"/>
        <v>7709245##</v>
      </c>
      <c r="E187" t="str">
        <f>IFERROR(VLOOKUP(1*LEFT(C187,7),DF!$A$1:$F$9447,2,FALSE),"")</f>
        <v>ESC BORD MZA OF. JEFES  Y SUP</v>
      </c>
      <c r="F187" s="7">
        <v>7709245</v>
      </c>
      <c r="G187" t="s">
        <v>12615</v>
      </c>
      <c r="H187">
        <v>1</v>
      </c>
    </row>
    <row r="188" spans="1:8" x14ac:dyDescent="0.25">
      <c r="A188">
        <v>16522</v>
      </c>
      <c r="B188" t="s">
        <v>4</v>
      </c>
      <c r="C188" t="str">
        <f t="shared" si="6"/>
        <v>7709867##</v>
      </c>
      <c r="E188" t="str">
        <f>IFERROR(VLOOKUP(1*LEFT(C188,7),DF!$A$1:$F$9447,2,FALSE),"")</f>
        <v>ESC BORD MZA PENIT ALMAF. BD</v>
      </c>
      <c r="F188" s="7">
        <v>7709867</v>
      </c>
      <c r="G188" t="s">
        <v>12616</v>
      </c>
      <c r="H188">
        <v>1</v>
      </c>
    </row>
    <row r="189" spans="1:8" x14ac:dyDescent="0.25">
      <c r="A189">
        <v>16522</v>
      </c>
      <c r="B189" t="s">
        <v>4</v>
      </c>
      <c r="C189" t="str">
        <f t="shared" si="6"/>
        <v>7709393##</v>
      </c>
      <c r="E189" s="2" t="str">
        <f>IFERROR(VLOOKUP(1*LEFT(C189,7),DF!$A$1:$F$9447,2,FALSE),"")</f>
        <v>ESC BORD MZA PENIT BOINA SERP BAJA VIS</v>
      </c>
      <c r="F189">
        <v>7709393</v>
      </c>
      <c r="G189" t="s">
        <v>12617</v>
      </c>
      <c r="H189">
        <v>1</v>
      </c>
    </row>
    <row r="190" spans="1:8" x14ac:dyDescent="0.25">
      <c r="A190">
        <v>16522</v>
      </c>
      <c r="B190" t="s">
        <v>4</v>
      </c>
      <c r="C190" t="str">
        <f t="shared" si="6"/>
        <v>7709394##</v>
      </c>
      <c r="E190" s="2" t="str">
        <f>IFERROR(VLOOKUP(1*LEFT(C190,7),DF!$A$1:$F$9447,2,FALSE),"")</f>
        <v>ESC BORD MZA PENIT BOINA SERP BARG</v>
      </c>
      <c r="F190" s="7">
        <v>7709394</v>
      </c>
      <c r="G190" t="s">
        <v>12618</v>
      </c>
      <c r="H190">
        <v>1</v>
      </c>
    </row>
    <row r="191" spans="1:8" x14ac:dyDescent="0.25">
      <c r="A191">
        <v>16522</v>
      </c>
      <c r="B191" t="s">
        <v>4</v>
      </c>
      <c r="C191" t="str">
        <f t="shared" si="6"/>
        <v>7709396##</v>
      </c>
      <c r="E191" t="str">
        <f>IFERROR(VLOOKUP(1*LEFT(C191,7),DF!$A$1:$F$9447,2,FALSE),"")</f>
        <v>ESC BORD MZA PENIT DIVISION TRASLADO</v>
      </c>
      <c r="F191" s="7">
        <v>7709396</v>
      </c>
      <c r="G191" t="s">
        <v>12619</v>
      </c>
      <c r="H191">
        <v>2</v>
      </c>
    </row>
    <row r="192" spans="1:8" x14ac:dyDescent="0.25">
      <c r="A192">
        <v>16522</v>
      </c>
      <c r="B192" t="s">
        <v>4</v>
      </c>
      <c r="C192" t="str">
        <f t="shared" si="6"/>
        <v>7709600##</v>
      </c>
      <c r="E192" t="str">
        <f>IFERROR(VLOOKUP(1*LEFT(C192,7),DF!$A$1:$F$9447,2,FALSE),"")</f>
        <v>ESC BORD MZA PENIT INFOPE         BARG</v>
      </c>
      <c r="F192" s="7">
        <v>7709600</v>
      </c>
      <c r="G192" t="s">
        <v>12620</v>
      </c>
      <c r="H192">
        <v>1</v>
      </c>
    </row>
    <row r="193" spans="1:8" x14ac:dyDescent="0.25">
      <c r="A193">
        <v>16522</v>
      </c>
      <c r="B193" t="s">
        <v>4</v>
      </c>
      <c r="C193" t="str">
        <f t="shared" si="6"/>
        <v>7709421##</v>
      </c>
      <c r="E193" t="str">
        <f>IFERROR(VLOOKUP(1*LEFT(C193,7),DF!$A$1:$F$9447,2,FALSE),"")</f>
        <v>ESC BORD MZA PENIT SEG EXT FONDO NEGRO</v>
      </c>
      <c r="F193" s="7">
        <v>7709421</v>
      </c>
      <c r="G193" t="s">
        <v>12621</v>
      </c>
      <c r="H193">
        <v>2</v>
      </c>
    </row>
    <row r="194" spans="1:8" x14ac:dyDescent="0.25">
      <c r="A194">
        <v>16522</v>
      </c>
      <c r="B194" t="s">
        <v>4</v>
      </c>
      <c r="C194" t="str">
        <f t="shared" si="6"/>
        <v>7709456##</v>
      </c>
      <c r="E194" t="str">
        <f>IFERROR(VLOOKUP(1*LEFT(C194,7),DF!$A$1:$F$9447,2,FALSE),"")</f>
        <v>ESC BORD MZA PENIT SERP BV   BARG</v>
      </c>
      <c r="F194" s="7">
        <v>7709456</v>
      </c>
      <c r="G194" t="s">
        <v>12622</v>
      </c>
      <c r="H194">
        <v>1</v>
      </c>
    </row>
    <row r="195" spans="1:8" x14ac:dyDescent="0.25">
      <c r="A195">
        <v>16522</v>
      </c>
      <c r="B195" t="s">
        <v>4</v>
      </c>
      <c r="C195" t="str">
        <f t="shared" si="6"/>
        <v>7709712##</v>
      </c>
      <c r="E195" t="str">
        <f>IFERROR(VLOOKUP(1*LEFT(C195,7),DF!$A$1:$F$9447,2,FALSE),"")</f>
        <v>ESC BORD MZA PENIT. CONDOR  BARG</v>
      </c>
      <c r="F195" s="7">
        <v>7709712</v>
      </c>
      <c r="G195" t="s">
        <v>12623</v>
      </c>
      <c r="H195">
        <v>1</v>
      </c>
    </row>
    <row r="196" spans="1:8" x14ac:dyDescent="0.25">
      <c r="A196">
        <v>16522</v>
      </c>
      <c r="B196" t="s">
        <v>4</v>
      </c>
      <c r="C196" t="str">
        <f t="shared" si="6"/>
        <v>7709360##</v>
      </c>
      <c r="E196" t="str">
        <f>IFERROR(VLOOKUP(1*LEFT(C196,7),DF!$A$1:$F$9447,2,FALSE),"")</f>
        <v>ESC BORD MZA PENIT. GEOP</v>
      </c>
      <c r="F196" s="7">
        <v>7709360</v>
      </c>
      <c r="G196" t="s">
        <v>12624</v>
      </c>
      <c r="H196">
        <v>1</v>
      </c>
    </row>
    <row r="197" spans="1:8" x14ac:dyDescent="0.25">
      <c r="A197">
        <v>16522</v>
      </c>
      <c r="B197" t="s">
        <v>4</v>
      </c>
      <c r="C197" t="str">
        <f t="shared" si="6"/>
        <v>7709547##</v>
      </c>
      <c r="E197" t="str">
        <f>IFERROR(VLOOKUP(1*LEFT(C197,7),DF!$A$1:$F$9447,2,FALSE),"")</f>
        <v>ESC BORD MZA POL BAJA VISIBILID</v>
      </c>
      <c r="F197" s="7">
        <v>7709547</v>
      </c>
      <c r="G197" t="s">
        <v>12625</v>
      </c>
      <c r="H197">
        <v>1</v>
      </c>
    </row>
    <row r="198" spans="1:8" x14ac:dyDescent="0.25">
      <c r="A198">
        <v>16522</v>
      </c>
      <c r="B198" t="s">
        <v>4</v>
      </c>
      <c r="C198" t="str">
        <f t="shared" si="6"/>
        <v>7709756##</v>
      </c>
      <c r="E198" t="str">
        <f>IFERROR(VLOOKUP(1*LEFT(C198,7),DF!$A$1:$F$9447,2,FALSE),"")</f>
        <v>ESC BORD MZA POL MOTORIZADA AZ/DOR BARG</v>
      </c>
      <c r="F198" s="7">
        <v>7709756</v>
      </c>
      <c r="G198" t="s">
        <v>12626</v>
      </c>
      <c r="H198">
        <v>1</v>
      </c>
    </row>
    <row r="199" spans="1:8" x14ac:dyDescent="0.25">
      <c r="A199">
        <v>16522</v>
      </c>
      <c r="B199" t="s">
        <v>4</v>
      </c>
      <c r="C199" t="str">
        <f t="shared" si="6"/>
        <v>7709333##</v>
      </c>
      <c r="E199" t="str">
        <f>IFERROR(VLOOKUP(1*LEFT(C199,7),DF!$A$1:$F$9447,2,FALSE),"")</f>
        <v>ESC BORD MZA POL VIEJO MODELO   BARG</v>
      </c>
      <c r="F199" s="7">
        <v>7709333</v>
      </c>
      <c r="G199" t="s">
        <v>12627</v>
      </c>
      <c r="H199">
        <v>1</v>
      </c>
    </row>
    <row r="200" spans="1:8" x14ac:dyDescent="0.25">
      <c r="A200">
        <v>16522</v>
      </c>
      <c r="B200" t="s">
        <v>4</v>
      </c>
      <c r="C200" t="str">
        <f t="shared" si="6"/>
        <v>7709665##</v>
      </c>
      <c r="E200" t="str">
        <f>IFERROR(VLOOKUP(1*LEFT(C200,7),DF!$A$1:$F$9447,2,FALSE),"")</f>
        <v>ESC BORD MZA POL. NUEVO MODELO BARG</v>
      </c>
      <c r="F200" s="7">
        <v>7709665</v>
      </c>
      <c r="G200" t="s">
        <v>12628</v>
      </c>
      <c r="H200">
        <v>1</v>
      </c>
    </row>
    <row r="201" spans="1:8" x14ac:dyDescent="0.25">
      <c r="A201">
        <v>16522</v>
      </c>
      <c r="B201" t="s">
        <v>4</v>
      </c>
      <c r="C201" t="str">
        <f t="shared" si="6"/>
        <v>7709650##</v>
      </c>
      <c r="E201" t="str">
        <f>IFERROR(VLOOKUP(1*LEFT(C201,7),DF!$A$1:$F$9447,2,FALSE),"")</f>
        <v>ESC BORD MZA POLICIA CIENTIFICA</v>
      </c>
      <c r="F201" s="7">
        <v>7709650</v>
      </c>
      <c r="G201" t="s">
        <v>12629</v>
      </c>
      <c r="H201">
        <v>1</v>
      </c>
    </row>
    <row r="202" spans="1:8" x14ac:dyDescent="0.25">
      <c r="A202">
        <v>16522</v>
      </c>
      <c r="B202" t="s">
        <v>4</v>
      </c>
      <c r="C202" t="str">
        <f t="shared" si="6"/>
        <v>7709680##</v>
      </c>
      <c r="E202" t="str">
        <f>IFERROR(VLOOKUP(1*LEFT(C202,7),DF!$A$1:$F$9447,2,FALSE),"")</f>
        <v>ESC BORD MZA RURAL  MANGA TVS</v>
      </c>
      <c r="F202" s="7">
        <v>7709680</v>
      </c>
      <c r="G202" t="s">
        <v>12630</v>
      </c>
      <c r="H202">
        <v>1</v>
      </c>
    </row>
    <row r="203" spans="1:8" x14ac:dyDescent="0.25">
      <c r="A203">
        <v>16522</v>
      </c>
      <c r="B203" t="s">
        <v>4</v>
      </c>
      <c r="C203" t="str">
        <f t="shared" si="6"/>
        <v>7709943##</v>
      </c>
      <c r="E203" t="str">
        <f>IFERROR(VLOOKUP(1*LEFT(C203,7),DF!$A$1:$F$9447,2,FALSE),"")</f>
        <v>ESC BORD MZA SANIDAD POLICIAL</v>
      </c>
      <c r="F203" s="7">
        <v>7709943</v>
      </c>
      <c r="G203" t="s">
        <v>12631</v>
      </c>
      <c r="H203">
        <v>1</v>
      </c>
    </row>
    <row r="204" spans="1:8" x14ac:dyDescent="0.25">
      <c r="A204">
        <v>16522</v>
      </c>
      <c r="B204" t="s">
        <v>4</v>
      </c>
      <c r="C204" t="str">
        <f t="shared" si="6"/>
        <v>7709786##</v>
      </c>
      <c r="E204" t="str">
        <f>IFERROR(VLOOKUP(1*LEFT(C204,7),DF!$A$1:$F$9447,2,FALSE),"")</f>
        <v>ESC BORD MZA TRANVIA</v>
      </c>
      <c r="F204" s="7">
        <v>7709786</v>
      </c>
      <c r="G204" t="s">
        <v>12632</v>
      </c>
      <c r="H204">
        <v>2</v>
      </c>
    </row>
    <row r="205" spans="1:8" x14ac:dyDescent="0.25">
      <c r="A205">
        <v>16522</v>
      </c>
      <c r="B205" t="s">
        <v>4</v>
      </c>
      <c r="C205" t="str">
        <f t="shared" si="6"/>
        <v>7709330##</v>
      </c>
      <c r="E205" s="2" t="str">
        <f>IFERROR(VLOOKUP(1*LEFT(C205,7),DF!$A$1:$F$9447,2,FALSE),"")</f>
        <v>ESC BORD MZA U.A.R BOINA UNIDAD ACCION P</v>
      </c>
      <c r="F205" s="7">
        <v>7709330</v>
      </c>
      <c r="G205" t="s">
        <v>12633</v>
      </c>
      <c r="H205">
        <v>1</v>
      </c>
    </row>
    <row r="206" spans="1:8" x14ac:dyDescent="0.25">
      <c r="A206">
        <v>16522</v>
      </c>
      <c r="B206" t="s">
        <v>4</v>
      </c>
      <c r="C206" t="str">
        <f t="shared" ref="C206:C237" si="7">CONCATENATE(F206,"##")</f>
        <v>7709013##</v>
      </c>
      <c r="E206" s="2" t="str">
        <f>IFERROR(VLOOKUP(1*LEFT(C206,7),DF!$A$1:$F$9447,2,FALSE),"")</f>
        <v>ESC BORD MZA UAP BOINA</v>
      </c>
      <c r="F206">
        <v>7709013</v>
      </c>
      <c r="G206" t="s">
        <v>12634</v>
      </c>
      <c r="H206">
        <v>1</v>
      </c>
    </row>
    <row r="207" spans="1:8" x14ac:dyDescent="0.25">
      <c r="A207">
        <v>16522</v>
      </c>
      <c r="B207" t="s">
        <v>4</v>
      </c>
      <c r="C207" t="str">
        <f t="shared" si="7"/>
        <v>7709014##</v>
      </c>
      <c r="E207" s="2" t="str">
        <f>IFERROR(VLOOKUP(1*LEFT(C207,7),DF!$A$1:$F$9447,2,FALSE),"")</f>
        <v>ESC BORD MZA UCAR BOINA   UCAR</v>
      </c>
      <c r="F207" s="7">
        <v>7709014</v>
      </c>
      <c r="G207" t="s">
        <v>12635</v>
      </c>
      <c r="H207">
        <v>1</v>
      </c>
    </row>
    <row r="208" spans="1:8" x14ac:dyDescent="0.25">
      <c r="A208">
        <v>16522</v>
      </c>
      <c r="B208" t="s">
        <v>4</v>
      </c>
      <c r="C208" t="str">
        <f t="shared" si="7"/>
        <v>7709380##</v>
      </c>
      <c r="E208" t="str">
        <f>IFERROR(VLOOKUP(1*LEFT(C208,7),DF!$A$1:$F$9447,2,FALSE),"")</f>
        <v>ESC BORD MZA UCAR MANGA BB TVS424-0</v>
      </c>
      <c r="F208" s="7">
        <v>7709380</v>
      </c>
      <c r="G208" t="s">
        <v>12636</v>
      </c>
      <c r="H208">
        <v>1</v>
      </c>
    </row>
    <row r="209" spans="1:8" x14ac:dyDescent="0.25">
      <c r="A209">
        <v>16522</v>
      </c>
      <c r="B209" t="s">
        <v>4</v>
      </c>
      <c r="C209" t="str">
        <f t="shared" si="7"/>
        <v>7709661##</v>
      </c>
      <c r="E209" t="str">
        <f>IFERROR(VLOOKUP(1*LEFT(C209,7),DF!$A$1:$F$9447,2,FALSE),"")</f>
        <v>ESC BORD MZA UEP BAJA TUPUNGATO</v>
      </c>
      <c r="F209" s="7">
        <v>7709661</v>
      </c>
      <c r="G209" t="s">
        <v>12637</v>
      </c>
      <c r="H209">
        <v>1</v>
      </c>
    </row>
    <row r="210" spans="1:8" x14ac:dyDescent="0.25">
      <c r="A210">
        <v>16522</v>
      </c>
      <c r="B210" t="s">
        <v>4</v>
      </c>
      <c r="C210" t="str">
        <f t="shared" si="7"/>
        <v>7709653##</v>
      </c>
      <c r="E210" s="2" t="str">
        <f>IFERROR(VLOOKUP(1*LEFT(C210,7),DF!$A$1:$F$9447,2,FALSE),"")</f>
        <v>ESC BORD MZA UEP BOINA   BARG</v>
      </c>
      <c r="F210" s="7">
        <v>7709653</v>
      </c>
      <c r="G210" t="s">
        <v>12638</v>
      </c>
      <c r="H210">
        <v>1</v>
      </c>
    </row>
    <row r="211" spans="1:8" x14ac:dyDescent="0.25">
      <c r="A211">
        <v>16522</v>
      </c>
      <c r="B211" t="s">
        <v>4</v>
      </c>
      <c r="C211" t="str">
        <f t="shared" si="7"/>
        <v>7709662##</v>
      </c>
      <c r="E211" t="str">
        <f>IFERROR(VLOOKUP(1*LEFT(C211,7),DF!$A$1:$F$9447,2,FALSE),"")</f>
        <v>ESC BORD MZA UEP CAPITAL</v>
      </c>
      <c r="F211" s="7">
        <v>7709662</v>
      </c>
      <c r="G211" t="s">
        <v>12639</v>
      </c>
      <c r="H211">
        <v>1</v>
      </c>
    </row>
    <row r="212" spans="1:8" x14ac:dyDescent="0.25">
      <c r="A212">
        <v>16522</v>
      </c>
      <c r="B212" t="s">
        <v>4</v>
      </c>
      <c r="C212" t="str">
        <f t="shared" si="7"/>
        <v>7709015##</v>
      </c>
      <c r="E212" s="2" t="str">
        <f>IFERROR(VLOOKUP(1*LEFT(C212,7),DF!$A$1:$F$9447,2,FALSE),"")</f>
        <v>ESC BORD MZA UMAR BOINA</v>
      </c>
      <c r="F212" s="7">
        <v>7709015</v>
      </c>
      <c r="G212" t="s">
        <v>12640</v>
      </c>
      <c r="H212">
        <v>1</v>
      </c>
    </row>
    <row r="213" spans="1:8" x14ac:dyDescent="0.25">
      <c r="A213">
        <v>16522</v>
      </c>
      <c r="B213" t="s">
        <v>4</v>
      </c>
      <c r="C213" t="str">
        <f t="shared" si="7"/>
        <v>7709420##</v>
      </c>
      <c r="E213" t="str">
        <f>IFERROR(VLOOKUP(1*LEFT(C213,7),DF!$A$1:$F$9447,2,FALSE),"")</f>
        <v>ESC BORD MZA UMAR MANGA  TVS424-0</v>
      </c>
      <c r="F213" s="7">
        <v>7709420</v>
      </c>
      <c r="G213" t="s">
        <v>12641</v>
      </c>
      <c r="H213">
        <v>1</v>
      </c>
    </row>
    <row r="214" spans="1:8" x14ac:dyDescent="0.25">
      <c r="A214">
        <v>16522</v>
      </c>
      <c r="B214" t="s">
        <v>4</v>
      </c>
      <c r="C214" t="str">
        <f t="shared" si="7"/>
        <v>7709755##</v>
      </c>
      <c r="E214" t="str">
        <f>IFERROR(VLOOKUP(1*LEFT(C214,7),DF!$A$1:$F$9447,2,FALSE),"")</f>
        <v>ESC BORD MZA UPAT</v>
      </c>
      <c r="F214" s="7">
        <v>7709755</v>
      </c>
      <c r="G214" t="s">
        <v>12642</v>
      </c>
      <c r="H214">
        <v>1</v>
      </c>
    </row>
    <row r="215" spans="1:8" x14ac:dyDescent="0.25">
      <c r="A215">
        <v>16522</v>
      </c>
      <c r="B215" t="s">
        <v>4</v>
      </c>
      <c r="C215" t="str">
        <f t="shared" si="7"/>
        <v>7709788##</v>
      </c>
      <c r="E215" s="2" t="str">
        <f>IFERROR(VLOOKUP(1*LEFT(C215,7),DF!$A$1:$F$9447,2,FALSE),"")</f>
        <v>ESC BORD MZA UPP BOINA</v>
      </c>
      <c r="F215" s="7">
        <v>7709788</v>
      </c>
      <c r="G215" t="s">
        <v>12643</v>
      </c>
      <c r="H215">
        <v>1</v>
      </c>
    </row>
    <row r="216" spans="1:8" x14ac:dyDescent="0.25">
      <c r="A216">
        <v>16522</v>
      </c>
      <c r="B216" t="s">
        <v>4</v>
      </c>
      <c r="C216" t="str">
        <f t="shared" si="7"/>
        <v>7709787##</v>
      </c>
      <c r="E216" t="str">
        <f>IFERROR(VLOOKUP(1*LEFT(C216,7),DF!$A$1:$F$9447,2,FALSE),"")</f>
        <v>ESC BORD MZA UPP PARQUE BRAZO   BARG</v>
      </c>
      <c r="F216" s="7">
        <v>7709787</v>
      </c>
      <c r="G216" t="s">
        <v>12644</v>
      </c>
      <c r="H216">
        <v>1</v>
      </c>
    </row>
    <row r="217" spans="1:8" x14ac:dyDescent="0.25">
      <c r="A217">
        <v>16522</v>
      </c>
      <c r="B217" t="s">
        <v>4</v>
      </c>
      <c r="C217" t="str">
        <f t="shared" si="7"/>
        <v>7709156##</v>
      </c>
      <c r="E217" t="str">
        <f>IFERROR(VLOOKUP(1*LEFT(C217,7),DF!$A$1:$F$9447,2,FALSE),"")</f>
        <v>ESC BORD MZA VIAL P/ BRAZO TVS424-0</v>
      </c>
      <c r="F217" s="7">
        <v>7709156</v>
      </c>
      <c r="G217" t="s">
        <v>12645</v>
      </c>
      <c r="H217">
        <v>1</v>
      </c>
    </row>
    <row r="218" spans="1:8" x14ac:dyDescent="0.25">
      <c r="A218" s="2">
        <v>16522</v>
      </c>
      <c r="B218" s="2" t="s">
        <v>4</v>
      </c>
      <c r="C218" s="2" t="str">
        <f t="shared" si="7"/>
        <v>7709156##</v>
      </c>
      <c r="D218" s="2"/>
      <c r="E218" s="2" t="str">
        <f>IFERROR(VLOOKUP(1*LEFT(C218,7),DF!$A$1:$F$9447,2,FALSE),"")</f>
        <v>ESC BORD MZA VIAL P/ BRAZO TVS424-0</v>
      </c>
      <c r="F218">
        <v>7709156</v>
      </c>
      <c r="G218" t="s">
        <v>12645</v>
      </c>
      <c r="H218">
        <v>1</v>
      </c>
    </row>
    <row r="219" spans="1:8" x14ac:dyDescent="0.25">
      <c r="A219">
        <v>16522</v>
      </c>
      <c r="B219" t="s">
        <v>4</v>
      </c>
      <c r="C219" t="str">
        <f t="shared" si="7"/>
        <v>7709852##</v>
      </c>
      <c r="E219" t="str">
        <f>IFERROR(VLOOKUP(1*LEFT(C219,7),DF!$A$1:$F$9447,2,FALSE),"")</f>
        <v>ESC BORD NQN ESC DE CADETES</v>
      </c>
      <c r="F219">
        <v>7709852</v>
      </c>
      <c r="G219" t="s">
        <v>12646</v>
      </c>
      <c r="H219">
        <v>1</v>
      </c>
    </row>
    <row r="220" spans="1:8" x14ac:dyDescent="0.25">
      <c r="A220">
        <v>16522</v>
      </c>
      <c r="B220" t="s">
        <v>4</v>
      </c>
      <c r="C220" t="str">
        <f t="shared" si="7"/>
        <v>7709789##</v>
      </c>
      <c r="E220" t="str">
        <f>IFERROR(VLOOKUP(1*LEFT(C220,7),DF!$A$1:$F$9447,2,FALSE),"")</f>
        <v>ESC BORD NQN OFICIAL/DORAD POLICIA BARG</v>
      </c>
      <c r="F220">
        <v>7709789</v>
      </c>
      <c r="G220" t="s">
        <v>12647</v>
      </c>
      <c r="H220">
        <v>1</v>
      </c>
    </row>
    <row r="221" spans="1:8" x14ac:dyDescent="0.25">
      <c r="A221">
        <v>16522</v>
      </c>
      <c r="B221" t="s">
        <v>4</v>
      </c>
      <c r="C221" t="str">
        <f t="shared" si="7"/>
        <v>7709310##</v>
      </c>
      <c r="E221" t="str">
        <f>IFERROR(VLOOKUP(1*LEFT(C221,7),DF!$A$1:$F$9447,2,FALSE),"")</f>
        <v>ESC BORD NQN P/BRAZO SEOAR</v>
      </c>
      <c r="F221">
        <v>7709310</v>
      </c>
      <c r="G221" t="s">
        <v>12648</v>
      </c>
      <c r="H221">
        <v>1</v>
      </c>
    </row>
    <row r="222" spans="1:8" x14ac:dyDescent="0.25">
      <c r="A222">
        <v>16522</v>
      </c>
      <c r="B222" t="s">
        <v>4</v>
      </c>
      <c r="C222" t="str">
        <f t="shared" si="7"/>
        <v>7709790##</v>
      </c>
      <c r="E222" t="str">
        <f>IFERROR(VLOOKUP(1*LEFT(C222,7),DF!$A$1:$F$9447,2,FALSE),"")</f>
        <v>ESC BORD NQN SUBOFICIAL/PLT POLICIA BARG</v>
      </c>
      <c r="F222">
        <v>7709790</v>
      </c>
      <c r="G222" t="s">
        <v>12649</v>
      </c>
      <c r="H222">
        <v>1</v>
      </c>
    </row>
    <row r="223" spans="1:8" x14ac:dyDescent="0.25">
      <c r="A223">
        <v>16522</v>
      </c>
      <c r="B223" t="s">
        <v>4</v>
      </c>
      <c r="C223" t="str">
        <f t="shared" si="7"/>
        <v>7709504##</v>
      </c>
      <c r="E223" t="str">
        <f>IFERROR(VLOOKUP(1*LEFT(C223,7),DF!$A$1:$F$9447,2,FALSE),"")</f>
        <v>ESC BORD NQN UNIDAD DE DETENCION  BARG</v>
      </c>
      <c r="F223">
        <v>7709504</v>
      </c>
      <c r="G223" t="s">
        <v>12650</v>
      </c>
      <c r="H223">
        <v>1</v>
      </c>
    </row>
    <row r="224" spans="1:8" x14ac:dyDescent="0.25">
      <c r="A224" s="2">
        <v>16522</v>
      </c>
      <c r="B224" s="2" t="s">
        <v>4</v>
      </c>
      <c r="C224" s="2" t="str">
        <f t="shared" si="7"/>
        <v>7709442##</v>
      </c>
      <c r="D224" s="2"/>
      <c r="E224" s="2" t="str">
        <f>IFERROR(VLOOKUP(1*LEFT(C224,7),DF!$A$1:$F$9447,2,FALSE),"")</f>
        <v>ESC BORD POL CATAMARCA ESC DE CADETES</v>
      </c>
      <c r="F224">
        <v>7709442</v>
      </c>
      <c r="G224" t="s">
        <v>13178</v>
      </c>
      <c r="H224">
        <v>1</v>
      </c>
    </row>
    <row r="225" spans="1:8" x14ac:dyDescent="0.25">
      <c r="A225" s="2">
        <v>16522</v>
      </c>
      <c r="B225" s="2" t="s">
        <v>4</v>
      </c>
      <c r="C225" s="2" t="str">
        <f t="shared" si="7"/>
        <v>7709042##</v>
      </c>
      <c r="D225" s="2"/>
      <c r="E225" s="2" t="str">
        <f>IFERROR(VLOOKUP(1*LEFT(C225,7),DF!$A$1:$F$9447,2,FALSE),"")</f>
        <v>ESC BORD POLICIA CHUBUT</v>
      </c>
      <c r="F225">
        <v>7709042</v>
      </c>
      <c r="G225" t="s">
        <v>13159</v>
      </c>
      <c r="H225">
        <v>1</v>
      </c>
    </row>
    <row r="226" spans="1:8" x14ac:dyDescent="0.25">
      <c r="A226" s="2">
        <v>16522</v>
      </c>
      <c r="B226" s="2" t="s">
        <v>4</v>
      </c>
      <c r="C226" s="2" t="str">
        <f t="shared" si="7"/>
        <v>7709032##</v>
      </c>
      <c r="D226" s="2"/>
      <c r="E226" s="2" t="str">
        <f>IFERROR(VLOOKUP(1*LEFT(C226,7),DF!$A$1:$F$9447,2,FALSE),"")</f>
        <v>ESC BORD POLICIA CHUBUT BAJA VISIBILIDAD</v>
      </c>
      <c r="F226">
        <v>7709032</v>
      </c>
      <c r="G226" t="s">
        <v>13158</v>
      </c>
      <c r="H226">
        <v>1</v>
      </c>
    </row>
    <row r="227" spans="1:8" x14ac:dyDescent="0.25">
      <c r="A227" s="2">
        <v>16522</v>
      </c>
      <c r="B227" s="2" t="s">
        <v>4</v>
      </c>
      <c r="C227" s="2" t="str">
        <f t="shared" si="7"/>
        <v>7709416##</v>
      </c>
      <c r="D227" s="2"/>
      <c r="E227" s="2" t="str">
        <f>IFERROR(VLOOKUP(1*LEFT(C227,7),DF!$A$1:$F$9447,2,FALSE),"")</f>
        <v>ESC BORD POLICIA CHUBUT CHICO BV ABROJO</v>
      </c>
      <c r="F227">
        <v>7709416</v>
      </c>
      <c r="G227" t="s">
        <v>13175</v>
      </c>
      <c r="H227">
        <v>1</v>
      </c>
    </row>
    <row r="228" spans="1:8" x14ac:dyDescent="0.25">
      <c r="A228" s="2">
        <v>16522</v>
      </c>
      <c r="B228" s="2" t="s">
        <v>4</v>
      </c>
      <c r="C228" s="2" t="str">
        <f t="shared" si="7"/>
        <v>7709415##</v>
      </c>
      <c r="D228" s="2"/>
      <c r="E228" s="2" t="str">
        <f>IFERROR(VLOOKUP(1*LEFT(C228,7),DF!$A$1:$F$9447,2,FALSE),"")</f>
        <v>ESC BORD POLICIA CHUBUT CHICO C/ABROJO</v>
      </c>
      <c r="F228">
        <v>7709415</v>
      </c>
      <c r="G228" t="s">
        <v>13174</v>
      </c>
      <c r="H228">
        <v>1</v>
      </c>
    </row>
    <row r="229" spans="1:8" x14ac:dyDescent="0.25">
      <c r="A229" s="2">
        <v>16522</v>
      </c>
      <c r="B229" s="2" t="s">
        <v>4</v>
      </c>
      <c r="C229" s="2" t="str">
        <f t="shared" si="7"/>
        <v>7709062##</v>
      </c>
      <c r="D229" s="2"/>
      <c r="E229" s="2" t="str">
        <f>IFERROR(VLOOKUP(1*LEFT(C229,7),DF!$A$1:$F$9447,2,FALSE),"")</f>
        <v>ESC BORD PSA AEROPORTUARIA</v>
      </c>
      <c r="F229">
        <v>7709062</v>
      </c>
      <c r="G229" t="s">
        <v>13138</v>
      </c>
      <c r="H229">
        <v>1</v>
      </c>
    </row>
    <row r="230" spans="1:8" x14ac:dyDescent="0.25">
      <c r="A230">
        <v>16522</v>
      </c>
      <c r="B230" t="s">
        <v>4</v>
      </c>
      <c r="C230" t="str">
        <f t="shared" si="7"/>
        <v>7709061##</v>
      </c>
      <c r="E230" s="2" t="str">
        <f>IFERROR(VLOOKUP(1*LEFT(C230,7),DF!$A$1:$F$9447,2,FALSE),"")</f>
        <v>ESC BORD PSA BOINA  BARG</v>
      </c>
      <c r="F230" s="7">
        <v>7709061</v>
      </c>
      <c r="G230" t="s">
        <v>12651</v>
      </c>
      <c r="H230">
        <v>1</v>
      </c>
    </row>
    <row r="231" spans="1:8" x14ac:dyDescent="0.25">
      <c r="A231" s="2">
        <v>16522</v>
      </c>
      <c r="B231" s="2" t="s">
        <v>4</v>
      </c>
      <c r="C231" s="2" t="str">
        <f t="shared" si="7"/>
        <v>7709228##</v>
      </c>
      <c r="D231" s="2"/>
      <c r="E231" s="2" t="str">
        <f>IFERROR(VLOOKUP(1*LEFT(C231,7),DF!$A$1:$F$9447,2,FALSE),"")</f>
        <v>ESC BORD RIO NEGRO POL BV</v>
      </c>
      <c r="F231">
        <v>7709228</v>
      </c>
      <c r="G231" t="s">
        <v>13204</v>
      </c>
      <c r="H231">
        <v>1</v>
      </c>
    </row>
    <row r="232" spans="1:8" x14ac:dyDescent="0.25">
      <c r="A232" s="2">
        <v>16522</v>
      </c>
      <c r="B232" s="2" t="s">
        <v>4</v>
      </c>
      <c r="C232" s="2" t="str">
        <f t="shared" si="7"/>
        <v>7709229##</v>
      </c>
      <c r="D232" s="2"/>
      <c r="E232" s="2" t="str">
        <f>IFERROR(VLOOKUP(1*LEFT(C232,7),DF!$A$1:$F$9447,2,FALSE),"")</f>
        <v>ESC BORD RIO NEGRO POLICIA</v>
      </c>
      <c r="F232">
        <v>7709229</v>
      </c>
      <c r="G232" t="s">
        <v>13205</v>
      </c>
      <c r="H232">
        <v>1</v>
      </c>
    </row>
    <row r="233" spans="1:8" x14ac:dyDescent="0.25">
      <c r="A233" s="2">
        <v>16522</v>
      </c>
      <c r="B233" s="2" t="s">
        <v>4</v>
      </c>
      <c r="C233" s="2" t="str">
        <f t="shared" si="7"/>
        <v>7709606##</v>
      </c>
      <c r="D233" s="2"/>
      <c r="E233" s="2" t="str">
        <f>IFERROR(VLOOKUP(1*LEFT(C233,7),DF!$A$1:$F$9447,2,FALSE),"")</f>
        <v>ESC BORD SAN JUAN POLICIA  BARG</v>
      </c>
      <c r="F233">
        <v>7709606</v>
      </c>
      <c r="G233" t="s">
        <v>13177</v>
      </c>
      <c r="H233">
        <v>1</v>
      </c>
    </row>
    <row r="234" spans="1:8" x14ac:dyDescent="0.25">
      <c r="A234" s="2">
        <v>16522</v>
      </c>
      <c r="B234" s="2" t="s">
        <v>4</v>
      </c>
      <c r="C234" s="2" t="str">
        <f t="shared" si="7"/>
        <v>7709700##</v>
      </c>
      <c r="D234" s="2"/>
      <c r="E234" s="2" t="str">
        <f>IFERROR(VLOOKUP(1*LEFT(C234,7),DF!$A$1:$F$9447,2,FALSE),"")</f>
        <v>ESC BORD SAN LUIS POLICIA TVS477-04</v>
      </c>
      <c r="F234">
        <v>7709700</v>
      </c>
      <c r="G234" t="s">
        <v>13207</v>
      </c>
      <c r="H234">
        <v>1</v>
      </c>
    </row>
    <row r="235" spans="1:8" x14ac:dyDescent="0.25">
      <c r="A235" s="2">
        <v>16522</v>
      </c>
      <c r="B235" s="2" t="s">
        <v>4</v>
      </c>
      <c r="C235" s="2" t="str">
        <f t="shared" si="7"/>
        <v>7709410##</v>
      </c>
      <c r="D235" s="2"/>
      <c r="E235" s="2" t="str">
        <f>IFERROR(VLOOKUP(1*LEFT(C235,7),DF!$A$1:$F$9447,2,FALSE),"")</f>
        <v>ESC BORD STA CRUZ  POL RER072 28</v>
      </c>
      <c r="F235">
        <v>7709410</v>
      </c>
      <c r="G235" t="s">
        <v>13200</v>
      </c>
      <c r="H235">
        <v>1</v>
      </c>
    </row>
    <row r="236" spans="1:8" x14ac:dyDescent="0.25">
      <c r="A236" s="2">
        <v>16522</v>
      </c>
      <c r="B236" s="2" t="s">
        <v>4</v>
      </c>
      <c r="C236" s="2" t="str">
        <f t="shared" si="7"/>
        <v>7709457##</v>
      </c>
      <c r="D236" s="2"/>
      <c r="E236" s="2" t="str">
        <f>IFERROR(VLOOKUP(1*LEFT(C236,7),DF!$A$1:$F$9447,2,FALSE),"")</f>
        <v>ESC BORD STA CRUZ ALCALDIA POLICIAL BV</v>
      </c>
      <c r="F236">
        <v>7709457</v>
      </c>
      <c r="G236" t="s">
        <v>13202</v>
      </c>
      <c r="H236">
        <v>1</v>
      </c>
    </row>
    <row r="237" spans="1:8" x14ac:dyDescent="0.25">
      <c r="A237" s="2">
        <v>16522</v>
      </c>
      <c r="B237" s="2" t="s">
        <v>4</v>
      </c>
      <c r="C237" s="2" t="str">
        <f t="shared" si="7"/>
        <v>7709411##</v>
      </c>
      <c r="D237" s="2"/>
      <c r="E237" s="2" t="str">
        <f>IFERROR(VLOOKUP(1*LEFT(C237,7),DF!$A$1:$F$9447,2,FALSE),"")</f>
        <v>ESC BORD STA CRUZ BAJA VISIBILIDAD</v>
      </c>
      <c r="F237">
        <v>7709411</v>
      </c>
      <c r="G237" t="s">
        <v>13201</v>
      </c>
      <c r="H237">
        <v>1</v>
      </c>
    </row>
    <row r="238" spans="1:8" x14ac:dyDescent="0.25">
      <c r="A238" s="2">
        <v>16522</v>
      </c>
      <c r="B238" s="2" t="s">
        <v>4</v>
      </c>
      <c r="C238" s="2" t="str">
        <f t="shared" ref="C238:C269" si="8">CONCATENATE(F238,"##")</f>
        <v>7709902##</v>
      </c>
      <c r="D238" s="2"/>
      <c r="E238" s="2" t="str">
        <f>IFERROR(VLOOKUP(1*LEFT(C238,7),DF!$A$1:$F$9447,2,FALSE),"")</f>
        <v>ESC BORD STA CRUZ BOMBERO TVS536-14</v>
      </c>
      <c r="F238">
        <v>7709902</v>
      </c>
      <c r="G238" t="s">
        <v>13163</v>
      </c>
      <c r="H238">
        <v>1</v>
      </c>
    </row>
    <row r="239" spans="1:8" x14ac:dyDescent="0.25">
      <c r="A239" s="2">
        <v>16522</v>
      </c>
      <c r="B239" s="2" t="s">
        <v>4</v>
      </c>
      <c r="C239" s="2" t="str">
        <f t="shared" si="8"/>
        <v>7709455##</v>
      </c>
      <c r="D239" s="2"/>
      <c r="E239" s="2" t="str">
        <f>IFERROR(VLOOKUP(1*LEFT(C239,7),DF!$A$1:$F$9447,2,FALSE),"")</f>
        <v>ESC BORD STA CRUZ GEOR BAJA VIS</v>
      </c>
      <c r="F239">
        <v>7709455</v>
      </c>
      <c r="G239" t="s">
        <v>13203</v>
      </c>
      <c r="H239">
        <v>1</v>
      </c>
    </row>
    <row r="240" spans="1:8" x14ac:dyDescent="0.25">
      <c r="A240" s="2">
        <v>16522</v>
      </c>
      <c r="B240" s="2" t="s">
        <v>4</v>
      </c>
      <c r="C240" s="2" t="str">
        <f t="shared" si="8"/>
        <v>7709800##</v>
      </c>
      <c r="D240" s="2"/>
      <c r="E240" s="2" t="str">
        <f>IFERROR(VLOOKUP(1*LEFT(C240,7),DF!$A$1:$F$9447,2,FALSE),"")</f>
        <v>ESC BORD T. FUEGO POLI DIARIO</v>
      </c>
      <c r="F240">
        <v>7709800</v>
      </c>
      <c r="G240" t="s">
        <v>13172</v>
      </c>
      <c r="H240">
        <v>1</v>
      </c>
    </row>
    <row r="241" spans="1:8" x14ac:dyDescent="0.25">
      <c r="A241" s="2">
        <v>16522</v>
      </c>
      <c r="B241" s="2" t="s">
        <v>4</v>
      </c>
      <c r="C241" s="2" t="str">
        <f t="shared" si="8"/>
        <v>7709801##</v>
      </c>
      <c r="D241" s="2"/>
      <c r="E241" s="2" t="str">
        <f>IFERROR(VLOOKUP(1*LEFT(C241,7),DF!$A$1:$F$9447,2,FALSE),"")</f>
        <v>ESC BORD T. FUEGO POLI GALA</v>
      </c>
      <c r="F241">
        <v>7709801</v>
      </c>
      <c r="G241" t="s">
        <v>13171</v>
      </c>
      <c r="H241">
        <v>1</v>
      </c>
    </row>
    <row r="242" spans="1:8" x14ac:dyDescent="0.25">
      <c r="A242">
        <v>16522</v>
      </c>
      <c r="B242" t="s">
        <v>4</v>
      </c>
      <c r="C242" t="str">
        <f t="shared" si="8"/>
        <v>7709425##</v>
      </c>
      <c r="E242" t="str">
        <f>IFERROR(VLOOKUP(1*LEFT(C242,7),DF!$A$1:$F$9447,2,FALSE),"")</f>
        <v>ESC BORD TMAN  POLICIA BARG</v>
      </c>
      <c r="F242">
        <v>7709425</v>
      </c>
      <c r="G242" t="s">
        <v>12652</v>
      </c>
      <c r="H242">
        <v>1</v>
      </c>
    </row>
    <row r="243" spans="1:8" x14ac:dyDescent="0.25">
      <c r="A243">
        <v>16522</v>
      </c>
      <c r="B243" t="s">
        <v>4</v>
      </c>
      <c r="C243" t="str">
        <f t="shared" si="8"/>
        <v>7711091##</v>
      </c>
      <c r="E243" t="str">
        <f>IFERROR(VLOOKUP(1*LEFT(C243,7),DF!$A$1:$F$9447,2,FALSE),"")</f>
        <v>ESC BORD TMAN BANANITA  BARG BI</v>
      </c>
      <c r="F243">
        <v>7711091</v>
      </c>
      <c r="G243" t="s">
        <v>12653</v>
      </c>
      <c r="H243">
        <v>1</v>
      </c>
    </row>
    <row r="244" spans="1:8" x14ac:dyDescent="0.25">
      <c r="A244">
        <v>16522</v>
      </c>
      <c r="B244" t="s">
        <v>4</v>
      </c>
      <c r="C244" t="str">
        <f t="shared" si="8"/>
        <v>7709460##</v>
      </c>
      <c r="E244" t="str">
        <f>IFERROR(VLOOKUP(1*LEFT(C244,7),DF!$A$1:$F$9447,2,FALSE),"")</f>
        <v>ESC BORD TMAN BANANITA C.E.R.O.</v>
      </c>
      <c r="F244">
        <v>7709460</v>
      </c>
      <c r="G244" t="s">
        <v>12654</v>
      </c>
      <c r="H244">
        <v>1</v>
      </c>
    </row>
    <row r="245" spans="1:8" x14ac:dyDescent="0.25">
      <c r="A245">
        <v>16522</v>
      </c>
      <c r="B245" t="s">
        <v>4</v>
      </c>
      <c r="C245" t="str">
        <f t="shared" si="8"/>
        <v>7709461##</v>
      </c>
      <c r="E245" t="str">
        <f>IFERROR(VLOOKUP(1*LEFT(C245,7),DF!$A$1:$F$9447,2,FALSE),"")</f>
        <v>ESC BORD TMAN BRAZO C.E.R.O.</v>
      </c>
      <c r="F245">
        <v>7709461</v>
      </c>
      <c r="G245" t="s">
        <v>12655</v>
      </c>
      <c r="H245">
        <v>1</v>
      </c>
    </row>
    <row r="246" spans="1:8" x14ac:dyDescent="0.25">
      <c r="A246">
        <v>16522</v>
      </c>
      <c r="B246" t="s">
        <v>4</v>
      </c>
      <c r="C246" t="str">
        <f t="shared" si="8"/>
        <v>7709465##</v>
      </c>
      <c r="E246" t="str">
        <f>IFERROR(VLOOKUP(1*LEFT(C246,7),DF!$A$1:$F$9447,2,FALSE),"")</f>
        <v>ESC BORD TMAN DIR GRAL PREV URBANA</v>
      </c>
      <c r="F246">
        <v>7709465</v>
      </c>
      <c r="G246" t="s">
        <v>12656</v>
      </c>
      <c r="H246">
        <v>1</v>
      </c>
    </row>
    <row r="247" spans="1:8" x14ac:dyDescent="0.25">
      <c r="A247">
        <v>16522</v>
      </c>
      <c r="B247" t="s">
        <v>4</v>
      </c>
      <c r="C247" t="str">
        <f t="shared" si="8"/>
        <v>7709341##</v>
      </c>
      <c r="E247" t="str">
        <f>IFERROR(VLOOKUP(1*LEFT(C247,7),DF!$A$1:$F$9447,2,FALSE),"")</f>
        <v>ESC BORD TMAN PENIT GRIS</v>
      </c>
      <c r="F247">
        <v>7709341</v>
      </c>
      <c r="G247" t="s">
        <v>12657</v>
      </c>
      <c r="H247">
        <v>1</v>
      </c>
    </row>
    <row r="248" spans="1:8" x14ac:dyDescent="0.25">
      <c r="A248">
        <v>16522</v>
      </c>
      <c r="B248" t="s">
        <v>4</v>
      </c>
      <c r="C248" t="str">
        <f t="shared" si="8"/>
        <v>7709308##</v>
      </c>
      <c r="E248" s="2" t="str">
        <f>IFERROR(VLOOKUP(1*LEFT(C248,7),DF!$A$1:$F$9447,2,FALSE),"")</f>
        <v>ESC BORD UCCEE BOINA BV</v>
      </c>
      <c r="F248">
        <v>7709308</v>
      </c>
      <c r="G248" t="s">
        <v>12658</v>
      </c>
      <c r="H248">
        <v>1</v>
      </c>
    </row>
    <row r="249" spans="1:8" x14ac:dyDescent="0.25">
      <c r="A249" s="2">
        <v>16522</v>
      </c>
      <c r="B249" s="2" t="s">
        <v>4</v>
      </c>
      <c r="C249" s="2" t="str">
        <f t="shared" si="8"/>
        <v>7710004##</v>
      </c>
      <c r="D249" s="2"/>
      <c r="E249" s="2" t="str">
        <f>IFERROR(VLOOKUP(1*LEFT(C249,7),DF!$A$1:$F$9447,2,FALSE),"")</f>
        <v>ESC GOMA CHUBUT BV</v>
      </c>
      <c r="F249">
        <v>7710004</v>
      </c>
      <c r="G249" t="s">
        <v>13173</v>
      </c>
      <c r="H249">
        <v>1</v>
      </c>
    </row>
    <row r="250" spans="1:8" x14ac:dyDescent="0.25">
      <c r="A250">
        <v>16522</v>
      </c>
      <c r="B250" t="s">
        <v>4</v>
      </c>
      <c r="C250" t="str">
        <f t="shared" si="8"/>
        <v>7710001##</v>
      </c>
      <c r="E250" t="str">
        <f>IFERROR(VLOOKUP(1*LEFT(C250,7),DF!$A$1:$F$9447,2,FALSE),"")</f>
        <v>ESC GOMA POLICIA DE MENDOZA COLOR</v>
      </c>
      <c r="F250" s="7">
        <v>7710001</v>
      </c>
      <c r="G250" t="s">
        <v>12659</v>
      </c>
      <c r="H250">
        <v>1</v>
      </c>
    </row>
    <row r="251" spans="1:8" x14ac:dyDescent="0.25">
      <c r="A251">
        <v>16522</v>
      </c>
      <c r="B251" t="s">
        <v>4</v>
      </c>
      <c r="C251" t="str">
        <f t="shared" si="8"/>
        <v>7710221##</v>
      </c>
      <c r="E251" t="str">
        <f>IFERROR(VLOOKUP(1*LEFT(C251,7),DF!$A$1:$F$9447,2,FALSE),"")</f>
        <v>ESC GOMA POLICIA NQN BAJA VISIBILIDAD</v>
      </c>
      <c r="F251">
        <v>7710221</v>
      </c>
      <c r="G251" t="s">
        <v>12660</v>
      </c>
      <c r="H251">
        <v>1</v>
      </c>
    </row>
    <row r="252" spans="1:8" x14ac:dyDescent="0.25">
      <c r="A252" s="2">
        <v>16522</v>
      </c>
      <c r="B252" s="2" t="s">
        <v>4</v>
      </c>
      <c r="C252" s="2" t="str">
        <f t="shared" si="8"/>
        <v>7710007##</v>
      </c>
      <c r="D252" s="2"/>
      <c r="E252" s="2" t="str">
        <f>IFERROR(VLOOKUP(1*LEFT(C252,7),DF!$A$1:$F$9447,2,FALSE),"")</f>
        <v>ESC GOMA POLICIA SALTA BV GOA</v>
      </c>
      <c r="F252">
        <v>7710007</v>
      </c>
      <c r="G252" t="s">
        <v>13164</v>
      </c>
      <c r="H252">
        <v>1</v>
      </c>
    </row>
    <row r="253" spans="1:8" x14ac:dyDescent="0.25">
      <c r="A253" s="2">
        <v>16522</v>
      </c>
      <c r="B253" s="2" t="s">
        <v>4</v>
      </c>
      <c r="C253" s="2" t="str">
        <f t="shared" si="8"/>
        <v>7710020##</v>
      </c>
      <c r="D253" s="2"/>
      <c r="E253" s="2" t="str">
        <f>IFERROR(VLOOKUP(1*LEFT(C253,7),DF!$A$1:$F$9447,2,FALSE),"")</f>
        <v>ESC GOMA POLICIA SANTA FE COLOR</v>
      </c>
      <c r="F253">
        <v>7710020</v>
      </c>
      <c r="G253" t="s">
        <v>13176</v>
      </c>
      <c r="H253">
        <v>1</v>
      </c>
    </row>
    <row r="254" spans="1:8" x14ac:dyDescent="0.25">
      <c r="A254">
        <v>16522</v>
      </c>
      <c r="B254" t="s">
        <v>4</v>
      </c>
      <c r="C254" t="str">
        <f t="shared" si="8"/>
        <v>7709668##</v>
      </c>
      <c r="E254" t="str">
        <f>IFERROR(VLOOKUP(1*LEFT(C254,7),DF!$A$1:$F$9447,2,FALSE),"")</f>
        <v>ESC UNIDAD CUERPOS ESPECIALES</v>
      </c>
      <c r="F254" s="7">
        <v>7709668</v>
      </c>
      <c r="G254" t="s">
        <v>12661</v>
      </c>
      <c r="H254">
        <v>1</v>
      </c>
    </row>
    <row r="255" spans="1:8" x14ac:dyDescent="0.25">
      <c r="A255">
        <v>16522</v>
      </c>
      <c r="B255" t="s">
        <v>4</v>
      </c>
      <c r="C255" t="str">
        <f t="shared" si="8"/>
        <v>8503045##</v>
      </c>
      <c r="E255" t="str">
        <f>IFERROR(VLOOKUP(1*LEFT(C255,7),DF!$A$1:$F$9447,2,FALSE),"")</f>
        <v>ESPOSAS CON BISAGRA 1211-7/3</v>
      </c>
      <c r="F255">
        <v>8503045</v>
      </c>
      <c r="G255" t="s">
        <v>12662</v>
      </c>
      <c r="H255">
        <v>3</v>
      </c>
    </row>
    <row r="256" spans="1:8" x14ac:dyDescent="0.25">
      <c r="A256">
        <v>16522</v>
      </c>
      <c r="B256" t="s">
        <v>4</v>
      </c>
      <c r="C256" t="str">
        <f t="shared" si="8"/>
        <v>8703613##</v>
      </c>
      <c r="E256" t="str">
        <f>IFERROR(VLOOKUP(1*LEFT(C256,7),DF!$A$1:$F$9447,2,FALSE),"")</f>
        <v>FUNDA POLIA CON PORTACARG T613 TB RER</v>
      </c>
      <c r="F256">
        <v>8703613</v>
      </c>
      <c r="G256" t="s">
        <v>12663</v>
      </c>
      <c r="H256">
        <v>3</v>
      </c>
    </row>
    <row r="257" spans="1:9" x14ac:dyDescent="0.25">
      <c r="A257" s="2">
        <v>16522</v>
      </c>
      <c r="B257" s="2" t="s">
        <v>4</v>
      </c>
      <c r="C257" s="2" t="str">
        <f t="shared" si="8"/>
        <v>8305000##</v>
      </c>
      <c r="D257" s="2"/>
      <c r="E257" s="2" t="str">
        <f>IFERROR(VLOOKUP(1*LEFT(C257,7),DF!$A$1:$F$9447,2,FALSE),"")</f>
        <v>GORRA AZUL SIN ATRIBUTOS RER</v>
      </c>
      <c r="F257" s="7">
        <v>8305000</v>
      </c>
      <c r="G257" t="s">
        <v>12664</v>
      </c>
      <c r="H257">
        <v>3</v>
      </c>
    </row>
    <row r="258" spans="1:9" x14ac:dyDescent="0.25">
      <c r="A258" s="2">
        <v>16522</v>
      </c>
      <c r="B258" s="2" t="s">
        <v>4</v>
      </c>
      <c r="C258" s="2" t="str">
        <f t="shared" si="8"/>
        <v>8305006##</v>
      </c>
      <c r="D258" s="2"/>
      <c r="E258" s="2" t="str">
        <f>IFERROR(VLOOKUP(1*LEFT(C258,7),DF!$A$1:$F$9447,2,FALSE),"")</f>
        <v>GORRA AZUL VISERA SUB COMISA/COMISA RER</v>
      </c>
      <c r="F258" s="7">
        <v>8305006</v>
      </c>
      <c r="G258" t="s">
        <v>12665</v>
      </c>
      <c r="H258">
        <v>3</v>
      </c>
    </row>
    <row r="259" spans="1:9" x14ac:dyDescent="0.25">
      <c r="A259" s="2">
        <v>16522</v>
      </c>
      <c r="B259" s="2" t="s">
        <v>4</v>
      </c>
      <c r="C259" s="2" t="str">
        <f t="shared" si="8"/>
        <v>8305002##</v>
      </c>
      <c r="D259" s="2"/>
      <c r="E259" s="2" t="str">
        <f>IFERROR(VLOOKUP(1*LEFT(C259,7),DF!$A$1:$F$9447,2,FALSE),"")</f>
        <v>GORRA NEGRA SIN ATRIBUTOS RER</v>
      </c>
      <c r="F259" s="7">
        <v>8305002</v>
      </c>
      <c r="G259" t="s">
        <v>12666</v>
      </c>
      <c r="H259">
        <v>3</v>
      </c>
    </row>
    <row r="260" spans="1:9" x14ac:dyDescent="0.25">
      <c r="A260">
        <v>16522</v>
      </c>
      <c r="B260" t="s">
        <v>4</v>
      </c>
      <c r="C260" t="str">
        <f t="shared" si="8"/>
        <v>8400002##</v>
      </c>
      <c r="E260" t="str">
        <f>IFERROR(VLOOKUP(1*LEFT(C260,7),DF!$A$1:$F$9447,2,FALSE),"")</f>
        <v>GORRITA BEISBOL LISA NEGRA GEI</v>
      </c>
      <c r="F260">
        <v>8400002</v>
      </c>
      <c r="G260" t="s">
        <v>12667</v>
      </c>
      <c r="H260">
        <v>2</v>
      </c>
    </row>
    <row r="261" spans="1:9" x14ac:dyDescent="0.25">
      <c r="A261" s="2">
        <v>16522</v>
      </c>
      <c r="B261" s="2" t="s">
        <v>4</v>
      </c>
      <c r="C261" s="2" t="str">
        <f t="shared" si="8"/>
        <v>8400650##</v>
      </c>
      <c r="D261" s="2"/>
      <c r="E261" s="2" t="str">
        <f>IFERROR(VLOOKUP(1*LEFT(C261,7),DF!$A$1:$F$9447,2,FALSE),"")</f>
        <v>GORRITA RIO NEGRO POL OFICIAL BI</v>
      </c>
      <c r="F261" s="7">
        <v>8400650</v>
      </c>
      <c r="G261" t="s">
        <v>13219</v>
      </c>
      <c r="H261">
        <v>4</v>
      </c>
    </row>
    <row r="262" spans="1:9" x14ac:dyDescent="0.25">
      <c r="A262" s="2">
        <v>16522</v>
      </c>
      <c r="B262" s="2" t="s">
        <v>4</v>
      </c>
      <c r="C262" s="2" t="str">
        <f t="shared" si="8"/>
        <v>8306100##</v>
      </c>
      <c r="D262" s="2"/>
      <c r="E262" s="2" t="str">
        <f>IFERROR(VLOOKUP(1*LEFT(C262,7),DF!$A$1:$F$9447,2,FALSE),"")</f>
        <v>GORRO CON PIEL IMP</v>
      </c>
      <c r="F262">
        <v>8306100</v>
      </c>
      <c r="G262" t="s">
        <v>13992</v>
      </c>
      <c r="H262">
        <v>7</v>
      </c>
    </row>
    <row r="263" spans="1:9" x14ac:dyDescent="0.25">
      <c r="A263" s="2">
        <v>16522</v>
      </c>
      <c r="B263" s="2" t="s">
        <v>4</v>
      </c>
      <c r="C263" s="2" t="str">
        <f t="shared" si="8"/>
        <v>8400240##</v>
      </c>
      <c r="D263" s="2"/>
      <c r="E263" s="2" t="str">
        <f>IFERROR(VLOOKUP(1*LEFT(C263,7),DF!$A$1:$F$9447,2,FALSE),"")</f>
        <v>GORRO LANA ROCKY 53240 SIN FORRAR RER</v>
      </c>
      <c r="F263">
        <v>8400240</v>
      </c>
      <c r="G263" t="s">
        <v>13993</v>
      </c>
      <c r="H263">
        <v>1</v>
      </c>
    </row>
    <row r="264" spans="1:9" x14ac:dyDescent="0.25">
      <c r="A264" s="2">
        <v>16522</v>
      </c>
      <c r="B264" s="2" t="s">
        <v>4</v>
      </c>
      <c r="C264" s="2" t="str">
        <f t="shared" si="8"/>
        <v>8306101##</v>
      </c>
      <c r="D264" s="2"/>
      <c r="E264" s="2" t="str">
        <f>IFERROR(VLOOKUP(1*LEFT(C264,7),DF!$A$1:$F$9447,2,FALSE),"")</f>
        <v>GORRO PIEL CON REFLECTIVO IMP 1120</v>
      </c>
      <c r="F264">
        <v>8306101</v>
      </c>
      <c r="G264" t="s">
        <v>13994</v>
      </c>
      <c r="H264">
        <v>3</v>
      </c>
    </row>
    <row r="265" spans="1:9" x14ac:dyDescent="0.25">
      <c r="A265" s="2">
        <v>16522</v>
      </c>
      <c r="B265" s="2" t="s">
        <v>4</v>
      </c>
      <c r="C265" s="2" t="str">
        <f t="shared" si="8"/>
        <v>8306200##</v>
      </c>
      <c r="D265" s="2"/>
      <c r="E265" s="2" t="str">
        <f>IFERROR(VLOOKUP(1*LEFT(C265,7),DF!$A$1:$F$9447,2,FALSE),"")</f>
        <v>GORRO POLAR IMP 1163</v>
      </c>
      <c r="F265" s="7">
        <v>8306200</v>
      </c>
      <c r="G265" t="s">
        <v>13995</v>
      </c>
      <c r="H265">
        <v>2</v>
      </c>
    </row>
    <row r="266" spans="1:9" x14ac:dyDescent="0.25">
      <c r="A266" s="2">
        <v>16522</v>
      </c>
      <c r="B266" s="2" t="s">
        <v>4</v>
      </c>
      <c r="C266" s="2" t="str">
        <f t="shared" si="8"/>
        <v>8400661##</v>
      </c>
      <c r="D266" s="2"/>
      <c r="E266" s="2" t="str">
        <f>IFERROR(VLOOKUP(1*LEFT(C266,7),DF!$A$1:$F$9447,2,FALSE),"")</f>
        <v>GORRO VERDUGO RER</v>
      </c>
      <c r="F266">
        <v>8400661</v>
      </c>
      <c r="G266" t="s">
        <v>13996</v>
      </c>
      <c r="H266">
        <v>1</v>
      </c>
    </row>
    <row r="267" spans="1:9" x14ac:dyDescent="0.25">
      <c r="A267" s="2">
        <v>16522</v>
      </c>
      <c r="B267" s="2" t="s">
        <v>4</v>
      </c>
      <c r="C267" s="2" t="str">
        <f t="shared" si="8"/>
        <v>8517235##</v>
      </c>
      <c r="D267" s="2"/>
      <c r="E267" s="2" t="str">
        <f>IFERROR(VLOOKUP(1*LEFT(C267,7),DF!$A$1:$F$9447,2,FALSE),"")</f>
        <v>GUANTES BLANCOS LMGE RER</v>
      </c>
      <c r="F267" s="7">
        <v>8517235</v>
      </c>
      <c r="G267" t="s">
        <v>12668</v>
      </c>
      <c r="H267">
        <v>2</v>
      </c>
    </row>
    <row r="268" spans="1:9" x14ac:dyDescent="0.25">
      <c r="A268" s="2">
        <v>16522</v>
      </c>
      <c r="B268" s="2" t="s">
        <v>4</v>
      </c>
      <c r="C268" s="2" t="str">
        <f t="shared" si="8"/>
        <v>8517103##</v>
      </c>
      <c r="D268" s="2"/>
      <c r="E268" s="2" t="str">
        <f>IFERROR(VLOOKUP(1*LEFT(C268,7),DF!$A$1:$F$9447,2,FALSE),"")</f>
        <v>GUANTES CABRITILLA 6/14 RER</v>
      </c>
      <c r="F268" s="7">
        <v>8517103</v>
      </c>
      <c r="G268" t="s">
        <v>12669</v>
      </c>
      <c r="H268">
        <v>3</v>
      </c>
    </row>
    <row r="269" spans="1:9" x14ac:dyDescent="0.25">
      <c r="A269" s="2">
        <v>16522</v>
      </c>
      <c r="B269" s="2" t="s">
        <v>4</v>
      </c>
      <c r="C269" s="2" t="str">
        <f t="shared" si="8"/>
        <v>8717033##</v>
      </c>
      <c r="D269" s="2"/>
      <c r="E269" s="2" t="str">
        <f>IFERROR(VLOOKUP(1*LEFT(C269,7),DF!$A$1:$F$9447,2,FALSE),"")</f>
        <v>GUANTES NEOPRENE S/DEDO T S/XXL RER</v>
      </c>
      <c r="F269" s="7">
        <v>8717033</v>
      </c>
      <c r="G269" t="s">
        <v>12670</v>
      </c>
      <c r="H269">
        <v>4</v>
      </c>
      <c r="I269">
        <v>1</v>
      </c>
    </row>
    <row r="270" spans="1:9" x14ac:dyDescent="0.25">
      <c r="A270">
        <v>16522</v>
      </c>
      <c r="B270" t="s">
        <v>4</v>
      </c>
      <c r="C270" t="str">
        <f t="shared" ref="C270:C301" si="9">CONCATENATE(F270,"##")</f>
        <v>8517906##</v>
      </c>
      <c r="E270" t="str">
        <f>IFERROR(VLOOKUP(1*LEFT(C270,7),DF!$A$1:$F$9447,2,FALSE),"")</f>
        <v>GUANTES TACTICO MITON BEIGE CORTO OR</v>
      </c>
      <c r="F270">
        <v>8517906</v>
      </c>
      <c r="G270" t="s">
        <v>12671</v>
      </c>
      <c r="H270">
        <v>4</v>
      </c>
    </row>
    <row r="271" spans="1:9" x14ac:dyDescent="0.25">
      <c r="A271">
        <v>16522</v>
      </c>
      <c r="B271" t="s">
        <v>4</v>
      </c>
      <c r="C271" t="str">
        <f t="shared" si="9"/>
        <v>8517901##</v>
      </c>
      <c r="E271" t="str">
        <f>IFERROR(VLOOKUP(1*LEFT(C271,7),DF!$A$1:$F$9447,2,FALSE),"")</f>
        <v>GUANTES TACTICO MITON BEIGE LARGO OR</v>
      </c>
      <c r="F271">
        <v>8517901</v>
      </c>
      <c r="G271" t="s">
        <v>12672</v>
      </c>
      <c r="H271">
        <v>4</v>
      </c>
    </row>
    <row r="272" spans="1:9" x14ac:dyDescent="0.25">
      <c r="A272" s="2">
        <v>16522</v>
      </c>
      <c r="B272" s="2" t="s">
        <v>4</v>
      </c>
      <c r="C272" s="2" t="str">
        <f t="shared" si="9"/>
        <v>8517905##</v>
      </c>
      <c r="D272" s="2"/>
      <c r="E272" s="2" t="str">
        <f>IFERROR(VLOOKUP(1*LEFT(C272,7),DF!$A$1:$F$9447,2,FALSE),"")</f>
        <v>GUANTES TACTICO MITON NEGRO CORTO OR</v>
      </c>
      <c r="F272" s="7">
        <v>8517905</v>
      </c>
      <c r="G272" t="s">
        <v>12673</v>
      </c>
      <c r="H272">
        <v>4</v>
      </c>
    </row>
    <row r="273" spans="1:9" x14ac:dyDescent="0.25">
      <c r="A273">
        <v>16522</v>
      </c>
      <c r="B273" t="s">
        <v>4</v>
      </c>
      <c r="C273" t="str">
        <f t="shared" si="9"/>
        <v>8517900##</v>
      </c>
      <c r="E273" t="str">
        <f>IFERROR(VLOOKUP(1*LEFT(C273,7),DF!$A$1:$F$9447,2,FALSE),"")</f>
        <v>GUANTES TACTICO MITON NEGRO LARGO OR</v>
      </c>
      <c r="F273">
        <v>8517900</v>
      </c>
      <c r="G273" t="s">
        <v>12674</v>
      </c>
      <c r="H273">
        <v>2</v>
      </c>
    </row>
    <row r="274" spans="1:9" x14ac:dyDescent="0.25">
      <c r="A274">
        <v>16522</v>
      </c>
      <c r="B274" t="s">
        <v>4</v>
      </c>
      <c r="C274" t="str">
        <f t="shared" si="9"/>
        <v>8517904##</v>
      </c>
      <c r="E274" t="str">
        <f>IFERROR(VLOOKUP(1*LEFT(C274,7),DF!$A$1:$F$9447,2,FALSE),"")</f>
        <v>GUANTES TACTICO MITON VERDE CORTO OR</v>
      </c>
      <c r="F274">
        <v>8517904</v>
      </c>
      <c r="G274" t="s">
        <v>12675</v>
      </c>
      <c r="H274">
        <v>3</v>
      </c>
    </row>
    <row r="275" spans="1:9" x14ac:dyDescent="0.25">
      <c r="A275">
        <v>16522</v>
      </c>
      <c r="B275" t="s">
        <v>4</v>
      </c>
      <c r="C275" t="str">
        <f t="shared" si="9"/>
        <v>8517902##</v>
      </c>
      <c r="E275" t="str">
        <f>IFERROR(VLOOKUP(1*LEFT(C275,7),DF!$A$1:$F$9447,2,FALSE),"")</f>
        <v>GUANTES TACTICO MITON VERDE LARGO OR</v>
      </c>
      <c r="F275">
        <v>8517902</v>
      </c>
      <c r="G275" t="s">
        <v>12676</v>
      </c>
      <c r="H275">
        <v>4</v>
      </c>
    </row>
    <row r="276" spans="1:9" x14ac:dyDescent="0.25">
      <c r="A276" s="2">
        <v>16522</v>
      </c>
      <c r="B276" s="2" t="s">
        <v>4</v>
      </c>
      <c r="C276" s="2" t="str">
        <f t="shared" si="9"/>
        <v>8517000##</v>
      </c>
      <c r="D276" s="2"/>
      <c r="E276" s="2" t="str">
        <f>IFERROR(VLOOKUP(1*LEFT(C276,7),DF!$A$1:$F$9447,2,FALSE),"")</f>
        <v>GUANTES TERMICOS NEGRO RER</v>
      </c>
      <c r="F276" s="7">
        <v>8517000</v>
      </c>
      <c r="G276" t="s">
        <v>12677</v>
      </c>
      <c r="H276">
        <v>2</v>
      </c>
      <c r="I276">
        <v>1</v>
      </c>
    </row>
    <row r="277" spans="1:9" x14ac:dyDescent="0.25">
      <c r="A277">
        <v>16522</v>
      </c>
      <c r="B277" t="s">
        <v>4</v>
      </c>
      <c r="C277" t="str">
        <f t="shared" si="9"/>
        <v>7703056##</v>
      </c>
      <c r="E277" t="str">
        <f>IFERROR(VLOOKUP(1*LEFT(C277,7),DF!$A$1:$F$9447,2,FALSE),"")</f>
        <v>HOMB BI PENIT MZA 2 SOL SERR Y PALMA PREFECTO</v>
      </c>
      <c r="F277">
        <v>7703056</v>
      </c>
      <c r="G277" t="s">
        <v>12678</v>
      </c>
      <c r="H277">
        <v>1</v>
      </c>
    </row>
    <row r="278" spans="1:9" x14ac:dyDescent="0.25">
      <c r="A278">
        <v>16522</v>
      </c>
      <c r="B278" t="s">
        <v>4</v>
      </c>
      <c r="C278" t="str">
        <f t="shared" si="9"/>
        <v>7703057##</v>
      </c>
      <c r="E278" t="str">
        <f>IFERROR(VLOOKUP(1*LEFT(C278,7),DF!$A$1:$F$9447,2,FALSE),"")</f>
        <v>HOMB BI PENIT MZA 3 SOL SERR Y PALMA  PREF.GRAL.</v>
      </c>
      <c r="F278">
        <v>7703057</v>
      </c>
      <c r="G278" t="s">
        <v>12679</v>
      </c>
      <c r="H278">
        <v>1</v>
      </c>
    </row>
    <row r="279" spans="1:9" x14ac:dyDescent="0.25">
      <c r="A279">
        <v>16522</v>
      </c>
      <c r="B279" t="s">
        <v>4</v>
      </c>
      <c r="C279" t="str">
        <f t="shared" si="9"/>
        <v>7703051##</v>
      </c>
      <c r="E279" t="str">
        <f>IFERROR(VLOOKUP(1*LEFT(C279,7),DF!$A$1:$F$9447,2,FALSE),"")</f>
        <v>HOMB BI PENIT MZA ADJUTOR 2 SOL PLATEADO</v>
      </c>
      <c r="F279">
        <v>7703051</v>
      </c>
      <c r="G279" s="9" t="s">
        <v>12680</v>
      </c>
      <c r="H279">
        <v>2</v>
      </c>
    </row>
    <row r="280" spans="1:9" x14ac:dyDescent="0.25">
      <c r="A280">
        <v>16522</v>
      </c>
      <c r="B280" t="s">
        <v>4</v>
      </c>
      <c r="C280" t="str">
        <f t="shared" si="9"/>
        <v>7703052##</v>
      </c>
      <c r="E280" t="str">
        <f>IFERROR(VLOOKUP(1*LEFT(C280,7),DF!$A$1:$F$9447,2,FALSE),"")</f>
        <v>HOMB BI PENIT MZA ADJUTOR PRINCIPAL 3 SOL PLATEADO</v>
      </c>
      <c r="F280">
        <v>7703052</v>
      </c>
      <c r="G280" t="s">
        <v>12681</v>
      </c>
      <c r="H280">
        <v>1</v>
      </c>
    </row>
    <row r="281" spans="1:9" x14ac:dyDescent="0.25">
      <c r="A281">
        <v>16522</v>
      </c>
      <c r="B281" t="s">
        <v>4</v>
      </c>
      <c r="C281" t="str">
        <f t="shared" si="9"/>
        <v>7703050##</v>
      </c>
      <c r="E281" t="str">
        <f>IFERROR(VLOOKUP(1*LEFT(C281,7),DF!$A$1:$F$9447,2,FALSE),"")</f>
        <v>HOMB BI PENIT MZA SUB ADJUTOR 1 SOL PLATEADO</v>
      </c>
      <c r="F281">
        <v>7703050</v>
      </c>
      <c r="G281" s="9" t="s">
        <v>12682</v>
      </c>
      <c r="H281">
        <v>1</v>
      </c>
    </row>
    <row r="282" spans="1:9" x14ac:dyDescent="0.25">
      <c r="A282">
        <v>16522</v>
      </c>
      <c r="B282" t="s">
        <v>4</v>
      </c>
      <c r="C282" t="str">
        <f t="shared" si="9"/>
        <v>7703053##</v>
      </c>
      <c r="E282" t="str">
        <f>IFERROR(VLOOKUP(1*LEFT(C282,7),DF!$A$1:$F$9447,2,FALSE),"")</f>
        <v>HOMB BI PENIT MZA SUB ALCAIDE SERRETA 1 SOL DORADO</v>
      </c>
      <c r="F282">
        <v>7703053</v>
      </c>
      <c r="G282" t="s">
        <v>12683</v>
      </c>
      <c r="H282">
        <v>2</v>
      </c>
    </row>
    <row r="283" spans="1:9" x14ac:dyDescent="0.25">
      <c r="A283">
        <v>16522</v>
      </c>
      <c r="B283" t="s">
        <v>4</v>
      </c>
      <c r="C283" t="str">
        <f t="shared" si="9"/>
        <v>7703109##</v>
      </c>
      <c r="E283" t="str">
        <f>IFERROR(VLOOKUP(1*LEFT(C283,7),DF!$A$1:$F$9447,2,FALSE),"")</f>
        <v>HOMB BI POL ALCAIDE MAYOR 3SOL + SERR BI</v>
      </c>
      <c r="F283">
        <v>7703109</v>
      </c>
      <c r="G283" t="s">
        <v>12684</v>
      </c>
      <c r="H283">
        <v>1</v>
      </c>
    </row>
    <row r="284" spans="1:9" x14ac:dyDescent="0.25">
      <c r="A284">
        <v>16522</v>
      </c>
      <c r="B284" t="s">
        <v>4</v>
      </c>
      <c r="C284" t="str">
        <f t="shared" si="9"/>
        <v>7703185##</v>
      </c>
      <c r="E284" t="str">
        <f>IFERROR(VLOOKUP(1*LEFT(C284,7),DF!$A$1:$F$9447,2,FALSE),"")</f>
        <v>HOMB BI POL COMISARIO GENERAL</v>
      </c>
      <c r="F284">
        <v>7703185</v>
      </c>
      <c r="G284" t="s">
        <v>12685</v>
      </c>
      <c r="H284">
        <v>2</v>
      </c>
    </row>
    <row r="285" spans="1:9" x14ac:dyDescent="0.25">
      <c r="A285" s="2">
        <v>16522</v>
      </c>
      <c r="B285" s="2" t="s">
        <v>4</v>
      </c>
      <c r="C285" s="2" t="str">
        <f t="shared" si="9"/>
        <v>7703164##</v>
      </c>
      <c r="D285" s="2"/>
      <c r="E285" s="2" t="str">
        <f>IFERROR(VLOOKUP(1*LEFT(C285,7),DF!$A$1:$F$9447,2,FALSE),"")</f>
        <v>HOMB BI POL MZA AUX. SUPERIOR</v>
      </c>
      <c r="F285">
        <v>7703164</v>
      </c>
      <c r="G285" t="s">
        <v>13122</v>
      </c>
      <c r="H285">
        <v>2</v>
      </c>
    </row>
    <row r="286" spans="1:9" x14ac:dyDescent="0.25">
      <c r="A286">
        <v>16522</v>
      </c>
      <c r="B286" t="s">
        <v>4</v>
      </c>
      <c r="C286" t="str">
        <f t="shared" si="9"/>
        <v>7703158##</v>
      </c>
      <c r="E286" t="str">
        <f>IFERROR(VLOOKUP(1*LEFT(C286,7),DF!$A$1:$F$9447,2,FALSE),"")</f>
        <v>HOMB BORD ORO CRIO GRAL 3 ROMBOS DG</v>
      </c>
      <c r="F286">
        <v>7703158</v>
      </c>
      <c r="G286" t="s">
        <v>12686</v>
      </c>
      <c r="H286">
        <v>1</v>
      </c>
    </row>
    <row r="287" spans="1:9" x14ac:dyDescent="0.25">
      <c r="A287">
        <v>16522</v>
      </c>
      <c r="B287" t="s">
        <v>4</v>
      </c>
      <c r="C287" t="str">
        <f t="shared" si="9"/>
        <v>7703157##</v>
      </c>
      <c r="E287" t="str">
        <f>IFERROR(VLOOKUP(1*LEFT(C287,7),DF!$A$1:$F$9447,2,FALSE),"")</f>
        <v>HOMB BORD ORO CRIO GRAL 4 ROMBOS DG</v>
      </c>
      <c r="F287">
        <v>7703157</v>
      </c>
      <c r="G287" t="s">
        <v>12687</v>
      </c>
      <c r="H287">
        <v>2</v>
      </c>
    </row>
    <row r="288" spans="1:9" x14ac:dyDescent="0.25">
      <c r="A288" s="2">
        <v>16522</v>
      </c>
      <c r="B288" s="2" t="s">
        <v>4</v>
      </c>
      <c r="C288" s="2" t="str">
        <f t="shared" si="9"/>
        <v>7703815##</v>
      </c>
      <c r="D288" s="2"/>
      <c r="E288" s="2" t="str">
        <f>IFERROR(VLOOKUP(1*LEFT(C288,7),DF!$A$1:$F$9447,2,FALSE),"")</f>
        <v>HOMB GALA NUDO HUNGARO DORADA AZZ</v>
      </c>
      <c r="F288">
        <v>7703815</v>
      </c>
      <c r="G288" t="s">
        <v>13126</v>
      </c>
      <c r="H288">
        <v>2</v>
      </c>
    </row>
    <row r="289" spans="1:8" x14ac:dyDescent="0.25">
      <c r="A289" s="2">
        <v>16522</v>
      </c>
      <c r="B289" s="2" t="s">
        <v>4</v>
      </c>
      <c r="C289" s="2" t="str">
        <f t="shared" si="9"/>
        <v>7703881##</v>
      </c>
      <c r="D289" s="2"/>
      <c r="E289" s="2" t="str">
        <f>IFERROR(VLOOKUP(1*LEFT(C289,7),DF!$A$1:$F$9447,2,FALSE),"")</f>
        <v>HOMB GALA NUDO HUNGARO PLATEADA AZZ</v>
      </c>
      <c r="F289">
        <v>7703881</v>
      </c>
      <c r="G289" t="s">
        <v>13125</v>
      </c>
      <c r="H289">
        <v>2</v>
      </c>
    </row>
    <row r="290" spans="1:8" x14ac:dyDescent="0.25">
      <c r="A290">
        <v>16522</v>
      </c>
      <c r="B290" t="s">
        <v>4</v>
      </c>
      <c r="C290" t="str">
        <f t="shared" si="9"/>
        <v>7703129##</v>
      </c>
      <c r="E290" t="str">
        <f>IFERROR(VLOOKUP(1*LEFT(C290,7),DF!$A$1:$F$9447,2,FALSE),"")</f>
        <v>HOMB GALA POLICIA CINTA LAU DORADA</v>
      </c>
      <c r="F290">
        <v>7703129</v>
      </c>
      <c r="G290" t="s">
        <v>12688</v>
      </c>
      <c r="H290">
        <v>1</v>
      </c>
    </row>
    <row r="291" spans="1:8" x14ac:dyDescent="0.25">
      <c r="A291">
        <v>16522</v>
      </c>
      <c r="B291" t="s">
        <v>4</v>
      </c>
      <c r="C291" t="str">
        <f t="shared" si="9"/>
        <v>7703130##</v>
      </c>
      <c r="E291" t="str">
        <f>IFERROR(VLOOKUP(1*LEFT(C291,7),DF!$A$1:$F$9447,2,FALSE),"")</f>
        <v>HOMB GALA POLICIA CINTA LAU NEGRA</v>
      </c>
      <c r="F291">
        <v>7703130</v>
      </c>
      <c r="G291" t="s">
        <v>12689</v>
      </c>
      <c r="H291">
        <v>1</v>
      </c>
    </row>
    <row r="292" spans="1:8" x14ac:dyDescent="0.25">
      <c r="A292" s="2">
        <v>16522</v>
      </c>
      <c r="B292" s="2" t="s">
        <v>4</v>
      </c>
      <c r="C292" s="2" t="str">
        <f t="shared" si="9"/>
        <v>7700100##</v>
      </c>
      <c r="D292" s="2"/>
      <c r="E292" s="2" t="str">
        <f>IFERROR(VLOOKUP(1*LEFT(C292,7),DF!$A$1:$F$9447,2,FALSE),"")</f>
        <v>INSIG AZUL CABO  COLGAR</v>
      </c>
      <c r="F292">
        <v>7700100</v>
      </c>
      <c r="G292" t="s">
        <v>13144</v>
      </c>
      <c r="H292">
        <v>1</v>
      </c>
    </row>
    <row r="293" spans="1:8" x14ac:dyDescent="0.25">
      <c r="A293" s="2">
        <v>16522</v>
      </c>
      <c r="B293" s="2" t="s">
        <v>4</v>
      </c>
      <c r="C293" s="2" t="str">
        <f t="shared" si="9"/>
        <v>7700101##</v>
      </c>
      <c r="D293" s="2"/>
      <c r="E293" s="2" t="str">
        <f>IFERROR(VLOOKUP(1*LEFT(C293,7),DF!$A$1:$F$9447,2,FALSE),"")</f>
        <v>INSIG AZUL CABO 1RO COLGAR</v>
      </c>
      <c r="F293">
        <v>7700101</v>
      </c>
      <c r="G293" t="s">
        <v>13145</v>
      </c>
      <c r="H293">
        <v>1</v>
      </c>
    </row>
    <row r="294" spans="1:8" x14ac:dyDescent="0.25">
      <c r="A294" s="2">
        <v>16522</v>
      </c>
      <c r="B294" s="2" t="s">
        <v>4</v>
      </c>
      <c r="C294" s="2" t="str">
        <f t="shared" si="9"/>
        <v>7700202##</v>
      </c>
      <c r="D294" s="2"/>
      <c r="E294" s="2" t="str">
        <f>IFERROR(VLOOKUP(1*LEFT(C294,7),DF!$A$1:$F$9447,2,FALSE),"")</f>
        <v>INSIG AZUL CABO 1RO POR PAR</v>
      </c>
      <c r="F294">
        <v>7700202</v>
      </c>
      <c r="G294" t="s">
        <v>13160</v>
      </c>
      <c r="H294">
        <v>1</v>
      </c>
    </row>
    <row r="295" spans="1:8" x14ac:dyDescent="0.25">
      <c r="A295" s="2">
        <v>16522</v>
      </c>
      <c r="B295" s="2" t="s">
        <v>4</v>
      </c>
      <c r="C295" s="2" t="str">
        <f t="shared" si="9"/>
        <v>7700200##</v>
      </c>
      <c r="D295" s="2"/>
      <c r="E295" s="2" t="str">
        <f>IFERROR(VLOOKUP(1*LEFT(C295,7),DF!$A$1:$F$9447,2,FALSE),"")</f>
        <v>INSIG AZUL CABO POR PAR</v>
      </c>
      <c r="F295">
        <v>7700200</v>
      </c>
      <c r="G295" t="s">
        <v>13143</v>
      </c>
      <c r="H295">
        <v>1</v>
      </c>
    </row>
    <row r="296" spans="1:8" x14ac:dyDescent="0.25">
      <c r="A296" s="2">
        <v>16522</v>
      </c>
      <c r="B296" s="2" t="s">
        <v>4</v>
      </c>
      <c r="C296" s="2" t="str">
        <f t="shared" si="9"/>
        <v>7700105##</v>
      </c>
      <c r="D296" s="2"/>
      <c r="E296" s="2" t="str">
        <f>IFERROR(VLOOKUP(1*LEFT(C296,7),DF!$A$1:$F$9447,2,FALSE),"")</f>
        <v>INSIG AZUL SARG AYTE COLGAR</v>
      </c>
      <c r="F296">
        <v>7700105</v>
      </c>
      <c r="G296" t="s">
        <v>13148</v>
      </c>
      <c r="H296">
        <v>1</v>
      </c>
    </row>
    <row r="297" spans="1:8" x14ac:dyDescent="0.25">
      <c r="A297" s="2">
        <v>16522</v>
      </c>
      <c r="B297" s="2" t="s">
        <v>4</v>
      </c>
      <c r="C297" s="2" t="str">
        <f t="shared" si="9"/>
        <v>7700104##</v>
      </c>
      <c r="D297" s="2"/>
      <c r="E297" s="2" t="str">
        <f>IFERROR(VLOOKUP(1*LEFT(C297,7),DF!$A$1:$F$9447,2,FALSE),"")</f>
        <v>INSIG AZUL SARGENTO 1RO COLGAR</v>
      </c>
      <c r="F297">
        <v>7700104</v>
      </c>
      <c r="G297" t="s">
        <v>13147</v>
      </c>
      <c r="H297">
        <v>1</v>
      </c>
    </row>
    <row r="298" spans="1:8" x14ac:dyDescent="0.25">
      <c r="A298" s="2">
        <v>16522</v>
      </c>
      <c r="B298" s="2" t="s">
        <v>4</v>
      </c>
      <c r="C298" s="2" t="str">
        <f t="shared" si="9"/>
        <v>7700204##</v>
      </c>
      <c r="D298" s="2"/>
      <c r="E298" s="2" t="str">
        <f>IFERROR(VLOOKUP(1*LEFT(C298,7),DF!$A$1:$F$9447,2,FALSE),"")</f>
        <v>INSIG AZUL SARGENTO 1RO POR PAR</v>
      </c>
      <c r="F298">
        <v>7700204</v>
      </c>
      <c r="G298" t="s">
        <v>13154</v>
      </c>
      <c r="H298">
        <v>1</v>
      </c>
    </row>
    <row r="299" spans="1:8" x14ac:dyDescent="0.25">
      <c r="A299" s="2">
        <v>16522</v>
      </c>
      <c r="B299" s="2" t="s">
        <v>4</v>
      </c>
      <c r="C299" s="2" t="str">
        <f t="shared" si="9"/>
        <v>7700205##</v>
      </c>
      <c r="D299" s="2"/>
      <c r="E299" s="2" t="str">
        <f>IFERROR(VLOOKUP(1*LEFT(C299,7),DF!$A$1:$F$9447,2,FALSE),"")</f>
        <v>INSIG AZUL SARGENTO AYTE POR PAR</v>
      </c>
      <c r="F299">
        <v>7700205</v>
      </c>
      <c r="G299" t="s">
        <v>13155</v>
      </c>
      <c r="H299">
        <v>1</v>
      </c>
    </row>
    <row r="300" spans="1:8" x14ac:dyDescent="0.25">
      <c r="A300" s="2">
        <v>16522</v>
      </c>
      <c r="B300" s="2" t="s">
        <v>4</v>
      </c>
      <c r="C300" s="2" t="str">
        <f t="shared" si="9"/>
        <v>7700103##</v>
      </c>
      <c r="D300" s="2"/>
      <c r="E300" s="2" t="str">
        <f>IFERROR(VLOOKUP(1*LEFT(C300,7),DF!$A$1:$F$9447,2,FALSE),"")</f>
        <v>INSIG AZUL SARGENTO COLGAR</v>
      </c>
      <c r="F300">
        <v>7700103</v>
      </c>
      <c r="G300" t="s">
        <v>13146</v>
      </c>
      <c r="H300">
        <v>1</v>
      </c>
    </row>
    <row r="301" spans="1:8" x14ac:dyDescent="0.25">
      <c r="A301" s="2">
        <v>16522</v>
      </c>
      <c r="B301" s="2" t="s">
        <v>4</v>
      </c>
      <c r="C301" s="2" t="str">
        <f t="shared" si="9"/>
        <v>7700203##</v>
      </c>
      <c r="D301" s="2"/>
      <c r="E301" s="2" t="str">
        <f>IFERROR(VLOOKUP(1*LEFT(C301,7),DF!$A$1:$F$9447,2,FALSE),"")</f>
        <v>INSIG AZUL SARGENTO POR PAR</v>
      </c>
      <c r="F301">
        <v>7700203</v>
      </c>
      <c r="G301" t="s">
        <v>13156</v>
      </c>
      <c r="H301">
        <v>1</v>
      </c>
    </row>
    <row r="302" spans="1:8" x14ac:dyDescent="0.25">
      <c r="A302" s="2">
        <v>16522</v>
      </c>
      <c r="B302" s="2" t="s">
        <v>4</v>
      </c>
      <c r="C302" s="2" t="str">
        <f t="shared" ref="C302:C325" si="10">CONCATENATE(F302,"##")</f>
        <v>7700207##</v>
      </c>
      <c r="D302" s="2"/>
      <c r="E302" s="2" t="str">
        <f>IFERROR(VLOOKUP(1*LEFT(C302,7),DF!$A$1:$F$9447,2,FALSE),"")</f>
        <v>INSIG AZUL SUBOF MAYOR POR PAR</v>
      </c>
      <c r="F302">
        <v>7700207</v>
      </c>
      <c r="G302" t="s">
        <v>13162</v>
      </c>
      <c r="H302">
        <v>1</v>
      </c>
    </row>
    <row r="303" spans="1:8" x14ac:dyDescent="0.25">
      <c r="A303" s="2">
        <v>16522</v>
      </c>
      <c r="B303" s="2" t="s">
        <v>4</v>
      </c>
      <c r="C303" s="2" t="str">
        <f t="shared" si="10"/>
        <v>7700106##</v>
      </c>
      <c r="D303" s="2"/>
      <c r="E303" s="2" t="str">
        <f>IFERROR(VLOOKUP(1*LEFT(C303,7),DF!$A$1:$F$9447,2,FALSE),"")</f>
        <v>INSIG AZUL SUBOF PPAL COLGAR</v>
      </c>
      <c r="F303">
        <v>7700106</v>
      </c>
      <c r="G303" t="s">
        <v>13149</v>
      </c>
      <c r="H303">
        <v>1</v>
      </c>
    </row>
    <row r="304" spans="1:8" x14ac:dyDescent="0.25">
      <c r="A304" s="2">
        <v>16522</v>
      </c>
      <c r="B304" s="2" t="s">
        <v>4</v>
      </c>
      <c r="C304" s="2" t="str">
        <f t="shared" si="10"/>
        <v>7700206##</v>
      </c>
      <c r="D304" s="2"/>
      <c r="E304" s="2" t="str">
        <f>IFERROR(VLOOKUP(1*LEFT(C304,7),DF!$A$1:$F$9447,2,FALSE),"")</f>
        <v>INSIG AZUL SUBOF PPAL POR PAR</v>
      </c>
      <c r="F304">
        <v>7700206</v>
      </c>
      <c r="G304" t="s">
        <v>13153</v>
      </c>
      <c r="H304">
        <v>1</v>
      </c>
    </row>
    <row r="305" spans="1:8" x14ac:dyDescent="0.25">
      <c r="A305" s="2">
        <v>16522</v>
      </c>
      <c r="B305" s="2" t="s">
        <v>4</v>
      </c>
      <c r="C305" s="2" t="str">
        <f t="shared" si="10"/>
        <v>8505708##</v>
      </c>
      <c r="D305" s="2"/>
      <c r="E305" s="2" t="str">
        <f>IFERROR(VLOOKUP(1*LEFT(C305,7),DF!$A$1:$F$9447,2,FALSE),"")</f>
        <v>INSIG BI CABO BEIGE BI</v>
      </c>
      <c r="F305">
        <v>8505708</v>
      </c>
      <c r="G305" t="s">
        <v>13161</v>
      </c>
      <c r="H305">
        <v>1</v>
      </c>
    </row>
    <row r="306" spans="1:8" x14ac:dyDescent="0.25">
      <c r="A306" s="2">
        <v>16522</v>
      </c>
      <c r="B306" s="2" t="s">
        <v>4</v>
      </c>
      <c r="C306" s="2" t="str">
        <f t="shared" si="10"/>
        <v>8505709##</v>
      </c>
      <c r="D306" s="2"/>
      <c r="E306" s="2" t="str">
        <f>IFERROR(VLOOKUP(1*LEFT(C306,7),DF!$A$1:$F$9447,2,FALSE),"")</f>
        <v>INSIG BI CABO PRIMERO BEIGE BI</v>
      </c>
      <c r="F306" s="7">
        <v>8505709</v>
      </c>
      <c r="G306" t="s">
        <v>13142</v>
      </c>
      <c r="H306">
        <v>1</v>
      </c>
    </row>
    <row r="307" spans="1:8" x14ac:dyDescent="0.25">
      <c r="A307" s="2">
        <v>16522</v>
      </c>
      <c r="B307" s="2" t="s">
        <v>4</v>
      </c>
      <c r="C307" s="2" t="str">
        <f t="shared" si="10"/>
        <v>8505705##</v>
      </c>
      <c r="D307" s="2"/>
      <c r="E307" s="2" t="str">
        <f>IFERROR(VLOOKUP(1*LEFT(C307,7),DF!$A$1:$F$9447,2,FALSE),"")</f>
        <v>INSIG BI SARGENTO AYUDANTE AZUL/AMARILLO</v>
      </c>
      <c r="F307">
        <v>8505705</v>
      </c>
      <c r="G307" t="s">
        <v>13150</v>
      </c>
      <c r="H307">
        <v>1</v>
      </c>
    </row>
    <row r="308" spans="1:8" x14ac:dyDescent="0.25">
      <c r="A308" s="2">
        <v>16522</v>
      </c>
      <c r="B308" s="2" t="s">
        <v>4</v>
      </c>
      <c r="C308" s="2" t="str">
        <f t="shared" si="10"/>
        <v>8505707##</v>
      </c>
      <c r="D308" s="2"/>
      <c r="E308" s="2" t="str">
        <f>IFERROR(VLOOKUP(1*LEFT(C308,7),DF!$A$1:$F$9447,2,FALSE),"")</f>
        <v>INSIG BI SUB OFICIAL MAYOR AZUL/AMARILLO</v>
      </c>
      <c r="F308">
        <v>8505707</v>
      </c>
      <c r="G308" t="s">
        <v>13152</v>
      </c>
      <c r="H308">
        <v>1</v>
      </c>
    </row>
    <row r="309" spans="1:8" x14ac:dyDescent="0.25">
      <c r="A309" s="2">
        <v>16522</v>
      </c>
      <c r="B309" s="2" t="s">
        <v>4</v>
      </c>
      <c r="C309" s="2" t="str">
        <f t="shared" si="10"/>
        <v>8505706##</v>
      </c>
      <c r="D309" s="2"/>
      <c r="E309" s="2" t="str">
        <f>IFERROR(VLOOKUP(1*LEFT(C309,7),DF!$A$1:$F$9447,2,FALSE),"")</f>
        <v>INSIG BI SUB OFICIAL PPAL AZUL/AMARILLO</v>
      </c>
      <c r="F309">
        <v>8505706</v>
      </c>
      <c r="G309" t="s">
        <v>13151</v>
      </c>
      <c r="H309">
        <v>1</v>
      </c>
    </row>
    <row r="310" spans="1:8" x14ac:dyDescent="0.25">
      <c r="A310" s="2">
        <v>16522</v>
      </c>
      <c r="B310" s="2" t="s">
        <v>4</v>
      </c>
      <c r="C310" s="2" t="str">
        <f t="shared" si="10"/>
        <v>7700702##</v>
      </c>
      <c r="D310" s="2"/>
      <c r="E310" s="2" t="str">
        <f>IFERROR(VLOOKUP(1*LEFT(C310,7),DF!$A$1:$F$9447,2,FALSE),"")</f>
        <v>INSIG BLANCA CABO P/COLGAR RER</v>
      </c>
      <c r="F310">
        <v>7700702</v>
      </c>
      <c r="G310" t="s">
        <v>13132</v>
      </c>
      <c r="H310">
        <v>1</v>
      </c>
    </row>
    <row r="311" spans="1:8" x14ac:dyDescent="0.25">
      <c r="A311" s="2">
        <v>16522</v>
      </c>
      <c r="B311" s="2" t="s">
        <v>4</v>
      </c>
      <c r="C311" s="2" t="str">
        <f t="shared" si="10"/>
        <v>7700700##</v>
      </c>
      <c r="D311" s="2"/>
      <c r="E311" s="2" t="str">
        <f>IFERROR(VLOOKUP(1*LEFT(C311,7),DF!$A$1:$F$9447,2,FALSE),"")</f>
        <v>INSIG BLANCA SARGENTO P/COLGAR RER</v>
      </c>
      <c r="F311">
        <v>7700700</v>
      </c>
      <c r="G311" t="s">
        <v>13131</v>
      </c>
      <c r="H311">
        <v>1</v>
      </c>
    </row>
    <row r="312" spans="1:8" x14ac:dyDescent="0.25">
      <c r="A312" s="2">
        <v>16522</v>
      </c>
      <c r="B312" s="2" t="s">
        <v>4</v>
      </c>
      <c r="C312" s="2" t="str">
        <f t="shared" si="10"/>
        <v>7701102##</v>
      </c>
      <c r="D312" s="2"/>
      <c r="E312" s="2" t="str">
        <f>IFERROR(VLOOKUP(1*LEFT(C312,7),DF!$A$1:$F$9447,2,FALSE),"")</f>
        <v>INSIG GOMA NEGRA CABO 1RO COLGAR GOA</v>
      </c>
      <c r="F312" s="7">
        <v>7701102</v>
      </c>
      <c r="G312" t="s">
        <v>13967</v>
      </c>
      <c r="H312">
        <v>1</v>
      </c>
    </row>
    <row r="313" spans="1:8" x14ac:dyDescent="0.25">
      <c r="A313" s="2">
        <v>16522</v>
      </c>
      <c r="B313" s="2" t="s">
        <v>4</v>
      </c>
      <c r="C313" s="2" t="str">
        <f t="shared" si="10"/>
        <v>7700505##</v>
      </c>
      <c r="D313" s="2"/>
      <c r="E313" s="2" t="str">
        <f>IFERROR(VLOOKUP(1*LEFT(C313,7),DF!$A$1:$F$9447,2,FALSE),"")</f>
        <v>INSIG ROJA CABO P/COLGAR</v>
      </c>
      <c r="F313">
        <v>7700505</v>
      </c>
      <c r="G313" t="s">
        <v>13128</v>
      </c>
      <c r="H313">
        <v>1</v>
      </c>
    </row>
    <row r="314" spans="1:8" x14ac:dyDescent="0.25">
      <c r="A314" s="2">
        <v>16522</v>
      </c>
      <c r="B314" s="2" t="s">
        <v>4</v>
      </c>
      <c r="C314" s="2" t="str">
        <f t="shared" si="10"/>
        <v>7700502##</v>
      </c>
      <c r="D314" s="2"/>
      <c r="E314" s="2" t="str">
        <f>IFERROR(VLOOKUP(1*LEFT(C314,7),DF!$A$1:$F$9447,2,FALSE),"")</f>
        <v>INSIG ROJA CABO PRIMERO P/COLGAR RER</v>
      </c>
      <c r="F314">
        <v>7700502</v>
      </c>
      <c r="G314" t="s">
        <v>13127</v>
      </c>
      <c r="H314">
        <v>1</v>
      </c>
    </row>
    <row r="315" spans="1:8" x14ac:dyDescent="0.25">
      <c r="A315" s="2">
        <v>16522</v>
      </c>
      <c r="B315" s="2" t="s">
        <v>4</v>
      </c>
      <c r="C315" s="2" t="str">
        <f t="shared" si="10"/>
        <v>7700508##</v>
      </c>
      <c r="D315" s="2"/>
      <c r="E315" s="2" t="str">
        <f>IFERROR(VLOOKUP(1*LEFT(C315,7),DF!$A$1:$F$9447,2,FALSE),"")</f>
        <v>INSIG ROJA PRINCIPAL P/COLGAR</v>
      </c>
      <c r="F315">
        <v>7700508</v>
      </c>
      <c r="G315" t="s">
        <v>13141</v>
      </c>
      <c r="H315">
        <v>1</v>
      </c>
    </row>
    <row r="316" spans="1:8" x14ac:dyDescent="0.25">
      <c r="A316" s="2">
        <v>16522</v>
      </c>
      <c r="B316" s="2" t="s">
        <v>4</v>
      </c>
      <c r="C316" s="2" t="str">
        <f t="shared" si="10"/>
        <v>7700507##</v>
      </c>
      <c r="D316" s="2"/>
      <c r="E316" s="2" t="str">
        <f>IFERROR(VLOOKUP(1*LEFT(C316,7),DF!$A$1:$F$9447,2,FALSE),"")</f>
        <v>INSIG ROJA SARGENTO 1RO P/COLGAR</v>
      </c>
      <c r="F316">
        <v>7700507</v>
      </c>
      <c r="G316" t="s">
        <v>13130</v>
      </c>
      <c r="H316">
        <v>1</v>
      </c>
    </row>
    <row r="317" spans="1:8" x14ac:dyDescent="0.25">
      <c r="A317" s="2">
        <v>16522</v>
      </c>
      <c r="B317" s="2" t="s">
        <v>4</v>
      </c>
      <c r="C317" s="2" t="str">
        <f t="shared" si="10"/>
        <v>7700501##</v>
      </c>
      <c r="D317" s="2"/>
      <c r="E317" s="2" t="str">
        <f>IFERROR(VLOOKUP(1*LEFT(C317,7),DF!$A$1:$F$9447,2,FALSE),"")</f>
        <v>INSIG ROJA SARGENTO AYTE P/COLGAR RER</v>
      </c>
      <c r="F317">
        <v>7700501</v>
      </c>
      <c r="G317" t="s">
        <v>13157</v>
      </c>
      <c r="H317">
        <v>1</v>
      </c>
    </row>
    <row r="318" spans="1:8" x14ac:dyDescent="0.25">
      <c r="A318" s="2">
        <v>16522</v>
      </c>
      <c r="B318" s="2" t="s">
        <v>4</v>
      </c>
      <c r="C318" s="2" t="str">
        <f t="shared" si="10"/>
        <v>7700501##</v>
      </c>
      <c r="D318" s="2"/>
      <c r="E318" s="2" t="str">
        <f>IFERROR(VLOOKUP(1*LEFT(C318,7),DF!$A$1:$F$9447,2,FALSE),"")</f>
        <v>INSIG ROJA SARGENTO AYTE P/COLGAR RER</v>
      </c>
      <c r="F318">
        <v>7700501</v>
      </c>
      <c r="G318" t="s">
        <v>13157</v>
      </c>
      <c r="H318">
        <v>1</v>
      </c>
    </row>
    <row r="319" spans="1:8" x14ac:dyDescent="0.25">
      <c r="A319" s="2">
        <v>16522</v>
      </c>
      <c r="B319" s="2" t="s">
        <v>4</v>
      </c>
      <c r="C319" s="2" t="str">
        <f t="shared" si="10"/>
        <v>7700506##</v>
      </c>
      <c r="D319" s="2"/>
      <c r="E319" s="2" t="str">
        <f>IFERROR(VLOOKUP(1*LEFT(C319,7),DF!$A$1:$F$9447,2,FALSE),"")</f>
        <v>INSIG ROJA SARGENTO P/COLGAR</v>
      </c>
      <c r="F319">
        <v>7700506</v>
      </c>
      <c r="G319" t="s">
        <v>13129</v>
      </c>
      <c r="H319">
        <v>1</v>
      </c>
    </row>
    <row r="320" spans="1:8" x14ac:dyDescent="0.25">
      <c r="A320">
        <v>16522</v>
      </c>
      <c r="B320" t="s">
        <v>4</v>
      </c>
      <c r="C320" t="str">
        <f t="shared" si="10"/>
        <v>8513173##</v>
      </c>
      <c r="E320" t="str">
        <f>IFERROR(VLOOKUP(1*LEFT(C320,7),DF!$A$1:$F$9447,2,FALSE),"")</f>
        <v>KIT DE LIMPIEZA ARMA CORTA-BAQUETA-CEPILLO-ACEITE-PAÑO</v>
      </c>
      <c r="F320">
        <v>8513173</v>
      </c>
      <c r="G320" t="s">
        <v>12690</v>
      </c>
      <c r="H320">
        <v>2</v>
      </c>
    </row>
    <row r="321" spans="1:9" x14ac:dyDescent="0.25">
      <c r="A321">
        <v>16522</v>
      </c>
      <c r="B321" t="s">
        <v>4</v>
      </c>
      <c r="C321" t="str">
        <f t="shared" si="10"/>
        <v>8503600##</v>
      </c>
      <c r="E321" t="str">
        <f>IFERROR(VLOOKUP(1*LEFT(C321,7),DF!$A$1:$F$9447,2,FALSE),"")</f>
        <v>KIT RODILLERAS Y CODERAS TACTICAS 5637-2</v>
      </c>
      <c r="F321">
        <v>8503600</v>
      </c>
      <c r="G321" t="s">
        <v>12691</v>
      </c>
      <c r="H321">
        <v>5</v>
      </c>
    </row>
    <row r="322" spans="1:9" x14ac:dyDescent="0.25">
      <c r="A322">
        <v>16522</v>
      </c>
      <c r="B322" t="s">
        <v>4</v>
      </c>
      <c r="C322" t="str">
        <f t="shared" si="10"/>
        <v>8520986##</v>
      </c>
      <c r="E322" t="str">
        <f>IFERROR(VLOOKUP(1*LEFT(C322,7),DF!$A$1:$F$9447,2,FALSE),"")</f>
        <v>LAPICERA TACTICA KUBOTAN B3</v>
      </c>
      <c r="F322">
        <v>8520986</v>
      </c>
      <c r="G322" t="s">
        <v>12692</v>
      </c>
      <c r="H322">
        <v>6</v>
      </c>
    </row>
    <row r="323" spans="1:9" x14ac:dyDescent="0.25">
      <c r="A323">
        <v>16522</v>
      </c>
      <c r="B323" t="s">
        <v>4</v>
      </c>
      <c r="C323" t="str">
        <f t="shared" si="10"/>
        <v>8520165##</v>
      </c>
      <c r="E323" t="str">
        <f>IFERROR(VLOOKUP(1*LEFT(C323,7),DF!$A$1:$F$9447,2,FALSE),"")</f>
        <v>LINTERNA CON BALIZA RECARG. 0658</v>
      </c>
      <c r="F323">
        <v>8520165</v>
      </c>
      <c r="G323" t="s">
        <v>12693</v>
      </c>
      <c r="H323">
        <v>4</v>
      </c>
    </row>
    <row r="324" spans="1:9" x14ac:dyDescent="0.25">
      <c r="A324">
        <v>16522</v>
      </c>
      <c r="B324" t="s">
        <v>4</v>
      </c>
      <c r="C324" t="str">
        <f t="shared" si="10"/>
        <v>8520000##</v>
      </c>
      <c r="E324" t="str">
        <f>IFERROR(VLOOKUP(1*LEFT(C324,7),DF!$A$1:$F$9447,2,FALSE),"")</f>
        <v>LINTERNA MINERA RECARGABLE 0602</v>
      </c>
      <c r="F324">
        <v>8520000</v>
      </c>
      <c r="G324" t="s">
        <v>12694</v>
      </c>
      <c r="H324">
        <v>8</v>
      </c>
    </row>
    <row r="325" spans="1:9" x14ac:dyDescent="0.25">
      <c r="A325">
        <v>16522</v>
      </c>
      <c r="B325" t="s">
        <v>4</v>
      </c>
      <c r="C325" t="str">
        <f t="shared" si="10"/>
        <v>8520726##</v>
      </c>
      <c r="E325" t="str">
        <f>IFERROR(VLOOKUP(1*LEFT(C325,7),DF!$A$1:$F$9447,2,FALSE),"")</f>
        <v>LINTERNA PARA CICLISTAS USB 4726</v>
      </c>
      <c r="F325">
        <v>8520726</v>
      </c>
      <c r="G325" t="s">
        <v>12695</v>
      </c>
      <c r="H325">
        <v>6</v>
      </c>
    </row>
    <row r="326" spans="1:9" x14ac:dyDescent="0.25">
      <c r="A326" s="2">
        <v>16522</v>
      </c>
      <c r="B326" s="2" t="s">
        <v>4</v>
      </c>
      <c r="C326" s="2" t="s">
        <v>13208</v>
      </c>
      <c r="D326" s="2"/>
      <c r="E326" s="2" t="str">
        <f>IFERROR(VLOOKUP(1*LEFT(C326,7),DF!$A$1:$F$9447,2,FALSE),"")</f>
        <v>MAMELUCO TERMICO AZUL 2XL/6XL RER</v>
      </c>
      <c r="F326">
        <v>1130284</v>
      </c>
      <c r="G326" t="s">
        <v>13211</v>
      </c>
      <c r="H326">
        <v>1</v>
      </c>
      <c r="I326">
        <v>1</v>
      </c>
    </row>
    <row r="327" spans="1:9" x14ac:dyDescent="0.25">
      <c r="A327" s="2">
        <v>16522</v>
      </c>
      <c r="B327" s="2" t="s">
        <v>4</v>
      </c>
      <c r="C327" s="2" t="str">
        <f>CONCATENATE(F327,"##")</f>
        <v>1130284##</v>
      </c>
      <c r="D327" s="2"/>
      <c r="E327" s="2" t="str">
        <f>IFERROR(VLOOKUP(1*LEFT(C327,7),DF!$A$1:$F$9447,2,FALSE),"")</f>
        <v>MAMELUCO TERMICO AZUL S/XL RER</v>
      </c>
      <c r="F327">
        <v>1130284</v>
      </c>
      <c r="G327" t="s">
        <v>13211</v>
      </c>
      <c r="H327">
        <v>1</v>
      </c>
      <c r="I327">
        <v>1</v>
      </c>
    </row>
    <row r="328" spans="1:9" x14ac:dyDescent="0.25">
      <c r="A328" s="2">
        <v>16522</v>
      </c>
      <c r="B328" s="2" t="s">
        <v>4</v>
      </c>
      <c r="C328" s="2" t="str">
        <f>CONCATENATE(F328,"##")</f>
        <v>1130750##</v>
      </c>
      <c r="D328" s="2"/>
      <c r="E328" s="2" t="str">
        <f>IFERROR(VLOOKUP(1*LEFT(C328,7),DF!$A$1:$F$9447,2,FALSE),"")</f>
        <v>MAMELUCO TERMICO GRIS S/XL RER</v>
      </c>
      <c r="F328">
        <v>1130750</v>
      </c>
      <c r="G328" t="s">
        <v>13212</v>
      </c>
      <c r="H328">
        <v>3</v>
      </c>
      <c r="I328">
        <v>1</v>
      </c>
    </row>
    <row r="329" spans="1:9" x14ac:dyDescent="0.25">
      <c r="A329" s="2">
        <v>16522</v>
      </c>
      <c r="B329" s="2" t="s">
        <v>4</v>
      </c>
      <c r="C329" s="2" t="s">
        <v>4476</v>
      </c>
      <c r="D329" s="2"/>
      <c r="E329" s="2" t="str">
        <f>IFERROR(VLOOKUP(1*LEFT(C329,7),DF!$A$1:$F$9447,2,FALSE),"")</f>
        <v>MAMELUCO TERMICO NEGRO 2XL/6XL RER</v>
      </c>
      <c r="F329">
        <v>1130254</v>
      </c>
      <c r="G329" t="s">
        <v>13213</v>
      </c>
      <c r="H329">
        <v>7</v>
      </c>
      <c r="I329">
        <v>1</v>
      </c>
    </row>
    <row r="330" spans="1:9" x14ac:dyDescent="0.25">
      <c r="A330" s="2">
        <v>16522</v>
      </c>
      <c r="B330" s="2" t="s">
        <v>4</v>
      </c>
      <c r="C330" s="2" t="str">
        <f t="shared" ref="C330:C361" si="11">CONCATENATE(F330,"##")</f>
        <v>1130254##</v>
      </c>
      <c r="D330" s="2"/>
      <c r="E330" s="2" t="str">
        <f>IFERROR(VLOOKUP(1*LEFT(C330,7),DF!$A$1:$F$9447,2,FALSE),"")</f>
        <v>MAMELUCO TERMICO NEGRO XS/XL RER</v>
      </c>
      <c r="F330">
        <v>1130254</v>
      </c>
      <c r="G330" t="s">
        <v>13213</v>
      </c>
      <c r="H330">
        <v>7</v>
      </c>
      <c r="I330">
        <v>1</v>
      </c>
    </row>
    <row r="331" spans="1:9" x14ac:dyDescent="0.25">
      <c r="A331" s="2">
        <v>16522</v>
      </c>
      <c r="B331" s="2" t="s">
        <v>4</v>
      </c>
      <c r="C331" s="2" t="str">
        <f t="shared" si="11"/>
        <v>8518011##</v>
      </c>
      <c r="D331" s="2"/>
      <c r="E331" s="2" t="str">
        <f>IFERROR(VLOOKUP(1*LEFT(C331,7),DF!$A$1:$F$9447,2,FALSE),"")</f>
        <v>MASCARA NEOPRENE RERDA RER</v>
      </c>
      <c r="F331">
        <v>8518011</v>
      </c>
      <c r="G331" t="s">
        <v>13997</v>
      </c>
      <c r="H331">
        <v>3</v>
      </c>
    </row>
    <row r="332" spans="1:9" x14ac:dyDescent="0.25">
      <c r="A332" s="2">
        <v>16522</v>
      </c>
      <c r="B332" s="2" t="s">
        <v>4</v>
      </c>
      <c r="C332" s="2" t="str">
        <f t="shared" si="11"/>
        <v>9003100##</v>
      </c>
      <c r="D332" s="2"/>
      <c r="E332" s="2" t="str">
        <f>IFERROR(VLOOKUP(1*LEFT(C332,7),DF!$A$1:$F$9447,2,FALSE),"")</f>
        <v>MEDIAS EXTREME RERDA CORTA RER</v>
      </c>
      <c r="F332" s="7">
        <v>9003100</v>
      </c>
      <c r="G332" t="s">
        <v>12696</v>
      </c>
      <c r="H332">
        <v>3</v>
      </c>
    </row>
    <row r="333" spans="1:9" x14ac:dyDescent="0.25">
      <c r="A333" s="2">
        <v>16522</v>
      </c>
      <c r="B333" s="2" t="s">
        <v>4</v>
      </c>
      <c r="C333" s="2" t="str">
        <f t="shared" si="11"/>
        <v>9003101##</v>
      </c>
      <c r="D333" s="2"/>
      <c r="E333" s="2" t="str">
        <f>IFERROR(VLOOKUP(1*LEFT(C333,7),DF!$A$1:$F$9447,2,FALSE),"")</f>
        <v>MEDIAS EXTREME RERDA LARGA RER</v>
      </c>
      <c r="F333" s="7">
        <v>9003101</v>
      </c>
      <c r="G333" t="s">
        <v>12697</v>
      </c>
      <c r="H333">
        <v>3</v>
      </c>
    </row>
    <row r="334" spans="1:9" x14ac:dyDescent="0.25">
      <c r="A334">
        <v>16522</v>
      </c>
      <c r="B334" t="s">
        <v>4</v>
      </c>
      <c r="C334" t="str">
        <f t="shared" si="11"/>
        <v>7707566##</v>
      </c>
      <c r="E334" t="str">
        <f>IFERROR(VLOOKUP(1*LEFT(C334,7),DF!$A$1:$F$9447,2,FALSE),"")</f>
        <v>METAL SERRETA 8/10 ONDAS FEM</v>
      </c>
      <c r="F334">
        <v>7707566</v>
      </c>
      <c r="G334" t="s">
        <v>12698</v>
      </c>
      <c r="H334">
        <v>4</v>
      </c>
    </row>
    <row r="335" spans="1:9" x14ac:dyDescent="0.25">
      <c r="A335">
        <v>16522</v>
      </c>
      <c r="B335" t="s">
        <v>4</v>
      </c>
      <c r="C335" t="str">
        <f t="shared" si="11"/>
        <v>7707260##</v>
      </c>
      <c r="E335" t="str">
        <f>IFERROR(VLOOKUP(1*LEFT(C335,7),DF!$A$1:$F$9447,2,FALSE),"")</f>
        <v>METAL SILBATO DE RONDA FEM</v>
      </c>
      <c r="F335">
        <v>7707260</v>
      </c>
      <c r="G335" t="s">
        <v>12699</v>
      </c>
      <c r="H335">
        <v>3</v>
      </c>
    </row>
    <row r="336" spans="1:9" x14ac:dyDescent="0.25">
      <c r="A336">
        <v>16522</v>
      </c>
      <c r="B336" t="s">
        <v>4</v>
      </c>
      <c r="C336" t="str">
        <f t="shared" si="11"/>
        <v>7707562##</v>
      </c>
      <c r="E336" t="str">
        <f>IFERROR(VLOOKUP(1*LEFT(C336,7),DF!$A$1:$F$9447,2,FALSE),"")</f>
        <v>METAL SILBATO DE SALIDA FEM</v>
      </c>
      <c r="F336">
        <v>7707562</v>
      </c>
      <c r="G336" t="s">
        <v>12700</v>
      </c>
      <c r="H336">
        <v>4</v>
      </c>
    </row>
    <row r="337" spans="1:9" x14ac:dyDescent="0.25">
      <c r="A337">
        <v>16522</v>
      </c>
      <c r="B337" t="s">
        <v>4</v>
      </c>
      <c r="C337" t="str">
        <f t="shared" si="11"/>
        <v>8708638##</v>
      </c>
      <c r="E337" t="str">
        <f>IFERROR(VLOOKUP(1*LEFT(C337,7),DF!$A$1:$F$9447,2,FALSE),"")</f>
        <v>MOCHILA CHALECO MOLLE DOBLE FUNCION 9638</v>
      </c>
      <c r="F337">
        <v>8708638</v>
      </c>
      <c r="G337" t="s">
        <v>12701</v>
      </c>
      <c r="H337">
        <v>2</v>
      </c>
    </row>
    <row r="338" spans="1:9" x14ac:dyDescent="0.25">
      <c r="A338" s="2">
        <v>16522</v>
      </c>
      <c r="B338" s="2" t="s">
        <v>4</v>
      </c>
      <c r="C338" s="2" t="str">
        <f t="shared" si="11"/>
        <v>8703616##</v>
      </c>
      <c r="D338" s="2"/>
      <c r="E338" s="2" t="str">
        <f>IFERROR(VLOOKUP(1*LEFT(C338,7),DF!$A$1:$F$9447,2,FALSE),"")</f>
        <v>MUSLERA POLIA PORTA C DOBLE TERM T616 TB</v>
      </c>
      <c r="F338">
        <v>8703616</v>
      </c>
      <c r="G338" t="s">
        <v>13186</v>
      </c>
      <c r="H338">
        <v>2</v>
      </c>
    </row>
    <row r="339" spans="1:9" x14ac:dyDescent="0.25">
      <c r="A339" s="2">
        <v>16522</v>
      </c>
      <c r="B339" s="2" t="s">
        <v>4</v>
      </c>
      <c r="C339" s="2" t="str">
        <f t="shared" si="11"/>
        <v>8703621##</v>
      </c>
      <c r="D339" s="2"/>
      <c r="E339" s="2" t="str">
        <f>IFERROR(VLOOKUP(1*LEFT(C339,7),DF!$A$1:$F$9447,2,FALSE),"")</f>
        <v>MUSLERA TERMOF C PORTA CARGADOR T621 TB</v>
      </c>
      <c r="F339">
        <v>8703621</v>
      </c>
      <c r="G339" t="s">
        <v>13185</v>
      </c>
      <c r="H339">
        <v>2</v>
      </c>
    </row>
    <row r="340" spans="1:9" x14ac:dyDescent="0.25">
      <c r="A340" s="2">
        <v>16522</v>
      </c>
      <c r="B340" s="2" t="s">
        <v>4</v>
      </c>
      <c r="C340" s="2" t="str">
        <f t="shared" si="11"/>
        <v>8703620##</v>
      </c>
      <c r="D340" s="2"/>
      <c r="E340" s="2" t="str">
        <f>IFERROR(VLOOKUP(1*LEFT(C340,7),DF!$A$1:$F$9447,2,FALSE),"")</f>
        <v>MUSLERA TERMOF SIMPLE  T620 TB</v>
      </c>
      <c r="F340">
        <v>8703620</v>
      </c>
      <c r="G340" t="s">
        <v>13187</v>
      </c>
      <c r="H340">
        <v>3</v>
      </c>
    </row>
    <row r="341" spans="1:9" x14ac:dyDescent="0.25">
      <c r="A341">
        <v>16522</v>
      </c>
      <c r="B341" t="s">
        <v>4</v>
      </c>
      <c r="C341" t="str">
        <f t="shared" si="11"/>
        <v>8520283##</v>
      </c>
      <c r="E341" t="str">
        <f>IFERROR(VLOOKUP(1*LEFT(C341,7),DF!$A$1:$F$9447,2,FALSE),"")</f>
        <v>NAVAJA 20 CM BUCK CAMUFLADA 14-28/3</v>
      </c>
      <c r="F341">
        <v>8520283</v>
      </c>
      <c r="G341" t="s">
        <v>12702</v>
      </c>
      <c r="H341">
        <v>5</v>
      </c>
    </row>
    <row r="342" spans="1:9" x14ac:dyDescent="0.25">
      <c r="A342">
        <v>16522</v>
      </c>
      <c r="B342" t="s">
        <v>4</v>
      </c>
      <c r="C342" t="str">
        <f t="shared" si="11"/>
        <v>8520802##</v>
      </c>
      <c r="E342" t="str">
        <f>IFERROR(VLOOKUP(1*LEFT(C342,7),DF!$A$1:$F$9447,2,FALSE),"")</f>
        <v>NAVAJA 2100 GRIS/MADERA BROWNING</v>
      </c>
      <c r="F342">
        <v>8520802</v>
      </c>
      <c r="G342" t="s">
        <v>12703</v>
      </c>
      <c r="H342">
        <v>3</v>
      </c>
    </row>
    <row r="343" spans="1:9" x14ac:dyDescent="0.25">
      <c r="A343">
        <v>16522</v>
      </c>
      <c r="B343" t="s">
        <v>4</v>
      </c>
      <c r="C343" t="str">
        <f t="shared" si="11"/>
        <v>8521307##</v>
      </c>
      <c r="E343" t="str">
        <f>IFERROR(VLOOKUP(1*LEFT(C343,7),DF!$A$1:$F$9447,2,FALSE),"")</f>
        <v>NAVAJA CHONGMING IMP 2022</v>
      </c>
      <c r="F343">
        <v>8521307</v>
      </c>
      <c r="G343" t="s">
        <v>12704</v>
      </c>
      <c r="H343">
        <v>4</v>
      </c>
    </row>
    <row r="344" spans="1:9" x14ac:dyDescent="0.25">
      <c r="A344">
        <v>16522</v>
      </c>
      <c r="B344" t="s">
        <v>4</v>
      </c>
      <c r="C344" t="str">
        <f t="shared" si="11"/>
        <v>8520458##</v>
      </c>
      <c r="E344" t="str">
        <f>IFERROR(VLOOKUP(1*LEFT(C344,7),DF!$A$1:$F$9447,2,FALSE),"")</f>
        <v>NAVAJA GRIS INOX 2110 16CM</v>
      </c>
      <c r="F344">
        <v>8520458</v>
      </c>
      <c r="G344" t="s">
        <v>12705</v>
      </c>
      <c r="H344">
        <v>4</v>
      </c>
    </row>
    <row r="345" spans="1:9" x14ac:dyDescent="0.25">
      <c r="A345">
        <v>16522</v>
      </c>
      <c r="B345" t="s">
        <v>4</v>
      </c>
      <c r="C345" t="str">
        <f t="shared" si="11"/>
        <v>8520710##</v>
      </c>
      <c r="E345" t="str">
        <f>IFERROR(VLOOKUP(1*LEFT(C345,7),DF!$A$1:$F$9447,2,FALSE),"")</f>
        <v>NAVAJA JEEP GRIS 21CM DA132</v>
      </c>
      <c r="F345">
        <v>8520710</v>
      </c>
      <c r="G345" t="s">
        <v>12706</v>
      </c>
      <c r="H345">
        <v>5</v>
      </c>
    </row>
    <row r="346" spans="1:9" x14ac:dyDescent="0.25">
      <c r="A346">
        <v>16522</v>
      </c>
      <c r="B346" t="s">
        <v>4</v>
      </c>
      <c r="C346" t="str">
        <f t="shared" si="11"/>
        <v>8520101##</v>
      </c>
      <c r="E346" t="str">
        <f>IFERROR(VLOOKUP(1*LEFT(C346,7),DF!$A$1:$F$9447,2,FALSE),"")</f>
        <v>NAVAJA KARAMBIT TACTICA DA46</v>
      </c>
      <c r="F346">
        <v>8520101</v>
      </c>
      <c r="G346" t="s">
        <v>12707</v>
      </c>
      <c r="H346">
        <v>6</v>
      </c>
    </row>
    <row r="347" spans="1:9" x14ac:dyDescent="0.25">
      <c r="A347">
        <v>16522</v>
      </c>
      <c r="B347" t="s">
        <v>4</v>
      </c>
      <c r="C347" t="str">
        <f t="shared" si="11"/>
        <v>8520230##</v>
      </c>
      <c r="E347" t="str">
        <f>IFERROR(VLOOKUP(1*LEFT(C347,7),DF!$A$1:$F$9447,2,FALSE),"")</f>
        <v>NAVAJA MARIPOSA GRIS  19-12/3</v>
      </c>
      <c r="F347">
        <v>8520230</v>
      </c>
      <c r="G347" t="s">
        <v>12708</v>
      </c>
      <c r="H347">
        <v>3</v>
      </c>
    </row>
    <row r="348" spans="1:9" x14ac:dyDescent="0.25">
      <c r="A348">
        <v>16522</v>
      </c>
      <c r="B348" t="s">
        <v>4</v>
      </c>
      <c r="C348" t="str">
        <f t="shared" si="11"/>
        <v>8520814##</v>
      </c>
      <c r="E348" t="str">
        <f>IFERROR(VLOOKUP(1*LEFT(C348,7),DF!$A$1:$F$9447,2,FALSE),"")</f>
        <v>NAVAJA STEEL KNIFE DA15</v>
      </c>
      <c r="F348">
        <v>8520814</v>
      </c>
      <c r="G348" t="s">
        <v>12709</v>
      </c>
      <c r="H348">
        <v>5</v>
      </c>
    </row>
    <row r="349" spans="1:9" x14ac:dyDescent="0.25">
      <c r="A349">
        <v>16522</v>
      </c>
      <c r="B349" t="s">
        <v>4</v>
      </c>
      <c r="C349" t="str">
        <f t="shared" si="11"/>
        <v>8505074##</v>
      </c>
      <c r="E349" t="str">
        <f>IFERROR(VLOOKUP(1*LEFT(C349,7),DF!$A$1:$F$9447,2,FALSE),"")</f>
        <v>NOMBRE BORD MOTORIZADA BI</v>
      </c>
      <c r="F349" s="7">
        <v>8505074</v>
      </c>
      <c r="G349" t="s">
        <v>12710</v>
      </c>
      <c r="H349">
        <v>1</v>
      </c>
    </row>
    <row r="350" spans="1:9" x14ac:dyDescent="0.25">
      <c r="A350">
        <v>16522</v>
      </c>
      <c r="B350" t="s">
        <v>4</v>
      </c>
      <c r="C350" t="str">
        <f t="shared" si="11"/>
        <v>8400070##</v>
      </c>
      <c r="E350" t="str">
        <f>IFERROR(VLOOKUP(1*LEFT(C350,7),DF!$A$1:$F$9447,2,FALSE),"")</f>
        <v>OREJERAS SIN PIEL RER</v>
      </c>
      <c r="F350">
        <v>8400070</v>
      </c>
      <c r="G350" t="s">
        <v>12711</v>
      </c>
      <c r="H350">
        <v>2</v>
      </c>
    </row>
    <row r="351" spans="1:9" x14ac:dyDescent="0.25">
      <c r="A351" s="2">
        <v>16522</v>
      </c>
      <c r="B351" s="2" t="s">
        <v>4</v>
      </c>
      <c r="C351" s="2" t="str">
        <f t="shared" si="11"/>
        <v>1130008##</v>
      </c>
      <c r="D351" s="2"/>
      <c r="E351" s="2" t="str">
        <f>IFERROR(VLOOKUP(1*LEFT(C351,7),DF!$A$1:$F$9447,2,FALSE),"")</f>
        <v>OVERALL MULTIBOL GAB AZUL RER</v>
      </c>
      <c r="F351">
        <v>1130008</v>
      </c>
      <c r="G351" t="s">
        <v>13214</v>
      </c>
      <c r="H351">
        <v>2</v>
      </c>
      <c r="I351">
        <v>1</v>
      </c>
    </row>
    <row r="352" spans="1:9" x14ac:dyDescent="0.25">
      <c r="A352" s="2">
        <v>16522</v>
      </c>
      <c r="B352" s="2" t="s">
        <v>4</v>
      </c>
      <c r="C352" s="2" t="str">
        <f t="shared" si="11"/>
        <v>1130713##</v>
      </c>
      <c r="D352" s="2"/>
      <c r="E352" s="2" t="str">
        <f>IFERROR(VLOOKUP(1*LEFT(C352,7),DF!$A$1:$F$9447,2,FALSE),"")</f>
        <v>OVERALL MULTIBOL GAB GRIS</v>
      </c>
      <c r="F352">
        <v>1130713</v>
      </c>
      <c r="G352" t="s">
        <v>13215</v>
      </c>
      <c r="H352">
        <v>3</v>
      </c>
      <c r="I352">
        <v>1</v>
      </c>
    </row>
    <row r="353" spans="1:9" x14ac:dyDescent="0.25">
      <c r="A353" s="2">
        <v>16522</v>
      </c>
      <c r="B353" s="2" t="s">
        <v>4</v>
      </c>
      <c r="C353" s="2" t="str">
        <f t="shared" si="11"/>
        <v>1130009##</v>
      </c>
      <c r="D353" s="2"/>
      <c r="E353" s="2" t="str">
        <f>IFERROR(VLOOKUP(1*LEFT(C353,7),DF!$A$1:$F$9447,2,FALSE),"")</f>
        <v>OVERALL MULTIBOL GAB NEGRO RER</v>
      </c>
      <c r="F353">
        <v>1130009</v>
      </c>
      <c r="G353" t="s">
        <v>13216</v>
      </c>
      <c r="H353">
        <v>2</v>
      </c>
      <c r="I353">
        <v>1</v>
      </c>
    </row>
    <row r="354" spans="1:9" x14ac:dyDescent="0.25">
      <c r="A354" s="2">
        <v>16522</v>
      </c>
      <c r="B354" s="2" t="s">
        <v>4</v>
      </c>
      <c r="C354" s="2" t="str">
        <f t="shared" si="11"/>
        <v>1130495##</v>
      </c>
      <c r="D354" s="2"/>
      <c r="E354" s="2" t="str">
        <f>IFERROR(VLOOKUP(1*LEFT(C354,7),DF!$A$1:$F$9447,2,FALSE),"")</f>
        <v>OVERALL MULTIBOL RIP AZUL RER</v>
      </c>
      <c r="F354">
        <v>1130495</v>
      </c>
      <c r="G354" t="s">
        <v>13217</v>
      </c>
      <c r="H354">
        <v>3</v>
      </c>
      <c r="I354">
        <v>1</v>
      </c>
    </row>
    <row r="355" spans="1:9" x14ac:dyDescent="0.25">
      <c r="A355" s="2">
        <v>16522</v>
      </c>
      <c r="B355" s="2" t="s">
        <v>4</v>
      </c>
      <c r="C355" s="2" t="str">
        <f t="shared" si="11"/>
        <v>1130900##</v>
      </c>
      <c r="D355" s="2"/>
      <c r="E355" s="2" t="str">
        <f>IFERROR(VLOOKUP(1*LEFT(C355,7),DF!$A$1:$F$9447,2,FALSE),"")</f>
        <v>OVERALL MULTIBOL RIP NEGRO RER</v>
      </c>
      <c r="F355">
        <v>1130900</v>
      </c>
      <c r="G355" t="s">
        <v>13218</v>
      </c>
      <c r="H355">
        <v>15</v>
      </c>
      <c r="I355">
        <v>1</v>
      </c>
    </row>
    <row r="356" spans="1:9" x14ac:dyDescent="0.25">
      <c r="A356">
        <v>16522</v>
      </c>
      <c r="B356" t="s">
        <v>4</v>
      </c>
      <c r="C356" t="str">
        <f t="shared" si="11"/>
        <v>8513303##</v>
      </c>
      <c r="E356" t="str">
        <f>IFERROR(VLOOKUP(1*LEFT(C356,7),DF!$A$1:$F$9447,2,FALSE),"")</f>
        <v>PANIO P LIMPIAR ARMA CAL 38 AL 45 KAE</v>
      </c>
      <c r="F356">
        <v>8513303</v>
      </c>
      <c r="G356" t="s">
        <v>12712</v>
      </c>
      <c r="H356">
        <v>2</v>
      </c>
    </row>
    <row r="357" spans="1:9" x14ac:dyDescent="0.25">
      <c r="A357">
        <v>16522</v>
      </c>
      <c r="B357" t="s">
        <v>4</v>
      </c>
      <c r="C357" t="str">
        <f t="shared" si="11"/>
        <v>8505224##</v>
      </c>
      <c r="E357" t="str">
        <f>IFERROR(VLOOKUP(1*LEFT(C357,7),DF!$A$1:$F$9447,2,FALSE),"")</f>
        <v>PECT 1 ROMBO BASE FRAN PALMA C. INSP BI</v>
      </c>
      <c r="F357" s="7">
        <v>8505224</v>
      </c>
      <c r="G357" t="s">
        <v>12713</v>
      </c>
      <c r="H357">
        <v>1</v>
      </c>
    </row>
    <row r="358" spans="1:9" x14ac:dyDescent="0.25">
      <c r="A358" s="2">
        <v>16522</v>
      </c>
      <c r="B358" s="2" t="s">
        <v>4</v>
      </c>
      <c r="C358" s="2" t="str">
        <f t="shared" si="11"/>
        <v>8505224##</v>
      </c>
      <c r="D358" s="2"/>
      <c r="E358" s="2" t="str">
        <f>IFERROR(VLOOKUP(1*LEFT(C358,7),DF!$A$1:$F$9447,2,FALSE),"")</f>
        <v>PECT 1 ROMBO BASE FRAN PALMA C. INSP BI</v>
      </c>
      <c r="F358">
        <v>8505224</v>
      </c>
      <c r="G358" t="s">
        <v>12713</v>
      </c>
      <c r="H358">
        <v>1</v>
      </c>
    </row>
    <row r="359" spans="1:9" x14ac:dyDescent="0.25">
      <c r="A359" s="2">
        <v>16522</v>
      </c>
      <c r="B359" s="2" t="s">
        <v>4</v>
      </c>
      <c r="C359" s="2" t="str">
        <f t="shared" si="11"/>
        <v>8505262##</v>
      </c>
      <c r="D359" s="2"/>
      <c r="E359" s="2" t="str">
        <f>IFERROR(VLOOKUP(1*LEFT(C359,7),DF!$A$1:$F$9447,2,FALSE),"")</f>
        <v>PECT 1 ROMBO Y SERRETA SUBCOMIS BARG BI</v>
      </c>
      <c r="F359">
        <v>8505262</v>
      </c>
      <c r="G359" t="s">
        <v>13169</v>
      </c>
      <c r="H359">
        <v>1</v>
      </c>
    </row>
    <row r="360" spans="1:9" x14ac:dyDescent="0.25">
      <c r="A360" s="2">
        <v>16522</v>
      </c>
      <c r="B360" s="2" t="s">
        <v>4</v>
      </c>
      <c r="C360" s="2" t="str">
        <f t="shared" si="11"/>
        <v>8505233##</v>
      </c>
      <c r="D360" s="2"/>
      <c r="E360" s="2" t="str">
        <f>IFERROR(VLOOKUP(1*LEFT(C360,7),DF!$A$1:$F$9447,2,FALSE),"")</f>
        <v>PECT 2 ROMBOS CHICOS 1 DOR Y 1 PLA  BI</v>
      </c>
      <c r="F360">
        <v>8505233</v>
      </c>
      <c r="G360" t="s">
        <v>13168</v>
      </c>
      <c r="H360">
        <v>1</v>
      </c>
    </row>
    <row r="361" spans="1:9" x14ac:dyDescent="0.25">
      <c r="A361">
        <v>16522</v>
      </c>
      <c r="B361" t="s">
        <v>4</v>
      </c>
      <c r="C361" t="str">
        <f t="shared" si="11"/>
        <v>8505196##</v>
      </c>
      <c r="E361" t="str">
        <f>IFERROR(VLOOKUP(1*LEFT(C361,7),DF!$A$1:$F$9447,2,FALSE),"")</f>
        <v>PECT 2 ROMBOS CHICOS PLAT BARG BI</v>
      </c>
      <c r="F361" s="7">
        <v>8505196</v>
      </c>
      <c r="G361" t="s">
        <v>12714</v>
      </c>
      <c r="H361">
        <v>1</v>
      </c>
    </row>
    <row r="362" spans="1:9" x14ac:dyDescent="0.25">
      <c r="A362" s="2">
        <v>16522</v>
      </c>
      <c r="B362" s="2" t="s">
        <v>4</v>
      </c>
      <c r="C362" s="2" t="str">
        <f t="shared" ref="C362:C393" si="12">CONCATENATE(F362,"##")</f>
        <v>8505196##</v>
      </c>
      <c r="D362" s="2"/>
      <c r="E362" s="2" t="str">
        <f>IFERROR(VLOOKUP(1*LEFT(C362,7),DF!$A$1:$F$9447,2,FALSE),"")</f>
        <v>PECT 2 ROMBOS CHICOS PLAT BARG BI</v>
      </c>
      <c r="F362">
        <v>8505196</v>
      </c>
      <c r="G362" t="s">
        <v>12714</v>
      </c>
      <c r="H362">
        <v>1</v>
      </c>
    </row>
    <row r="363" spans="1:9" x14ac:dyDescent="0.25">
      <c r="A363">
        <v>16522</v>
      </c>
      <c r="B363" t="s">
        <v>4</v>
      </c>
      <c r="C363" t="str">
        <f t="shared" si="12"/>
        <v>8505329##</v>
      </c>
      <c r="E363" t="str">
        <f>IFERROR(VLOOKUP(1*LEFT(C363,7),DF!$A$1:$F$9447,2,FALSE),"")</f>
        <v>PECT 2 ROMBOS DOR/PLA  SERR CRIO BARG BI</v>
      </c>
      <c r="F363" s="7">
        <v>8505329</v>
      </c>
      <c r="G363" t="s">
        <v>12715</v>
      </c>
      <c r="H363">
        <v>1</v>
      </c>
    </row>
    <row r="364" spans="1:9" x14ac:dyDescent="0.25">
      <c r="A364" s="2">
        <v>16522</v>
      </c>
      <c r="B364" s="2" t="s">
        <v>4</v>
      </c>
      <c r="C364" s="2" t="str">
        <f t="shared" si="12"/>
        <v>8505329##</v>
      </c>
      <c r="D364" s="2"/>
      <c r="E364" s="2" t="str">
        <f>IFERROR(VLOOKUP(1*LEFT(C364,7),DF!$A$1:$F$9447,2,FALSE),"")</f>
        <v>PECT 2 ROMBOS DOR/PLA  SERR CRIO BARG BI</v>
      </c>
      <c r="F364">
        <v>8505329</v>
      </c>
      <c r="G364" t="s">
        <v>12715</v>
      </c>
      <c r="H364">
        <v>1</v>
      </c>
    </row>
    <row r="365" spans="1:9" x14ac:dyDescent="0.25">
      <c r="A365">
        <v>16522</v>
      </c>
      <c r="B365" t="s">
        <v>4</v>
      </c>
      <c r="C365" t="str">
        <f t="shared" si="12"/>
        <v>8505243##</v>
      </c>
      <c r="E365" t="str">
        <f>IFERROR(VLOOKUP(1*LEFT(C365,7),DF!$A$1:$F$9447,2,FALSE),"")</f>
        <v>PECT 3 ROMBO CHICOS OF. PPAL BARG BI</v>
      </c>
      <c r="F365" s="7">
        <v>8505243</v>
      </c>
      <c r="G365" t="s">
        <v>12716</v>
      </c>
      <c r="H365">
        <v>1</v>
      </c>
    </row>
    <row r="366" spans="1:9" x14ac:dyDescent="0.25">
      <c r="A366" s="2">
        <v>16522</v>
      </c>
      <c r="B366" s="2" t="s">
        <v>4</v>
      </c>
      <c r="C366" s="2" t="str">
        <f t="shared" si="12"/>
        <v>8505243##</v>
      </c>
      <c r="D366" s="2"/>
      <c r="E366" s="2" t="str">
        <f>IFERROR(VLOOKUP(1*LEFT(C366,7),DF!$A$1:$F$9447,2,FALSE),"")</f>
        <v>PECT 3 ROMBO CHICOS OF. PPAL BARG BI</v>
      </c>
      <c r="F366">
        <v>8505243</v>
      </c>
      <c r="G366" t="s">
        <v>12716</v>
      </c>
      <c r="H366">
        <v>1</v>
      </c>
    </row>
    <row r="367" spans="1:9" x14ac:dyDescent="0.25">
      <c r="A367" s="2">
        <v>16522</v>
      </c>
      <c r="B367" s="2" t="s">
        <v>4</v>
      </c>
      <c r="C367" s="2" t="str">
        <f t="shared" si="12"/>
        <v>8505163##</v>
      </c>
      <c r="D367" s="2"/>
      <c r="E367" s="2" t="str">
        <f>IFERROR(VLOOKUP(1*LEFT(C367,7),DF!$A$1:$F$9447,2,FALSE),"")</f>
        <v>PECT BI AUXILIAR BEIGE BI</v>
      </c>
      <c r="F367" s="7">
        <v>8505163</v>
      </c>
      <c r="G367" t="s">
        <v>12717</v>
      </c>
      <c r="H367">
        <v>1</v>
      </c>
    </row>
    <row r="368" spans="1:9" x14ac:dyDescent="0.25">
      <c r="A368" s="2">
        <v>16522</v>
      </c>
      <c r="B368" s="2" t="s">
        <v>4</v>
      </c>
      <c r="C368" s="2" t="str">
        <f t="shared" si="12"/>
        <v>8505590##</v>
      </c>
      <c r="D368" s="2"/>
      <c r="E368" s="2" t="str">
        <f>IFERROR(VLOOKUP(1*LEFT(C368,7),DF!$A$1:$F$9447,2,FALSE),"")</f>
        <v>PECT BORD AUXILIAR TERCERO</v>
      </c>
      <c r="F368">
        <v>8505590</v>
      </c>
      <c r="G368" t="s">
        <v>13120</v>
      </c>
      <c r="H368">
        <v>1</v>
      </c>
    </row>
    <row r="369" spans="1:8" x14ac:dyDescent="0.25">
      <c r="A369">
        <v>16522</v>
      </c>
      <c r="B369" t="s">
        <v>4</v>
      </c>
      <c r="C369" t="str">
        <f t="shared" si="12"/>
        <v>8505101##</v>
      </c>
      <c r="E369" t="str">
        <f>IFERROR(VLOOKUP(1*LEFT(C369,7),DF!$A$1:$F$9447,2,FALSE),"")</f>
        <v>PECT BORD RUEDA ALADA POL VIAL BAND RER</v>
      </c>
      <c r="F369" s="7">
        <v>8505101</v>
      </c>
      <c r="G369" t="s">
        <v>12718</v>
      </c>
      <c r="H369">
        <v>1</v>
      </c>
    </row>
    <row r="370" spans="1:8" x14ac:dyDescent="0.25">
      <c r="A370">
        <v>16522</v>
      </c>
      <c r="B370" t="s">
        <v>4</v>
      </c>
      <c r="C370" t="str">
        <f t="shared" si="12"/>
        <v>8505109##</v>
      </c>
      <c r="E370" t="str">
        <f>IFERROR(VLOOKUP(1*LEFT(C370,7),DF!$A$1:$F$9447,2,FALSE),"")</f>
        <v>PECT BORD RUEDA ALADA VIAL BAJA VISI BI</v>
      </c>
      <c r="F370" s="7">
        <v>8505109</v>
      </c>
      <c r="G370" t="s">
        <v>12719</v>
      </c>
      <c r="H370">
        <v>1</v>
      </c>
    </row>
    <row r="371" spans="1:8" x14ac:dyDescent="0.25">
      <c r="A371">
        <v>16522</v>
      </c>
      <c r="B371" t="s">
        <v>4</v>
      </c>
      <c r="C371" t="str">
        <f t="shared" si="12"/>
        <v>8505023##</v>
      </c>
      <c r="E371" t="str">
        <f>IFERROR(VLOOKUP(1*LEFT(C371,7),DF!$A$1:$F$9447,2,FALSE),"")</f>
        <v>PECT ESC CADETES 1 BARRA AZ BI</v>
      </c>
      <c r="F371" s="7">
        <v>8505023</v>
      </c>
      <c r="G371" t="s">
        <v>12720</v>
      </c>
      <c r="H371">
        <v>1</v>
      </c>
    </row>
    <row r="372" spans="1:8" x14ac:dyDescent="0.25">
      <c r="A372" s="2">
        <v>16522</v>
      </c>
      <c r="B372" s="2" t="s">
        <v>4</v>
      </c>
      <c r="C372" s="2" t="str">
        <f t="shared" si="12"/>
        <v>8505023##</v>
      </c>
      <c r="D372" s="2"/>
      <c r="E372" s="2" t="str">
        <f>IFERROR(VLOOKUP(1*LEFT(C372,7),DF!$A$1:$F$9447,2,FALSE),"")</f>
        <v>PECT ESC CADETES 1 BARRA AZ BI</v>
      </c>
      <c r="F372">
        <v>8505023</v>
      </c>
      <c r="G372" t="s">
        <v>12720</v>
      </c>
      <c r="H372">
        <v>1</v>
      </c>
    </row>
    <row r="373" spans="1:8" x14ac:dyDescent="0.25">
      <c r="A373" s="2">
        <v>16522</v>
      </c>
      <c r="B373" s="2" t="s">
        <v>4</v>
      </c>
      <c r="C373" s="2" t="str">
        <f t="shared" si="12"/>
        <v>8505021##</v>
      </c>
      <c r="D373" s="2"/>
      <c r="E373" s="2" t="str">
        <f>IFERROR(VLOOKUP(1*LEFT(C373,7),DF!$A$1:$F$9447,2,FALSE),"")</f>
        <v>PECT ESC CADETES 1 BARRA BL OJAL BI</v>
      </c>
      <c r="F373">
        <v>8505021</v>
      </c>
      <c r="G373" t="s">
        <v>12927</v>
      </c>
      <c r="H373">
        <v>1</v>
      </c>
    </row>
    <row r="374" spans="1:8" x14ac:dyDescent="0.25">
      <c r="A374" s="2">
        <v>16522</v>
      </c>
      <c r="B374" s="2" t="s">
        <v>4</v>
      </c>
      <c r="C374" s="2" t="str">
        <f t="shared" si="12"/>
        <v>8505031##</v>
      </c>
      <c r="D374" s="2"/>
      <c r="E374" s="2" t="str">
        <f>IFERROR(VLOOKUP(1*LEFT(C374,7),DF!$A$1:$F$9447,2,FALSE),"")</f>
        <v>PECT ESC CADETES 1 BARRA NE RER</v>
      </c>
      <c r="F374">
        <v>8505031</v>
      </c>
      <c r="G374" t="s">
        <v>12930</v>
      </c>
      <c r="H374">
        <v>1</v>
      </c>
    </row>
    <row r="375" spans="1:8" x14ac:dyDescent="0.25">
      <c r="A375" s="2">
        <v>16522</v>
      </c>
      <c r="B375" s="2" t="s">
        <v>4</v>
      </c>
      <c r="C375" s="2" t="str">
        <f t="shared" si="12"/>
        <v>8505024##</v>
      </c>
      <c r="D375" s="2"/>
      <c r="E375" s="2" t="str">
        <f>IFERROR(VLOOKUP(1*LEFT(C375,7),DF!$A$1:$F$9447,2,FALSE),"")</f>
        <v>PECT ESC CADETES 2 BARRAS AZ BI</v>
      </c>
      <c r="F375">
        <v>8505024</v>
      </c>
      <c r="G375" t="s">
        <v>12929</v>
      </c>
      <c r="H375">
        <v>1</v>
      </c>
    </row>
    <row r="376" spans="1:8" x14ac:dyDescent="0.25">
      <c r="A376" s="2">
        <v>16522</v>
      </c>
      <c r="B376" s="2" t="s">
        <v>4</v>
      </c>
      <c r="C376" s="2" t="str">
        <f t="shared" si="12"/>
        <v>8505022##</v>
      </c>
      <c r="D376" s="2"/>
      <c r="E376" s="2" t="str">
        <f>IFERROR(VLOOKUP(1*LEFT(C376,7),DF!$A$1:$F$9447,2,FALSE),"")</f>
        <v>PECT ESC CADETES 2 BARRAS BL OJAL BI</v>
      </c>
      <c r="F376">
        <v>8505022</v>
      </c>
      <c r="G376" t="s">
        <v>12928</v>
      </c>
      <c r="H376">
        <v>2</v>
      </c>
    </row>
    <row r="377" spans="1:8" x14ac:dyDescent="0.25">
      <c r="A377" s="2">
        <v>16522</v>
      </c>
      <c r="B377" s="2" t="s">
        <v>4</v>
      </c>
      <c r="C377" s="2" t="str">
        <f t="shared" si="12"/>
        <v>8505032##</v>
      </c>
      <c r="D377" s="2"/>
      <c r="E377" s="2" t="str">
        <f>IFERROR(VLOOKUP(1*LEFT(C377,7),DF!$A$1:$F$9447,2,FALSE),"")</f>
        <v>PECT ESC CADETES 2 BARRAS NE RER</v>
      </c>
      <c r="F377">
        <v>8505032</v>
      </c>
      <c r="G377" t="s">
        <v>12931</v>
      </c>
      <c r="H377">
        <v>1</v>
      </c>
    </row>
    <row r="378" spans="1:8" x14ac:dyDescent="0.25">
      <c r="A378" s="2">
        <v>16522</v>
      </c>
      <c r="B378" s="2" t="s">
        <v>4</v>
      </c>
      <c r="C378" s="2" t="str">
        <f t="shared" si="12"/>
        <v>8505801##</v>
      </c>
      <c r="D378" s="2"/>
      <c r="E378" s="2" t="str">
        <f>IFERROR(VLOOKUP(1*LEFT(C378,7),DF!$A$1:$F$9447,2,FALSE),"")</f>
        <v>PECT GOMA PALABRA POLICIA PECHO</v>
      </c>
      <c r="F378">
        <v>8505801</v>
      </c>
      <c r="G378" t="s">
        <v>13123</v>
      </c>
      <c r="H378">
        <v>1</v>
      </c>
    </row>
    <row r="379" spans="1:8" x14ac:dyDescent="0.25">
      <c r="A379" s="2">
        <v>16522</v>
      </c>
      <c r="B379" s="2" t="s">
        <v>4</v>
      </c>
      <c r="C379" s="2" t="str">
        <f t="shared" si="12"/>
        <v>8505160##</v>
      </c>
      <c r="D379" s="2"/>
      <c r="E379" s="2" t="str">
        <f>IFERROR(VLOOKUP(1*LEFT(C379,7),DF!$A$1:$F$9447,2,FALSE),"")</f>
        <v>PECT. 1 ROMBO CHICO DORADO BARG BI</v>
      </c>
      <c r="F379">
        <v>8505160</v>
      </c>
      <c r="G379" t="s">
        <v>13167</v>
      </c>
      <c r="H379">
        <v>1</v>
      </c>
    </row>
    <row r="380" spans="1:8" x14ac:dyDescent="0.25">
      <c r="A380" s="2">
        <v>16522</v>
      </c>
      <c r="B380" s="2" t="s">
        <v>4</v>
      </c>
      <c r="C380" s="2" t="str">
        <f t="shared" si="12"/>
        <v>8505159##</v>
      </c>
      <c r="D380" s="2"/>
      <c r="E380" s="2" t="str">
        <f>IFERROR(VLOOKUP(1*LEFT(C380,7),DF!$A$1:$F$9447,2,FALSE),"")</f>
        <v>PECT. 1 ROMBO CHICO PLATEADO  BARG BI</v>
      </c>
      <c r="F380">
        <v>8505159</v>
      </c>
      <c r="G380" t="s">
        <v>13166</v>
      </c>
      <c r="H380">
        <v>1</v>
      </c>
    </row>
    <row r="381" spans="1:8" x14ac:dyDescent="0.25">
      <c r="A381">
        <v>16522</v>
      </c>
      <c r="B381" t="s">
        <v>4</v>
      </c>
      <c r="C381" t="str">
        <f t="shared" si="12"/>
        <v>8505367##</v>
      </c>
      <c r="E381" t="str">
        <f>IFERROR(VLOOKUP(1*LEFT(C381,7),DF!$A$1:$F$9447,2,FALSE),"")</f>
        <v>PECT. 3 ROMBOS Y PALMA  CRIO GRAL BI</v>
      </c>
      <c r="F381" s="7">
        <v>8505367</v>
      </c>
      <c r="G381" t="s">
        <v>12721</v>
      </c>
      <c r="H381">
        <v>1</v>
      </c>
    </row>
    <row r="382" spans="1:8" x14ac:dyDescent="0.25">
      <c r="A382" s="2">
        <v>16522</v>
      </c>
      <c r="B382" s="2" t="s">
        <v>4</v>
      </c>
      <c r="C382" s="2" t="str">
        <f t="shared" si="12"/>
        <v>8505367##</v>
      </c>
      <c r="D382" s="2"/>
      <c r="E382" s="2" t="str">
        <f>IFERROR(VLOOKUP(1*LEFT(C382,7),DF!$A$1:$F$9447,2,FALSE),"")</f>
        <v>PECT. 3 ROMBOS Y PALMA  CRIO GRAL BI</v>
      </c>
      <c r="F382">
        <v>8505367</v>
      </c>
      <c r="G382" t="s">
        <v>12721</v>
      </c>
      <c r="H382">
        <v>1</v>
      </c>
    </row>
    <row r="383" spans="1:8" x14ac:dyDescent="0.25">
      <c r="A383">
        <v>16522</v>
      </c>
      <c r="B383" t="s">
        <v>4</v>
      </c>
      <c r="C383" t="str">
        <f t="shared" si="12"/>
        <v>8505131##</v>
      </c>
      <c r="E383" t="str">
        <f>IFERROR(VLOOKUP(1*LEFT(C383,7),DF!$A$1:$F$9447,2,FALSE),"")</f>
        <v>PECT. ALAS BORD MOTORISTA TVS506-13 RER</v>
      </c>
      <c r="F383" s="7">
        <v>8505131</v>
      </c>
      <c r="G383" t="s">
        <v>12722</v>
      </c>
      <c r="H383">
        <v>1</v>
      </c>
    </row>
    <row r="384" spans="1:8" x14ac:dyDescent="0.25">
      <c r="A384">
        <v>16522</v>
      </c>
      <c r="B384" t="s">
        <v>4</v>
      </c>
      <c r="C384" t="str">
        <f t="shared" si="12"/>
        <v>8505130##</v>
      </c>
      <c r="E384" t="str">
        <f>IFERROR(VLOOKUP(1*LEFT(C384,7),DF!$A$1:$F$9447,2,FALSE),"")</f>
        <v>PECT. ALAS DE CHOFER TVS 465-02 BI</v>
      </c>
      <c r="F384" s="7">
        <v>8505130</v>
      </c>
      <c r="G384" t="s">
        <v>12723</v>
      </c>
      <c r="H384">
        <v>1</v>
      </c>
    </row>
    <row r="385" spans="1:8" x14ac:dyDescent="0.25">
      <c r="A385">
        <v>16522</v>
      </c>
      <c r="B385" t="s">
        <v>4</v>
      </c>
      <c r="C385" t="str">
        <f t="shared" si="12"/>
        <v>8505120##</v>
      </c>
      <c r="E385" t="str">
        <f>IFERROR(VLOOKUP(1*LEFT(C385,7),DF!$A$1:$F$9447,2,FALSE),"")</f>
        <v>PECT. BORD LMGE GIMNASIA 1ER ANIO BI</v>
      </c>
      <c r="F385" s="7">
        <v>8505120</v>
      </c>
      <c r="G385" t="s">
        <v>12724</v>
      </c>
      <c r="H385">
        <v>1</v>
      </c>
    </row>
    <row r="386" spans="1:8" x14ac:dyDescent="0.25">
      <c r="A386">
        <v>16522</v>
      </c>
      <c r="B386" t="s">
        <v>4</v>
      </c>
      <c r="C386" t="str">
        <f t="shared" si="12"/>
        <v>8505134##</v>
      </c>
      <c r="E386" t="str">
        <f>IFERROR(VLOOKUP(1*LEFT(C386,7),DF!$A$1:$F$9447,2,FALSE),"")</f>
        <v>PECT. BORD LMGE GIMNASIA 2DO ANIO BI</v>
      </c>
      <c r="F386" s="7">
        <v>8505134</v>
      </c>
      <c r="G386" t="s">
        <v>12725</v>
      </c>
      <c r="H386">
        <v>1</v>
      </c>
    </row>
    <row r="387" spans="1:8" x14ac:dyDescent="0.25">
      <c r="A387">
        <v>16522</v>
      </c>
      <c r="B387" t="s">
        <v>4</v>
      </c>
      <c r="C387" t="str">
        <f t="shared" si="12"/>
        <v>8505135##</v>
      </c>
      <c r="E387" t="str">
        <f>IFERROR(VLOOKUP(1*LEFT(C387,7),DF!$A$1:$F$9447,2,FALSE),"")</f>
        <v>PECT. BORD LMGE GIMNASIA 3ER ANIO BI</v>
      </c>
      <c r="F387" s="7">
        <v>8505135</v>
      </c>
      <c r="G387" t="s">
        <v>12726</v>
      </c>
      <c r="H387">
        <v>1</v>
      </c>
    </row>
    <row r="388" spans="1:8" x14ac:dyDescent="0.25">
      <c r="A388">
        <v>16522</v>
      </c>
      <c r="B388" t="s">
        <v>4</v>
      </c>
      <c r="C388" t="str">
        <f t="shared" si="12"/>
        <v>8505136##</v>
      </c>
      <c r="E388" t="str">
        <f>IFERROR(VLOOKUP(1*LEFT(C388,7),DF!$A$1:$F$9447,2,FALSE),"")</f>
        <v>PECT. BORD LMGE GIMNASIA 4TO ANIO BI</v>
      </c>
      <c r="F388" s="7">
        <v>8505136</v>
      </c>
      <c r="G388" t="s">
        <v>12727</v>
      </c>
      <c r="H388">
        <v>1</v>
      </c>
    </row>
    <row r="389" spans="1:8" x14ac:dyDescent="0.25">
      <c r="A389">
        <v>16522</v>
      </c>
      <c r="B389" t="s">
        <v>4</v>
      </c>
      <c r="C389" t="str">
        <f t="shared" si="12"/>
        <v>8505137##</v>
      </c>
      <c r="E389" t="str">
        <f>IFERROR(VLOOKUP(1*LEFT(C389,7),DF!$A$1:$F$9447,2,FALSE),"")</f>
        <v>PECT. BORD LMGE GIMNASIA 5TO ANIO BI</v>
      </c>
      <c r="F389" s="7">
        <v>8505137</v>
      </c>
      <c r="G389" t="s">
        <v>12728</v>
      </c>
      <c r="H389">
        <v>1</v>
      </c>
    </row>
    <row r="390" spans="1:8" x14ac:dyDescent="0.25">
      <c r="A390">
        <v>16522</v>
      </c>
      <c r="B390" t="s">
        <v>4</v>
      </c>
      <c r="C390" t="str">
        <f t="shared" si="12"/>
        <v>8505138##</v>
      </c>
      <c r="E390" t="str">
        <f>IFERROR(VLOOKUP(1*LEFT(C390,7),DF!$A$1:$F$9447,2,FALSE),"")</f>
        <v>PECT. BORD LMGE GIMNASIA 6TO ANIO BI</v>
      </c>
      <c r="F390" s="7">
        <v>8505138</v>
      </c>
      <c r="G390" t="s">
        <v>12729</v>
      </c>
      <c r="H390">
        <v>1</v>
      </c>
    </row>
    <row r="391" spans="1:8" x14ac:dyDescent="0.25">
      <c r="A391">
        <v>16522</v>
      </c>
      <c r="B391" t="s">
        <v>4</v>
      </c>
      <c r="C391" t="str">
        <f t="shared" si="12"/>
        <v>7709065##</v>
      </c>
      <c r="E391" t="str">
        <f>IFERROR(VLOOKUP(1*LEFT(C391,7),DF!$A$1:$F$9447,2,FALSE),"")</f>
        <v>PECT. BORD. 1 SOL P.S.AEROPORTUA PSA BI</v>
      </c>
      <c r="F391" s="7">
        <v>7709065</v>
      </c>
      <c r="G391" t="s">
        <v>12730</v>
      </c>
      <c r="H391">
        <v>1</v>
      </c>
    </row>
    <row r="392" spans="1:8" x14ac:dyDescent="0.25">
      <c r="A392">
        <v>16522</v>
      </c>
      <c r="B392" t="s">
        <v>4</v>
      </c>
      <c r="C392" t="str">
        <f t="shared" si="12"/>
        <v>7709068##</v>
      </c>
      <c r="E392" t="str">
        <f>IFERROR(VLOOKUP(1*LEFT(C392,7),DF!$A$1:$F$9447,2,FALSE),"")</f>
        <v>PECT. BORD. 1 SOL Y SERRETA PSA BI</v>
      </c>
      <c r="F392" s="7">
        <v>7709068</v>
      </c>
      <c r="G392" t="s">
        <v>12731</v>
      </c>
      <c r="H392">
        <v>1</v>
      </c>
    </row>
    <row r="393" spans="1:8" x14ac:dyDescent="0.25">
      <c r="A393">
        <v>16522</v>
      </c>
      <c r="B393" t="s">
        <v>4</v>
      </c>
      <c r="C393" t="str">
        <f t="shared" si="12"/>
        <v>7709064##</v>
      </c>
      <c r="E393" t="str">
        <f>IFERROR(VLOOKUP(1*LEFT(C393,7),DF!$A$1:$F$9447,2,FALSE),"")</f>
        <v>PECT. BORD. 2 SOL P.S.AEROPORTUA PSA BI</v>
      </c>
      <c r="F393" s="7">
        <v>7709064</v>
      </c>
      <c r="G393" t="s">
        <v>12732</v>
      </c>
      <c r="H393">
        <v>1</v>
      </c>
    </row>
    <row r="394" spans="1:8" x14ac:dyDescent="0.25">
      <c r="A394">
        <v>16522</v>
      </c>
      <c r="B394" t="s">
        <v>4</v>
      </c>
      <c r="C394" t="str">
        <f t="shared" ref="C394:C425" si="13">CONCATENATE(F394,"##")</f>
        <v>7709069##</v>
      </c>
      <c r="E394" t="str">
        <f>IFERROR(VLOOKUP(1*LEFT(C394,7),DF!$A$1:$F$9447,2,FALSE),"")</f>
        <v>PECT. BORD. 2 SOL Y SERRETA PSA BI</v>
      </c>
      <c r="F394" s="7">
        <v>7709069</v>
      </c>
      <c r="G394" t="s">
        <v>12733</v>
      </c>
      <c r="H394">
        <v>1</v>
      </c>
    </row>
    <row r="395" spans="1:8" x14ac:dyDescent="0.25">
      <c r="A395">
        <v>16522</v>
      </c>
      <c r="B395" t="s">
        <v>4</v>
      </c>
      <c r="C395" t="str">
        <f t="shared" si="13"/>
        <v>7709066##</v>
      </c>
      <c r="E395" t="str">
        <f>IFERROR(VLOOKUP(1*LEFT(C395,7),DF!$A$1:$F$9447,2,FALSE),"")</f>
        <v>PECT. BORD. 3 SOL P.S.AEROPORTUA PSA BI</v>
      </c>
      <c r="F395" s="7">
        <v>7709066</v>
      </c>
      <c r="G395" t="s">
        <v>12734</v>
      </c>
      <c r="H395">
        <v>1</v>
      </c>
    </row>
    <row r="396" spans="1:8" x14ac:dyDescent="0.25">
      <c r="A396">
        <v>16522</v>
      </c>
      <c r="B396" t="s">
        <v>4</v>
      </c>
      <c r="C396" t="str">
        <f t="shared" si="13"/>
        <v>7709067##</v>
      </c>
      <c r="E396" t="str">
        <f>IFERROR(VLOOKUP(1*LEFT(C396,7),DF!$A$1:$F$9447,2,FALSE),"")</f>
        <v>PECT. BORD. 4 SOL P.S.AEROPORTUA PSA BI</v>
      </c>
      <c r="F396" s="7">
        <v>7709067</v>
      </c>
      <c r="G396" t="s">
        <v>12735</v>
      </c>
      <c r="H396">
        <v>1</v>
      </c>
    </row>
    <row r="397" spans="1:8" x14ac:dyDescent="0.25">
      <c r="A397">
        <v>16522</v>
      </c>
      <c r="B397" t="s">
        <v>4</v>
      </c>
      <c r="C397" t="str">
        <f t="shared" si="13"/>
        <v>8505156##</v>
      </c>
      <c r="E397" t="str">
        <f>IFERROR(VLOOKUP(1*LEFT(C397,7),DF!$A$1:$F$9447,2,FALSE),"")</f>
        <v>PECT. BORD. AUXILIAR   11 BI</v>
      </c>
      <c r="F397" s="7">
        <v>8505156</v>
      </c>
      <c r="G397" t="s">
        <v>12736</v>
      </c>
      <c r="H397">
        <v>1</v>
      </c>
    </row>
    <row r="398" spans="1:8" x14ac:dyDescent="0.25">
      <c r="A398">
        <v>16522</v>
      </c>
      <c r="B398" t="s">
        <v>4</v>
      </c>
      <c r="C398" t="str">
        <f t="shared" si="13"/>
        <v>8505158##</v>
      </c>
      <c r="E398" t="str">
        <f>IFERROR(VLOOKUP(1*LEFT(C398,7),DF!$A$1:$F$9447,2,FALSE),"")</f>
        <v>PECT. BORD. AUXILIAR MAYOR BI</v>
      </c>
      <c r="F398" s="7">
        <v>8505158</v>
      </c>
      <c r="G398" t="s">
        <v>12737</v>
      </c>
      <c r="H398">
        <v>1</v>
      </c>
    </row>
    <row r="399" spans="1:8" x14ac:dyDescent="0.25">
      <c r="A399">
        <v>16522</v>
      </c>
      <c r="B399" t="s">
        <v>4</v>
      </c>
      <c r="C399" t="str">
        <f t="shared" si="13"/>
        <v>8505157##</v>
      </c>
      <c r="E399" t="str">
        <f>IFERROR(VLOOKUP(1*LEFT(C399,7),DF!$A$1:$F$9447,2,FALSE),"")</f>
        <v>PECT. BORD. AUXILIAR PRIMERO    12 BI</v>
      </c>
      <c r="F399" s="7">
        <v>8505157</v>
      </c>
      <c r="G399" t="s">
        <v>12738</v>
      </c>
      <c r="H399">
        <v>1</v>
      </c>
    </row>
    <row r="400" spans="1:8" x14ac:dyDescent="0.25">
      <c r="A400">
        <v>16522</v>
      </c>
      <c r="B400" t="s">
        <v>4</v>
      </c>
      <c r="C400" t="str">
        <f t="shared" si="13"/>
        <v>8505789##</v>
      </c>
      <c r="E400" t="str">
        <f>IFERROR(VLOOKUP(1*LEFT(C400,7),DF!$A$1:$F$9447,2,FALSE),"")</f>
        <v>PECT. BORD. AUXILIAR SEGUNDO BI</v>
      </c>
      <c r="F400" s="7">
        <v>8505789</v>
      </c>
      <c r="G400" t="s">
        <v>12739</v>
      </c>
      <c r="H400">
        <v>1</v>
      </c>
    </row>
    <row r="401" spans="1:8" x14ac:dyDescent="0.25">
      <c r="A401" s="2">
        <v>16522</v>
      </c>
      <c r="B401" s="2" t="s">
        <v>4</v>
      </c>
      <c r="C401" s="2" t="str">
        <f t="shared" si="13"/>
        <v>8505175##</v>
      </c>
      <c r="D401" s="2"/>
      <c r="E401" s="2" t="str">
        <f>IFERROR(VLOOKUP(1*LEFT(C401,7),DF!$A$1:$F$9447,2,FALSE),"")</f>
        <v>PECT. BORD. AUXILIAR SUPERIOR BI</v>
      </c>
      <c r="F401">
        <v>8505175</v>
      </c>
      <c r="G401" t="s">
        <v>13121</v>
      </c>
      <c r="H401">
        <v>1</v>
      </c>
    </row>
    <row r="402" spans="1:8" x14ac:dyDescent="0.25">
      <c r="A402" s="2">
        <v>16522</v>
      </c>
      <c r="B402" s="2" t="s">
        <v>4</v>
      </c>
      <c r="C402" s="2" t="str">
        <f t="shared" si="13"/>
        <v>8505142##</v>
      </c>
      <c r="D402" s="2"/>
      <c r="E402" s="2" t="str">
        <f>IFERROR(VLOOKUP(1*LEFT(C402,7),DF!$A$1:$F$9447,2,FALSE),"")</f>
        <v>PECT. BORD. B. VISB. AUX. MAYOR BI</v>
      </c>
      <c r="F402" s="7">
        <v>8505142</v>
      </c>
      <c r="G402" t="s">
        <v>12922</v>
      </c>
      <c r="H402">
        <v>1</v>
      </c>
    </row>
    <row r="403" spans="1:8" x14ac:dyDescent="0.25">
      <c r="A403">
        <v>16522</v>
      </c>
      <c r="B403" t="s">
        <v>4</v>
      </c>
      <c r="C403" t="str">
        <f t="shared" si="13"/>
        <v>8505139##</v>
      </c>
      <c r="E403" t="str">
        <f>IFERROR(VLOOKUP(1*LEFT(C403,7),DF!$A$1:$F$9447,2,FALSE),"")</f>
        <v>PECT. BORD. B. VISIB. AUX. BI</v>
      </c>
      <c r="F403" s="7">
        <v>8505139</v>
      </c>
      <c r="G403" t="s">
        <v>12740</v>
      </c>
      <c r="H403">
        <v>1</v>
      </c>
    </row>
    <row r="404" spans="1:8" x14ac:dyDescent="0.25">
      <c r="A404" s="2">
        <v>16522</v>
      </c>
      <c r="B404" s="2" t="s">
        <v>4</v>
      </c>
      <c r="C404" s="2" t="str">
        <f t="shared" si="13"/>
        <v>8505141##</v>
      </c>
      <c r="D404" s="2"/>
      <c r="E404" s="2" t="str">
        <f>IFERROR(VLOOKUP(1*LEFT(C404,7),DF!$A$1:$F$9447,2,FALSE),"")</f>
        <v>PECT. BORD. B. VISIB. AUX. SEGUNDO BI</v>
      </c>
      <c r="F404" s="7">
        <v>8505141</v>
      </c>
      <c r="G404" t="s">
        <v>12741</v>
      </c>
      <c r="H404">
        <v>1</v>
      </c>
    </row>
    <row r="405" spans="1:8" x14ac:dyDescent="0.25">
      <c r="A405">
        <v>16522</v>
      </c>
      <c r="B405" t="s">
        <v>4</v>
      </c>
      <c r="C405" t="str">
        <f t="shared" si="13"/>
        <v>8505140##</v>
      </c>
      <c r="E405" t="str">
        <f>IFERROR(VLOOKUP(1*LEFT(C405,7),DF!$A$1:$F$9447,2,FALSE),"")</f>
        <v>PECT. BORD. B. VISIB. AUXILIAR 1 BI</v>
      </c>
      <c r="F405" s="7">
        <v>8505140</v>
      </c>
      <c r="G405" t="s">
        <v>12742</v>
      </c>
      <c r="H405">
        <v>1</v>
      </c>
    </row>
    <row r="406" spans="1:8" x14ac:dyDescent="0.25">
      <c r="A406" s="2">
        <v>16522</v>
      </c>
      <c r="B406" s="2" t="s">
        <v>4</v>
      </c>
      <c r="C406" s="2" t="str">
        <f t="shared" si="13"/>
        <v>8505129##</v>
      </c>
      <c r="D406" s="2"/>
      <c r="E406" s="2" t="str">
        <f>IFERROR(VLOOKUP(1*LEFT(C406,7),DF!$A$1:$F$9447,2,FALSE),"")</f>
        <v>PECT. BORD. PENIT. ALAS SERP  BARG BI</v>
      </c>
      <c r="F406">
        <v>8505129</v>
      </c>
      <c r="G406" t="s">
        <v>13198</v>
      </c>
      <c r="H406">
        <v>1</v>
      </c>
    </row>
    <row r="407" spans="1:8" x14ac:dyDescent="0.25">
      <c r="A407">
        <v>16522</v>
      </c>
      <c r="B407" t="s">
        <v>4</v>
      </c>
      <c r="C407" t="str">
        <f t="shared" si="13"/>
        <v>8505127##</v>
      </c>
      <c r="E407" t="str">
        <f>IFERROR(VLOOKUP(1*LEFT(C407,7),DF!$A$1:$F$9447,2,FALSE),"")</f>
        <v>PECT. BORD. PENIT. SERP RER</v>
      </c>
      <c r="F407" s="7">
        <v>8505127</v>
      </c>
      <c r="G407" t="s">
        <v>12743</v>
      </c>
      <c r="H407">
        <v>1</v>
      </c>
    </row>
    <row r="408" spans="1:8" x14ac:dyDescent="0.25">
      <c r="A408">
        <v>16522</v>
      </c>
      <c r="B408" t="s">
        <v>4</v>
      </c>
      <c r="C408" t="str">
        <f t="shared" si="13"/>
        <v>7707266##</v>
      </c>
      <c r="E408" t="str">
        <f>IFERROR(VLOOKUP(1*LEFT(C408,7),DF!$A$1:$F$9447,2,FALSE),"")</f>
        <v>PECT. EJERCITO ARGENTINO   BARG BI</v>
      </c>
      <c r="F408" s="7">
        <v>7707266</v>
      </c>
      <c r="G408" t="s">
        <v>12744</v>
      </c>
      <c r="H408">
        <v>1</v>
      </c>
    </row>
    <row r="409" spans="1:8" x14ac:dyDescent="0.25">
      <c r="A409">
        <v>16522</v>
      </c>
      <c r="B409" t="s">
        <v>4</v>
      </c>
      <c r="C409" t="str">
        <f t="shared" si="13"/>
        <v>8521374##</v>
      </c>
      <c r="E409" t="str">
        <f>IFERROR(VLOOKUP(1*LEFT(C409,7),DF!$A$1:$F$9447,2,FALSE),"")</f>
        <v>PINZA NAVAJA  MULTIFUNCION TACTICA 3526 GB</v>
      </c>
      <c r="F409">
        <v>8521374</v>
      </c>
      <c r="G409" t="s">
        <v>12745</v>
      </c>
      <c r="H409">
        <v>4</v>
      </c>
    </row>
    <row r="410" spans="1:8" x14ac:dyDescent="0.25">
      <c r="A410">
        <v>16522</v>
      </c>
      <c r="B410" t="s">
        <v>4</v>
      </c>
      <c r="C410" t="str">
        <f t="shared" si="13"/>
        <v>8521499##</v>
      </c>
      <c r="E410" t="str">
        <f>IFERROR(VLOOKUP(1*LEFT(C410,7),DF!$A$1:$F$9447,2,FALSE),"")</f>
        <v>PINZA NAVAJA MULTIFUNCION 3019</v>
      </c>
      <c r="F410">
        <v>8521499</v>
      </c>
      <c r="G410" t="s">
        <v>12746</v>
      </c>
      <c r="H410">
        <v>3</v>
      </c>
    </row>
    <row r="411" spans="1:8" x14ac:dyDescent="0.25">
      <c r="A411" s="2">
        <v>16522</v>
      </c>
      <c r="B411" s="2" t="s">
        <v>4</v>
      </c>
      <c r="C411" s="2" t="str">
        <f t="shared" si="13"/>
        <v>8703036##</v>
      </c>
      <c r="D411" s="2"/>
      <c r="E411" s="2" t="str">
        <f>IFERROR(VLOOKUP(1*LEFT(C411,7),DF!$A$1:$F$9447,2,FALSE),"")</f>
        <v>PIST CUERO PANQUEQ CORTA 1036 TB</v>
      </c>
      <c r="F411" s="7">
        <v>8703036</v>
      </c>
      <c r="G411" t="s">
        <v>12747</v>
      </c>
      <c r="H411">
        <v>5</v>
      </c>
    </row>
    <row r="412" spans="1:8" x14ac:dyDescent="0.25">
      <c r="A412">
        <v>16522</v>
      </c>
      <c r="B412" t="s">
        <v>4</v>
      </c>
      <c r="C412" t="str">
        <f t="shared" si="13"/>
        <v>8703570##</v>
      </c>
      <c r="E412" t="str">
        <f>IFERROR(VLOOKUP(1*LEFT(C412,7),DF!$A$1:$F$9447,2,FALSE),"")</f>
        <v>PIST NIVEL 1 + PORT CARG BERSA/PT92/BROW</v>
      </c>
      <c r="F412">
        <v>8703570</v>
      </c>
      <c r="G412" t="s">
        <v>12748</v>
      </c>
      <c r="H412">
        <v>7</v>
      </c>
    </row>
    <row r="413" spans="1:8" x14ac:dyDescent="0.25">
      <c r="A413" s="2">
        <v>16522</v>
      </c>
      <c r="B413" s="2" t="s">
        <v>4</v>
      </c>
      <c r="C413" s="2" t="str">
        <f t="shared" si="13"/>
        <v>8703531##</v>
      </c>
      <c r="D413" s="2"/>
      <c r="E413" s="2" t="str">
        <f>IFERROR(VLOOKUP(1*LEFT(C413,7),DF!$A$1:$F$9447,2,FALSE),"")</f>
        <v>PIST NIVEL 2 TAURUS 809/TH9 B0</v>
      </c>
      <c r="F413">
        <v>8703531</v>
      </c>
      <c r="G413" t="s">
        <v>13188</v>
      </c>
      <c r="H413">
        <v>5</v>
      </c>
    </row>
    <row r="414" spans="1:8" x14ac:dyDescent="0.25">
      <c r="A414" s="2">
        <v>16522</v>
      </c>
      <c r="B414" s="2" t="s">
        <v>4</v>
      </c>
      <c r="C414" s="2" t="str">
        <f t="shared" si="13"/>
        <v>8703600##</v>
      </c>
      <c r="D414" s="2"/>
      <c r="E414" s="2" t="str">
        <f>IFERROR(VLOOKUP(1*LEFT(C414,7),DF!$A$1:$F$9447,2,FALSE),"")</f>
        <v>PIST POLIA GUERRILLERA UNIVERSAL T600 T</v>
      </c>
      <c r="F414">
        <v>8703600</v>
      </c>
      <c r="G414" t="s">
        <v>13183</v>
      </c>
      <c r="H414">
        <v>5</v>
      </c>
    </row>
    <row r="415" spans="1:8" x14ac:dyDescent="0.25">
      <c r="A415" s="2">
        <v>16522</v>
      </c>
      <c r="B415" s="2" t="s">
        <v>4</v>
      </c>
      <c r="C415" s="2" t="str">
        <f t="shared" si="13"/>
        <v>8703038##</v>
      </c>
      <c r="D415" s="2"/>
      <c r="E415" s="2" t="str">
        <f>IFERROR(VLOOKUP(1*LEFT(C415,7),DF!$A$1:$F$9447,2,FALSE),"")</f>
        <v>PIST. CUERO AVENGER/TAU/BE 1038 TB</v>
      </c>
      <c r="F415" s="7">
        <v>8703038</v>
      </c>
      <c r="G415" t="s">
        <v>12749</v>
      </c>
      <c r="H415">
        <v>6</v>
      </c>
    </row>
    <row r="416" spans="1:8" x14ac:dyDescent="0.25">
      <c r="A416" s="2">
        <v>16522</v>
      </c>
      <c r="B416" s="2" t="s">
        <v>4</v>
      </c>
      <c r="C416" s="2" t="str">
        <f t="shared" si="13"/>
        <v>8707113##</v>
      </c>
      <c r="D416" s="2"/>
      <c r="E416" s="2" t="str">
        <f>IFERROR(VLOOKUP(1*LEFT(C416,7),DF!$A$1:$F$9447,2,FALSE),"")</f>
        <v>PIST. MOLLE RRD11 BLK</v>
      </c>
      <c r="F416" s="7">
        <v>8707113</v>
      </c>
      <c r="G416" t="s">
        <v>12750</v>
      </c>
      <c r="H416">
        <v>3</v>
      </c>
    </row>
    <row r="417" spans="1:8" x14ac:dyDescent="0.25">
      <c r="A417">
        <v>16522</v>
      </c>
      <c r="B417" t="s">
        <v>4</v>
      </c>
      <c r="C417" t="str">
        <f t="shared" si="13"/>
        <v>8703207##</v>
      </c>
      <c r="E417" t="str">
        <f>IFERROR(VLOOKUP(1*LEFT(C417,7),DF!$A$1:$F$9447,2,FALSE),"")</f>
        <v>PIST. N5 AH PX4 AUTOMATIC HOLSTER DEG</v>
      </c>
      <c r="F417">
        <v>8703207</v>
      </c>
      <c r="G417" t="s">
        <v>12751</v>
      </c>
      <c r="H417">
        <v>12</v>
      </c>
    </row>
    <row r="418" spans="1:8" x14ac:dyDescent="0.25">
      <c r="A418">
        <v>16522</v>
      </c>
      <c r="B418" t="s">
        <v>4</v>
      </c>
      <c r="C418" t="str">
        <f t="shared" si="13"/>
        <v>8703950##</v>
      </c>
      <c r="E418" t="str">
        <f>IFERROR(VLOOKUP(1*LEFT(C418,7),DF!$A$1:$F$9447,2,FALSE),"")</f>
        <v>PIST. NIVEL 2 BERETTA 92/96 XTR</v>
      </c>
      <c r="F418">
        <v>8703950</v>
      </c>
      <c r="G418" t="s">
        <v>12752</v>
      </c>
      <c r="H418">
        <v>7</v>
      </c>
    </row>
    <row r="419" spans="1:8" x14ac:dyDescent="0.25">
      <c r="A419" s="2">
        <v>16522</v>
      </c>
      <c r="B419" s="2" t="s">
        <v>4</v>
      </c>
      <c r="C419" s="2" t="str">
        <f t="shared" si="13"/>
        <v>8703351##</v>
      </c>
      <c r="D419" s="2"/>
      <c r="E419" s="2" t="str">
        <f>IFERROR(VLOOKUP(1*LEFT(C419,7),DF!$A$1:$F$9447,2,FALSE),"")</f>
        <v>PIST. NIVEL 2 BROWNING FM9 JA.BAR P012</v>
      </c>
      <c r="F419">
        <v>8703351</v>
      </c>
      <c r="G419" t="s">
        <v>13184</v>
      </c>
      <c r="H419">
        <v>7</v>
      </c>
    </row>
    <row r="420" spans="1:8" x14ac:dyDescent="0.25">
      <c r="A420">
        <v>16522</v>
      </c>
      <c r="B420" t="s">
        <v>4</v>
      </c>
      <c r="C420" t="str">
        <f t="shared" si="13"/>
        <v>8703245##</v>
      </c>
      <c r="E420" t="str">
        <f>IFERROR(VLOOKUP(1*LEFT(C420,7),DF!$A$1:$F$9447,2,FALSE),"")</f>
        <v>PIST. NIVEL 2 H.N2TPR9 BERSA TPR9 FUN</v>
      </c>
      <c r="F420" s="3">
        <v>8703245</v>
      </c>
      <c r="G420" t="s">
        <v>12753</v>
      </c>
      <c r="H420">
        <v>4</v>
      </c>
    </row>
    <row r="421" spans="1:8" x14ac:dyDescent="0.25">
      <c r="A421" s="2">
        <v>16522</v>
      </c>
      <c r="B421" s="2" t="s">
        <v>4</v>
      </c>
      <c r="C421" s="2" t="str">
        <f t="shared" si="13"/>
        <v>8703750##</v>
      </c>
      <c r="D421" s="2"/>
      <c r="E421" s="2" t="str">
        <f>IFERROR(VLOOKUP(1*LEFT(C421,7),DF!$A$1:$F$9447,2,FALSE),"")</f>
        <v>PIST. POLIA GUERR. UNIV GRIS MAZ RER</v>
      </c>
      <c r="F421">
        <v>8703750</v>
      </c>
      <c r="G421" t="s">
        <v>13181</v>
      </c>
      <c r="H421">
        <v>3</v>
      </c>
    </row>
    <row r="422" spans="1:8" x14ac:dyDescent="0.25">
      <c r="A422">
        <v>16522</v>
      </c>
      <c r="B422" t="s">
        <v>4</v>
      </c>
      <c r="C422" t="str">
        <f t="shared" si="13"/>
        <v>8703028##</v>
      </c>
      <c r="E422" t="str">
        <f>IFERROR(VLOOKUP(1*LEFT(C422,7),DF!$A$1:$F$9447,2,FALSE),"")</f>
        <v>PIST. POLIMERO NIVEL 2 GLOCK (17.18C.20.21.22.37) 2070-1</v>
      </c>
      <c r="F422">
        <v>8703028</v>
      </c>
      <c r="G422" t="s">
        <v>12754</v>
      </c>
      <c r="H422">
        <v>4</v>
      </c>
    </row>
    <row r="423" spans="1:8" x14ac:dyDescent="0.25">
      <c r="A423" s="2">
        <v>16522</v>
      </c>
      <c r="B423" s="2" t="s">
        <v>4</v>
      </c>
      <c r="C423" s="2" t="str">
        <f t="shared" si="13"/>
        <v>8703926##</v>
      </c>
      <c r="D423" s="2"/>
      <c r="E423" s="2" t="str">
        <f>IFERROR(VLOOKUP(1*LEFT(C423,7),DF!$A$1:$F$9447,2,FALSE),"")</f>
        <v>PIST. TERMO. BERSA TPB EM</v>
      </c>
      <c r="F423" s="7">
        <v>8703926</v>
      </c>
      <c r="G423" t="s">
        <v>12755</v>
      </c>
      <c r="H423">
        <v>5</v>
      </c>
    </row>
    <row r="424" spans="1:8" x14ac:dyDescent="0.25">
      <c r="A424" s="2">
        <v>16522</v>
      </c>
      <c r="B424" s="2" t="s">
        <v>4</v>
      </c>
      <c r="C424" s="2" t="str">
        <f t="shared" si="13"/>
        <v>8703925##</v>
      </c>
      <c r="D424" s="2"/>
      <c r="E424" s="2" t="str">
        <f>IFERROR(VLOOKUP(1*LEFT(C424,7),DF!$A$1:$F$9447,2,FALSE),"")</f>
        <v>PIST. TERMO. MINI THUNDER CMTH EM</v>
      </c>
      <c r="F424" s="7">
        <v>8703925</v>
      </c>
      <c r="G424" t="s">
        <v>12756</v>
      </c>
      <c r="H424">
        <v>5</v>
      </c>
    </row>
    <row r="425" spans="1:8" x14ac:dyDescent="0.25">
      <c r="A425" s="2">
        <v>16522</v>
      </c>
      <c r="B425" s="2" t="s">
        <v>4</v>
      </c>
      <c r="C425" s="2" t="str">
        <f t="shared" si="13"/>
        <v>8703504##</v>
      </c>
      <c r="D425" s="2"/>
      <c r="E425" s="2" t="str">
        <f>IFERROR(VLOOKUP(1*LEFT(C425,7),DF!$A$1:$F$9447,2,FALSE),"")</f>
        <v>PIST. TERMO. TACTICA REGULABLE T504 TB</v>
      </c>
      <c r="F425" s="7">
        <v>8703504</v>
      </c>
      <c r="G425" t="s">
        <v>12757</v>
      </c>
      <c r="H425">
        <v>4</v>
      </c>
    </row>
    <row r="426" spans="1:8" x14ac:dyDescent="0.25">
      <c r="A426" s="2">
        <v>16522</v>
      </c>
      <c r="B426" s="2" t="s">
        <v>4</v>
      </c>
      <c r="C426" s="2" t="str">
        <f t="shared" ref="C426:C457" si="14">CONCATENATE(F426,"##")</f>
        <v>8703505##</v>
      </c>
      <c r="D426" s="2"/>
      <c r="E426" s="2" t="str">
        <f>IFERROR(VLOOKUP(1*LEFT(C426,7),DF!$A$1:$F$9447,2,FALSE),"")</f>
        <v>PIST. TERMOFOR. SAQUE RAPIDO T500 TB</v>
      </c>
      <c r="F426">
        <v>8703505</v>
      </c>
      <c r="G426" t="s">
        <v>13180</v>
      </c>
      <c r="H426">
        <v>4</v>
      </c>
    </row>
    <row r="427" spans="1:8" x14ac:dyDescent="0.25">
      <c r="A427" s="2">
        <v>16522</v>
      </c>
      <c r="B427" s="2" t="s">
        <v>4</v>
      </c>
      <c r="C427" s="2" t="str">
        <f t="shared" si="14"/>
        <v>8703046##</v>
      </c>
      <c r="D427" s="2"/>
      <c r="E427" s="2" t="str">
        <f>IFERROR(VLOOKUP(1*LEFT(C427,7),DF!$A$1:$F$9447,2,FALSE),"")</f>
        <v>PIST. TIRA PORTA ARMA HUESITO 1046 TB</v>
      </c>
      <c r="F427">
        <v>8703046</v>
      </c>
      <c r="G427" t="s">
        <v>13192</v>
      </c>
      <c r="H427">
        <v>3</v>
      </c>
    </row>
    <row r="428" spans="1:8" x14ac:dyDescent="0.25">
      <c r="A428">
        <v>16522</v>
      </c>
      <c r="B428" t="s">
        <v>4</v>
      </c>
      <c r="C428" t="str">
        <f t="shared" si="14"/>
        <v>8708272##</v>
      </c>
      <c r="E428" t="str">
        <f>IFERROR(VLOOKUP(1*LEFT(C428,7),DF!$A$1:$F$9447,2,FALSE),"")</f>
        <v>PLATAFORMA MUSLERA H.N2-72 FUN</v>
      </c>
      <c r="F428">
        <v>8708272</v>
      </c>
      <c r="G428" t="s">
        <v>12758</v>
      </c>
      <c r="H428">
        <v>5</v>
      </c>
    </row>
    <row r="429" spans="1:8" x14ac:dyDescent="0.25">
      <c r="A429" s="2">
        <v>16522</v>
      </c>
      <c r="B429" s="2" t="s">
        <v>4</v>
      </c>
      <c r="C429" s="2" t="str">
        <f t="shared" si="14"/>
        <v>2220030##</v>
      </c>
      <c r="D429" s="2"/>
      <c r="E429" s="2" t="str">
        <f>IFERROR(VLOOKUP(1*LEFT(C429,7),DF!$A$1:$F$9447,2,FALSE),"")</f>
        <v>POLERA ALGODON AZUL RER</v>
      </c>
      <c r="F429" s="7">
        <v>2220030</v>
      </c>
      <c r="G429" t="s">
        <v>12759</v>
      </c>
      <c r="H429">
        <v>3</v>
      </c>
    </row>
    <row r="430" spans="1:8" x14ac:dyDescent="0.25">
      <c r="A430" s="2">
        <v>16522</v>
      </c>
      <c r="B430" s="2" t="s">
        <v>4</v>
      </c>
      <c r="C430" s="2" t="str">
        <f t="shared" si="14"/>
        <v>2220034##</v>
      </c>
      <c r="D430" s="2"/>
      <c r="E430" s="2" t="str">
        <f>IFERROR(VLOOKUP(1*LEFT(C430,7),DF!$A$1:$F$9447,2,FALSE),"")</f>
        <v>POLERA ALGODON BLANCA RER</v>
      </c>
      <c r="F430" s="7">
        <v>2220034</v>
      </c>
      <c r="G430" t="s">
        <v>12760</v>
      </c>
      <c r="H430">
        <v>2</v>
      </c>
    </row>
    <row r="431" spans="1:8" x14ac:dyDescent="0.25">
      <c r="A431" s="2">
        <v>16522</v>
      </c>
      <c r="B431" s="2" t="s">
        <v>4</v>
      </c>
      <c r="C431" s="2" t="str">
        <f t="shared" si="14"/>
        <v>2220032##</v>
      </c>
      <c r="D431" s="2"/>
      <c r="E431" s="2" t="str">
        <f>IFERROR(VLOOKUP(1*LEFT(C431,7),DF!$A$1:$F$9447,2,FALSE),"")</f>
        <v>POLERA ALGODON GRIS RER</v>
      </c>
      <c r="F431" s="7">
        <v>2220032</v>
      </c>
      <c r="G431" t="s">
        <v>12761</v>
      </c>
      <c r="H431">
        <v>3</v>
      </c>
    </row>
    <row r="432" spans="1:8" x14ac:dyDescent="0.25">
      <c r="A432" s="2">
        <v>16522</v>
      </c>
      <c r="B432" s="2" t="s">
        <v>4</v>
      </c>
      <c r="C432" s="2" t="str">
        <f t="shared" si="14"/>
        <v>2220037##</v>
      </c>
      <c r="D432" s="2"/>
      <c r="E432" s="2" t="str">
        <f>IFERROR(VLOOKUP(1*LEFT(C432,7),DF!$A$1:$F$9447,2,FALSE),"")</f>
        <v>POLERA ALGODON NEGRA RER</v>
      </c>
      <c r="F432" s="7">
        <v>2220037</v>
      </c>
      <c r="G432" t="s">
        <v>12762</v>
      </c>
      <c r="H432">
        <v>3</v>
      </c>
    </row>
    <row r="433" spans="1:8" x14ac:dyDescent="0.25">
      <c r="A433">
        <v>16522</v>
      </c>
      <c r="B433" t="s">
        <v>4</v>
      </c>
      <c r="C433" t="str">
        <f t="shared" si="14"/>
        <v>1407094##</v>
      </c>
      <c r="E433" t="str">
        <f>IFERROR(VLOOKUP(1*LEFT(C433,7),DF!$A$1:$F$9447,2,FALSE),"")</f>
        <v>POLLERA POLICIA C FORRO RER</v>
      </c>
      <c r="F433">
        <v>1407094</v>
      </c>
      <c r="G433" t="s">
        <v>12763</v>
      </c>
      <c r="H433">
        <v>5</v>
      </c>
    </row>
    <row r="434" spans="1:8" x14ac:dyDescent="0.25">
      <c r="A434" s="2">
        <v>16522</v>
      </c>
      <c r="B434" s="2" t="s">
        <v>4</v>
      </c>
      <c r="C434" s="2" t="str">
        <f t="shared" si="14"/>
        <v>1407093##</v>
      </c>
      <c r="D434" s="2"/>
      <c r="E434" s="2" t="str">
        <f>IFERROR(VLOOKUP(1*LEFT(C434,7),DF!$A$1:$F$9447,2,FALSE),"")</f>
        <v>POLLERA POLICIA SIN FORRAR RER</v>
      </c>
      <c r="F434" s="7">
        <v>1407093</v>
      </c>
      <c r="G434" t="s">
        <v>12764</v>
      </c>
      <c r="H434">
        <v>5</v>
      </c>
    </row>
    <row r="435" spans="1:8" x14ac:dyDescent="0.25">
      <c r="A435">
        <v>16522</v>
      </c>
      <c r="B435" t="s">
        <v>4</v>
      </c>
      <c r="C435" t="str">
        <f t="shared" si="14"/>
        <v>8708299##</v>
      </c>
      <c r="E435" t="str">
        <f>IFERROR(VLOOKUP(1*LEFT(C435,7),DF!$A$1:$F$9447,2,FALSE),"")</f>
        <v>PORTA BOTELLA SISTEMA MOLLE 2995</v>
      </c>
      <c r="F435">
        <v>8708299</v>
      </c>
      <c r="G435" t="s">
        <v>12765</v>
      </c>
      <c r="H435">
        <v>4</v>
      </c>
    </row>
    <row r="436" spans="1:8" x14ac:dyDescent="0.25">
      <c r="A436">
        <v>16522</v>
      </c>
      <c r="B436" t="s">
        <v>4</v>
      </c>
      <c r="C436" t="str">
        <f t="shared" si="14"/>
        <v>8705802##</v>
      </c>
      <c r="E436" t="str">
        <f>IFERROR(VLOOKUP(1*LEFT(C436,7),DF!$A$1:$F$9447,2,FALSE),"")</f>
        <v>PORTA CARG FAL VERDE MAZ</v>
      </c>
      <c r="F436">
        <v>8705802</v>
      </c>
      <c r="G436" t="s">
        <v>12766</v>
      </c>
      <c r="H436">
        <v>8</v>
      </c>
    </row>
    <row r="437" spans="1:8" x14ac:dyDescent="0.25">
      <c r="A437">
        <v>16522</v>
      </c>
      <c r="B437" t="s">
        <v>4</v>
      </c>
      <c r="C437" t="str">
        <f t="shared" si="14"/>
        <v>8705552##</v>
      </c>
      <c r="E437" t="str">
        <f>IFERROR(VLOOKUP(1*LEFT(C437,7),DF!$A$1:$F$9447,2,FALSE),"")</f>
        <v>PORTA CARG POLIA GRIS VERDE CON GANCHO</v>
      </c>
      <c r="F437">
        <v>8705552</v>
      </c>
      <c r="G437" t="s">
        <v>12767</v>
      </c>
      <c r="H437">
        <v>8</v>
      </c>
    </row>
    <row r="438" spans="1:8" x14ac:dyDescent="0.25">
      <c r="A438" s="2">
        <v>16522</v>
      </c>
      <c r="B438" s="2" t="s">
        <v>4</v>
      </c>
      <c r="C438" s="2" t="str">
        <f t="shared" si="14"/>
        <v>8705119##</v>
      </c>
      <c r="D438" s="2"/>
      <c r="E438" s="2" t="str">
        <f>IFERROR(VLOOKUP(1*LEFT(C438,7),DF!$A$1:$F$9447,2,FALSE),"")</f>
        <v>PORTA CARGADOR DOBLE UNIVERSAL POLIMERO BO4D</v>
      </c>
      <c r="F438">
        <v>8705119</v>
      </c>
      <c r="G438" t="s">
        <v>13193</v>
      </c>
      <c r="H438">
        <v>6</v>
      </c>
    </row>
    <row r="439" spans="1:8" x14ac:dyDescent="0.25">
      <c r="A439" s="2">
        <v>16522</v>
      </c>
      <c r="B439" s="2" t="s">
        <v>4</v>
      </c>
      <c r="C439" s="2" t="str">
        <f t="shared" si="14"/>
        <v>8705115##</v>
      </c>
      <c r="D439" s="2"/>
      <c r="E439" s="2" t="str">
        <f>IFERROR(VLOOKUP(1*LEFT(C439,7),DF!$A$1:$F$9447,2,FALSE),"")</f>
        <v>PORTA CARGADOR DOBLE UNIVERSAL POLIMERO BO4DT</v>
      </c>
      <c r="F439">
        <v>8705115</v>
      </c>
      <c r="G439" t="s">
        <v>13195</v>
      </c>
      <c r="H439">
        <v>7</v>
      </c>
    </row>
    <row r="440" spans="1:8" x14ac:dyDescent="0.25">
      <c r="A440" s="2">
        <v>16522</v>
      </c>
      <c r="B440" s="2" t="s">
        <v>4</v>
      </c>
      <c r="C440" s="2" t="str">
        <f t="shared" si="14"/>
        <v>8705116##</v>
      </c>
      <c r="D440" s="2"/>
      <c r="E440" s="2" t="str">
        <f>IFERROR(VLOOKUP(1*LEFT(C440,7),DF!$A$1:$F$9447,2,FALSE),"")</f>
        <v>PORTA CARGADOR SIMPLE UNIV POLIMERO BO4S-MOLLE</v>
      </c>
      <c r="F440">
        <v>8705116</v>
      </c>
      <c r="G440" t="s">
        <v>13182</v>
      </c>
      <c r="H440">
        <v>6</v>
      </c>
    </row>
    <row r="441" spans="1:8" x14ac:dyDescent="0.25">
      <c r="A441" s="2">
        <v>16522</v>
      </c>
      <c r="B441" s="2" t="s">
        <v>4</v>
      </c>
      <c r="C441" s="2" t="str">
        <f t="shared" si="14"/>
        <v>8705117##</v>
      </c>
      <c r="D441" s="2"/>
      <c r="E441" s="2" t="str">
        <f>IFERROR(VLOOKUP(1*LEFT(C441,7),DF!$A$1:$F$9447,2,FALSE),"")</f>
        <v>PORTA CARGADOR SIMPLE UNIVERSAL C/TAPA POLIMERO BO4ST</v>
      </c>
      <c r="F441">
        <v>8705117</v>
      </c>
      <c r="G441" t="s">
        <v>13196</v>
      </c>
      <c r="H441">
        <v>6</v>
      </c>
    </row>
    <row r="442" spans="1:8" x14ac:dyDescent="0.25">
      <c r="A442" s="2">
        <v>16522</v>
      </c>
      <c r="B442" s="2" t="s">
        <v>4</v>
      </c>
      <c r="C442" s="2" t="str">
        <f t="shared" si="14"/>
        <v>8705233##</v>
      </c>
      <c r="D442" s="2"/>
      <c r="E442" s="2" t="str">
        <f>IFERROR(VLOOKUP(1*LEFT(C442,7),DF!$A$1:$F$9447,2,FALSE),"")</f>
        <v>PORTA CELULAR GRANDE RRD69</v>
      </c>
      <c r="F442" s="7">
        <v>8705233</v>
      </c>
      <c r="G442" t="s">
        <v>12768</v>
      </c>
      <c r="H442">
        <v>7</v>
      </c>
    </row>
    <row r="443" spans="1:8" x14ac:dyDescent="0.25">
      <c r="A443">
        <v>16522</v>
      </c>
      <c r="B443" t="s">
        <v>4</v>
      </c>
      <c r="C443" t="str">
        <f t="shared" si="14"/>
        <v>8501026##</v>
      </c>
      <c r="E443" t="str">
        <f>IFERROR(VLOOKUP(1*LEFT(C443,7),DF!$A$1:$F$9447,2,FALSE),"")</f>
        <v>PORTA CRED CUERO LIBRO 1026 TB</v>
      </c>
      <c r="F443">
        <v>8501026</v>
      </c>
      <c r="G443" t="s">
        <v>12769</v>
      </c>
      <c r="H443">
        <v>3</v>
      </c>
    </row>
    <row r="444" spans="1:8" x14ac:dyDescent="0.25">
      <c r="A444">
        <v>16522</v>
      </c>
      <c r="B444" t="s">
        <v>4</v>
      </c>
      <c r="C444" t="str">
        <f t="shared" si="14"/>
        <v>8707750##</v>
      </c>
      <c r="E444" t="str">
        <f>IFERROR(VLOOKUP(1*LEFT(C444,7),DF!$A$1:$F$9447,2,FALSE),"")</f>
        <v>PORTA ESPO POLIA GRIS T552 C/TAPA TB</v>
      </c>
      <c r="F444">
        <v>8707750</v>
      </c>
      <c r="G444" t="s">
        <v>12770</v>
      </c>
      <c r="H444">
        <v>3</v>
      </c>
    </row>
    <row r="445" spans="1:8" x14ac:dyDescent="0.25">
      <c r="A445">
        <v>16522</v>
      </c>
      <c r="B445" t="s">
        <v>4</v>
      </c>
      <c r="C445" t="str">
        <f t="shared" si="14"/>
        <v>8707026##</v>
      </c>
      <c r="E445" t="str">
        <f>IFERROR(VLOOKUP(1*LEFT(C445,7),DF!$A$1:$F$9447,2,FALSE),"")</f>
        <v>PORTA ESPOSAS FOBUS HSP MIN</v>
      </c>
      <c r="F445">
        <v>8707026</v>
      </c>
      <c r="G445" t="s">
        <v>12771</v>
      </c>
      <c r="H445">
        <v>6</v>
      </c>
    </row>
    <row r="446" spans="1:8" x14ac:dyDescent="0.25">
      <c r="A446">
        <v>16522</v>
      </c>
      <c r="B446" t="s">
        <v>4</v>
      </c>
      <c r="C446" t="str">
        <f t="shared" si="14"/>
        <v>8707964##</v>
      </c>
      <c r="E446" t="str">
        <f>IFERROR(VLOOKUP(1*LEFT(C446,7),DF!$A$1:$F$9447,2,FALSE),"")</f>
        <v>PORTA ESPOSAS TACTICO POLIMERO REGUL2079</v>
      </c>
      <c r="F446">
        <v>8707964</v>
      </c>
      <c r="G446" t="s">
        <v>12772</v>
      </c>
      <c r="H446">
        <v>5</v>
      </c>
    </row>
    <row r="447" spans="1:8" x14ac:dyDescent="0.25">
      <c r="A447" s="2">
        <v>16522</v>
      </c>
      <c r="B447" s="2" t="s">
        <v>4</v>
      </c>
      <c r="C447" s="2" t="str">
        <f t="shared" si="14"/>
        <v>8715803##</v>
      </c>
      <c r="D447" s="2"/>
      <c r="E447" s="2" t="str">
        <f>IFERROR(VLOOKUP(1*LEFT(C447,7),DF!$A$1:$F$9447,2,FALSE),"")</f>
        <v>PORTA TAHALI POLIA VERDE GN RER</v>
      </c>
      <c r="F447">
        <v>8715803</v>
      </c>
      <c r="G447" t="s">
        <v>13197</v>
      </c>
      <c r="H447">
        <v>2</v>
      </c>
    </row>
    <row r="448" spans="1:8" x14ac:dyDescent="0.25">
      <c r="A448">
        <v>16522</v>
      </c>
      <c r="B448" t="s">
        <v>4</v>
      </c>
      <c r="C448" t="str">
        <f t="shared" si="14"/>
        <v>8705013##</v>
      </c>
      <c r="E448" t="str">
        <f>IFERROR(VLOOKUP(1*LEFT(C448,7),DF!$A$1:$F$9447,2,FALSE),"")</f>
        <v>PORTA TONFA FIJO PLASTICO RER 214</v>
      </c>
      <c r="F448">
        <v>8705013</v>
      </c>
      <c r="G448" t="s">
        <v>12773</v>
      </c>
      <c r="H448">
        <v>2</v>
      </c>
    </row>
    <row r="449" spans="1:9" x14ac:dyDescent="0.25">
      <c r="A449">
        <v>16522</v>
      </c>
      <c r="B449" t="s">
        <v>4</v>
      </c>
      <c r="C449" t="str">
        <f t="shared" si="14"/>
        <v>8705553##</v>
      </c>
      <c r="E449" t="str">
        <f>IFERROR(VLOOKUP(1*LEFT(C449,7),DF!$A$1:$F$9447,2,FALSE),"")</f>
        <v>PORTA TONFA POLIA VERDE GN</v>
      </c>
      <c r="F449">
        <v>8705553</v>
      </c>
      <c r="G449" t="s">
        <v>12774</v>
      </c>
      <c r="H449">
        <v>3</v>
      </c>
    </row>
    <row r="450" spans="1:9" x14ac:dyDescent="0.25">
      <c r="A450">
        <v>16522</v>
      </c>
      <c r="B450" t="s">
        <v>4</v>
      </c>
      <c r="C450" t="str">
        <f t="shared" si="14"/>
        <v>8500500##</v>
      </c>
      <c r="E450" t="str">
        <f>IFERROR(VLOOKUP(1*LEFT(C450,7),DF!$A$1:$F$9447,2,FALSE),"")</f>
        <v>PRECINTOS POLICIALES TACTICOS LUBRI MAL</v>
      </c>
      <c r="F450">
        <v>8500500</v>
      </c>
      <c r="G450" t="s">
        <v>12775</v>
      </c>
      <c r="H450">
        <v>3</v>
      </c>
    </row>
    <row r="451" spans="1:9" x14ac:dyDescent="0.25">
      <c r="A451">
        <v>16522</v>
      </c>
      <c r="B451" t="s">
        <v>4</v>
      </c>
      <c r="C451" t="str">
        <f t="shared" si="14"/>
        <v>8520235##</v>
      </c>
      <c r="E451" t="str">
        <f>IFERROR(VLOOKUP(1*LEFT(C451,7),DF!$A$1:$F$9447,2,FALSE),"")</f>
        <v>PUNTERO LASER RECARGABLE</v>
      </c>
      <c r="F451">
        <v>8520235</v>
      </c>
      <c r="G451" t="s">
        <v>12776</v>
      </c>
      <c r="H451">
        <v>4</v>
      </c>
    </row>
    <row r="452" spans="1:9" x14ac:dyDescent="0.25">
      <c r="A452" s="2">
        <v>16522</v>
      </c>
      <c r="B452" s="2" t="s">
        <v>4</v>
      </c>
      <c r="C452" s="2" t="str">
        <f t="shared" si="14"/>
        <v>8522999##</v>
      </c>
      <c r="D452" s="2"/>
      <c r="E452" s="2" t="str">
        <f>IFERROR(VLOOKUP(1*LEFT(C452,7),DF!$A$1:$F$9447,2,FALSE),"")</f>
        <v>RABIZA ANTIPERDIDA RAB-BROCHE/ABROJ EZ</v>
      </c>
      <c r="F452">
        <v>8522999</v>
      </c>
      <c r="G452" t="s">
        <v>12939</v>
      </c>
      <c r="H452">
        <v>3</v>
      </c>
    </row>
    <row r="453" spans="1:9" x14ac:dyDescent="0.25">
      <c r="A453" s="2">
        <v>16522</v>
      </c>
      <c r="B453" s="2" t="s">
        <v>4</v>
      </c>
      <c r="C453" s="2" t="str">
        <f t="shared" si="14"/>
        <v>8522101##</v>
      </c>
      <c r="D453" s="2"/>
      <c r="E453" s="2" t="str">
        <f>IFERROR(VLOOKUP(1*LEFT(C453,7),DF!$A$1:$F$9447,2,FALSE),"")</f>
        <v>RABIZA EXTENSIBLE RETRACTIL 101RR FUN</v>
      </c>
      <c r="F453">
        <v>8522101</v>
      </c>
      <c r="G453" t="s">
        <v>12938</v>
      </c>
      <c r="H453">
        <v>3</v>
      </c>
    </row>
    <row r="454" spans="1:9" x14ac:dyDescent="0.25">
      <c r="A454">
        <v>16522</v>
      </c>
      <c r="B454" t="s">
        <v>4</v>
      </c>
      <c r="C454" t="str">
        <f t="shared" si="14"/>
        <v>8303299##</v>
      </c>
      <c r="E454" t="str">
        <f>IFERROR(VLOOKUP(1*LEFT(C454,7),DF!$A$1:$F$9447,2,FALSE),"")</f>
        <v>RELOJ TACTICO DIGITAL 5514-30-48/3,6</v>
      </c>
      <c r="F454">
        <v>8303299</v>
      </c>
      <c r="G454" t="s">
        <v>12777</v>
      </c>
      <c r="H454">
        <v>5</v>
      </c>
    </row>
    <row r="455" spans="1:9" x14ac:dyDescent="0.25">
      <c r="A455" s="2">
        <v>16522</v>
      </c>
      <c r="B455" s="2" t="s">
        <v>4</v>
      </c>
      <c r="C455" s="2" t="str">
        <f t="shared" si="14"/>
        <v>2220292##</v>
      </c>
      <c r="D455" s="2"/>
      <c r="E455" s="2" t="str">
        <f>IFERROR(VLOOKUP(1*LEFT(C455,7),DF!$A$1:$F$9447,2,FALSE),"")</f>
        <v>REMERA MC AZUL CON ESTAMPA POLICIA GEI</v>
      </c>
      <c r="F455">
        <v>2220292</v>
      </c>
      <c r="G455" t="s">
        <v>12778</v>
      </c>
      <c r="H455">
        <v>4</v>
      </c>
      <c r="I455">
        <v>1</v>
      </c>
    </row>
    <row r="456" spans="1:9" x14ac:dyDescent="0.25">
      <c r="A456" s="2">
        <v>16522</v>
      </c>
      <c r="B456" s="2" t="s">
        <v>4</v>
      </c>
      <c r="C456" s="2" t="str">
        <f t="shared" si="14"/>
        <v>2220333##</v>
      </c>
      <c r="D456" s="2"/>
      <c r="E456" s="2" t="str">
        <f>IFERROR(VLOOKUP(1*LEFT(C456,7),DF!$A$1:$F$9447,2,FALSE),"")</f>
        <v>REMERA MC AZUL LISA GEI</v>
      </c>
      <c r="F456" s="7">
        <v>2220333</v>
      </c>
      <c r="G456" t="s">
        <v>12779</v>
      </c>
      <c r="H456">
        <v>1</v>
      </c>
      <c r="I456">
        <v>1</v>
      </c>
    </row>
    <row r="457" spans="1:9" x14ac:dyDescent="0.25">
      <c r="A457" s="2">
        <v>16522</v>
      </c>
      <c r="B457" s="2" t="s">
        <v>4</v>
      </c>
      <c r="C457" s="2" t="str">
        <f t="shared" si="14"/>
        <v>2220856##</v>
      </c>
      <c r="D457" s="2"/>
      <c r="E457" s="2" t="str">
        <f>IFERROR(VLOOKUP(1*LEFT(C457,7),DF!$A$1:$F$9447,2,FALSE),"")</f>
        <v>REMERA MC BEIGE LISA GEI</v>
      </c>
      <c r="F457" s="7">
        <v>2220856</v>
      </c>
      <c r="G457" t="s">
        <v>12780</v>
      </c>
      <c r="H457">
        <v>1</v>
      </c>
      <c r="I457">
        <v>1</v>
      </c>
    </row>
    <row r="458" spans="1:9" x14ac:dyDescent="0.25">
      <c r="A458" s="2">
        <v>16522</v>
      </c>
      <c r="B458" s="2" t="s">
        <v>4</v>
      </c>
      <c r="C458" s="2" t="str">
        <f t="shared" ref="C458:C494" si="15">CONCATENATE(F458,"##")</f>
        <v>2220004##</v>
      </c>
      <c r="D458" s="2"/>
      <c r="E458" s="2" t="str">
        <f>IFERROR(VLOOKUP(1*LEFT(C458,7),DF!$A$1:$F$9447,2,FALSE),"")</f>
        <v>REMERA MC BLANCA LISA GEI</v>
      </c>
      <c r="F458" s="7">
        <v>2220004</v>
      </c>
      <c r="G458" t="s">
        <v>12781</v>
      </c>
      <c r="H458">
        <v>1</v>
      </c>
      <c r="I458">
        <v>1</v>
      </c>
    </row>
    <row r="459" spans="1:9" x14ac:dyDescent="0.25">
      <c r="A459" s="2">
        <v>16522</v>
      </c>
      <c r="B459" s="2" t="s">
        <v>4</v>
      </c>
      <c r="C459" s="2" t="str">
        <f t="shared" si="15"/>
        <v>2103050##</v>
      </c>
      <c r="D459" s="2"/>
      <c r="E459" s="2" t="str">
        <f>IFERROR(VLOOKUP(1*LEFT(C459,7),DF!$A$1:$F$9447,2,FALSE),"")</f>
        <v>REMERA MC COMBAT AZUL 3XS/2XL</v>
      </c>
      <c r="F459" s="7">
        <v>2103050</v>
      </c>
      <c r="G459" t="s">
        <v>12782</v>
      </c>
      <c r="H459">
        <v>9</v>
      </c>
      <c r="I459">
        <v>1</v>
      </c>
    </row>
    <row r="460" spans="1:9" x14ac:dyDescent="0.25">
      <c r="A460" s="2">
        <v>16522</v>
      </c>
      <c r="B460" s="2" t="s">
        <v>4</v>
      </c>
      <c r="C460" s="2" t="str">
        <f t="shared" si="15"/>
        <v>2103090##</v>
      </c>
      <c r="D460" s="2"/>
      <c r="E460" s="2" t="str">
        <f>IFERROR(VLOOKUP(1*LEFT(C460,7),DF!$A$1:$F$9447,2,FALSE),"")</f>
        <v>REMERA MC COMBAT NEGRA 3XS/2XL</v>
      </c>
      <c r="F460" s="7">
        <v>2103090</v>
      </c>
      <c r="G460" t="s">
        <v>12783</v>
      </c>
      <c r="H460">
        <v>8</v>
      </c>
      <c r="I460">
        <v>1</v>
      </c>
    </row>
    <row r="461" spans="1:9" x14ac:dyDescent="0.25">
      <c r="A461" s="2">
        <v>16522</v>
      </c>
      <c r="B461" s="2" t="s">
        <v>4</v>
      </c>
      <c r="C461" s="2" t="str">
        <f t="shared" si="15"/>
        <v>2220601##</v>
      </c>
      <c r="D461" s="2"/>
      <c r="E461" s="2" t="str">
        <f>IFERROR(VLOOKUP(1*LEFT(C461,7),DF!$A$1:$F$9447,2,FALSE),"")</f>
        <v>REMERA MC GRIS MELANGE SIN BORDAR GEI</v>
      </c>
      <c r="F461" s="7">
        <v>2220601</v>
      </c>
      <c r="G461" t="s">
        <v>12784</v>
      </c>
      <c r="H461">
        <v>3</v>
      </c>
    </row>
    <row r="462" spans="1:9" x14ac:dyDescent="0.25">
      <c r="A462" s="2">
        <v>16522</v>
      </c>
      <c r="B462" s="2" t="s">
        <v>4</v>
      </c>
      <c r="C462" s="2" t="str">
        <f t="shared" si="15"/>
        <v>2220456##</v>
      </c>
      <c r="D462" s="2"/>
      <c r="E462" s="2" t="str">
        <f>IFERROR(VLOOKUP(1*LEFT(C462,7),DF!$A$1:$F$9447,2,FALSE),"")</f>
        <v>REMERA MC NEGRA CON ESTAMPA POLICIA GEI</v>
      </c>
      <c r="F462" s="7">
        <v>2220456</v>
      </c>
      <c r="G462" t="s">
        <v>12785</v>
      </c>
      <c r="H462">
        <v>4</v>
      </c>
      <c r="I462">
        <v>1</v>
      </c>
    </row>
    <row r="463" spans="1:9" x14ac:dyDescent="0.25">
      <c r="A463" s="2">
        <v>16522</v>
      </c>
      <c r="B463" s="2" t="s">
        <v>4</v>
      </c>
      <c r="C463" s="2" t="str">
        <f t="shared" si="15"/>
        <v>2220444##</v>
      </c>
      <c r="D463" s="2"/>
      <c r="E463" s="2" t="str">
        <f>IFERROR(VLOOKUP(1*LEFT(C463,7),DF!$A$1:$F$9447,2,FALSE),"")</f>
        <v>REMERA MC NEGRA LISA GEI</v>
      </c>
      <c r="F463" s="7">
        <v>2220444</v>
      </c>
      <c r="G463" t="s">
        <v>12786</v>
      </c>
      <c r="H463">
        <v>1</v>
      </c>
      <c r="I463">
        <v>1</v>
      </c>
    </row>
    <row r="464" spans="1:9" x14ac:dyDescent="0.25">
      <c r="A464" s="2">
        <v>16522</v>
      </c>
      <c r="B464" s="2" t="s">
        <v>4</v>
      </c>
      <c r="C464" s="2" t="str">
        <f t="shared" si="15"/>
        <v>2230600##</v>
      </c>
      <c r="D464" s="2"/>
      <c r="E464" s="2" t="str">
        <f>IFERROR(VLOOKUP(1*LEFT(C464,7),DF!$A$1:$F$9447,2,FALSE),"")</f>
        <v>REMERA MC VERDE LMGE GEI</v>
      </c>
      <c r="F464" s="7">
        <v>2230600</v>
      </c>
      <c r="G464" t="s">
        <v>12787</v>
      </c>
      <c r="H464">
        <v>1</v>
      </c>
      <c r="I464">
        <v>1</v>
      </c>
    </row>
    <row r="465" spans="1:9" x14ac:dyDescent="0.25">
      <c r="A465" s="2">
        <v>16522</v>
      </c>
      <c r="B465" s="2" t="s">
        <v>4</v>
      </c>
      <c r="C465" s="2" t="str">
        <f t="shared" si="15"/>
        <v>2220100##</v>
      </c>
      <c r="D465" s="2"/>
      <c r="E465" s="2" t="str">
        <f>IFERROR(VLOOKUP(1*LEFT(C465,7),DF!$A$1:$F$9447,2,FALSE),"")</f>
        <v>REMERA ML 1RA PIEL NEGRA MINIJACK RER</v>
      </c>
      <c r="F465" s="7">
        <v>2220100</v>
      </c>
      <c r="G465" t="s">
        <v>12788</v>
      </c>
      <c r="H465">
        <v>4</v>
      </c>
    </row>
    <row r="466" spans="1:9" x14ac:dyDescent="0.25">
      <c r="A466" s="2">
        <v>16522</v>
      </c>
      <c r="B466" s="2" t="s">
        <v>4</v>
      </c>
      <c r="C466" s="2" t="str">
        <f t="shared" si="15"/>
        <v>2103495##</v>
      </c>
      <c r="D466" s="2"/>
      <c r="E466" s="2" t="str">
        <f>IFERROR(VLOOKUP(1*LEFT(C466,7),DF!$A$1:$F$9447,2,FALSE),"")</f>
        <v>REMERA ML COMBAT AZUL</v>
      </c>
      <c r="F466" s="7">
        <v>2103495</v>
      </c>
      <c r="G466" t="s">
        <v>12789</v>
      </c>
      <c r="H466">
        <v>5</v>
      </c>
      <c r="I466">
        <v>1</v>
      </c>
    </row>
    <row r="467" spans="1:9" x14ac:dyDescent="0.25">
      <c r="A467" s="2">
        <v>16522</v>
      </c>
      <c r="B467" s="2" t="s">
        <v>4</v>
      </c>
      <c r="C467" s="2" t="str">
        <f t="shared" si="15"/>
        <v>2103217##</v>
      </c>
      <c r="D467" s="2"/>
      <c r="E467" s="2" t="str">
        <f>IFERROR(VLOOKUP(1*LEFT(C467,7),DF!$A$1:$F$9447,2,FALSE),"")</f>
        <v>REMERA ML COMBAT NEGRA RER</v>
      </c>
      <c r="F467" s="7">
        <v>2103217</v>
      </c>
      <c r="G467" t="s">
        <v>12790</v>
      </c>
      <c r="H467">
        <v>5</v>
      </c>
      <c r="I467">
        <v>1</v>
      </c>
    </row>
    <row r="468" spans="1:9" x14ac:dyDescent="0.25">
      <c r="A468" s="2">
        <v>16522</v>
      </c>
      <c r="B468" s="2" t="s">
        <v>4</v>
      </c>
      <c r="C468" s="2" t="str">
        <f t="shared" si="15"/>
        <v>2220591##</v>
      </c>
      <c r="D468" s="2"/>
      <c r="E468" s="2" t="str">
        <f>IFERROR(VLOOKUP(1*LEFT(C468,7),DF!$A$1:$F$9447,2,FALSE),"")</f>
        <v>REMERA ML TERMICAS SPINIT NEGRA GEI</v>
      </c>
      <c r="F468" s="7">
        <v>2220591</v>
      </c>
      <c r="G468" t="s">
        <v>12791</v>
      </c>
      <c r="H468">
        <v>2</v>
      </c>
    </row>
    <row r="469" spans="1:9" x14ac:dyDescent="0.25">
      <c r="A469">
        <v>16522</v>
      </c>
      <c r="B469" t="s">
        <v>4</v>
      </c>
      <c r="C469" t="str">
        <f t="shared" si="15"/>
        <v>7711676##</v>
      </c>
      <c r="E469" t="str">
        <f>IFERROR(VLOOKUP(1*LEFT(C469,7),DF!$A$1:$F$9447,2,FALSE),"")</f>
        <v>ROMBO BORD ORO DG</v>
      </c>
      <c r="F469">
        <v>7711676</v>
      </c>
      <c r="G469" t="s">
        <v>12792</v>
      </c>
      <c r="H469">
        <v>1</v>
      </c>
    </row>
    <row r="470" spans="1:9" x14ac:dyDescent="0.25">
      <c r="A470">
        <v>16522</v>
      </c>
      <c r="B470" t="s">
        <v>4</v>
      </c>
      <c r="C470" t="str">
        <f t="shared" si="15"/>
        <v>8401013##</v>
      </c>
      <c r="E470" t="str">
        <f>IFERROR(VLOOKUP(1*LEFT(C470,7),DF!$A$1:$F$9447,2,FALSE),"")</f>
        <v>SUDADERA RED MILITAR BEIGE 160 X 0.25 RE</v>
      </c>
      <c r="F470">
        <v>8401013</v>
      </c>
      <c r="G470" t="s">
        <v>12793</v>
      </c>
      <c r="H470">
        <v>1</v>
      </c>
    </row>
    <row r="471" spans="1:9" x14ac:dyDescent="0.25">
      <c r="A471">
        <v>16522</v>
      </c>
      <c r="B471" t="s">
        <v>4</v>
      </c>
      <c r="C471" t="str">
        <f t="shared" si="15"/>
        <v>8401004##</v>
      </c>
      <c r="E471" t="str">
        <f>IFERROR(VLOOKUP(1*LEFT(C471,7),DF!$A$1:$F$9447,2,FALSE),"")</f>
        <v>SUDADERA RED MILITAR BEIGE ORF</v>
      </c>
      <c r="F471">
        <v>8401004</v>
      </c>
      <c r="G471" t="s">
        <v>12794</v>
      </c>
      <c r="H471">
        <v>1</v>
      </c>
    </row>
    <row r="472" spans="1:9" x14ac:dyDescent="0.25">
      <c r="A472">
        <v>16522</v>
      </c>
      <c r="B472" t="s">
        <v>4</v>
      </c>
      <c r="C472" t="str">
        <f t="shared" si="15"/>
        <v>8401006##</v>
      </c>
      <c r="E472" t="str">
        <f>IFERROR(VLOOKUP(1*LEFT(C472,7),DF!$A$1:$F$9447,2,FALSE),"")</f>
        <v>SUDADERA RED MILITAR BLANCA ORF</v>
      </c>
      <c r="F472">
        <v>8401006</v>
      </c>
      <c r="G472" t="s">
        <v>12795</v>
      </c>
      <c r="H472">
        <v>1</v>
      </c>
    </row>
    <row r="473" spans="1:9" x14ac:dyDescent="0.25">
      <c r="A473">
        <v>16522</v>
      </c>
      <c r="B473" t="s">
        <v>4</v>
      </c>
      <c r="C473" t="str">
        <f t="shared" si="15"/>
        <v>8401005##</v>
      </c>
      <c r="E473" t="str">
        <f>IFERROR(VLOOKUP(1*LEFT(C473,7),DF!$A$1:$F$9447,2,FALSE),"")</f>
        <v>SUDADERA RED MILITAR MARRON ORF</v>
      </c>
      <c r="F473">
        <v>8401005</v>
      </c>
      <c r="G473" t="s">
        <v>12796</v>
      </c>
      <c r="H473">
        <v>1</v>
      </c>
    </row>
    <row r="474" spans="1:9" x14ac:dyDescent="0.25">
      <c r="A474">
        <v>16522</v>
      </c>
      <c r="B474" t="s">
        <v>4</v>
      </c>
      <c r="C474" t="str">
        <f t="shared" si="15"/>
        <v>8401010##</v>
      </c>
      <c r="E474" t="str">
        <f>IFERROR(VLOOKUP(1*LEFT(C474,7),DF!$A$1:$F$9447,2,FALSE),"")</f>
        <v>SUDADERA RED MILITAR NEG 160 X 0.25 RER</v>
      </c>
      <c r="F474">
        <v>8401010</v>
      </c>
      <c r="G474" t="s">
        <v>12797</v>
      </c>
      <c r="H474">
        <v>1</v>
      </c>
    </row>
    <row r="475" spans="1:9" x14ac:dyDescent="0.25">
      <c r="A475">
        <v>16522</v>
      </c>
      <c r="B475" t="s">
        <v>4</v>
      </c>
      <c r="C475" t="str">
        <f t="shared" si="15"/>
        <v>8401009##</v>
      </c>
      <c r="E475" t="str">
        <f>IFERROR(VLOOKUP(1*LEFT(C475,7),DF!$A$1:$F$9447,2,FALSE),"")</f>
        <v>SUDADERA RED MILITAR NEG 160 X 0.45 RER</v>
      </c>
      <c r="F475">
        <v>8401009</v>
      </c>
      <c r="G475" t="s">
        <v>12798</v>
      </c>
      <c r="H475">
        <v>1</v>
      </c>
    </row>
    <row r="476" spans="1:9" x14ac:dyDescent="0.25">
      <c r="A476">
        <v>16522</v>
      </c>
      <c r="B476" t="s">
        <v>4</v>
      </c>
      <c r="C476" t="str">
        <f t="shared" si="15"/>
        <v>8401001##</v>
      </c>
      <c r="E476" t="str">
        <f>IFERROR(VLOOKUP(1*LEFT(C476,7),DF!$A$1:$F$9447,2,FALSE),"")</f>
        <v>SUDADERA RED MILITAR NEGRA ORF</v>
      </c>
      <c r="F476">
        <v>8401001</v>
      </c>
      <c r="G476" t="s">
        <v>12799</v>
      </c>
      <c r="H476">
        <v>1</v>
      </c>
    </row>
    <row r="477" spans="1:9" x14ac:dyDescent="0.25">
      <c r="A477">
        <v>16522</v>
      </c>
      <c r="B477" t="s">
        <v>4</v>
      </c>
      <c r="C477" t="str">
        <f t="shared" si="15"/>
        <v>8401012##</v>
      </c>
      <c r="E477" t="str">
        <f>IFERROR(VLOOKUP(1*LEFT(C477,7),DF!$A$1:$F$9447,2,FALSE),"")</f>
        <v>SUDADERA RED MILITAR VER 160 X 0.25 RER</v>
      </c>
      <c r="F477">
        <v>8401012</v>
      </c>
      <c r="G477" t="s">
        <v>12800</v>
      </c>
      <c r="H477">
        <v>1</v>
      </c>
    </row>
    <row r="478" spans="1:9" x14ac:dyDescent="0.25">
      <c r="A478">
        <v>16522</v>
      </c>
      <c r="B478" t="s">
        <v>4</v>
      </c>
      <c r="C478" t="str">
        <f t="shared" si="15"/>
        <v>8401011##</v>
      </c>
      <c r="E478" t="str">
        <f>IFERROR(VLOOKUP(1*LEFT(C478,7),DF!$A$1:$F$9447,2,FALSE),"")</f>
        <v>SUDADERA RED MILITAR VER 160 X 0.45 RER</v>
      </c>
      <c r="F478">
        <v>8401011</v>
      </c>
      <c r="G478" t="s">
        <v>12801</v>
      </c>
      <c r="H478">
        <v>1</v>
      </c>
    </row>
    <row r="479" spans="1:9" x14ac:dyDescent="0.25">
      <c r="A479">
        <v>16522</v>
      </c>
      <c r="B479" t="s">
        <v>4</v>
      </c>
      <c r="C479" t="str">
        <f t="shared" si="15"/>
        <v>8401003##</v>
      </c>
      <c r="E479" t="str">
        <f>IFERROR(VLOOKUP(1*LEFT(C479,7),DF!$A$1:$F$9447,2,FALSE),"")</f>
        <v>SUDADERA RED MILITAR VERDE ORF</v>
      </c>
      <c r="F479">
        <v>8401003</v>
      </c>
      <c r="G479" t="s">
        <v>12802</v>
      </c>
      <c r="H479">
        <v>1</v>
      </c>
    </row>
    <row r="480" spans="1:9" x14ac:dyDescent="0.25">
      <c r="A480">
        <v>16522</v>
      </c>
      <c r="B480" t="s">
        <v>4</v>
      </c>
      <c r="C480" t="str">
        <f t="shared" si="15"/>
        <v>8507002##</v>
      </c>
      <c r="E480" t="str">
        <f>IFERROR(VLOOKUP(1*LEFT(C480,7),DF!$A$1:$F$9447,2,FALSE),"")</f>
        <v>TIRO SABLE CUERO 1041 TB</v>
      </c>
      <c r="F480">
        <v>8507002</v>
      </c>
      <c r="G480" t="s">
        <v>12803</v>
      </c>
      <c r="H480">
        <v>4</v>
      </c>
    </row>
    <row r="481" spans="1:9" x14ac:dyDescent="0.25">
      <c r="A481" s="2">
        <v>16522</v>
      </c>
      <c r="B481" s="2" t="s">
        <v>4</v>
      </c>
      <c r="C481" s="2" t="str">
        <f t="shared" si="15"/>
        <v>2601004##</v>
      </c>
      <c r="D481" s="2"/>
      <c r="E481" s="2" t="str">
        <f>IFERROR(VLOOKUP(1*LEFT(C481,7),DF!$A$1:$F$9447,2,FALSE),"")</f>
        <v>TRICOPOLAR AZUL RER</v>
      </c>
      <c r="F481" s="7">
        <v>2601004</v>
      </c>
      <c r="G481" t="s">
        <v>12804</v>
      </c>
      <c r="H481">
        <v>5</v>
      </c>
      <c r="I481">
        <v>1</v>
      </c>
    </row>
    <row r="482" spans="1:9" x14ac:dyDescent="0.25">
      <c r="A482" s="2">
        <v>16522</v>
      </c>
      <c r="B482" s="2" t="s">
        <v>4</v>
      </c>
      <c r="C482" s="2" t="str">
        <f t="shared" si="15"/>
        <v>2601750##</v>
      </c>
      <c r="D482" s="2"/>
      <c r="E482" s="2" t="str">
        <f>IFERROR(VLOOKUP(1*LEFT(C482,7),DF!$A$1:$F$9447,2,FALSE),"")</f>
        <v>TRICOPOLAR GRIS RER</v>
      </c>
      <c r="F482" s="7">
        <v>2601750</v>
      </c>
      <c r="G482" t="s">
        <v>12805</v>
      </c>
      <c r="H482">
        <v>5</v>
      </c>
      <c r="I482">
        <v>1</v>
      </c>
    </row>
    <row r="483" spans="1:9" x14ac:dyDescent="0.25">
      <c r="A483" s="2">
        <v>16522</v>
      </c>
      <c r="B483" s="2" t="s">
        <v>4</v>
      </c>
      <c r="C483" s="2" t="str">
        <f t="shared" si="15"/>
        <v>2601003##</v>
      </c>
      <c r="D483" s="2"/>
      <c r="E483" s="2" t="str">
        <f>IFERROR(VLOOKUP(1*LEFT(C483,7),DF!$A$1:$F$9447,2,FALSE),"")</f>
        <v>TRICOPOLAR NEGRO RER</v>
      </c>
      <c r="F483" s="7">
        <v>2601003</v>
      </c>
      <c r="G483" t="s">
        <v>12806</v>
      </c>
      <c r="H483">
        <v>9</v>
      </c>
      <c r="I483">
        <v>1</v>
      </c>
    </row>
    <row r="484" spans="1:9" x14ac:dyDescent="0.25">
      <c r="A484" s="2">
        <v>16522</v>
      </c>
      <c r="B484" s="2" t="s">
        <v>4</v>
      </c>
      <c r="C484" s="2" t="str">
        <f t="shared" si="15"/>
        <v>2301888##</v>
      </c>
      <c r="D484" s="2"/>
      <c r="E484" s="2" t="str">
        <f>IFERROR(VLOOKUP(1*LEFT(C484,7),DF!$A$1:$F$9447,2,FALSE),"")</f>
        <v>TRICOTA C/POLERA FORRADA AZUL EM</v>
      </c>
      <c r="F484" s="7">
        <v>2301888</v>
      </c>
      <c r="G484" t="s">
        <v>12807</v>
      </c>
      <c r="H484">
        <v>9</v>
      </c>
      <c r="I484">
        <v>1</v>
      </c>
    </row>
    <row r="485" spans="1:9" x14ac:dyDescent="0.25">
      <c r="A485" s="2">
        <v>16522</v>
      </c>
      <c r="B485" s="2" t="s">
        <v>4</v>
      </c>
      <c r="C485" s="2" t="str">
        <f t="shared" si="15"/>
        <v>2301158##</v>
      </c>
      <c r="D485" s="2"/>
      <c r="E485" s="2" t="str">
        <f>IFERROR(VLOOKUP(1*LEFT(C485,7),DF!$A$1:$F$9447,2,FALSE),"")</f>
        <v>TRICOTA C/POLERA FORRADA GRIS EM</v>
      </c>
      <c r="F485" s="7">
        <v>2301158</v>
      </c>
      <c r="G485" t="s">
        <v>12808</v>
      </c>
      <c r="H485">
        <v>8</v>
      </c>
      <c r="I485">
        <v>1</v>
      </c>
    </row>
    <row r="486" spans="1:9" x14ac:dyDescent="0.25">
      <c r="A486" s="2">
        <v>16522</v>
      </c>
      <c r="B486" s="2" t="s">
        <v>4</v>
      </c>
      <c r="C486" s="2" t="str">
        <f t="shared" si="15"/>
        <v>2301048##</v>
      </c>
      <c r="D486" s="2"/>
      <c r="E486" s="2" t="str">
        <f>IFERROR(VLOOKUP(1*LEFT(C486,7),DF!$A$1:$F$9447,2,FALSE),"")</f>
        <v>TRICOTA C/POLERA FORRADA NEGRA EM</v>
      </c>
      <c r="F486" s="7">
        <v>2301048</v>
      </c>
      <c r="G486" t="s">
        <v>12809</v>
      </c>
      <c r="H486">
        <v>8</v>
      </c>
      <c r="I486">
        <v>1</v>
      </c>
    </row>
    <row r="487" spans="1:9" x14ac:dyDescent="0.25">
      <c r="A487" s="2">
        <v>16522</v>
      </c>
      <c r="B487" s="2" t="s">
        <v>4</v>
      </c>
      <c r="C487" s="2" t="str">
        <f t="shared" si="15"/>
        <v>2301300##</v>
      </c>
      <c r="D487" s="2"/>
      <c r="E487" s="2" t="str">
        <f>IFERROR(VLOOKUP(1*LEFT(C487,7),DF!$A$1:$F$9447,2,FALSE),"")</f>
        <v>TRICOTA C/POLERA FORRADA VERDE EM</v>
      </c>
      <c r="F487" s="7">
        <v>2301300</v>
      </c>
      <c r="G487" t="s">
        <v>12810</v>
      </c>
      <c r="H487">
        <v>8</v>
      </c>
      <c r="I487">
        <v>1</v>
      </c>
    </row>
    <row r="488" spans="1:9" x14ac:dyDescent="0.25">
      <c r="A488" s="2">
        <v>16522</v>
      </c>
      <c r="B488" s="2" t="s">
        <v>4</v>
      </c>
      <c r="C488" s="2" t="str">
        <f t="shared" si="15"/>
        <v>2301777##</v>
      </c>
      <c r="D488" s="2"/>
      <c r="E488" s="2" t="str">
        <f>IFERROR(VLOOKUP(1*LEFT(C488,7),DF!$A$1:$F$9447,2,FALSE),"")</f>
        <v>TRICOTA CUELLO REDONDO FORRADA AZUL EM</v>
      </c>
      <c r="F488" s="7">
        <v>2301777</v>
      </c>
      <c r="G488" t="s">
        <v>12811</v>
      </c>
      <c r="H488">
        <v>4</v>
      </c>
      <c r="I488">
        <v>1</v>
      </c>
    </row>
    <row r="489" spans="1:9" x14ac:dyDescent="0.25">
      <c r="A489" s="2">
        <v>16522</v>
      </c>
      <c r="B489" s="2" t="s">
        <v>4</v>
      </c>
      <c r="C489" s="2" t="str">
        <f t="shared" si="15"/>
        <v>2301900##</v>
      </c>
      <c r="D489" s="2"/>
      <c r="E489" s="2" t="str">
        <f>IFERROR(VLOOKUP(1*LEFT(C489,7),DF!$A$1:$F$9447,2,FALSE),"")</f>
        <v>TRICOTA CUELLO REDONDO NEGRA EM</v>
      </c>
      <c r="F489" s="7">
        <v>2301900</v>
      </c>
      <c r="G489" t="s">
        <v>12812</v>
      </c>
      <c r="H489">
        <v>4</v>
      </c>
      <c r="I489">
        <v>1</v>
      </c>
    </row>
    <row r="490" spans="1:9" x14ac:dyDescent="0.25">
      <c r="A490" s="2">
        <v>16522</v>
      </c>
      <c r="B490" s="2" t="s">
        <v>4</v>
      </c>
      <c r="C490" s="2" t="str">
        <f t="shared" si="15"/>
        <v>2301333##</v>
      </c>
      <c r="D490" s="2"/>
      <c r="E490" s="2" t="str">
        <f>IFERROR(VLOOKUP(1*LEFT(C490,7),DF!$A$1:$F$9447,2,FALSE),"")</f>
        <v>TRICOTA CUELLO REDONDO VERDE EM</v>
      </c>
      <c r="F490" s="7">
        <v>2301333</v>
      </c>
      <c r="G490" t="s">
        <v>12813</v>
      </c>
      <c r="H490">
        <v>4</v>
      </c>
      <c r="I490">
        <v>1</v>
      </c>
    </row>
    <row r="491" spans="1:9" x14ac:dyDescent="0.25">
      <c r="A491" s="2">
        <v>16522</v>
      </c>
      <c r="B491" s="2" t="s">
        <v>4</v>
      </c>
      <c r="C491" s="2" t="str">
        <f t="shared" si="15"/>
        <v>2301666##</v>
      </c>
      <c r="D491" s="2"/>
      <c r="E491" s="2" t="str">
        <f>IFERROR(VLOOKUP(1*LEFT(C491,7),DF!$A$1:$F$9447,2,FALSE),"")</f>
        <v>TRICOTA ESCOTE V SIN FORRO AZUL EM</v>
      </c>
      <c r="F491" s="7">
        <v>2301666</v>
      </c>
      <c r="G491" t="s">
        <v>12814</v>
      </c>
      <c r="H491">
        <v>3</v>
      </c>
      <c r="I491">
        <v>1</v>
      </c>
    </row>
    <row r="492" spans="1:9" x14ac:dyDescent="0.25">
      <c r="A492" s="2">
        <v>16522</v>
      </c>
      <c r="B492" s="2" t="s">
        <v>4</v>
      </c>
      <c r="C492" s="2" t="str">
        <f t="shared" si="15"/>
        <v>2301046##</v>
      </c>
      <c r="D492" s="2"/>
      <c r="E492" s="2" t="str">
        <f>IFERROR(VLOOKUP(1*LEFT(C492,7),DF!$A$1:$F$9447,2,FALSE),"")</f>
        <v>TRICOTA ESCOTE V SIN FORRO NEGRA EM</v>
      </c>
      <c r="F492" s="7">
        <v>2301046</v>
      </c>
      <c r="G492" t="s">
        <v>12815</v>
      </c>
      <c r="H492">
        <v>5</v>
      </c>
      <c r="I492">
        <v>1</v>
      </c>
    </row>
    <row r="493" spans="1:9" x14ac:dyDescent="0.25">
      <c r="A493" s="2">
        <v>16522</v>
      </c>
      <c r="B493" s="2" t="s">
        <v>4</v>
      </c>
      <c r="C493" s="2" t="str">
        <f t="shared" si="15"/>
        <v>8203265##</v>
      </c>
      <c r="D493" s="2"/>
      <c r="E493" s="2" t="str">
        <f>IFERROR(VLOOKUP(1*LEFT(C493,7),DF!$A$1:$F$9447,2,FALSE),"")</f>
        <v>ZAPATO DAMA CUERO FLOR ART.265 RER</v>
      </c>
      <c r="F493" s="7">
        <v>8203265</v>
      </c>
      <c r="G493" t="s">
        <v>12816</v>
      </c>
      <c r="H493">
        <v>8</v>
      </c>
      <c r="I493">
        <v>1</v>
      </c>
    </row>
    <row r="494" spans="1:9" x14ac:dyDescent="0.25">
      <c r="A494" s="2">
        <v>16522</v>
      </c>
      <c r="B494" s="2" t="s">
        <v>4</v>
      </c>
      <c r="C494" s="2" t="str">
        <f t="shared" si="15"/>
        <v>8203830##</v>
      </c>
      <c r="D494" s="2"/>
      <c r="E494" s="2" t="str">
        <f>IFERROR(VLOOKUP(1*LEFT(C494,7),DF!$A$1:$F$9447,2,FALSE),"")</f>
        <v>ZAPATO GOMA ELE</v>
      </c>
      <c r="F494" s="7">
        <v>8203830</v>
      </c>
      <c r="G494" t="s">
        <v>12817</v>
      </c>
      <c r="H494">
        <v>3</v>
      </c>
      <c r="I494">
        <v>1</v>
      </c>
    </row>
    <row r="495" spans="1:9" x14ac:dyDescent="0.25">
      <c r="A495" s="2">
        <v>16522</v>
      </c>
      <c r="B495" s="2" t="s">
        <v>4</v>
      </c>
      <c r="C495" s="2" t="str">
        <f t="shared" ref="C495" si="16">CONCATENATE(F495,"##")</f>
        <v>8505826##</v>
      </c>
      <c r="D495" s="2"/>
      <c r="E495" s="2" t="str">
        <f>IFERROR(VLOOKUP(1*LEFT(C495,7),DF!$A$1:$F$9447,2,FALSE),"")</f>
        <v>BARBIJO TAPABOCA RIP REV. CAMU</v>
      </c>
      <c r="F495">
        <v>8505826</v>
      </c>
      <c r="G495" t="s">
        <v>14013</v>
      </c>
      <c r="H495">
        <v>5</v>
      </c>
    </row>
    <row r="496" spans="1:9" x14ac:dyDescent="0.25">
      <c r="A496" s="2">
        <v>16522</v>
      </c>
      <c r="B496" s="2" t="s">
        <v>4</v>
      </c>
      <c r="C496" s="2" t="str">
        <f t="shared" ref="C496" si="17">CONCATENATE(F496,"##")</f>
        <v>8505650##</v>
      </c>
      <c r="D496" s="2"/>
      <c r="E496" s="2" t="str">
        <f>IFERROR(VLOOKUP(1*LEFT(C496,7),DF!$A$1:$F$9447,2,FALSE),"")</f>
        <v>BARBIJO TAPABOCA IUSP</v>
      </c>
      <c r="F496">
        <v>8505650</v>
      </c>
      <c r="G496" t="s">
        <v>14014</v>
      </c>
      <c r="H496">
        <v>2</v>
      </c>
    </row>
  </sheetData>
  <autoFilter ref="A1:J326">
    <sortState ref="A2:J512">
      <sortCondition ref="E1:E333"/>
    </sortState>
  </autoFilter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4"/>
  <sheetViews>
    <sheetView workbookViewId="0">
      <selection activeCell="B1" sqref="B1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6" t="s">
        <v>6960</v>
      </c>
      <c r="B1" t="str">
        <f>B10</f>
        <v>https://img.rerda.com/imagenes_rerda/</v>
      </c>
    </row>
    <row r="2" spans="1:2" x14ac:dyDescent="0.25">
      <c r="A2" s="1" t="s">
        <v>6961</v>
      </c>
      <c r="B2" s="3" t="s">
        <v>6962</v>
      </c>
    </row>
    <row r="7" spans="1:2" x14ac:dyDescent="0.25">
      <c r="B7" s="1" t="s">
        <v>6974</v>
      </c>
    </row>
    <row r="8" spans="1:2" x14ac:dyDescent="0.25">
      <c r="B8" s="9" t="s">
        <v>7027</v>
      </c>
    </row>
    <row r="9" spans="1:2" x14ac:dyDescent="0.25">
      <c r="B9" s="9" t="s">
        <v>12301</v>
      </c>
    </row>
    <row r="10" spans="1:2" x14ac:dyDescent="0.25">
      <c r="B10" s="9" t="s">
        <v>12407</v>
      </c>
    </row>
    <row r="11" spans="1:2" x14ac:dyDescent="0.25">
      <c r="A11" s="1" t="s">
        <v>6975</v>
      </c>
      <c r="B11" t="s">
        <v>12406</v>
      </c>
    </row>
    <row r="12" spans="1:2" x14ac:dyDescent="0.25">
      <c r="A12" s="5" t="s">
        <v>6976</v>
      </c>
      <c r="B12" t="s">
        <v>12405</v>
      </c>
    </row>
    <row r="14" spans="1:2" x14ac:dyDescent="0.25">
      <c r="B14" t="s">
        <v>12404</v>
      </c>
    </row>
  </sheetData>
  <hyperlinks>
    <hyperlink ref="B9" r:id="rId1"/>
    <hyperlink ref="B8" r:id="rId2"/>
    <hyperlink ref="B10" r:id="rId3"/>
  </hyperlinks>
  <pageMargins left="0.7" right="0.7" top="0.75" bottom="0.75" header="0.3" footer="0.3"/>
  <pageSetup paperSize="9" orientation="portrait" horizontalDpi="0" verticalDpi="0"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G5340"/>
  <sheetViews>
    <sheetView workbookViewId="0">
      <selection activeCell="E6" sqref="E6"/>
    </sheetView>
  </sheetViews>
  <sheetFormatPr baseColWidth="10" defaultRowHeight="15" x14ac:dyDescent="0.25"/>
  <cols>
    <col min="1" max="1" width="11.85546875" bestFit="1" customWidth="1"/>
    <col min="2" max="2" width="11" customWidth="1"/>
    <col min="3" max="3" width="9.7109375" customWidth="1"/>
    <col min="4" max="4" width="16.7109375" customWidth="1"/>
    <col min="5" max="5" width="61.7109375" customWidth="1"/>
    <col min="6" max="6" width="31.85546875" style="21" customWidth="1"/>
    <col min="7" max="7" width="38.85546875" customWidth="1"/>
  </cols>
  <sheetData>
    <row r="1" spans="1:7" x14ac:dyDescent="0.25">
      <c r="A1" s="1" t="s">
        <v>2</v>
      </c>
      <c r="B1" s="14" t="s">
        <v>7029</v>
      </c>
      <c r="C1" s="14" t="s">
        <v>7030</v>
      </c>
      <c r="D1" s="14" t="s">
        <v>2</v>
      </c>
      <c r="E1" s="14" t="s">
        <v>3</v>
      </c>
      <c r="F1" s="19" t="s">
        <v>7031</v>
      </c>
      <c r="G1" s="14" t="s">
        <v>7032</v>
      </c>
    </row>
    <row r="2" spans="1:7" x14ac:dyDescent="0.25">
      <c r="A2">
        <f>LEFT(D2,7)*1</f>
        <v>8518014</v>
      </c>
      <c r="B2" s="15">
        <v>140640091</v>
      </c>
      <c r="C2" s="15">
        <v>290219327</v>
      </c>
      <c r="D2" s="16">
        <v>851801409</v>
      </c>
      <c r="E2" s="16" t="s">
        <v>5930</v>
      </c>
      <c r="F2" s="20" t="s">
        <v>7323</v>
      </c>
      <c r="G2" s="12" t="s">
        <v>8379</v>
      </c>
    </row>
    <row r="3" spans="1:7" x14ac:dyDescent="0.25">
      <c r="A3">
        <f t="shared" ref="A3:A66" si="0">LEFT(D3,7)*1</f>
        <v>8518014</v>
      </c>
      <c r="B3" s="15">
        <v>140640091</v>
      </c>
      <c r="C3" s="15">
        <v>290219321</v>
      </c>
      <c r="D3" s="16">
        <v>851801406</v>
      </c>
      <c r="E3" s="16" t="s">
        <v>5930</v>
      </c>
      <c r="F3" s="20" t="s">
        <v>7324</v>
      </c>
      <c r="G3" s="7" t="s">
        <v>8380</v>
      </c>
    </row>
    <row r="4" spans="1:7" x14ac:dyDescent="0.25">
      <c r="A4">
        <f t="shared" si="0"/>
        <v>8518014</v>
      </c>
      <c r="B4" s="15">
        <v>140640091</v>
      </c>
      <c r="C4" s="15">
        <v>290219316</v>
      </c>
      <c r="D4" s="16">
        <v>851801403</v>
      </c>
      <c r="E4" s="16" t="s">
        <v>5930</v>
      </c>
      <c r="F4" s="20" t="s">
        <v>7325</v>
      </c>
      <c r="G4" s="7" t="s">
        <v>8381</v>
      </c>
    </row>
    <row r="5" spans="1:7" x14ac:dyDescent="0.25">
      <c r="A5">
        <f t="shared" si="0"/>
        <v>8518014</v>
      </c>
      <c r="B5" s="15">
        <v>140536606</v>
      </c>
      <c r="C5" s="15">
        <v>290110194</v>
      </c>
      <c r="D5" s="16">
        <v>851801409</v>
      </c>
      <c r="E5" s="16" t="s">
        <v>7326</v>
      </c>
      <c r="F5" s="20" t="s">
        <v>7323</v>
      </c>
      <c r="G5" s="12" t="s">
        <v>8379</v>
      </c>
    </row>
    <row r="6" spans="1:7" x14ac:dyDescent="0.25">
      <c r="A6">
        <f t="shared" si="0"/>
        <v>8518014</v>
      </c>
      <c r="B6" s="15">
        <v>140536606</v>
      </c>
      <c r="C6" s="15">
        <v>290110192</v>
      </c>
      <c r="D6" s="16">
        <v>851801403</v>
      </c>
      <c r="E6" s="16" t="s">
        <v>7326</v>
      </c>
      <c r="F6" s="20" t="s">
        <v>7325</v>
      </c>
      <c r="G6" s="7" t="s">
        <v>8381</v>
      </c>
    </row>
    <row r="7" spans="1:7" x14ac:dyDescent="0.25">
      <c r="A7">
        <f t="shared" si="0"/>
        <v>8518014</v>
      </c>
      <c r="B7" s="15">
        <v>140536606</v>
      </c>
      <c r="C7" s="15">
        <v>290110193</v>
      </c>
      <c r="D7" s="16">
        <v>851801406</v>
      </c>
      <c r="E7" s="16" t="s">
        <v>7326</v>
      </c>
      <c r="F7" s="20" t="s">
        <v>7324</v>
      </c>
      <c r="G7" s="7" t="s">
        <v>8380</v>
      </c>
    </row>
    <row r="8" spans="1:7" x14ac:dyDescent="0.25">
      <c r="A8">
        <f t="shared" si="0"/>
        <v>8301558</v>
      </c>
      <c r="B8" s="15">
        <v>140640090</v>
      </c>
      <c r="C8" s="15">
        <v>290219310</v>
      </c>
      <c r="D8" s="16">
        <v>830155858</v>
      </c>
      <c r="E8" s="16" t="s">
        <v>5310</v>
      </c>
      <c r="F8" s="20" t="s">
        <v>7037</v>
      </c>
      <c r="G8" s="17" t="s">
        <v>7038</v>
      </c>
    </row>
    <row r="9" spans="1:7" x14ac:dyDescent="0.25">
      <c r="A9">
        <f t="shared" si="0"/>
        <v>8301558</v>
      </c>
      <c r="B9" s="15">
        <v>140640090</v>
      </c>
      <c r="C9" s="15">
        <v>290219315</v>
      </c>
      <c r="D9" s="16">
        <v>830155860</v>
      </c>
      <c r="E9" s="16" t="s">
        <v>5310</v>
      </c>
      <c r="F9" s="20" t="s">
        <v>7040</v>
      </c>
      <c r="G9" s="17" t="s">
        <v>7038</v>
      </c>
    </row>
    <row r="10" spans="1:7" x14ac:dyDescent="0.25">
      <c r="A10">
        <f t="shared" si="0"/>
        <v>8301558</v>
      </c>
      <c r="B10" s="15">
        <v>140640090</v>
      </c>
      <c r="C10" s="15">
        <v>290219313</v>
      </c>
      <c r="D10" s="16">
        <v>830155859</v>
      </c>
      <c r="E10" s="16" t="s">
        <v>5310</v>
      </c>
      <c r="F10" s="20" t="s">
        <v>7039</v>
      </c>
      <c r="G10" s="17" t="s">
        <v>7038</v>
      </c>
    </row>
    <row r="11" spans="1:7" x14ac:dyDescent="0.25">
      <c r="A11">
        <f t="shared" si="0"/>
        <v>8301558</v>
      </c>
      <c r="B11" s="15">
        <v>140640118</v>
      </c>
      <c r="C11" s="15">
        <v>290219715</v>
      </c>
      <c r="D11" s="16">
        <v>830155860</v>
      </c>
      <c r="E11" s="16" t="s">
        <v>7327</v>
      </c>
      <c r="F11" s="20" t="s">
        <v>7040</v>
      </c>
      <c r="G11" s="17" t="s">
        <v>7038</v>
      </c>
    </row>
    <row r="12" spans="1:7" x14ac:dyDescent="0.25">
      <c r="A12">
        <f t="shared" si="0"/>
        <v>8301558</v>
      </c>
      <c r="B12" s="15">
        <v>140640118</v>
      </c>
      <c r="C12" s="15">
        <v>290219701</v>
      </c>
      <c r="D12" s="16">
        <v>830155858</v>
      </c>
      <c r="E12" s="16" t="s">
        <v>7327</v>
      </c>
      <c r="F12" s="20" t="s">
        <v>7037</v>
      </c>
      <c r="G12" s="17" t="s">
        <v>7038</v>
      </c>
    </row>
    <row r="13" spans="1:7" x14ac:dyDescent="0.25">
      <c r="A13">
        <f t="shared" si="0"/>
        <v>8301558</v>
      </c>
      <c r="B13" s="15">
        <v>140640118</v>
      </c>
      <c r="C13" s="15">
        <v>290219707</v>
      </c>
      <c r="D13" s="16">
        <v>830155859</v>
      </c>
      <c r="E13" s="16" t="s">
        <v>7327</v>
      </c>
      <c r="F13" s="20" t="s">
        <v>7039</v>
      </c>
      <c r="G13" s="17" t="s">
        <v>7038</v>
      </c>
    </row>
    <row r="14" spans="1:7" x14ac:dyDescent="0.25">
      <c r="A14">
        <f t="shared" si="0"/>
        <v>8301000</v>
      </c>
      <c r="B14" s="15">
        <v>140640119</v>
      </c>
      <c r="C14" s="15">
        <v>290219717</v>
      </c>
      <c r="D14" s="16">
        <v>830100003</v>
      </c>
      <c r="E14" s="16" t="s">
        <v>7041</v>
      </c>
      <c r="F14" s="20" t="s">
        <v>7328</v>
      </c>
      <c r="G14" s="17" t="s">
        <v>7042</v>
      </c>
    </row>
    <row r="15" spans="1:7" x14ac:dyDescent="0.25">
      <c r="A15">
        <f t="shared" si="0"/>
        <v>8301000</v>
      </c>
      <c r="B15" s="15">
        <v>140640119</v>
      </c>
      <c r="C15" s="15">
        <v>290219709</v>
      </c>
      <c r="D15" s="16">
        <v>830100001</v>
      </c>
      <c r="E15" s="16" t="s">
        <v>7041</v>
      </c>
      <c r="F15" s="20" t="s">
        <v>7329</v>
      </c>
      <c r="G15" s="17" t="s">
        <v>7042</v>
      </c>
    </row>
    <row r="16" spans="1:7" x14ac:dyDescent="0.25">
      <c r="A16">
        <f t="shared" si="0"/>
        <v>8301008</v>
      </c>
      <c r="B16" s="15">
        <v>140640119</v>
      </c>
      <c r="C16" s="15">
        <v>290219720</v>
      </c>
      <c r="D16" s="16">
        <v>830100801</v>
      </c>
      <c r="E16" s="16" t="s">
        <v>7041</v>
      </c>
      <c r="F16" s="20" t="s">
        <v>7330</v>
      </c>
      <c r="G16" s="17" t="s">
        <v>7043</v>
      </c>
    </row>
    <row r="17" spans="1:7" x14ac:dyDescent="0.25">
      <c r="A17">
        <f t="shared" si="0"/>
        <v>8301000</v>
      </c>
      <c r="B17" s="15">
        <v>140640119</v>
      </c>
      <c r="C17" s="15">
        <v>290219713</v>
      </c>
      <c r="D17" s="16">
        <v>830100002</v>
      </c>
      <c r="E17" s="16" t="s">
        <v>7041</v>
      </c>
      <c r="F17" s="20" t="s">
        <v>7331</v>
      </c>
      <c r="G17" s="17" t="s">
        <v>7042</v>
      </c>
    </row>
    <row r="18" spans="1:7" x14ac:dyDescent="0.25">
      <c r="A18">
        <f t="shared" si="0"/>
        <v>8301000</v>
      </c>
      <c r="B18" s="15">
        <v>140640119</v>
      </c>
      <c r="C18" s="15">
        <v>290219752</v>
      </c>
      <c r="D18" s="16">
        <v>830100061</v>
      </c>
      <c r="E18" s="16" t="s">
        <v>7041</v>
      </c>
      <c r="F18" s="20" t="s">
        <v>7332</v>
      </c>
      <c r="G18" s="17" t="s">
        <v>7042</v>
      </c>
    </row>
    <row r="19" spans="1:7" x14ac:dyDescent="0.25">
      <c r="A19">
        <f t="shared" si="0"/>
        <v>8301805</v>
      </c>
      <c r="B19" s="15">
        <v>140640119</v>
      </c>
      <c r="C19" s="15">
        <v>290219736</v>
      </c>
      <c r="D19" s="16">
        <v>830180503</v>
      </c>
      <c r="E19" s="16" t="s">
        <v>7041</v>
      </c>
      <c r="F19" s="20" t="s">
        <v>7333</v>
      </c>
      <c r="G19" s="17" t="s">
        <v>7044</v>
      </c>
    </row>
    <row r="20" spans="1:7" x14ac:dyDescent="0.25">
      <c r="A20">
        <f t="shared" si="0"/>
        <v>8301805</v>
      </c>
      <c r="B20" s="15">
        <v>140640119</v>
      </c>
      <c r="C20" s="15">
        <v>290219730</v>
      </c>
      <c r="D20" s="16">
        <v>830180501</v>
      </c>
      <c r="E20" s="16" t="s">
        <v>7041</v>
      </c>
      <c r="F20" s="20" t="s">
        <v>7334</v>
      </c>
      <c r="G20" s="17" t="s">
        <v>7044</v>
      </c>
    </row>
    <row r="21" spans="1:7" x14ac:dyDescent="0.25">
      <c r="A21">
        <f t="shared" si="0"/>
        <v>8301000</v>
      </c>
      <c r="B21" s="15">
        <v>140640119</v>
      </c>
      <c r="C21" s="15">
        <v>290219742</v>
      </c>
      <c r="D21" s="16">
        <v>830100058</v>
      </c>
      <c r="E21" s="16" t="s">
        <v>7041</v>
      </c>
      <c r="F21" s="20" t="s">
        <v>7259</v>
      </c>
      <c r="G21" s="17" t="s">
        <v>7042</v>
      </c>
    </row>
    <row r="22" spans="1:7" x14ac:dyDescent="0.25">
      <c r="A22">
        <f t="shared" si="0"/>
        <v>8301008</v>
      </c>
      <c r="B22" s="15">
        <v>140640119</v>
      </c>
      <c r="C22" s="15">
        <v>290219725</v>
      </c>
      <c r="D22" s="16">
        <v>830100802</v>
      </c>
      <c r="E22" s="16" t="s">
        <v>7041</v>
      </c>
      <c r="F22" s="20" t="s">
        <v>7335</v>
      </c>
      <c r="G22" s="17" t="s">
        <v>7043</v>
      </c>
    </row>
    <row r="23" spans="1:7" x14ac:dyDescent="0.25">
      <c r="A23">
        <f t="shared" si="0"/>
        <v>8301008</v>
      </c>
      <c r="B23" s="15">
        <v>140640119</v>
      </c>
      <c r="C23" s="15">
        <v>290219728</v>
      </c>
      <c r="D23" s="16">
        <v>830100803</v>
      </c>
      <c r="E23" s="16" t="s">
        <v>7041</v>
      </c>
      <c r="F23" s="20" t="s">
        <v>7336</v>
      </c>
      <c r="G23" s="17" t="s">
        <v>7043</v>
      </c>
    </row>
    <row r="24" spans="1:7" x14ac:dyDescent="0.25">
      <c r="A24">
        <f t="shared" si="0"/>
        <v>8301000</v>
      </c>
      <c r="B24" s="15">
        <v>140640119</v>
      </c>
      <c r="C24" s="15">
        <v>290219745</v>
      </c>
      <c r="D24" s="16">
        <v>830100059</v>
      </c>
      <c r="E24" s="16" t="s">
        <v>7041</v>
      </c>
      <c r="F24" s="20" t="s">
        <v>7337</v>
      </c>
      <c r="G24" s="17" t="s">
        <v>7042</v>
      </c>
    </row>
    <row r="25" spans="1:7" x14ac:dyDescent="0.25">
      <c r="A25">
        <f t="shared" si="0"/>
        <v>8301000</v>
      </c>
      <c r="B25" s="15">
        <v>140640119</v>
      </c>
      <c r="C25" s="15">
        <v>290219748</v>
      </c>
      <c r="D25" s="16">
        <v>830100060</v>
      </c>
      <c r="E25" s="16" t="s">
        <v>7041</v>
      </c>
      <c r="F25" s="20" t="s">
        <v>7260</v>
      </c>
      <c r="G25" s="17" t="s">
        <v>7042</v>
      </c>
    </row>
    <row r="26" spans="1:7" x14ac:dyDescent="0.25">
      <c r="A26">
        <f t="shared" si="0"/>
        <v>8301000</v>
      </c>
      <c r="B26" s="15">
        <v>140640119</v>
      </c>
      <c r="C26" s="15">
        <v>290219738</v>
      </c>
      <c r="D26" s="16">
        <v>830100057</v>
      </c>
      <c r="E26" s="16" t="s">
        <v>7041</v>
      </c>
      <c r="F26" s="20" t="s">
        <v>7338</v>
      </c>
      <c r="G26" s="17" t="s">
        <v>7042</v>
      </c>
    </row>
    <row r="27" spans="1:7" x14ac:dyDescent="0.25">
      <c r="A27">
        <f t="shared" si="0"/>
        <v>8301805</v>
      </c>
      <c r="B27" s="15">
        <v>140640119</v>
      </c>
      <c r="C27" s="15">
        <v>290219732</v>
      </c>
      <c r="D27" s="16">
        <v>830180502</v>
      </c>
      <c r="E27" s="16" t="s">
        <v>7041</v>
      </c>
      <c r="F27" s="20" t="s">
        <v>7339</v>
      </c>
      <c r="G27" s="17" t="s">
        <v>7044</v>
      </c>
    </row>
    <row r="28" spans="1:7" x14ac:dyDescent="0.25">
      <c r="A28">
        <f t="shared" si="0"/>
        <v>8301000</v>
      </c>
      <c r="B28" s="15">
        <v>140640097</v>
      </c>
      <c r="C28" s="15">
        <v>290219365</v>
      </c>
      <c r="D28" s="16">
        <v>830100001</v>
      </c>
      <c r="E28" s="16" t="s">
        <v>7045</v>
      </c>
      <c r="F28" s="20" t="s">
        <v>7329</v>
      </c>
      <c r="G28" s="17" t="s">
        <v>7042</v>
      </c>
    </row>
    <row r="29" spans="1:7" x14ac:dyDescent="0.25">
      <c r="A29">
        <f t="shared" si="0"/>
        <v>8301008</v>
      </c>
      <c r="B29" s="15">
        <v>140640097</v>
      </c>
      <c r="C29" s="15">
        <v>290219373</v>
      </c>
      <c r="D29" s="16">
        <v>830100802</v>
      </c>
      <c r="E29" s="16" t="s">
        <v>7045</v>
      </c>
      <c r="F29" s="20" t="s">
        <v>7335</v>
      </c>
      <c r="G29" s="17" t="s">
        <v>7043</v>
      </c>
    </row>
    <row r="30" spans="1:7" x14ac:dyDescent="0.25">
      <c r="A30">
        <f t="shared" si="0"/>
        <v>8301000</v>
      </c>
      <c r="B30" s="15">
        <v>140640097</v>
      </c>
      <c r="C30" s="15">
        <v>290219393</v>
      </c>
      <c r="D30" s="16">
        <v>830100061</v>
      </c>
      <c r="E30" s="16" t="s">
        <v>7045</v>
      </c>
      <c r="F30" s="20" t="s">
        <v>7332</v>
      </c>
      <c r="G30" s="17" t="s">
        <v>7042</v>
      </c>
    </row>
    <row r="31" spans="1:7" x14ac:dyDescent="0.25">
      <c r="A31">
        <f t="shared" si="0"/>
        <v>8301000</v>
      </c>
      <c r="B31" s="15">
        <v>140640097</v>
      </c>
      <c r="C31" s="15">
        <v>290219389</v>
      </c>
      <c r="D31" s="16">
        <v>830100060</v>
      </c>
      <c r="E31" s="16" t="s">
        <v>7045</v>
      </c>
      <c r="F31" s="20" t="s">
        <v>7260</v>
      </c>
      <c r="G31" s="17" t="s">
        <v>7042</v>
      </c>
    </row>
    <row r="32" spans="1:7" x14ac:dyDescent="0.25">
      <c r="A32">
        <f t="shared" si="0"/>
        <v>8301008</v>
      </c>
      <c r="B32" s="15">
        <v>140640097</v>
      </c>
      <c r="C32" s="15">
        <v>290219370</v>
      </c>
      <c r="D32" s="16">
        <v>830100801</v>
      </c>
      <c r="E32" s="16" t="s">
        <v>7045</v>
      </c>
      <c r="F32" s="20" t="s">
        <v>7330</v>
      </c>
      <c r="G32" s="17" t="s">
        <v>7043</v>
      </c>
    </row>
    <row r="33" spans="1:7" x14ac:dyDescent="0.25">
      <c r="A33">
        <f t="shared" si="0"/>
        <v>8301805</v>
      </c>
      <c r="B33" s="15">
        <v>140640097</v>
      </c>
      <c r="C33" s="15">
        <v>290219379</v>
      </c>
      <c r="D33" s="16">
        <v>830180502</v>
      </c>
      <c r="E33" s="16" t="s">
        <v>7045</v>
      </c>
      <c r="F33" s="20" t="s">
        <v>7339</v>
      </c>
      <c r="G33" s="17" t="s">
        <v>7044</v>
      </c>
    </row>
    <row r="34" spans="1:7" x14ac:dyDescent="0.25">
      <c r="A34">
        <f t="shared" si="0"/>
        <v>8301000</v>
      </c>
      <c r="B34" s="15">
        <v>140640097</v>
      </c>
      <c r="C34" s="15">
        <v>290219369</v>
      </c>
      <c r="D34" s="16">
        <v>830100003</v>
      </c>
      <c r="E34" s="16" t="s">
        <v>7045</v>
      </c>
      <c r="F34" s="20" t="s">
        <v>7328</v>
      </c>
      <c r="G34" s="17" t="s">
        <v>7042</v>
      </c>
    </row>
    <row r="35" spans="1:7" x14ac:dyDescent="0.25">
      <c r="A35">
        <f t="shared" si="0"/>
        <v>8301805</v>
      </c>
      <c r="B35" s="15">
        <v>140640097</v>
      </c>
      <c r="C35" s="15">
        <v>290219363</v>
      </c>
      <c r="D35" s="16">
        <v>830180501</v>
      </c>
      <c r="E35" s="16" t="s">
        <v>7045</v>
      </c>
      <c r="F35" s="20" t="s">
        <v>7334</v>
      </c>
      <c r="G35" s="17" t="s">
        <v>7044</v>
      </c>
    </row>
    <row r="36" spans="1:7" x14ac:dyDescent="0.25">
      <c r="A36">
        <f t="shared" si="0"/>
        <v>8301008</v>
      </c>
      <c r="B36" s="15">
        <v>140640097</v>
      </c>
      <c r="C36" s="15">
        <v>290219375</v>
      </c>
      <c r="D36" s="16">
        <v>830100803</v>
      </c>
      <c r="E36" s="16" t="s">
        <v>7045</v>
      </c>
      <c r="F36" s="20" t="s">
        <v>7336</v>
      </c>
      <c r="G36" s="17" t="s">
        <v>7043</v>
      </c>
    </row>
    <row r="37" spans="1:7" x14ac:dyDescent="0.25">
      <c r="A37">
        <f t="shared" si="0"/>
        <v>8301000</v>
      </c>
      <c r="B37" s="15">
        <v>140640097</v>
      </c>
      <c r="C37" s="15">
        <v>290219387</v>
      </c>
      <c r="D37" s="16">
        <v>830100059</v>
      </c>
      <c r="E37" s="16" t="s">
        <v>7045</v>
      </c>
      <c r="F37" s="20" t="s">
        <v>7337</v>
      </c>
      <c r="G37" s="17" t="s">
        <v>7042</v>
      </c>
    </row>
    <row r="38" spans="1:7" x14ac:dyDescent="0.25">
      <c r="A38">
        <f t="shared" si="0"/>
        <v>8301000</v>
      </c>
      <c r="B38" s="15">
        <v>140640097</v>
      </c>
      <c r="C38" s="15">
        <v>290219385</v>
      </c>
      <c r="D38" s="16">
        <v>830100058</v>
      </c>
      <c r="E38" s="16" t="s">
        <v>7045</v>
      </c>
      <c r="F38" s="20" t="s">
        <v>7259</v>
      </c>
      <c r="G38" s="17" t="s">
        <v>7042</v>
      </c>
    </row>
    <row r="39" spans="1:7" x14ac:dyDescent="0.25">
      <c r="A39">
        <f t="shared" si="0"/>
        <v>8301000</v>
      </c>
      <c r="B39" s="15">
        <v>140640097</v>
      </c>
      <c r="C39" s="15">
        <v>290219367</v>
      </c>
      <c r="D39" s="16">
        <v>830100002</v>
      </c>
      <c r="E39" s="16" t="s">
        <v>7045</v>
      </c>
      <c r="F39" s="20" t="s">
        <v>7331</v>
      </c>
      <c r="G39" s="17" t="s">
        <v>7042</v>
      </c>
    </row>
    <row r="40" spans="1:7" x14ac:dyDescent="0.25">
      <c r="A40">
        <f t="shared" si="0"/>
        <v>8301805</v>
      </c>
      <c r="B40" s="15">
        <v>140640097</v>
      </c>
      <c r="C40" s="15">
        <v>290219382</v>
      </c>
      <c r="D40" s="16">
        <v>830180503</v>
      </c>
      <c r="E40" s="16" t="s">
        <v>7045</v>
      </c>
      <c r="F40" s="20" t="s">
        <v>7333</v>
      </c>
      <c r="G40" s="17" t="s">
        <v>7044</v>
      </c>
    </row>
    <row r="41" spans="1:7" x14ac:dyDescent="0.25">
      <c r="A41">
        <f t="shared" si="0"/>
        <v>8301000</v>
      </c>
      <c r="B41" s="15">
        <v>140640097</v>
      </c>
      <c r="C41" s="15">
        <v>290219384</v>
      </c>
      <c r="D41" s="16">
        <v>830100057</v>
      </c>
      <c r="E41" s="16" t="s">
        <v>7045</v>
      </c>
      <c r="F41" s="20" t="s">
        <v>7338</v>
      </c>
      <c r="G41" s="17" t="s">
        <v>7042</v>
      </c>
    </row>
    <row r="42" spans="1:7" x14ac:dyDescent="0.25">
      <c r="A42">
        <f t="shared" si="0"/>
        <v>8708604</v>
      </c>
      <c r="B42" s="15">
        <v>140009548</v>
      </c>
      <c r="C42" s="15">
        <v>289560680</v>
      </c>
      <c r="D42" s="16">
        <v>870860405</v>
      </c>
      <c r="E42" s="16" t="s">
        <v>7046</v>
      </c>
      <c r="F42" s="20" t="s">
        <v>7050</v>
      </c>
      <c r="G42" s="17" t="s">
        <v>7340</v>
      </c>
    </row>
    <row r="43" spans="1:7" x14ac:dyDescent="0.25">
      <c r="A43">
        <f t="shared" si="0"/>
        <v>8708604</v>
      </c>
      <c r="B43" s="15">
        <v>140009548</v>
      </c>
      <c r="C43" s="15">
        <v>289560681</v>
      </c>
      <c r="D43" s="16">
        <v>870860402</v>
      </c>
      <c r="E43" s="16" t="s">
        <v>7046</v>
      </c>
      <c r="F43" s="20" t="s">
        <v>7048</v>
      </c>
      <c r="G43" s="17" t="s">
        <v>7341</v>
      </c>
    </row>
    <row r="44" spans="1:7" x14ac:dyDescent="0.25">
      <c r="A44">
        <f t="shared" si="0"/>
        <v>8708604</v>
      </c>
      <c r="B44" s="15">
        <v>140009548</v>
      </c>
      <c r="C44" s="15">
        <v>289560682</v>
      </c>
      <c r="D44" s="16">
        <v>870860406</v>
      </c>
      <c r="E44" s="16" t="s">
        <v>7046</v>
      </c>
      <c r="F44" s="20" t="s">
        <v>7033</v>
      </c>
      <c r="G44" s="17" t="s">
        <v>7342</v>
      </c>
    </row>
    <row r="45" spans="1:7" x14ac:dyDescent="0.25">
      <c r="A45">
        <f t="shared" si="0"/>
        <v>8708604</v>
      </c>
      <c r="B45" s="15">
        <v>140009548</v>
      </c>
      <c r="C45" s="15">
        <v>289560684</v>
      </c>
      <c r="D45" s="16">
        <v>870860404</v>
      </c>
      <c r="E45" s="16" t="s">
        <v>7046</v>
      </c>
      <c r="F45" s="20" t="s">
        <v>7049</v>
      </c>
      <c r="G45" s="17" t="s">
        <v>7343</v>
      </c>
    </row>
    <row r="46" spans="1:7" x14ac:dyDescent="0.25">
      <c r="A46">
        <f t="shared" si="0"/>
        <v>8708604</v>
      </c>
      <c r="B46" s="15">
        <v>140009548</v>
      </c>
      <c r="C46" s="15">
        <v>289560685</v>
      </c>
      <c r="D46" s="16">
        <v>870860401</v>
      </c>
      <c r="E46" s="16" t="s">
        <v>7046</v>
      </c>
      <c r="F46" s="20" t="s">
        <v>7047</v>
      </c>
      <c r="G46" s="17" t="s">
        <v>7344</v>
      </c>
    </row>
    <row r="47" spans="1:7" x14ac:dyDescent="0.25">
      <c r="A47">
        <f t="shared" si="0"/>
        <v>8708604</v>
      </c>
      <c r="B47" s="15">
        <v>140009548</v>
      </c>
      <c r="C47" s="15">
        <v>289560689</v>
      </c>
      <c r="D47" s="16">
        <v>870860408</v>
      </c>
      <c r="E47" s="16" t="s">
        <v>7046</v>
      </c>
      <c r="F47" s="20" t="s">
        <v>7052</v>
      </c>
      <c r="G47" s="17" t="s">
        <v>7345</v>
      </c>
    </row>
    <row r="48" spans="1:7" x14ac:dyDescent="0.25">
      <c r="A48">
        <f t="shared" si="0"/>
        <v>8708604</v>
      </c>
      <c r="B48" s="15">
        <v>140009548</v>
      </c>
      <c r="C48" s="15">
        <v>289560690</v>
      </c>
      <c r="D48" s="16">
        <v>870860409</v>
      </c>
      <c r="E48" s="16" t="s">
        <v>7046</v>
      </c>
      <c r="F48" s="20" t="s">
        <v>7035</v>
      </c>
      <c r="G48" s="17" t="s">
        <v>7346</v>
      </c>
    </row>
    <row r="49" spans="1:7" x14ac:dyDescent="0.25">
      <c r="A49">
        <f t="shared" si="0"/>
        <v>8708604</v>
      </c>
      <c r="B49" s="15">
        <v>140009548</v>
      </c>
      <c r="C49" s="15">
        <v>289560691</v>
      </c>
      <c r="D49" s="16">
        <v>870860411</v>
      </c>
      <c r="E49" s="16" t="s">
        <v>7046</v>
      </c>
      <c r="F49" s="20" t="s">
        <v>7053</v>
      </c>
      <c r="G49" s="17" t="s">
        <v>7347</v>
      </c>
    </row>
    <row r="50" spans="1:7" x14ac:dyDescent="0.25">
      <c r="A50">
        <f t="shared" si="0"/>
        <v>8708604</v>
      </c>
      <c r="B50" s="15">
        <v>140009548</v>
      </c>
      <c r="C50" s="15">
        <v>289560686</v>
      </c>
      <c r="D50" s="16">
        <v>870860403</v>
      </c>
      <c r="E50" s="16" t="s">
        <v>7046</v>
      </c>
      <c r="F50" s="20" t="s">
        <v>7034</v>
      </c>
      <c r="G50" s="17" t="s">
        <v>7348</v>
      </c>
    </row>
    <row r="51" spans="1:7" x14ac:dyDescent="0.25">
      <c r="A51">
        <f t="shared" si="0"/>
        <v>8708604</v>
      </c>
      <c r="B51" s="15">
        <v>140009548</v>
      </c>
      <c r="C51" s="15">
        <v>289560687</v>
      </c>
      <c r="D51" s="16">
        <v>870860407</v>
      </c>
      <c r="E51" s="16" t="s">
        <v>7046</v>
      </c>
      <c r="F51" s="20" t="s">
        <v>7051</v>
      </c>
      <c r="G51" s="17" t="s">
        <v>7349</v>
      </c>
    </row>
    <row r="52" spans="1:7" x14ac:dyDescent="0.25">
      <c r="A52">
        <f t="shared" si="0"/>
        <v>8205080</v>
      </c>
      <c r="B52" s="15">
        <v>140640072</v>
      </c>
      <c r="C52" s="15">
        <v>290219086</v>
      </c>
      <c r="D52" s="16">
        <v>820508035</v>
      </c>
      <c r="E52" s="16" t="s">
        <v>7350</v>
      </c>
      <c r="F52" s="20" t="s">
        <v>7351</v>
      </c>
      <c r="G52" s="17" t="s">
        <v>7352</v>
      </c>
    </row>
    <row r="53" spans="1:7" x14ac:dyDescent="0.25">
      <c r="A53">
        <f t="shared" si="0"/>
        <v>8205080</v>
      </c>
      <c r="B53" s="15">
        <v>140640072</v>
      </c>
      <c r="C53" s="15">
        <v>290219123</v>
      </c>
      <c r="D53" s="16">
        <v>820508042</v>
      </c>
      <c r="E53" s="16" t="s">
        <v>7350</v>
      </c>
      <c r="F53" s="20" t="s">
        <v>7353</v>
      </c>
      <c r="G53" s="17" t="s">
        <v>7352</v>
      </c>
    </row>
    <row r="54" spans="1:7" x14ac:dyDescent="0.25">
      <c r="A54">
        <f t="shared" si="0"/>
        <v>8205080</v>
      </c>
      <c r="B54" s="15">
        <v>140640072</v>
      </c>
      <c r="C54" s="15">
        <v>290219102</v>
      </c>
      <c r="D54" s="16">
        <v>820508036</v>
      </c>
      <c r="E54" s="16" t="s">
        <v>7350</v>
      </c>
      <c r="F54" s="20" t="s">
        <v>7354</v>
      </c>
      <c r="G54" s="17" t="s">
        <v>7352</v>
      </c>
    </row>
    <row r="55" spans="1:7" x14ac:dyDescent="0.25">
      <c r="A55">
        <f t="shared" si="0"/>
        <v>8205080</v>
      </c>
      <c r="B55" s="15">
        <v>140640072</v>
      </c>
      <c r="C55" s="15">
        <v>290219110</v>
      </c>
      <c r="D55" s="16">
        <v>820508040</v>
      </c>
      <c r="E55" s="16" t="s">
        <v>7350</v>
      </c>
      <c r="F55" s="20" t="s">
        <v>7355</v>
      </c>
      <c r="G55" s="17" t="s">
        <v>7352</v>
      </c>
    </row>
    <row r="56" spans="1:7" x14ac:dyDescent="0.25">
      <c r="A56">
        <f t="shared" si="0"/>
        <v>8205080</v>
      </c>
      <c r="B56" s="15">
        <v>140640072</v>
      </c>
      <c r="C56" s="15">
        <v>290219096</v>
      </c>
      <c r="D56" s="16">
        <v>820508038</v>
      </c>
      <c r="E56" s="16" t="s">
        <v>7350</v>
      </c>
      <c r="F56" s="20" t="s">
        <v>7356</v>
      </c>
      <c r="G56" s="17" t="s">
        <v>7352</v>
      </c>
    </row>
    <row r="57" spans="1:7" x14ac:dyDescent="0.25">
      <c r="A57">
        <f t="shared" si="0"/>
        <v>8205080</v>
      </c>
      <c r="B57" s="15">
        <v>140640072</v>
      </c>
      <c r="C57" s="15">
        <v>290219077</v>
      </c>
      <c r="D57" s="16">
        <v>820508037</v>
      </c>
      <c r="E57" s="16" t="s">
        <v>7350</v>
      </c>
      <c r="F57" s="20" t="s">
        <v>7357</v>
      </c>
      <c r="G57" s="17" t="s">
        <v>7352</v>
      </c>
    </row>
    <row r="58" spans="1:7" x14ac:dyDescent="0.25">
      <c r="A58">
        <f t="shared" si="0"/>
        <v>8205080</v>
      </c>
      <c r="B58" s="15">
        <v>140640072</v>
      </c>
      <c r="C58" s="15">
        <v>290219119</v>
      </c>
      <c r="D58" s="16">
        <v>820508041</v>
      </c>
      <c r="E58" s="16" t="s">
        <v>7350</v>
      </c>
      <c r="F58" s="20" t="s">
        <v>7358</v>
      </c>
      <c r="G58" s="17" t="s">
        <v>7352</v>
      </c>
    </row>
    <row r="59" spans="1:7" x14ac:dyDescent="0.25">
      <c r="A59">
        <f t="shared" si="0"/>
        <v>8205080</v>
      </c>
      <c r="B59" s="15">
        <v>140640072</v>
      </c>
      <c r="C59" s="15">
        <v>290219070</v>
      </c>
      <c r="D59" s="16">
        <v>820508039</v>
      </c>
      <c r="E59" s="16" t="s">
        <v>7350</v>
      </c>
      <c r="F59" s="20" t="s">
        <v>7359</v>
      </c>
      <c r="G59" s="17" t="s">
        <v>7352</v>
      </c>
    </row>
    <row r="60" spans="1:7" x14ac:dyDescent="0.25">
      <c r="A60">
        <f t="shared" si="0"/>
        <v>8205080</v>
      </c>
      <c r="B60" s="15">
        <v>140640072</v>
      </c>
      <c r="C60" s="15">
        <v>290219131</v>
      </c>
      <c r="D60" s="16">
        <v>820508044</v>
      </c>
      <c r="E60" s="16" t="s">
        <v>7350</v>
      </c>
      <c r="F60" s="20" t="s">
        <v>7360</v>
      </c>
      <c r="G60" s="17" t="s">
        <v>7352</v>
      </c>
    </row>
    <row r="61" spans="1:7" x14ac:dyDescent="0.25">
      <c r="A61">
        <f t="shared" si="0"/>
        <v>8205080</v>
      </c>
      <c r="B61" s="15">
        <v>140640072</v>
      </c>
      <c r="C61" s="15">
        <v>290219127</v>
      </c>
      <c r="D61" s="16">
        <v>820508043</v>
      </c>
      <c r="E61" s="16" t="s">
        <v>7350</v>
      </c>
      <c r="F61" s="20" t="s">
        <v>7361</v>
      </c>
      <c r="G61" s="17" t="s">
        <v>7352</v>
      </c>
    </row>
    <row r="62" spans="1:7" x14ac:dyDescent="0.25">
      <c r="A62">
        <f t="shared" si="0"/>
        <v>8205080</v>
      </c>
      <c r="B62" s="15">
        <v>140640072</v>
      </c>
      <c r="C62" s="15">
        <v>290219136</v>
      </c>
      <c r="D62" s="16">
        <v>820508045</v>
      </c>
      <c r="E62" s="16" t="s">
        <v>7350</v>
      </c>
      <c r="F62" s="20" t="s">
        <v>7362</v>
      </c>
      <c r="G62" s="17" t="s">
        <v>7352</v>
      </c>
    </row>
    <row r="63" spans="1:7" x14ac:dyDescent="0.25">
      <c r="A63">
        <f t="shared" si="0"/>
        <v>8205080</v>
      </c>
      <c r="B63" s="15">
        <v>140640072</v>
      </c>
      <c r="C63" s="15">
        <v>290219140</v>
      </c>
      <c r="D63" s="16">
        <v>820508046</v>
      </c>
      <c r="E63" s="16" t="s">
        <v>7350</v>
      </c>
      <c r="F63" s="20" t="s">
        <v>7363</v>
      </c>
      <c r="G63" s="17" t="s">
        <v>7352</v>
      </c>
    </row>
    <row r="64" spans="1:7" x14ac:dyDescent="0.25">
      <c r="A64">
        <f t="shared" si="0"/>
        <v>8205881</v>
      </c>
      <c r="B64" s="15">
        <v>140640071</v>
      </c>
      <c r="C64" s="15">
        <v>290219121</v>
      </c>
      <c r="D64" s="16">
        <v>820588140</v>
      </c>
      <c r="E64" s="16" t="s">
        <v>7364</v>
      </c>
      <c r="F64" s="20" t="s">
        <v>7365</v>
      </c>
      <c r="G64" s="17" t="s">
        <v>7366</v>
      </c>
    </row>
    <row r="65" spans="1:7" x14ac:dyDescent="0.25">
      <c r="A65">
        <f t="shared" si="0"/>
        <v>8205881</v>
      </c>
      <c r="B65" s="15">
        <v>140640071</v>
      </c>
      <c r="C65" s="15">
        <v>290219101</v>
      </c>
      <c r="D65" s="16">
        <v>820588138</v>
      </c>
      <c r="E65" s="16" t="s">
        <v>7364</v>
      </c>
      <c r="F65" s="20" t="s">
        <v>7367</v>
      </c>
      <c r="G65" s="17" t="s">
        <v>7366</v>
      </c>
    </row>
    <row r="66" spans="1:7" x14ac:dyDescent="0.25">
      <c r="A66">
        <f t="shared" si="0"/>
        <v>8205881</v>
      </c>
      <c r="B66" s="15">
        <v>140640071</v>
      </c>
      <c r="C66" s="15">
        <v>290219069</v>
      </c>
      <c r="D66" s="16">
        <v>820588136</v>
      </c>
      <c r="E66" s="16" t="s">
        <v>7364</v>
      </c>
      <c r="F66" s="20" t="s">
        <v>7368</v>
      </c>
      <c r="G66" s="17" t="s">
        <v>7366</v>
      </c>
    </row>
    <row r="67" spans="1:7" x14ac:dyDescent="0.25">
      <c r="A67">
        <f t="shared" ref="A67:A130" si="1">LEFT(D67,7)*1</f>
        <v>8205881</v>
      </c>
      <c r="B67" s="15">
        <v>140640071</v>
      </c>
      <c r="C67" s="15">
        <v>290219142</v>
      </c>
      <c r="D67" s="16">
        <v>820588143</v>
      </c>
      <c r="E67" s="16" t="s">
        <v>7364</v>
      </c>
      <c r="F67" s="20" t="s">
        <v>7369</v>
      </c>
      <c r="G67" s="17" t="s">
        <v>7366</v>
      </c>
    </row>
    <row r="68" spans="1:7" x14ac:dyDescent="0.25">
      <c r="A68">
        <f t="shared" si="1"/>
        <v>8205881</v>
      </c>
      <c r="B68" s="15">
        <v>140640071</v>
      </c>
      <c r="C68" s="15">
        <v>290219105</v>
      </c>
      <c r="D68" s="16">
        <v>820588139</v>
      </c>
      <c r="E68" s="16" t="s">
        <v>7364</v>
      </c>
      <c r="F68" s="20" t="s">
        <v>7370</v>
      </c>
      <c r="G68" s="17" t="s">
        <v>7366</v>
      </c>
    </row>
    <row r="69" spans="1:7" x14ac:dyDescent="0.25">
      <c r="A69">
        <f t="shared" si="1"/>
        <v>8205881</v>
      </c>
      <c r="B69" s="15">
        <v>140640071</v>
      </c>
      <c r="C69" s="15">
        <v>290219156</v>
      </c>
      <c r="D69" s="16">
        <v>820588145</v>
      </c>
      <c r="E69" s="16" t="s">
        <v>7364</v>
      </c>
      <c r="F69" s="20" t="s">
        <v>7371</v>
      </c>
      <c r="G69" s="17" t="s">
        <v>7366</v>
      </c>
    </row>
    <row r="70" spans="1:7" x14ac:dyDescent="0.25">
      <c r="A70">
        <f t="shared" si="1"/>
        <v>8205881</v>
      </c>
      <c r="B70" s="15">
        <v>140640071</v>
      </c>
      <c r="C70" s="15">
        <v>290219160</v>
      </c>
      <c r="D70" s="16">
        <v>820588146</v>
      </c>
      <c r="E70" s="16" t="s">
        <v>7364</v>
      </c>
      <c r="F70" s="20" t="s">
        <v>7372</v>
      </c>
      <c r="G70" s="17" t="s">
        <v>7366</v>
      </c>
    </row>
    <row r="71" spans="1:7" x14ac:dyDescent="0.25">
      <c r="A71">
        <f t="shared" si="1"/>
        <v>8205881</v>
      </c>
      <c r="B71" s="15">
        <v>140640071</v>
      </c>
      <c r="C71" s="15">
        <v>290219135</v>
      </c>
      <c r="D71" s="16">
        <v>820588142</v>
      </c>
      <c r="E71" s="16" t="s">
        <v>7364</v>
      </c>
      <c r="F71" s="20" t="s">
        <v>7373</v>
      </c>
      <c r="G71" s="17" t="s">
        <v>7366</v>
      </c>
    </row>
    <row r="72" spans="1:7" x14ac:dyDescent="0.25">
      <c r="A72">
        <f t="shared" si="1"/>
        <v>8205881</v>
      </c>
      <c r="B72" s="15">
        <v>140640071</v>
      </c>
      <c r="C72" s="15">
        <v>290219129</v>
      </c>
      <c r="D72" s="16">
        <v>820588141</v>
      </c>
      <c r="E72" s="16" t="s">
        <v>7364</v>
      </c>
      <c r="F72" s="20" t="s">
        <v>7374</v>
      </c>
      <c r="G72" s="17" t="s">
        <v>7366</v>
      </c>
    </row>
    <row r="73" spans="1:7" x14ac:dyDescent="0.25">
      <c r="A73">
        <f t="shared" si="1"/>
        <v>8205881</v>
      </c>
      <c r="B73" s="15">
        <v>140640071</v>
      </c>
      <c r="C73" s="15">
        <v>290219078</v>
      </c>
      <c r="D73" s="16">
        <v>820588135</v>
      </c>
      <c r="E73" s="16" t="s">
        <v>7364</v>
      </c>
      <c r="F73" s="20" t="s">
        <v>7375</v>
      </c>
      <c r="G73" s="17" t="s">
        <v>7366</v>
      </c>
    </row>
    <row r="74" spans="1:7" x14ac:dyDescent="0.25">
      <c r="A74">
        <f t="shared" si="1"/>
        <v>8205881</v>
      </c>
      <c r="B74" s="15">
        <v>140640071</v>
      </c>
      <c r="C74" s="15">
        <v>290219091</v>
      </c>
      <c r="D74" s="16">
        <v>820588137</v>
      </c>
      <c r="E74" s="16" t="s">
        <v>7364</v>
      </c>
      <c r="F74" s="20" t="s">
        <v>7376</v>
      </c>
      <c r="G74" s="17" t="s">
        <v>7366</v>
      </c>
    </row>
    <row r="75" spans="1:7" x14ac:dyDescent="0.25">
      <c r="A75">
        <f t="shared" si="1"/>
        <v>8205881</v>
      </c>
      <c r="B75" s="15">
        <v>140640071</v>
      </c>
      <c r="C75" s="15">
        <v>290219149</v>
      </c>
      <c r="D75" s="16">
        <v>820588144</v>
      </c>
      <c r="E75" s="16" t="s">
        <v>7364</v>
      </c>
      <c r="F75" s="20" t="s">
        <v>7377</v>
      </c>
      <c r="G75" s="17" t="s">
        <v>7366</v>
      </c>
    </row>
    <row r="76" spans="1:7" x14ac:dyDescent="0.25">
      <c r="A76">
        <f t="shared" si="1"/>
        <v>8205080</v>
      </c>
      <c r="B76" s="15">
        <v>140640168</v>
      </c>
      <c r="C76" s="15">
        <v>290220281</v>
      </c>
      <c r="D76" s="16">
        <v>820508042</v>
      </c>
      <c r="E76" s="16" t="s">
        <v>7378</v>
      </c>
      <c r="F76" s="20" t="s">
        <v>7353</v>
      </c>
      <c r="G76" s="17" t="s">
        <v>7352</v>
      </c>
    </row>
    <row r="77" spans="1:7" x14ac:dyDescent="0.25">
      <c r="A77">
        <f t="shared" si="1"/>
        <v>8205080</v>
      </c>
      <c r="B77" s="15">
        <v>140640168</v>
      </c>
      <c r="C77" s="15">
        <v>290220278</v>
      </c>
      <c r="D77" s="16">
        <v>820508036</v>
      </c>
      <c r="E77" s="16" t="s">
        <v>7378</v>
      </c>
      <c r="F77" s="20" t="s">
        <v>7354</v>
      </c>
      <c r="G77" s="17" t="s">
        <v>7352</v>
      </c>
    </row>
    <row r="78" spans="1:7" x14ac:dyDescent="0.25">
      <c r="A78">
        <f t="shared" si="1"/>
        <v>8205080</v>
      </c>
      <c r="B78" s="15">
        <v>140640168</v>
      </c>
      <c r="C78" s="15">
        <v>290220274</v>
      </c>
      <c r="D78" s="16">
        <v>820508039</v>
      </c>
      <c r="E78" s="16" t="s">
        <v>7378</v>
      </c>
      <c r="F78" s="20" t="s">
        <v>7359</v>
      </c>
      <c r="G78" s="17" t="s">
        <v>7352</v>
      </c>
    </row>
    <row r="79" spans="1:7" x14ac:dyDescent="0.25">
      <c r="A79">
        <f t="shared" si="1"/>
        <v>8205080</v>
      </c>
      <c r="B79" s="15">
        <v>140640168</v>
      </c>
      <c r="C79" s="15">
        <v>290220284</v>
      </c>
      <c r="D79" s="16">
        <v>820508043</v>
      </c>
      <c r="E79" s="16" t="s">
        <v>7378</v>
      </c>
      <c r="F79" s="20" t="s">
        <v>7361</v>
      </c>
      <c r="G79" s="17" t="s">
        <v>7352</v>
      </c>
    </row>
    <row r="80" spans="1:7" x14ac:dyDescent="0.25">
      <c r="A80">
        <f t="shared" si="1"/>
        <v>8205080</v>
      </c>
      <c r="B80" s="15">
        <v>140640168</v>
      </c>
      <c r="C80" s="15">
        <v>290220276</v>
      </c>
      <c r="D80" s="16">
        <v>820508035</v>
      </c>
      <c r="E80" s="16" t="s">
        <v>7378</v>
      </c>
      <c r="F80" s="20" t="s">
        <v>7351</v>
      </c>
      <c r="G80" s="17" t="s">
        <v>7352</v>
      </c>
    </row>
    <row r="81" spans="1:7" x14ac:dyDescent="0.25">
      <c r="A81">
        <f t="shared" si="1"/>
        <v>8205080</v>
      </c>
      <c r="B81" s="15">
        <v>140640168</v>
      </c>
      <c r="C81" s="15">
        <v>290220287</v>
      </c>
      <c r="D81" s="16">
        <v>820508046</v>
      </c>
      <c r="E81" s="16" t="s">
        <v>7378</v>
      </c>
      <c r="F81" s="20" t="s">
        <v>7363</v>
      </c>
      <c r="G81" s="17" t="s">
        <v>7352</v>
      </c>
    </row>
    <row r="82" spans="1:7" x14ac:dyDescent="0.25">
      <c r="A82">
        <f t="shared" si="1"/>
        <v>8205080</v>
      </c>
      <c r="B82" s="15">
        <v>140640168</v>
      </c>
      <c r="C82" s="15">
        <v>290220280</v>
      </c>
      <c r="D82" s="16">
        <v>820508041</v>
      </c>
      <c r="E82" s="16" t="s">
        <v>7378</v>
      </c>
      <c r="F82" s="20" t="s">
        <v>7358</v>
      </c>
      <c r="G82" s="17" t="s">
        <v>7352</v>
      </c>
    </row>
    <row r="83" spans="1:7" x14ac:dyDescent="0.25">
      <c r="A83">
        <f t="shared" si="1"/>
        <v>8205080</v>
      </c>
      <c r="B83" s="15">
        <v>140640168</v>
      </c>
      <c r="C83" s="15">
        <v>290220275</v>
      </c>
      <c r="D83" s="16">
        <v>820508037</v>
      </c>
      <c r="E83" s="16" t="s">
        <v>7378</v>
      </c>
      <c r="F83" s="20" t="s">
        <v>7357</v>
      </c>
      <c r="G83" s="17" t="s">
        <v>7352</v>
      </c>
    </row>
    <row r="84" spans="1:7" x14ac:dyDescent="0.25">
      <c r="A84">
        <f t="shared" si="1"/>
        <v>8205080</v>
      </c>
      <c r="B84" s="15">
        <v>140640168</v>
      </c>
      <c r="C84" s="15">
        <v>290220286</v>
      </c>
      <c r="D84" s="16">
        <v>820508045</v>
      </c>
      <c r="E84" s="16" t="s">
        <v>7378</v>
      </c>
      <c r="F84" s="20" t="s">
        <v>7362</v>
      </c>
      <c r="G84" s="17" t="s">
        <v>7352</v>
      </c>
    </row>
    <row r="85" spans="1:7" x14ac:dyDescent="0.25">
      <c r="A85">
        <f t="shared" si="1"/>
        <v>8205080</v>
      </c>
      <c r="B85" s="15">
        <v>140640168</v>
      </c>
      <c r="C85" s="15">
        <v>290220277</v>
      </c>
      <c r="D85" s="16">
        <v>820508038</v>
      </c>
      <c r="E85" s="16" t="s">
        <v>7378</v>
      </c>
      <c r="F85" s="20" t="s">
        <v>7356</v>
      </c>
      <c r="G85" s="17" t="s">
        <v>7352</v>
      </c>
    </row>
    <row r="86" spans="1:7" x14ac:dyDescent="0.25">
      <c r="A86">
        <f t="shared" si="1"/>
        <v>8205080</v>
      </c>
      <c r="B86" s="15">
        <v>140640168</v>
      </c>
      <c r="C86" s="15">
        <v>290220285</v>
      </c>
      <c r="D86" s="16">
        <v>820508044</v>
      </c>
      <c r="E86" s="16" t="s">
        <v>7378</v>
      </c>
      <c r="F86" s="20" t="s">
        <v>7360</v>
      </c>
      <c r="G86" s="17" t="s">
        <v>7352</v>
      </c>
    </row>
    <row r="87" spans="1:7" x14ac:dyDescent="0.25">
      <c r="A87">
        <f t="shared" si="1"/>
        <v>8205080</v>
      </c>
      <c r="B87" s="15">
        <v>140640168</v>
      </c>
      <c r="C87" s="15">
        <v>290220279</v>
      </c>
      <c r="D87" s="16">
        <v>820508040</v>
      </c>
      <c r="E87" s="16" t="s">
        <v>7378</v>
      </c>
      <c r="F87" s="20" t="s">
        <v>7355</v>
      </c>
      <c r="G87" s="17" t="s">
        <v>7352</v>
      </c>
    </row>
    <row r="88" spans="1:7" x14ac:dyDescent="0.25">
      <c r="A88">
        <f t="shared" si="1"/>
        <v>8205881</v>
      </c>
      <c r="B88" s="15">
        <v>140640161</v>
      </c>
      <c r="C88" s="15">
        <v>290220413</v>
      </c>
      <c r="D88" s="16">
        <v>820588142</v>
      </c>
      <c r="E88" s="16" t="s">
        <v>7379</v>
      </c>
      <c r="F88" s="20" t="s">
        <v>7373</v>
      </c>
      <c r="G88" s="17" t="s">
        <v>7366</v>
      </c>
    </row>
    <row r="89" spans="1:7" x14ac:dyDescent="0.25">
      <c r="A89">
        <f t="shared" si="1"/>
        <v>8205881</v>
      </c>
      <c r="B89" s="15">
        <v>140640161</v>
      </c>
      <c r="C89" s="15">
        <v>290220354</v>
      </c>
      <c r="D89" s="16">
        <v>820588140</v>
      </c>
      <c r="E89" s="16" t="s">
        <v>7379</v>
      </c>
      <c r="F89" s="20" t="s">
        <v>7365</v>
      </c>
      <c r="G89" s="17" t="s">
        <v>7366</v>
      </c>
    </row>
    <row r="90" spans="1:7" x14ac:dyDescent="0.25">
      <c r="A90">
        <f t="shared" si="1"/>
        <v>8205881</v>
      </c>
      <c r="B90" s="15">
        <v>140640161</v>
      </c>
      <c r="C90" s="15">
        <v>290220226</v>
      </c>
      <c r="D90" s="16">
        <v>820588136</v>
      </c>
      <c r="E90" s="16" t="s">
        <v>7379</v>
      </c>
      <c r="F90" s="20" t="s">
        <v>7368</v>
      </c>
      <c r="G90" s="17" t="s">
        <v>7366</v>
      </c>
    </row>
    <row r="91" spans="1:7" x14ac:dyDescent="0.25">
      <c r="A91">
        <f t="shared" si="1"/>
        <v>8205881</v>
      </c>
      <c r="B91" s="15">
        <v>140640161</v>
      </c>
      <c r="C91" s="15">
        <v>290220304</v>
      </c>
      <c r="D91" s="16">
        <v>820588139</v>
      </c>
      <c r="E91" s="16" t="s">
        <v>7379</v>
      </c>
      <c r="F91" s="20" t="s">
        <v>7370</v>
      </c>
      <c r="G91" s="17" t="s">
        <v>7366</v>
      </c>
    </row>
    <row r="92" spans="1:7" x14ac:dyDescent="0.25">
      <c r="A92">
        <f t="shared" si="1"/>
        <v>8205881</v>
      </c>
      <c r="B92" s="15">
        <v>140640161</v>
      </c>
      <c r="C92" s="15">
        <v>290220365</v>
      </c>
      <c r="D92" s="16">
        <v>820588141</v>
      </c>
      <c r="E92" s="16" t="s">
        <v>7379</v>
      </c>
      <c r="F92" s="20" t="s">
        <v>7374</v>
      </c>
      <c r="G92" s="17" t="s">
        <v>7366</v>
      </c>
    </row>
    <row r="93" spans="1:7" x14ac:dyDescent="0.25">
      <c r="A93">
        <f t="shared" si="1"/>
        <v>8205881</v>
      </c>
      <c r="B93" s="15">
        <v>140640161</v>
      </c>
      <c r="C93" s="15">
        <v>290220245</v>
      </c>
      <c r="D93" s="16">
        <v>820588137</v>
      </c>
      <c r="E93" s="16" t="s">
        <v>7379</v>
      </c>
      <c r="F93" s="20" t="s">
        <v>7376</v>
      </c>
      <c r="G93" s="17" t="s">
        <v>7366</v>
      </c>
    </row>
    <row r="94" spans="1:7" x14ac:dyDescent="0.25">
      <c r="A94">
        <f t="shared" si="1"/>
        <v>8205881</v>
      </c>
      <c r="B94" s="15">
        <v>140640161</v>
      </c>
      <c r="C94" s="15">
        <v>290220291</v>
      </c>
      <c r="D94" s="16">
        <v>820588138</v>
      </c>
      <c r="E94" s="16" t="s">
        <v>7379</v>
      </c>
      <c r="F94" s="20" t="s">
        <v>7367</v>
      </c>
      <c r="G94" s="17" t="s">
        <v>7366</v>
      </c>
    </row>
    <row r="95" spans="1:7" x14ac:dyDescent="0.25">
      <c r="A95">
        <f t="shared" si="1"/>
        <v>8205881</v>
      </c>
      <c r="B95" s="15">
        <v>140640161</v>
      </c>
      <c r="C95" s="15">
        <v>290220434</v>
      </c>
      <c r="D95" s="16">
        <v>820588143</v>
      </c>
      <c r="E95" s="16" t="s">
        <v>7379</v>
      </c>
      <c r="F95" s="20" t="s">
        <v>7369</v>
      </c>
      <c r="G95" s="17" t="s">
        <v>7366</v>
      </c>
    </row>
    <row r="96" spans="1:7" x14ac:dyDescent="0.25">
      <c r="A96">
        <f t="shared" si="1"/>
        <v>8205881</v>
      </c>
      <c r="B96" s="15">
        <v>140640161</v>
      </c>
      <c r="C96" s="15">
        <v>290220442</v>
      </c>
      <c r="D96" s="16">
        <v>820588144</v>
      </c>
      <c r="E96" s="16" t="s">
        <v>7379</v>
      </c>
      <c r="F96" s="20" t="s">
        <v>7377</v>
      </c>
      <c r="G96" s="17" t="s">
        <v>7366</v>
      </c>
    </row>
    <row r="97" spans="1:7" x14ac:dyDescent="0.25">
      <c r="A97">
        <f t="shared" si="1"/>
        <v>8205881</v>
      </c>
      <c r="B97" s="15">
        <v>140640161</v>
      </c>
      <c r="C97" s="15">
        <v>290220233</v>
      </c>
      <c r="D97" s="16">
        <v>820588135</v>
      </c>
      <c r="E97" s="16" t="s">
        <v>7379</v>
      </c>
      <c r="F97" s="20" t="s">
        <v>7375</v>
      </c>
      <c r="G97" s="17" t="s">
        <v>7366</v>
      </c>
    </row>
    <row r="98" spans="1:7" x14ac:dyDescent="0.25">
      <c r="A98">
        <f t="shared" si="1"/>
        <v>8205881</v>
      </c>
      <c r="B98" s="15">
        <v>140640161</v>
      </c>
      <c r="C98" s="15">
        <v>290220456</v>
      </c>
      <c r="D98" s="16">
        <v>820588145</v>
      </c>
      <c r="E98" s="16" t="s">
        <v>7379</v>
      </c>
      <c r="F98" s="20" t="s">
        <v>7371</v>
      </c>
      <c r="G98" s="17" t="s">
        <v>7366</v>
      </c>
    </row>
    <row r="99" spans="1:7" x14ac:dyDescent="0.25">
      <c r="A99">
        <f t="shared" si="1"/>
        <v>8205881</v>
      </c>
      <c r="B99" s="15">
        <v>140640161</v>
      </c>
      <c r="C99" s="15">
        <v>290220479</v>
      </c>
      <c r="D99" s="16">
        <v>820588146</v>
      </c>
      <c r="E99" s="16" t="s">
        <v>7379</v>
      </c>
      <c r="F99" s="20" t="s">
        <v>7372</v>
      </c>
      <c r="G99" s="17" t="s">
        <v>7366</v>
      </c>
    </row>
    <row r="100" spans="1:7" x14ac:dyDescent="0.25">
      <c r="A100">
        <f t="shared" si="1"/>
        <v>8205118</v>
      </c>
      <c r="B100" s="15">
        <v>140640294</v>
      </c>
      <c r="C100" s="15">
        <v>290221098</v>
      </c>
      <c r="D100" s="16">
        <v>820511836</v>
      </c>
      <c r="E100" s="16" t="s">
        <v>7380</v>
      </c>
      <c r="F100" s="20" t="s">
        <v>7060</v>
      </c>
      <c r="G100" s="17" t="s">
        <v>7381</v>
      </c>
    </row>
    <row r="101" spans="1:7" x14ac:dyDescent="0.25">
      <c r="A101">
        <f t="shared" si="1"/>
        <v>8205118</v>
      </c>
      <c r="B101" s="15">
        <v>140640294</v>
      </c>
      <c r="C101" s="15">
        <v>290221134</v>
      </c>
      <c r="D101" s="16">
        <v>820511838</v>
      </c>
      <c r="E101" s="16" t="s">
        <v>7380</v>
      </c>
      <c r="F101" s="20" t="s">
        <v>7067</v>
      </c>
      <c r="G101" s="17" t="s">
        <v>7381</v>
      </c>
    </row>
    <row r="102" spans="1:7" x14ac:dyDescent="0.25">
      <c r="A102">
        <f t="shared" si="1"/>
        <v>8205118</v>
      </c>
      <c r="B102" s="15">
        <v>140640294</v>
      </c>
      <c r="C102" s="15">
        <v>290221234</v>
      </c>
      <c r="D102" s="16">
        <v>820511843</v>
      </c>
      <c r="E102" s="16" t="s">
        <v>7380</v>
      </c>
      <c r="F102" s="20" t="s">
        <v>7065</v>
      </c>
      <c r="G102" s="17" t="s">
        <v>7381</v>
      </c>
    </row>
    <row r="103" spans="1:7" x14ac:dyDescent="0.25">
      <c r="A103">
        <f t="shared" si="1"/>
        <v>8205118</v>
      </c>
      <c r="B103" s="15">
        <v>140640294</v>
      </c>
      <c r="C103" s="15">
        <v>290221168</v>
      </c>
      <c r="D103" s="16">
        <v>820511842</v>
      </c>
      <c r="E103" s="16" t="s">
        <v>7380</v>
      </c>
      <c r="F103" s="20" t="s">
        <v>7070</v>
      </c>
      <c r="G103" s="17" t="s">
        <v>7381</v>
      </c>
    </row>
    <row r="104" spans="1:7" x14ac:dyDescent="0.25">
      <c r="A104">
        <f t="shared" si="1"/>
        <v>8205119</v>
      </c>
      <c r="B104" s="15">
        <v>140640294</v>
      </c>
      <c r="C104" s="15">
        <v>290221365</v>
      </c>
      <c r="D104" s="16">
        <v>820511941</v>
      </c>
      <c r="E104" s="16" t="s">
        <v>7380</v>
      </c>
      <c r="F104" s="20" t="s">
        <v>7083</v>
      </c>
      <c r="G104" s="17" t="s">
        <v>7382</v>
      </c>
    </row>
    <row r="105" spans="1:7" x14ac:dyDescent="0.25">
      <c r="A105">
        <f t="shared" si="1"/>
        <v>8205119</v>
      </c>
      <c r="B105" s="15">
        <v>140640294</v>
      </c>
      <c r="C105" s="15">
        <v>290221335</v>
      </c>
      <c r="D105" s="16">
        <v>820511938</v>
      </c>
      <c r="E105" s="16" t="s">
        <v>7380</v>
      </c>
      <c r="F105" s="20" t="s">
        <v>7080</v>
      </c>
      <c r="G105" s="17" t="s">
        <v>7382</v>
      </c>
    </row>
    <row r="106" spans="1:7" x14ac:dyDescent="0.25">
      <c r="A106">
        <f t="shared" si="1"/>
        <v>8205119</v>
      </c>
      <c r="B106" s="15">
        <v>140640294</v>
      </c>
      <c r="C106" s="15">
        <v>290221347</v>
      </c>
      <c r="D106" s="16">
        <v>820511939</v>
      </c>
      <c r="E106" s="16" t="s">
        <v>7380</v>
      </c>
      <c r="F106" s="20" t="s">
        <v>7081</v>
      </c>
      <c r="G106" s="17" t="s">
        <v>7382</v>
      </c>
    </row>
    <row r="107" spans="1:7" x14ac:dyDescent="0.25">
      <c r="A107">
        <f t="shared" si="1"/>
        <v>8205119</v>
      </c>
      <c r="B107" s="15">
        <v>140640294</v>
      </c>
      <c r="C107" s="15">
        <v>290221358</v>
      </c>
      <c r="D107" s="16">
        <v>820511940</v>
      </c>
      <c r="E107" s="16" t="s">
        <v>7380</v>
      </c>
      <c r="F107" s="20" t="s">
        <v>7082</v>
      </c>
      <c r="G107" s="17" t="s">
        <v>7382</v>
      </c>
    </row>
    <row r="108" spans="1:7" x14ac:dyDescent="0.25">
      <c r="A108">
        <f t="shared" si="1"/>
        <v>8205119</v>
      </c>
      <c r="B108" s="15">
        <v>140640294</v>
      </c>
      <c r="C108" s="15">
        <v>290221372</v>
      </c>
      <c r="D108" s="16">
        <v>820511944</v>
      </c>
      <c r="E108" s="16" t="s">
        <v>7380</v>
      </c>
      <c r="F108" s="20" t="s">
        <v>7088</v>
      </c>
      <c r="G108" s="17" t="s">
        <v>7382</v>
      </c>
    </row>
    <row r="109" spans="1:7" x14ac:dyDescent="0.25">
      <c r="A109">
        <f t="shared" si="1"/>
        <v>8205119</v>
      </c>
      <c r="B109" s="15">
        <v>140640294</v>
      </c>
      <c r="C109" s="15">
        <v>290221385</v>
      </c>
      <c r="D109" s="16">
        <v>820511946</v>
      </c>
      <c r="E109" s="16" t="s">
        <v>7380</v>
      </c>
      <c r="F109" s="20" t="s">
        <v>7086</v>
      </c>
      <c r="G109" s="17" t="s">
        <v>7382</v>
      </c>
    </row>
    <row r="110" spans="1:7" x14ac:dyDescent="0.25">
      <c r="A110">
        <f t="shared" si="1"/>
        <v>8205119</v>
      </c>
      <c r="B110" s="15">
        <v>140640294</v>
      </c>
      <c r="C110" s="15">
        <v>290221378</v>
      </c>
      <c r="D110" s="16">
        <v>820511945</v>
      </c>
      <c r="E110" s="16" t="s">
        <v>7380</v>
      </c>
      <c r="F110" s="20" t="s">
        <v>7085</v>
      </c>
      <c r="G110" s="17" t="s">
        <v>7382</v>
      </c>
    </row>
    <row r="111" spans="1:7" x14ac:dyDescent="0.25">
      <c r="A111">
        <f t="shared" si="1"/>
        <v>8205119</v>
      </c>
      <c r="B111" s="15">
        <v>140640294</v>
      </c>
      <c r="C111" s="15">
        <v>290221324</v>
      </c>
      <c r="D111" s="16">
        <v>820511937</v>
      </c>
      <c r="E111" s="16" t="s">
        <v>7380</v>
      </c>
      <c r="F111" s="20" t="s">
        <v>7079</v>
      </c>
      <c r="G111" s="17" t="s">
        <v>7382</v>
      </c>
    </row>
    <row r="112" spans="1:7" x14ac:dyDescent="0.25">
      <c r="A112">
        <f t="shared" si="1"/>
        <v>8205119</v>
      </c>
      <c r="B112" s="15">
        <v>140640294</v>
      </c>
      <c r="C112" s="15">
        <v>290221295</v>
      </c>
      <c r="D112" s="16">
        <v>820511935</v>
      </c>
      <c r="E112" s="16" t="s">
        <v>7380</v>
      </c>
      <c r="F112" s="20" t="s">
        <v>7077</v>
      </c>
      <c r="G112" s="17" t="s">
        <v>7382</v>
      </c>
    </row>
    <row r="113" spans="1:7" x14ac:dyDescent="0.25">
      <c r="A113">
        <f t="shared" si="1"/>
        <v>8205118</v>
      </c>
      <c r="B113" s="15">
        <v>140640294</v>
      </c>
      <c r="C113" s="15">
        <v>290221254</v>
      </c>
      <c r="D113" s="16">
        <v>820511844</v>
      </c>
      <c r="E113" s="16" t="s">
        <v>7380</v>
      </c>
      <c r="F113" s="20" t="s">
        <v>7068</v>
      </c>
      <c r="G113" s="17" t="s">
        <v>7381</v>
      </c>
    </row>
    <row r="114" spans="1:7" x14ac:dyDescent="0.25">
      <c r="A114">
        <f t="shared" si="1"/>
        <v>8205118</v>
      </c>
      <c r="B114" s="15">
        <v>140640294</v>
      </c>
      <c r="C114" s="15">
        <v>290221143</v>
      </c>
      <c r="D114" s="16">
        <v>820511839</v>
      </c>
      <c r="E114" s="16" t="s">
        <v>7380</v>
      </c>
      <c r="F114" s="20" t="s">
        <v>7069</v>
      </c>
      <c r="G114" s="17" t="s">
        <v>7381</v>
      </c>
    </row>
    <row r="115" spans="1:7" x14ac:dyDescent="0.25">
      <c r="A115">
        <f t="shared" si="1"/>
        <v>8205118</v>
      </c>
      <c r="B115" s="15">
        <v>140640294</v>
      </c>
      <c r="C115" s="15">
        <v>290221157</v>
      </c>
      <c r="D115" s="16">
        <v>820511841</v>
      </c>
      <c r="E115" s="16" t="s">
        <v>7380</v>
      </c>
      <c r="F115" s="20" t="s">
        <v>7064</v>
      </c>
      <c r="G115" s="17" t="s">
        <v>7381</v>
      </c>
    </row>
    <row r="116" spans="1:7" x14ac:dyDescent="0.25">
      <c r="A116">
        <f t="shared" si="1"/>
        <v>8205118</v>
      </c>
      <c r="B116" s="15">
        <v>140640294</v>
      </c>
      <c r="C116" s="15">
        <v>290221287</v>
      </c>
      <c r="D116" s="16">
        <v>820511846</v>
      </c>
      <c r="E116" s="16" t="s">
        <v>7380</v>
      </c>
      <c r="F116" s="20" t="s">
        <v>7066</v>
      </c>
      <c r="G116" s="17" t="s">
        <v>7381</v>
      </c>
    </row>
    <row r="117" spans="1:7" x14ac:dyDescent="0.25">
      <c r="A117">
        <f t="shared" si="1"/>
        <v>8205118</v>
      </c>
      <c r="B117" s="15">
        <v>140640294</v>
      </c>
      <c r="C117" s="15">
        <v>290221128</v>
      </c>
      <c r="D117" s="16">
        <v>820511837</v>
      </c>
      <c r="E117" s="16" t="s">
        <v>7380</v>
      </c>
      <c r="F117" s="20" t="s">
        <v>7062</v>
      </c>
      <c r="G117" s="17" t="s">
        <v>7381</v>
      </c>
    </row>
    <row r="118" spans="1:7" x14ac:dyDescent="0.25">
      <c r="A118">
        <f t="shared" si="1"/>
        <v>8205118</v>
      </c>
      <c r="B118" s="15">
        <v>140640294</v>
      </c>
      <c r="C118" s="15">
        <v>290221270</v>
      </c>
      <c r="D118" s="16">
        <v>820511845</v>
      </c>
      <c r="E118" s="16" t="s">
        <v>7380</v>
      </c>
      <c r="F118" s="20" t="s">
        <v>7061</v>
      </c>
      <c r="G118" s="17" t="s">
        <v>7381</v>
      </c>
    </row>
    <row r="119" spans="1:7" x14ac:dyDescent="0.25">
      <c r="A119">
        <f t="shared" si="1"/>
        <v>8205119</v>
      </c>
      <c r="B119" s="15">
        <v>140640294</v>
      </c>
      <c r="C119" s="15">
        <v>290221310</v>
      </c>
      <c r="D119" s="16">
        <v>820511936</v>
      </c>
      <c r="E119" s="16" t="s">
        <v>7380</v>
      </c>
      <c r="F119" s="20" t="s">
        <v>7078</v>
      </c>
      <c r="G119" s="17" t="s">
        <v>7382</v>
      </c>
    </row>
    <row r="120" spans="1:7" x14ac:dyDescent="0.25">
      <c r="A120">
        <f t="shared" si="1"/>
        <v>8205118</v>
      </c>
      <c r="B120" s="15">
        <v>140640294</v>
      </c>
      <c r="C120" s="15">
        <v>290221152</v>
      </c>
      <c r="D120" s="16">
        <v>820511840</v>
      </c>
      <c r="E120" s="16" t="s">
        <v>7380</v>
      </c>
      <c r="F120" s="20" t="s">
        <v>7063</v>
      </c>
      <c r="G120" s="17" t="s">
        <v>7381</v>
      </c>
    </row>
    <row r="121" spans="1:7" x14ac:dyDescent="0.25">
      <c r="A121">
        <f t="shared" si="1"/>
        <v>8205118</v>
      </c>
      <c r="B121" s="15">
        <v>140640294</v>
      </c>
      <c r="C121" s="15">
        <v>290221113</v>
      </c>
      <c r="D121" s="16">
        <v>820511835</v>
      </c>
      <c r="E121" s="16" t="s">
        <v>7380</v>
      </c>
      <c r="F121" s="20" t="s">
        <v>7087</v>
      </c>
      <c r="G121" s="17" t="s">
        <v>7381</v>
      </c>
    </row>
    <row r="122" spans="1:7" x14ac:dyDescent="0.25">
      <c r="A122">
        <f t="shared" si="1"/>
        <v>8205119</v>
      </c>
      <c r="B122" s="15">
        <v>140640294</v>
      </c>
      <c r="C122" s="15">
        <v>290221371</v>
      </c>
      <c r="D122" s="16">
        <v>820511943</v>
      </c>
      <c r="E122" s="16" t="s">
        <v>7380</v>
      </c>
      <c r="F122" s="20" t="s">
        <v>7084</v>
      </c>
      <c r="G122" s="17" t="s">
        <v>7382</v>
      </c>
    </row>
    <row r="123" spans="1:7" x14ac:dyDescent="0.25">
      <c r="A123">
        <f t="shared" si="1"/>
        <v>8205119</v>
      </c>
      <c r="B123" s="15">
        <v>140640294</v>
      </c>
      <c r="C123" s="15">
        <v>290221368</v>
      </c>
      <c r="D123" s="16">
        <v>820511942</v>
      </c>
      <c r="E123" s="16" t="s">
        <v>7380</v>
      </c>
      <c r="F123" s="20" t="s">
        <v>7089</v>
      </c>
      <c r="G123" s="17" t="s">
        <v>7382</v>
      </c>
    </row>
    <row r="124" spans="1:7" x14ac:dyDescent="0.25">
      <c r="A124">
        <f t="shared" si="1"/>
        <v>8205118</v>
      </c>
      <c r="B124" s="15">
        <v>140148130</v>
      </c>
      <c r="C124" s="15">
        <v>289705748</v>
      </c>
      <c r="D124" s="16">
        <v>820511835</v>
      </c>
      <c r="E124" s="16" t="s">
        <v>7383</v>
      </c>
      <c r="F124" s="20" t="s">
        <v>7087</v>
      </c>
      <c r="G124" s="17" t="s">
        <v>7381</v>
      </c>
    </row>
    <row r="125" spans="1:7" x14ac:dyDescent="0.25">
      <c r="A125">
        <f t="shared" si="1"/>
        <v>8205118</v>
      </c>
      <c r="B125" s="15">
        <v>140148130</v>
      </c>
      <c r="C125" s="15">
        <v>289705747</v>
      </c>
      <c r="D125" s="16">
        <v>820511836</v>
      </c>
      <c r="E125" s="16" t="s">
        <v>7383</v>
      </c>
      <c r="F125" s="20" t="s">
        <v>7060</v>
      </c>
      <c r="G125" s="17" t="s">
        <v>7381</v>
      </c>
    </row>
    <row r="126" spans="1:7" x14ac:dyDescent="0.25">
      <c r="A126">
        <f t="shared" si="1"/>
        <v>8205118</v>
      </c>
      <c r="B126" s="15">
        <v>140148130</v>
      </c>
      <c r="C126" s="15">
        <v>289705750</v>
      </c>
      <c r="D126" s="16">
        <v>820511837</v>
      </c>
      <c r="E126" s="16" t="s">
        <v>7383</v>
      </c>
      <c r="F126" s="20" t="s">
        <v>7062</v>
      </c>
      <c r="G126" s="17" t="s">
        <v>7381</v>
      </c>
    </row>
    <row r="127" spans="1:7" x14ac:dyDescent="0.25">
      <c r="A127">
        <f t="shared" si="1"/>
        <v>8205118</v>
      </c>
      <c r="B127" s="15">
        <v>140148130</v>
      </c>
      <c r="C127" s="15">
        <v>289705752</v>
      </c>
      <c r="D127" s="16">
        <v>820511839</v>
      </c>
      <c r="E127" s="16" t="s">
        <v>7383</v>
      </c>
      <c r="F127" s="20" t="s">
        <v>7069</v>
      </c>
      <c r="G127" s="17" t="s">
        <v>7381</v>
      </c>
    </row>
    <row r="128" spans="1:7" x14ac:dyDescent="0.25">
      <c r="A128">
        <f t="shared" si="1"/>
        <v>8205119</v>
      </c>
      <c r="B128" s="15">
        <v>140148130</v>
      </c>
      <c r="C128" s="15">
        <v>289705767</v>
      </c>
      <c r="D128" s="16">
        <v>820511938</v>
      </c>
      <c r="E128" s="16" t="s">
        <v>7383</v>
      </c>
      <c r="F128" s="20" t="s">
        <v>7080</v>
      </c>
      <c r="G128" s="17" t="s">
        <v>7382</v>
      </c>
    </row>
    <row r="129" spans="1:7" x14ac:dyDescent="0.25">
      <c r="A129">
        <f t="shared" si="1"/>
        <v>8205119</v>
      </c>
      <c r="B129" s="15">
        <v>140148130</v>
      </c>
      <c r="C129" s="15">
        <v>289705770</v>
      </c>
      <c r="D129" s="16">
        <v>820511941</v>
      </c>
      <c r="E129" s="16" t="s">
        <v>7383</v>
      </c>
      <c r="F129" s="20" t="s">
        <v>7083</v>
      </c>
      <c r="G129" s="17" t="s">
        <v>7382</v>
      </c>
    </row>
    <row r="130" spans="1:7" x14ac:dyDescent="0.25">
      <c r="A130">
        <f t="shared" si="1"/>
        <v>8205118</v>
      </c>
      <c r="B130" s="15">
        <v>140148130</v>
      </c>
      <c r="C130" s="15">
        <v>289705762</v>
      </c>
      <c r="D130" s="16">
        <v>820511845</v>
      </c>
      <c r="E130" s="16" t="s">
        <v>7383</v>
      </c>
      <c r="F130" s="20" t="s">
        <v>7061</v>
      </c>
      <c r="G130" s="17" t="s">
        <v>7381</v>
      </c>
    </row>
    <row r="131" spans="1:7" x14ac:dyDescent="0.25">
      <c r="A131">
        <f t="shared" ref="A131:A194" si="2">LEFT(D131,7)*1</f>
        <v>8205119</v>
      </c>
      <c r="B131" s="15">
        <v>140148130</v>
      </c>
      <c r="C131" s="15">
        <v>289705766</v>
      </c>
      <c r="D131" s="16">
        <v>820511937</v>
      </c>
      <c r="E131" s="16" t="s">
        <v>7383</v>
      </c>
      <c r="F131" s="20" t="s">
        <v>7079</v>
      </c>
      <c r="G131" s="17" t="s">
        <v>7382</v>
      </c>
    </row>
    <row r="132" spans="1:7" x14ac:dyDescent="0.25">
      <c r="A132">
        <f t="shared" si="2"/>
        <v>8205119</v>
      </c>
      <c r="B132" s="15">
        <v>140148130</v>
      </c>
      <c r="C132" s="15">
        <v>289705764</v>
      </c>
      <c r="D132" s="16">
        <v>820511935</v>
      </c>
      <c r="E132" s="16" t="s">
        <v>7383</v>
      </c>
      <c r="F132" s="20" t="s">
        <v>7077</v>
      </c>
      <c r="G132" s="17" t="s">
        <v>7382</v>
      </c>
    </row>
    <row r="133" spans="1:7" x14ac:dyDescent="0.25">
      <c r="A133">
        <f t="shared" si="2"/>
        <v>8205118</v>
      </c>
      <c r="B133" s="15">
        <v>140148130</v>
      </c>
      <c r="C133" s="15">
        <v>289705756</v>
      </c>
      <c r="D133" s="16">
        <v>820511843</v>
      </c>
      <c r="E133" s="16" t="s">
        <v>7383</v>
      </c>
      <c r="F133" s="20" t="s">
        <v>7065</v>
      </c>
      <c r="G133" s="17" t="s">
        <v>7381</v>
      </c>
    </row>
    <row r="134" spans="1:7" x14ac:dyDescent="0.25">
      <c r="A134">
        <f t="shared" si="2"/>
        <v>8205118</v>
      </c>
      <c r="B134" s="15">
        <v>140148130</v>
      </c>
      <c r="C134" s="15">
        <v>289705753</v>
      </c>
      <c r="D134" s="16">
        <v>820511840</v>
      </c>
      <c r="E134" s="16" t="s">
        <v>7383</v>
      </c>
      <c r="F134" s="20" t="s">
        <v>7063</v>
      </c>
      <c r="G134" s="17" t="s">
        <v>7381</v>
      </c>
    </row>
    <row r="135" spans="1:7" x14ac:dyDescent="0.25">
      <c r="A135">
        <f t="shared" si="2"/>
        <v>8205118</v>
      </c>
      <c r="B135" s="15">
        <v>140148130</v>
      </c>
      <c r="C135" s="15">
        <v>289705755</v>
      </c>
      <c r="D135" s="16">
        <v>820511842</v>
      </c>
      <c r="E135" s="16" t="s">
        <v>7383</v>
      </c>
      <c r="F135" s="20" t="s">
        <v>7070</v>
      </c>
      <c r="G135" s="17" t="s">
        <v>7381</v>
      </c>
    </row>
    <row r="136" spans="1:7" x14ac:dyDescent="0.25">
      <c r="A136">
        <f t="shared" si="2"/>
        <v>8205119</v>
      </c>
      <c r="B136" s="15">
        <v>140148130</v>
      </c>
      <c r="C136" s="15">
        <v>289705769</v>
      </c>
      <c r="D136" s="16">
        <v>820511940</v>
      </c>
      <c r="E136" s="16" t="s">
        <v>7383</v>
      </c>
      <c r="F136" s="20" t="s">
        <v>7082</v>
      </c>
      <c r="G136" s="17" t="s">
        <v>7382</v>
      </c>
    </row>
    <row r="137" spans="1:7" x14ac:dyDescent="0.25">
      <c r="A137">
        <f t="shared" si="2"/>
        <v>8205118</v>
      </c>
      <c r="B137" s="15">
        <v>140148130</v>
      </c>
      <c r="C137" s="15">
        <v>289705754</v>
      </c>
      <c r="D137" s="16">
        <v>820511841</v>
      </c>
      <c r="E137" s="16" t="s">
        <v>7383</v>
      </c>
      <c r="F137" s="20" t="s">
        <v>7064</v>
      </c>
      <c r="G137" s="17" t="s">
        <v>7381</v>
      </c>
    </row>
    <row r="138" spans="1:7" x14ac:dyDescent="0.25">
      <c r="A138">
        <f t="shared" si="2"/>
        <v>8205119</v>
      </c>
      <c r="B138" s="15">
        <v>140148130</v>
      </c>
      <c r="C138" s="15">
        <v>289705775</v>
      </c>
      <c r="D138" s="16">
        <v>820511946</v>
      </c>
      <c r="E138" s="16" t="s">
        <v>7383</v>
      </c>
      <c r="F138" s="20" t="s">
        <v>7086</v>
      </c>
      <c r="G138" s="17" t="s">
        <v>7382</v>
      </c>
    </row>
    <row r="139" spans="1:7" x14ac:dyDescent="0.25">
      <c r="A139">
        <f t="shared" si="2"/>
        <v>8205118</v>
      </c>
      <c r="B139" s="15">
        <v>140148130</v>
      </c>
      <c r="C139" s="15">
        <v>289705751</v>
      </c>
      <c r="D139" s="16">
        <v>820511838</v>
      </c>
      <c r="E139" s="16" t="s">
        <v>7383</v>
      </c>
      <c r="F139" s="20" t="s">
        <v>7067</v>
      </c>
      <c r="G139" s="17" t="s">
        <v>7381</v>
      </c>
    </row>
    <row r="140" spans="1:7" x14ac:dyDescent="0.25">
      <c r="A140">
        <f t="shared" si="2"/>
        <v>8205118</v>
      </c>
      <c r="B140" s="15">
        <v>140148130</v>
      </c>
      <c r="C140" s="15">
        <v>289705763</v>
      </c>
      <c r="D140" s="16">
        <v>820511846</v>
      </c>
      <c r="E140" s="16" t="s">
        <v>7383</v>
      </c>
      <c r="F140" s="20" t="s">
        <v>7066</v>
      </c>
      <c r="G140" s="17" t="s">
        <v>7381</v>
      </c>
    </row>
    <row r="141" spans="1:7" x14ac:dyDescent="0.25">
      <c r="A141">
        <f t="shared" si="2"/>
        <v>8205119</v>
      </c>
      <c r="B141" s="15">
        <v>140148130</v>
      </c>
      <c r="C141" s="15">
        <v>289705765</v>
      </c>
      <c r="D141" s="16">
        <v>820511936</v>
      </c>
      <c r="E141" s="16" t="s">
        <v>7383</v>
      </c>
      <c r="F141" s="20" t="s">
        <v>7078</v>
      </c>
      <c r="G141" s="17" t="s">
        <v>7382</v>
      </c>
    </row>
    <row r="142" spans="1:7" x14ac:dyDescent="0.25">
      <c r="A142">
        <f t="shared" si="2"/>
        <v>8205119</v>
      </c>
      <c r="B142" s="15">
        <v>140148130</v>
      </c>
      <c r="C142" s="15">
        <v>289705774</v>
      </c>
      <c r="D142" s="16">
        <v>820511945</v>
      </c>
      <c r="E142" s="16" t="s">
        <v>7383</v>
      </c>
      <c r="F142" s="20" t="s">
        <v>7085</v>
      </c>
      <c r="G142" s="17" t="s">
        <v>7382</v>
      </c>
    </row>
    <row r="143" spans="1:7" x14ac:dyDescent="0.25">
      <c r="A143">
        <f t="shared" si="2"/>
        <v>8205119</v>
      </c>
      <c r="B143" s="15">
        <v>140148130</v>
      </c>
      <c r="C143" s="15">
        <v>289705768</v>
      </c>
      <c r="D143" s="16">
        <v>820511939</v>
      </c>
      <c r="E143" s="16" t="s">
        <v>7383</v>
      </c>
      <c r="F143" s="20" t="s">
        <v>7081</v>
      </c>
      <c r="G143" s="17" t="s">
        <v>7382</v>
      </c>
    </row>
    <row r="144" spans="1:7" x14ac:dyDescent="0.25">
      <c r="A144">
        <f t="shared" si="2"/>
        <v>8205119</v>
      </c>
      <c r="B144" s="15">
        <v>140148130</v>
      </c>
      <c r="C144" s="15">
        <v>289705771</v>
      </c>
      <c r="D144" s="16">
        <v>820511942</v>
      </c>
      <c r="E144" s="16" t="s">
        <v>7383</v>
      </c>
      <c r="F144" s="20" t="s">
        <v>7089</v>
      </c>
      <c r="G144" s="17" t="s">
        <v>7382</v>
      </c>
    </row>
    <row r="145" spans="1:7" x14ac:dyDescent="0.25">
      <c r="A145">
        <f t="shared" si="2"/>
        <v>8205119</v>
      </c>
      <c r="B145" s="15">
        <v>140148130</v>
      </c>
      <c r="C145" s="15">
        <v>289705773</v>
      </c>
      <c r="D145" s="16">
        <v>820511944</v>
      </c>
      <c r="E145" s="16" t="s">
        <v>7383</v>
      </c>
      <c r="F145" s="20" t="s">
        <v>7088</v>
      </c>
      <c r="G145" s="17" t="s">
        <v>7382</v>
      </c>
    </row>
    <row r="146" spans="1:7" x14ac:dyDescent="0.25">
      <c r="A146">
        <f t="shared" si="2"/>
        <v>8205118</v>
      </c>
      <c r="B146" s="15">
        <v>140148130</v>
      </c>
      <c r="C146" s="15">
        <v>289705758</v>
      </c>
      <c r="D146" s="16">
        <v>820511844</v>
      </c>
      <c r="E146" s="16" t="s">
        <v>7383</v>
      </c>
      <c r="F146" s="20" t="s">
        <v>7068</v>
      </c>
      <c r="G146" s="17" t="s">
        <v>7381</v>
      </c>
    </row>
    <row r="147" spans="1:7" x14ac:dyDescent="0.25">
      <c r="A147">
        <f t="shared" si="2"/>
        <v>8205119</v>
      </c>
      <c r="B147" s="15">
        <v>140148130</v>
      </c>
      <c r="C147" s="15">
        <v>289705772</v>
      </c>
      <c r="D147" s="16">
        <v>820511943</v>
      </c>
      <c r="E147" s="16" t="s">
        <v>7383</v>
      </c>
      <c r="F147" s="20" t="s">
        <v>7084</v>
      </c>
      <c r="G147" s="17" t="s">
        <v>7382</v>
      </c>
    </row>
    <row r="148" spans="1:7" x14ac:dyDescent="0.25">
      <c r="A148">
        <f t="shared" si="2"/>
        <v>8205090</v>
      </c>
      <c r="B148" s="15">
        <v>140640133</v>
      </c>
      <c r="C148" s="15">
        <v>290219914</v>
      </c>
      <c r="D148" s="16">
        <v>820509044</v>
      </c>
      <c r="E148" s="16" t="s">
        <v>7384</v>
      </c>
      <c r="F148" s="20" t="s">
        <v>7068</v>
      </c>
      <c r="G148" s="17" t="s">
        <v>7385</v>
      </c>
    </row>
    <row r="149" spans="1:7" x14ac:dyDescent="0.25">
      <c r="A149">
        <f t="shared" si="2"/>
        <v>8205090</v>
      </c>
      <c r="B149" s="15">
        <v>140640133</v>
      </c>
      <c r="C149" s="15">
        <v>290219918</v>
      </c>
      <c r="D149" s="16">
        <v>820509047</v>
      </c>
      <c r="E149" s="16" t="s">
        <v>7384</v>
      </c>
      <c r="F149" s="20" t="s">
        <v>7090</v>
      </c>
      <c r="G149" s="17" t="s">
        <v>7385</v>
      </c>
    </row>
    <row r="150" spans="1:7" x14ac:dyDescent="0.25">
      <c r="A150">
        <f t="shared" si="2"/>
        <v>8205090</v>
      </c>
      <c r="B150" s="15">
        <v>140640133</v>
      </c>
      <c r="C150" s="15">
        <v>290219890</v>
      </c>
      <c r="D150" s="16">
        <v>820509045</v>
      </c>
      <c r="E150" s="16" t="s">
        <v>7384</v>
      </c>
      <c r="F150" s="20" t="s">
        <v>7061</v>
      </c>
      <c r="G150" s="17" t="s">
        <v>7385</v>
      </c>
    </row>
    <row r="151" spans="1:7" x14ac:dyDescent="0.25">
      <c r="A151">
        <f t="shared" si="2"/>
        <v>8205090</v>
      </c>
      <c r="B151" s="15">
        <v>140640133</v>
      </c>
      <c r="C151" s="15">
        <v>290219917</v>
      </c>
      <c r="D151" s="16">
        <v>820509046</v>
      </c>
      <c r="E151" s="16" t="s">
        <v>7384</v>
      </c>
      <c r="F151" s="20" t="s">
        <v>7066</v>
      </c>
      <c r="G151" s="17" t="s">
        <v>7385</v>
      </c>
    </row>
    <row r="152" spans="1:7" x14ac:dyDescent="0.25">
      <c r="A152">
        <f t="shared" si="2"/>
        <v>8205090</v>
      </c>
      <c r="B152" s="15">
        <v>140640133</v>
      </c>
      <c r="C152" s="15">
        <v>290219894</v>
      </c>
      <c r="D152" s="16">
        <v>820509042</v>
      </c>
      <c r="E152" s="16" t="s">
        <v>7384</v>
      </c>
      <c r="F152" s="20" t="s">
        <v>7070</v>
      </c>
      <c r="G152" s="17" t="s">
        <v>7385</v>
      </c>
    </row>
    <row r="153" spans="1:7" x14ac:dyDescent="0.25">
      <c r="A153">
        <f t="shared" si="2"/>
        <v>8205090</v>
      </c>
      <c r="B153" s="15">
        <v>140640133</v>
      </c>
      <c r="C153" s="15">
        <v>290219921</v>
      </c>
      <c r="D153" s="16">
        <v>820509048</v>
      </c>
      <c r="E153" s="16" t="s">
        <v>7384</v>
      </c>
      <c r="F153" s="20" t="s">
        <v>7091</v>
      </c>
      <c r="G153" s="17" t="s">
        <v>7385</v>
      </c>
    </row>
    <row r="154" spans="1:7" x14ac:dyDescent="0.25">
      <c r="A154">
        <f t="shared" si="2"/>
        <v>8205090</v>
      </c>
      <c r="B154" s="15">
        <v>140640133</v>
      </c>
      <c r="C154" s="15">
        <v>290219911</v>
      </c>
      <c r="D154" s="16">
        <v>820509036</v>
      </c>
      <c r="E154" s="16" t="s">
        <v>7384</v>
      </c>
      <c r="F154" s="20" t="s">
        <v>7060</v>
      </c>
      <c r="G154" s="17" t="s">
        <v>7385</v>
      </c>
    </row>
    <row r="155" spans="1:7" x14ac:dyDescent="0.25">
      <c r="A155">
        <f t="shared" si="2"/>
        <v>8205090</v>
      </c>
      <c r="B155" s="15">
        <v>140640133</v>
      </c>
      <c r="C155" s="15">
        <v>290219907</v>
      </c>
      <c r="D155" s="16">
        <v>820509043</v>
      </c>
      <c r="E155" s="16" t="s">
        <v>7384</v>
      </c>
      <c r="F155" s="20" t="s">
        <v>7065</v>
      </c>
      <c r="G155" s="17" t="s">
        <v>7385</v>
      </c>
    </row>
    <row r="156" spans="1:7" x14ac:dyDescent="0.25">
      <c r="A156">
        <f t="shared" si="2"/>
        <v>8205090</v>
      </c>
      <c r="B156" s="15">
        <v>140640133</v>
      </c>
      <c r="C156" s="15">
        <v>290219896</v>
      </c>
      <c r="D156" s="16">
        <v>820509037</v>
      </c>
      <c r="E156" s="16" t="s">
        <v>7384</v>
      </c>
      <c r="F156" s="20" t="s">
        <v>7062</v>
      </c>
      <c r="G156" s="17" t="s">
        <v>7385</v>
      </c>
    </row>
    <row r="157" spans="1:7" x14ac:dyDescent="0.25">
      <c r="A157">
        <f t="shared" si="2"/>
        <v>8205090</v>
      </c>
      <c r="B157" s="15">
        <v>140640133</v>
      </c>
      <c r="C157" s="15">
        <v>290219899</v>
      </c>
      <c r="D157" s="16">
        <v>820509040</v>
      </c>
      <c r="E157" s="16" t="s">
        <v>7384</v>
      </c>
      <c r="F157" s="20" t="s">
        <v>7063</v>
      </c>
      <c r="G157" s="17" t="s">
        <v>7385</v>
      </c>
    </row>
    <row r="158" spans="1:7" x14ac:dyDescent="0.25">
      <c r="A158">
        <f t="shared" si="2"/>
        <v>8205090</v>
      </c>
      <c r="B158" s="15">
        <v>140640133</v>
      </c>
      <c r="C158" s="15">
        <v>290219925</v>
      </c>
      <c r="D158" s="16">
        <v>820509049</v>
      </c>
      <c r="E158" s="16" t="s">
        <v>7384</v>
      </c>
      <c r="F158" s="20" t="s">
        <v>7092</v>
      </c>
      <c r="G158" s="17" t="s">
        <v>7385</v>
      </c>
    </row>
    <row r="159" spans="1:7" x14ac:dyDescent="0.25">
      <c r="A159">
        <f t="shared" si="2"/>
        <v>8205090</v>
      </c>
      <c r="B159" s="15">
        <v>140640133</v>
      </c>
      <c r="C159" s="15">
        <v>290219928</v>
      </c>
      <c r="D159" s="16">
        <v>820509050</v>
      </c>
      <c r="E159" s="16" t="s">
        <v>7384</v>
      </c>
      <c r="F159" s="20" t="s">
        <v>7093</v>
      </c>
      <c r="G159" s="17" t="s">
        <v>7385</v>
      </c>
    </row>
    <row r="160" spans="1:7" x14ac:dyDescent="0.25">
      <c r="A160">
        <f t="shared" si="2"/>
        <v>8205090</v>
      </c>
      <c r="B160" s="15">
        <v>140640133</v>
      </c>
      <c r="C160" s="15">
        <v>290219892</v>
      </c>
      <c r="D160" s="16">
        <v>820509041</v>
      </c>
      <c r="E160" s="16" t="s">
        <v>7384</v>
      </c>
      <c r="F160" s="20" t="s">
        <v>7064</v>
      </c>
      <c r="G160" s="17" t="s">
        <v>7385</v>
      </c>
    </row>
    <row r="161" spans="1:7" x14ac:dyDescent="0.25">
      <c r="A161">
        <f t="shared" si="2"/>
        <v>8205090</v>
      </c>
      <c r="B161" s="15">
        <v>140640133</v>
      </c>
      <c r="C161" s="15">
        <v>290219904</v>
      </c>
      <c r="D161" s="16">
        <v>820509035</v>
      </c>
      <c r="E161" s="16" t="s">
        <v>7384</v>
      </c>
      <c r="F161" s="20" t="s">
        <v>7087</v>
      </c>
      <c r="G161" s="17" t="s">
        <v>7385</v>
      </c>
    </row>
    <row r="162" spans="1:7" x14ac:dyDescent="0.25">
      <c r="A162">
        <f t="shared" si="2"/>
        <v>8205090</v>
      </c>
      <c r="B162" s="15">
        <v>140640133</v>
      </c>
      <c r="C162" s="15">
        <v>290219900</v>
      </c>
      <c r="D162" s="16">
        <v>8205090339</v>
      </c>
      <c r="E162" s="16" t="s">
        <v>7384</v>
      </c>
      <c r="F162" s="20" t="s">
        <v>7069</v>
      </c>
      <c r="G162" s="17" t="s">
        <v>7385</v>
      </c>
    </row>
    <row r="163" spans="1:7" x14ac:dyDescent="0.25">
      <c r="A163">
        <f t="shared" si="2"/>
        <v>8205090</v>
      </c>
      <c r="B163" s="15">
        <v>140640133</v>
      </c>
      <c r="C163" s="15">
        <v>290219898</v>
      </c>
      <c r="D163" s="16">
        <v>820509038</v>
      </c>
      <c r="E163" s="16" t="s">
        <v>7384</v>
      </c>
      <c r="F163" s="20" t="s">
        <v>7067</v>
      </c>
      <c r="G163" s="17" t="s">
        <v>7385</v>
      </c>
    </row>
    <row r="164" spans="1:7" x14ac:dyDescent="0.25">
      <c r="A164">
        <f t="shared" si="2"/>
        <v>8205090</v>
      </c>
      <c r="B164" s="15">
        <v>140640132</v>
      </c>
      <c r="C164" s="15">
        <v>290219888</v>
      </c>
      <c r="D164" s="16">
        <v>820509035</v>
      </c>
      <c r="E164" s="16" t="s">
        <v>7386</v>
      </c>
      <c r="F164" s="20" t="s">
        <v>7087</v>
      </c>
      <c r="G164" s="17" t="s">
        <v>7385</v>
      </c>
    </row>
    <row r="165" spans="1:7" x14ac:dyDescent="0.25">
      <c r="A165">
        <f t="shared" si="2"/>
        <v>8205090</v>
      </c>
      <c r="B165" s="15">
        <v>140640132</v>
      </c>
      <c r="C165" s="15">
        <v>290219886</v>
      </c>
      <c r="D165" s="16">
        <v>820509045</v>
      </c>
      <c r="E165" s="16" t="s">
        <v>7386</v>
      </c>
      <c r="F165" s="20" t="s">
        <v>7061</v>
      </c>
      <c r="G165" s="17" t="s">
        <v>7385</v>
      </c>
    </row>
    <row r="166" spans="1:7" x14ac:dyDescent="0.25">
      <c r="A166">
        <f t="shared" si="2"/>
        <v>8205090</v>
      </c>
      <c r="B166" s="15">
        <v>140640132</v>
      </c>
      <c r="C166" s="15">
        <v>290219951</v>
      </c>
      <c r="D166" s="16">
        <v>820509042</v>
      </c>
      <c r="E166" s="16" t="s">
        <v>7386</v>
      </c>
      <c r="F166" s="20" t="s">
        <v>7070</v>
      </c>
      <c r="G166" s="17" t="s">
        <v>7385</v>
      </c>
    </row>
    <row r="167" spans="1:7" x14ac:dyDescent="0.25">
      <c r="A167">
        <f t="shared" si="2"/>
        <v>8205090</v>
      </c>
      <c r="B167" s="15">
        <v>140640132</v>
      </c>
      <c r="C167" s="15">
        <v>290220028</v>
      </c>
      <c r="D167" s="16">
        <v>820509048</v>
      </c>
      <c r="E167" s="16" t="s">
        <v>7386</v>
      </c>
      <c r="F167" s="20" t="s">
        <v>7091</v>
      </c>
      <c r="G167" s="17" t="s">
        <v>7385</v>
      </c>
    </row>
    <row r="168" spans="1:7" x14ac:dyDescent="0.25">
      <c r="A168">
        <f t="shared" si="2"/>
        <v>8205090</v>
      </c>
      <c r="B168" s="15">
        <v>140640132</v>
      </c>
      <c r="C168" s="15">
        <v>290219958</v>
      </c>
      <c r="D168" s="16">
        <v>820509043</v>
      </c>
      <c r="E168" s="16" t="s">
        <v>7386</v>
      </c>
      <c r="F168" s="20" t="s">
        <v>7065</v>
      </c>
      <c r="G168" s="17" t="s">
        <v>7385</v>
      </c>
    </row>
    <row r="169" spans="1:7" x14ac:dyDescent="0.25">
      <c r="A169">
        <f t="shared" si="2"/>
        <v>8205090</v>
      </c>
      <c r="B169" s="15">
        <v>140640132</v>
      </c>
      <c r="C169" s="15">
        <v>290220020</v>
      </c>
      <c r="D169" s="16">
        <v>820509047</v>
      </c>
      <c r="E169" s="16" t="s">
        <v>7386</v>
      </c>
      <c r="F169" s="20" t="s">
        <v>7090</v>
      </c>
      <c r="G169" s="17" t="s">
        <v>7385</v>
      </c>
    </row>
    <row r="170" spans="1:7" x14ac:dyDescent="0.25">
      <c r="A170">
        <f t="shared" si="2"/>
        <v>8205090</v>
      </c>
      <c r="B170" s="15">
        <v>140640132</v>
      </c>
      <c r="C170" s="15">
        <v>290219974</v>
      </c>
      <c r="D170" s="16">
        <v>820509044</v>
      </c>
      <c r="E170" s="16" t="s">
        <v>7386</v>
      </c>
      <c r="F170" s="20" t="s">
        <v>7068</v>
      </c>
      <c r="G170" s="17" t="s">
        <v>7385</v>
      </c>
    </row>
    <row r="171" spans="1:7" x14ac:dyDescent="0.25">
      <c r="A171">
        <f t="shared" si="2"/>
        <v>8205090</v>
      </c>
      <c r="B171" s="15">
        <v>140640132</v>
      </c>
      <c r="C171" s="15">
        <v>290219930</v>
      </c>
      <c r="D171" s="16">
        <v>820509040</v>
      </c>
      <c r="E171" s="16" t="s">
        <v>7386</v>
      </c>
      <c r="F171" s="20" t="s">
        <v>7063</v>
      </c>
      <c r="G171" s="17" t="s">
        <v>7385</v>
      </c>
    </row>
    <row r="172" spans="1:7" x14ac:dyDescent="0.25">
      <c r="A172">
        <f t="shared" si="2"/>
        <v>8205090</v>
      </c>
      <c r="B172" s="15">
        <v>140640132</v>
      </c>
      <c r="C172" s="15">
        <v>290219901</v>
      </c>
      <c r="D172" s="16">
        <v>820509037</v>
      </c>
      <c r="E172" s="16" t="s">
        <v>7386</v>
      </c>
      <c r="F172" s="20" t="s">
        <v>7062</v>
      </c>
      <c r="G172" s="17" t="s">
        <v>7385</v>
      </c>
    </row>
    <row r="173" spans="1:7" x14ac:dyDescent="0.25">
      <c r="A173">
        <f t="shared" si="2"/>
        <v>8205090</v>
      </c>
      <c r="B173" s="15">
        <v>140640132</v>
      </c>
      <c r="C173" s="15">
        <v>290219987</v>
      </c>
      <c r="D173" s="16">
        <v>820509046</v>
      </c>
      <c r="E173" s="16" t="s">
        <v>7386</v>
      </c>
      <c r="F173" s="20" t="s">
        <v>7066</v>
      </c>
      <c r="G173" s="17" t="s">
        <v>7385</v>
      </c>
    </row>
    <row r="174" spans="1:7" x14ac:dyDescent="0.25">
      <c r="A174">
        <f t="shared" si="2"/>
        <v>8205090</v>
      </c>
      <c r="B174" s="15">
        <v>140640132</v>
      </c>
      <c r="C174" s="15">
        <v>290220040</v>
      </c>
      <c r="D174" s="16">
        <v>820509049</v>
      </c>
      <c r="E174" s="16" t="s">
        <v>7386</v>
      </c>
      <c r="F174" s="20" t="s">
        <v>7092</v>
      </c>
      <c r="G174" s="17" t="s">
        <v>7385</v>
      </c>
    </row>
    <row r="175" spans="1:7" x14ac:dyDescent="0.25">
      <c r="A175">
        <f t="shared" si="2"/>
        <v>8205090</v>
      </c>
      <c r="B175" s="15">
        <v>140640132</v>
      </c>
      <c r="C175" s="15">
        <v>290219965</v>
      </c>
      <c r="D175" s="16">
        <v>820509036</v>
      </c>
      <c r="E175" s="16" t="s">
        <v>7386</v>
      </c>
      <c r="F175" s="20" t="s">
        <v>7060</v>
      </c>
      <c r="G175" s="17" t="s">
        <v>7385</v>
      </c>
    </row>
    <row r="176" spans="1:7" x14ac:dyDescent="0.25">
      <c r="A176">
        <f t="shared" si="2"/>
        <v>8205090</v>
      </c>
      <c r="B176" s="15">
        <v>140640132</v>
      </c>
      <c r="C176" s="15">
        <v>290220047</v>
      </c>
      <c r="D176" s="16">
        <v>820509050</v>
      </c>
      <c r="E176" s="16" t="s">
        <v>7386</v>
      </c>
      <c r="F176" s="20" t="s">
        <v>7093</v>
      </c>
      <c r="G176" s="17" t="s">
        <v>7385</v>
      </c>
    </row>
    <row r="177" spans="1:7" x14ac:dyDescent="0.25">
      <c r="A177">
        <f t="shared" si="2"/>
        <v>8205090</v>
      </c>
      <c r="B177" s="15">
        <v>140640132</v>
      </c>
      <c r="C177" s="15">
        <v>290219913</v>
      </c>
      <c r="D177" s="16">
        <v>820509038</v>
      </c>
      <c r="E177" s="16" t="s">
        <v>7386</v>
      </c>
      <c r="F177" s="20" t="s">
        <v>7067</v>
      </c>
      <c r="G177" s="17" t="s">
        <v>7385</v>
      </c>
    </row>
    <row r="178" spans="1:7" x14ac:dyDescent="0.25">
      <c r="A178">
        <f t="shared" si="2"/>
        <v>8205090</v>
      </c>
      <c r="B178" s="15">
        <v>140640132</v>
      </c>
      <c r="C178" s="15">
        <v>290219939</v>
      </c>
      <c r="D178" s="16">
        <v>820509039</v>
      </c>
      <c r="E178" s="16" t="s">
        <v>7386</v>
      </c>
      <c r="F178" s="20" t="s">
        <v>7069</v>
      </c>
      <c r="G178" s="17" t="s">
        <v>7385</v>
      </c>
    </row>
    <row r="179" spans="1:7" x14ac:dyDescent="0.25">
      <c r="A179">
        <f t="shared" si="2"/>
        <v>8205090</v>
      </c>
      <c r="B179" s="15">
        <v>140640132</v>
      </c>
      <c r="C179" s="15">
        <v>290219895</v>
      </c>
      <c r="D179" s="16">
        <v>820509041</v>
      </c>
      <c r="E179" s="16" t="s">
        <v>7386</v>
      </c>
      <c r="F179" s="20" t="s">
        <v>7064</v>
      </c>
      <c r="G179" s="17" t="s">
        <v>7385</v>
      </c>
    </row>
    <row r="180" spans="1:7" x14ac:dyDescent="0.25">
      <c r="A180">
        <f t="shared" si="2"/>
        <v>8205041</v>
      </c>
      <c r="B180" s="15">
        <v>140640254</v>
      </c>
      <c r="C180" s="15">
        <v>290220824</v>
      </c>
      <c r="D180" s="16">
        <v>820504146</v>
      </c>
      <c r="E180" s="16" t="s">
        <v>7387</v>
      </c>
      <c r="F180" s="20" t="s">
        <v>7066</v>
      </c>
      <c r="G180" s="17" t="s">
        <v>7388</v>
      </c>
    </row>
    <row r="181" spans="1:7" x14ac:dyDescent="0.25">
      <c r="A181">
        <f t="shared" si="2"/>
        <v>8205041</v>
      </c>
      <c r="B181" s="15">
        <v>140640254</v>
      </c>
      <c r="C181" s="15">
        <v>290220847</v>
      </c>
      <c r="D181" s="16">
        <v>820504140</v>
      </c>
      <c r="E181" s="16" t="s">
        <v>7387</v>
      </c>
      <c r="F181" s="20" t="s">
        <v>7063</v>
      </c>
      <c r="G181" s="17" t="s">
        <v>7388</v>
      </c>
    </row>
    <row r="182" spans="1:7" x14ac:dyDescent="0.25">
      <c r="A182">
        <f t="shared" si="2"/>
        <v>8205041</v>
      </c>
      <c r="B182" s="15">
        <v>140640254</v>
      </c>
      <c r="C182" s="15">
        <v>290220864</v>
      </c>
      <c r="D182" s="16">
        <v>820504139</v>
      </c>
      <c r="E182" s="16" t="s">
        <v>7387</v>
      </c>
      <c r="F182" s="20" t="s">
        <v>7069</v>
      </c>
      <c r="G182" s="17" t="s">
        <v>7388</v>
      </c>
    </row>
    <row r="183" spans="1:7" x14ac:dyDescent="0.25">
      <c r="A183">
        <f t="shared" si="2"/>
        <v>8205041</v>
      </c>
      <c r="B183" s="15">
        <v>140640254</v>
      </c>
      <c r="C183" s="15">
        <v>290220926</v>
      </c>
      <c r="D183" s="16">
        <v>820504145</v>
      </c>
      <c r="E183" s="16" t="s">
        <v>7387</v>
      </c>
      <c r="F183" s="20" t="s">
        <v>7061</v>
      </c>
      <c r="G183" s="17" t="s">
        <v>7388</v>
      </c>
    </row>
    <row r="184" spans="1:7" x14ac:dyDescent="0.25">
      <c r="A184">
        <f t="shared" si="2"/>
        <v>8205041</v>
      </c>
      <c r="B184" s="15">
        <v>140640254</v>
      </c>
      <c r="C184" s="15">
        <v>290220892</v>
      </c>
      <c r="D184" s="16">
        <v>820504142</v>
      </c>
      <c r="E184" s="16" t="s">
        <v>7387</v>
      </c>
      <c r="F184" s="20" t="s">
        <v>7070</v>
      </c>
      <c r="G184" s="17" t="s">
        <v>7388</v>
      </c>
    </row>
    <row r="185" spans="1:7" x14ac:dyDescent="0.25">
      <c r="A185">
        <f t="shared" si="2"/>
        <v>8205041</v>
      </c>
      <c r="B185" s="15">
        <v>140640254</v>
      </c>
      <c r="C185" s="15">
        <v>290220830</v>
      </c>
      <c r="D185" s="16">
        <v>820504136</v>
      </c>
      <c r="E185" s="16" t="s">
        <v>7387</v>
      </c>
      <c r="F185" s="20" t="s">
        <v>7060</v>
      </c>
      <c r="G185" s="17" t="s">
        <v>7388</v>
      </c>
    </row>
    <row r="186" spans="1:7" x14ac:dyDescent="0.25">
      <c r="A186">
        <f t="shared" si="2"/>
        <v>8205041</v>
      </c>
      <c r="B186" s="15">
        <v>140640254</v>
      </c>
      <c r="C186" s="15">
        <v>290220889</v>
      </c>
      <c r="D186" s="16">
        <v>820504141</v>
      </c>
      <c r="E186" s="16" t="s">
        <v>7387</v>
      </c>
      <c r="F186" s="20" t="s">
        <v>7064</v>
      </c>
      <c r="G186" s="17" t="s">
        <v>7388</v>
      </c>
    </row>
    <row r="187" spans="1:7" x14ac:dyDescent="0.25">
      <c r="A187">
        <f t="shared" si="2"/>
        <v>8205041</v>
      </c>
      <c r="B187" s="15">
        <v>140640254</v>
      </c>
      <c r="C187" s="15">
        <v>290220930</v>
      </c>
      <c r="D187" s="16">
        <v>820504135</v>
      </c>
      <c r="E187" s="16" t="s">
        <v>7387</v>
      </c>
      <c r="F187" s="20" t="s">
        <v>7087</v>
      </c>
      <c r="G187" s="17" t="s">
        <v>7388</v>
      </c>
    </row>
    <row r="188" spans="1:7" x14ac:dyDescent="0.25">
      <c r="A188">
        <f t="shared" si="2"/>
        <v>8205041</v>
      </c>
      <c r="B188" s="15">
        <v>140640254</v>
      </c>
      <c r="C188" s="15">
        <v>290220916</v>
      </c>
      <c r="D188" s="16">
        <v>820504144</v>
      </c>
      <c r="E188" s="16" t="s">
        <v>7387</v>
      </c>
      <c r="F188" s="20" t="s">
        <v>7068</v>
      </c>
      <c r="G188" s="17" t="s">
        <v>7388</v>
      </c>
    </row>
    <row r="189" spans="1:7" x14ac:dyDescent="0.25">
      <c r="A189">
        <f t="shared" si="2"/>
        <v>8205041</v>
      </c>
      <c r="B189" s="15">
        <v>140640254</v>
      </c>
      <c r="C189" s="15">
        <v>290220872</v>
      </c>
      <c r="D189" s="16">
        <v>820504137</v>
      </c>
      <c r="E189" s="16" t="s">
        <v>7387</v>
      </c>
      <c r="F189" s="20" t="s">
        <v>7062</v>
      </c>
      <c r="G189" s="17" t="s">
        <v>7388</v>
      </c>
    </row>
    <row r="190" spans="1:7" x14ac:dyDescent="0.25">
      <c r="A190">
        <f t="shared" si="2"/>
        <v>8205041</v>
      </c>
      <c r="B190" s="15">
        <v>140640254</v>
      </c>
      <c r="C190" s="15">
        <v>290220908</v>
      </c>
      <c r="D190" s="16">
        <v>820504143</v>
      </c>
      <c r="E190" s="16" t="s">
        <v>7387</v>
      </c>
      <c r="F190" s="20" t="s">
        <v>7065</v>
      </c>
      <c r="G190" s="17" t="s">
        <v>7388</v>
      </c>
    </row>
    <row r="191" spans="1:7" x14ac:dyDescent="0.25">
      <c r="A191">
        <f t="shared" si="2"/>
        <v>8205041</v>
      </c>
      <c r="B191" s="15">
        <v>140640254</v>
      </c>
      <c r="C191" s="15">
        <v>290220882</v>
      </c>
      <c r="D191" s="16">
        <v>820504138</v>
      </c>
      <c r="E191" s="16" t="s">
        <v>7387</v>
      </c>
      <c r="F191" s="20" t="s">
        <v>7067</v>
      </c>
      <c r="G191" s="17" t="s">
        <v>7388</v>
      </c>
    </row>
    <row r="192" spans="1:7" x14ac:dyDescent="0.25">
      <c r="A192">
        <f t="shared" si="2"/>
        <v>8205041</v>
      </c>
      <c r="B192" s="15">
        <v>140640125</v>
      </c>
      <c r="C192" s="15">
        <v>290219840</v>
      </c>
      <c r="D192" s="16">
        <v>820504138</v>
      </c>
      <c r="E192" s="16" t="s">
        <v>7389</v>
      </c>
      <c r="F192" s="20" t="s">
        <v>7067</v>
      </c>
      <c r="G192" s="17" t="s">
        <v>7388</v>
      </c>
    </row>
    <row r="193" spans="1:7" x14ac:dyDescent="0.25">
      <c r="A193">
        <f t="shared" si="2"/>
        <v>8205041</v>
      </c>
      <c r="B193" s="15">
        <v>140640125</v>
      </c>
      <c r="C193" s="15">
        <v>290219807</v>
      </c>
      <c r="D193" s="16">
        <v>820504136</v>
      </c>
      <c r="E193" s="16" t="s">
        <v>7389</v>
      </c>
      <c r="F193" s="20" t="s">
        <v>7060</v>
      </c>
      <c r="G193" s="17" t="s">
        <v>7388</v>
      </c>
    </row>
    <row r="194" spans="1:7" x14ac:dyDescent="0.25">
      <c r="A194">
        <f t="shared" si="2"/>
        <v>8205041</v>
      </c>
      <c r="B194" s="15">
        <v>140640125</v>
      </c>
      <c r="C194" s="15">
        <v>290219826</v>
      </c>
      <c r="D194" s="16">
        <v>820504139</v>
      </c>
      <c r="E194" s="16" t="s">
        <v>7389</v>
      </c>
      <c r="F194" s="20" t="s">
        <v>7069</v>
      </c>
      <c r="G194" s="17" t="s">
        <v>7388</v>
      </c>
    </row>
    <row r="195" spans="1:7" x14ac:dyDescent="0.25">
      <c r="A195">
        <f t="shared" ref="A195:A258" si="3">LEFT(D195,7)*1</f>
        <v>8205041</v>
      </c>
      <c r="B195" s="15">
        <v>140640125</v>
      </c>
      <c r="C195" s="15">
        <v>290219855</v>
      </c>
      <c r="D195" s="16">
        <v>820504144</v>
      </c>
      <c r="E195" s="16" t="s">
        <v>7389</v>
      </c>
      <c r="F195" s="20" t="s">
        <v>7068</v>
      </c>
      <c r="G195" s="17" t="s">
        <v>7388</v>
      </c>
    </row>
    <row r="196" spans="1:7" x14ac:dyDescent="0.25">
      <c r="A196">
        <f t="shared" si="3"/>
        <v>8205041</v>
      </c>
      <c r="B196" s="15">
        <v>140640125</v>
      </c>
      <c r="C196" s="15">
        <v>290219848</v>
      </c>
      <c r="D196" s="16">
        <v>820504142</v>
      </c>
      <c r="E196" s="16" t="s">
        <v>7389</v>
      </c>
      <c r="F196" s="20" t="s">
        <v>7070</v>
      </c>
      <c r="G196" s="17" t="s">
        <v>7388</v>
      </c>
    </row>
    <row r="197" spans="1:7" x14ac:dyDescent="0.25">
      <c r="A197">
        <f t="shared" si="3"/>
        <v>8205041</v>
      </c>
      <c r="B197" s="15">
        <v>140640125</v>
      </c>
      <c r="C197" s="15">
        <v>290219805</v>
      </c>
      <c r="D197" s="16">
        <v>820504146</v>
      </c>
      <c r="E197" s="16" t="s">
        <v>7389</v>
      </c>
      <c r="F197" s="20" t="s">
        <v>7066</v>
      </c>
      <c r="G197" s="17" t="s">
        <v>7388</v>
      </c>
    </row>
    <row r="198" spans="1:7" x14ac:dyDescent="0.25">
      <c r="A198">
        <f t="shared" si="3"/>
        <v>8205041</v>
      </c>
      <c r="B198" s="15">
        <v>140640125</v>
      </c>
      <c r="C198" s="15">
        <v>290219851</v>
      </c>
      <c r="D198" s="16">
        <v>820504143</v>
      </c>
      <c r="E198" s="16" t="s">
        <v>7389</v>
      </c>
      <c r="F198" s="20" t="s">
        <v>7065</v>
      </c>
      <c r="G198" s="17" t="s">
        <v>7388</v>
      </c>
    </row>
    <row r="199" spans="1:7" x14ac:dyDescent="0.25">
      <c r="A199">
        <f t="shared" si="3"/>
        <v>8205041</v>
      </c>
      <c r="B199" s="15">
        <v>140640125</v>
      </c>
      <c r="C199" s="15">
        <v>290219846</v>
      </c>
      <c r="D199" s="16">
        <v>820504141</v>
      </c>
      <c r="E199" s="16" t="s">
        <v>7389</v>
      </c>
      <c r="F199" s="20" t="s">
        <v>7064</v>
      </c>
      <c r="G199" s="17" t="s">
        <v>7388</v>
      </c>
    </row>
    <row r="200" spans="1:7" x14ac:dyDescent="0.25">
      <c r="A200">
        <f t="shared" si="3"/>
        <v>8205041</v>
      </c>
      <c r="B200" s="15">
        <v>140640125</v>
      </c>
      <c r="C200" s="15">
        <v>290219815</v>
      </c>
      <c r="D200" s="16">
        <v>820504140</v>
      </c>
      <c r="E200" s="16" t="s">
        <v>7389</v>
      </c>
      <c r="F200" s="20" t="s">
        <v>7063</v>
      </c>
      <c r="G200" s="17" t="s">
        <v>7388</v>
      </c>
    </row>
    <row r="201" spans="1:7" x14ac:dyDescent="0.25">
      <c r="A201">
        <f t="shared" si="3"/>
        <v>8205041</v>
      </c>
      <c r="B201" s="15">
        <v>140640125</v>
      </c>
      <c r="C201" s="15">
        <v>290219860</v>
      </c>
      <c r="D201" s="16">
        <v>820504145</v>
      </c>
      <c r="E201" s="16" t="s">
        <v>7389</v>
      </c>
      <c r="F201" s="20" t="s">
        <v>7061</v>
      </c>
      <c r="G201" s="17" t="s">
        <v>7388</v>
      </c>
    </row>
    <row r="202" spans="1:7" x14ac:dyDescent="0.25">
      <c r="A202">
        <f t="shared" si="3"/>
        <v>8205041</v>
      </c>
      <c r="B202" s="15">
        <v>140640125</v>
      </c>
      <c r="C202" s="15">
        <v>290219863</v>
      </c>
      <c r="D202" s="16">
        <v>820504135</v>
      </c>
      <c r="E202" s="16" t="s">
        <v>7389</v>
      </c>
      <c r="F202" s="20" t="s">
        <v>7087</v>
      </c>
      <c r="G202" s="17" t="s">
        <v>7388</v>
      </c>
    </row>
    <row r="203" spans="1:7" x14ac:dyDescent="0.25">
      <c r="A203">
        <f t="shared" si="3"/>
        <v>8205041</v>
      </c>
      <c r="B203" s="15">
        <v>140640125</v>
      </c>
      <c r="C203" s="15">
        <v>290219835</v>
      </c>
      <c r="D203" s="16">
        <v>820504137</v>
      </c>
      <c r="E203" s="16" t="s">
        <v>7389</v>
      </c>
      <c r="F203" s="20" t="s">
        <v>7062</v>
      </c>
      <c r="G203" s="17" t="s">
        <v>7388</v>
      </c>
    </row>
    <row r="204" spans="1:7" x14ac:dyDescent="0.25">
      <c r="A204">
        <f t="shared" si="3"/>
        <v>8205115</v>
      </c>
      <c r="B204" s="15">
        <v>140107360</v>
      </c>
      <c r="C204" s="15">
        <v>289662134</v>
      </c>
      <c r="D204" s="16">
        <v>820511535</v>
      </c>
      <c r="E204" s="16" t="s">
        <v>7390</v>
      </c>
      <c r="F204" s="20" t="s">
        <v>7351</v>
      </c>
      <c r="G204" s="17" t="s">
        <v>7391</v>
      </c>
    </row>
    <row r="205" spans="1:7" x14ac:dyDescent="0.25">
      <c r="A205">
        <f t="shared" si="3"/>
        <v>8205115</v>
      </c>
      <c r="B205" s="15">
        <v>140107360</v>
      </c>
      <c r="C205" s="15">
        <v>289662141</v>
      </c>
      <c r="D205" s="16">
        <v>820511536</v>
      </c>
      <c r="E205" s="16" t="s">
        <v>7390</v>
      </c>
      <c r="F205" s="20" t="s">
        <v>7354</v>
      </c>
      <c r="G205" s="17" t="s">
        <v>7391</v>
      </c>
    </row>
    <row r="206" spans="1:7" x14ac:dyDescent="0.25">
      <c r="A206">
        <f t="shared" si="3"/>
        <v>8205115</v>
      </c>
      <c r="B206" s="15">
        <v>140107360</v>
      </c>
      <c r="C206" s="15">
        <v>289662171</v>
      </c>
      <c r="D206" s="16">
        <v>820511546</v>
      </c>
      <c r="E206" s="16" t="s">
        <v>7390</v>
      </c>
      <c r="F206" s="20" t="s">
        <v>7363</v>
      </c>
      <c r="G206" s="17" t="s">
        <v>7391</v>
      </c>
    </row>
    <row r="207" spans="1:7" x14ac:dyDescent="0.25">
      <c r="A207">
        <f t="shared" si="3"/>
        <v>8205115</v>
      </c>
      <c r="B207" s="15">
        <v>140107360</v>
      </c>
      <c r="C207" s="15">
        <v>289662165</v>
      </c>
      <c r="D207" s="16">
        <v>820511544</v>
      </c>
      <c r="E207" s="16" t="s">
        <v>7390</v>
      </c>
      <c r="F207" s="20" t="s">
        <v>7360</v>
      </c>
      <c r="G207" s="17" t="s">
        <v>7391</v>
      </c>
    </row>
    <row r="208" spans="1:7" x14ac:dyDescent="0.25">
      <c r="A208">
        <f t="shared" si="3"/>
        <v>8205115</v>
      </c>
      <c r="B208" s="15">
        <v>140107360</v>
      </c>
      <c r="C208" s="15">
        <v>289662155</v>
      </c>
      <c r="D208" s="16">
        <v>820511543</v>
      </c>
      <c r="E208" s="16" t="s">
        <v>7390</v>
      </c>
      <c r="F208" s="20" t="s">
        <v>7361</v>
      </c>
      <c r="G208" s="17" t="s">
        <v>7391</v>
      </c>
    </row>
    <row r="209" spans="1:7" x14ac:dyDescent="0.25">
      <c r="A209">
        <f t="shared" si="3"/>
        <v>8205115</v>
      </c>
      <c r="B209" s="15">
        <v>140107360</v>
      </c>
      <c r="C209" s="15">
        <v>289662146</v>
      </c>
      <c r="D209" s="16">
        <v>820511539</v>
      </c>
      <c r="E209" s="16" t="s">
        <v>7390</v>
      </c>
      <c r="F209" s="20" t="s">
        <v>7359</v>
      </c>
      <c r="G209" s="17" t="s">
        <v>7391</v>
      </c>
    </row>
    <row r="210" spans="1:7" x14ac:dyDescent="0.25">
      <c r="A210">
        <f t="shared" si="3"/>
        <v>8205115</v>
      </c>
      <c r="B210" s="15">
        <v>140107360</v>
      </c>
      <c r="C210" s="15">
        <v>289662145</v>
      </c>
      <c r="D210" s="16">
        <v>820511538</v>
      </c>
      <c r="E210" s="16" t="s">
        <v>7390</v>
      </c>
      <c r="F210" s="20" t="s">
        <v>7356</v>
      </c>
      <c r="G210" s="17" t="s">
        <v>7391</v>
      </c>
    </row>
    <row r="211" spans="1:7" x14ac:dyDescent="0.25">
      <c r="A211">
        <f t="shared" si="3"/>
        <v>8205115</v>
      </c>
      <c r="B211" s="15">
        <v>140107360</v>
      </c>
      <c r="C211" s="15">
        <v>289662152</v>
      </c>
      <c r="D211" s="16">
        <v>820511542</v>
      </c>
      <c r="E211" s="16" t="s">
        <v>7390</v>
      </c>
      <c r="F211" s="20" t="s">
        <v>7353</v>
      </c>
      <c r="G211" s="17" t="s">
        <v>7391</v>
      </c>
    </row>
    <row r="212" spans="1:7" x14ac:dyDescent="0.25">
      <c r="A212">
        <f t="shared" si="3"/>
        <v>8205115</v>
      </c>
      <c r="B212" s="15">
        <v>140107360</v>
      </c>
      <c r="C212" s="15">
        <v>289662150</v>
      </c>
      <c r="D212" s="16">
        <v>820511541</v>
      </c>
      <c r="E212" s="16" t="s">
        <v>7390</v>
      </c>
      <c r="F212" s="20" t="s">
        <v>7358</v>
      </c>
      <c r="G212" s="17" t="s">
        <v>7391</v>
      </c>
    </row>
    <row r="213" spans="1:7" x14ac:dyDescent="0.25">
      <c r="A213">
        <f t="shared" si="3"/>
        <v>8205115</v>
      </c>
      <c r="B213" s="15">
        <v>140107360</v>
      </c>
      <c r="C213" s="15">
        <v>289662149</v>
      </c>
      <c r="D213" s="16">
        <v>820511540</v>
      </c>
      <c r="E213" s="16" t="s">
        <v>7390</v>
      </c>
      <c r="F213" s="20" t="s">
        <v>7355</v>
      </c>
      <c r="G213" s="17" t="s">
        <v>7391</v>
      </c>
    </row>
    <row r="214" spans="1:7" x14ac:dyDescent="0.25">
      <c r="A214">
        <f t="shared" si="3"/>
        <v>8205115</v>
      </c>
      <c r="B214" s="15">
        <v>140107360</v>
      </c>
      <c r="C214" s="15">
        <v>289662168</v>
      </c>
      <c r="D214" s="16">
        <v>820511545</v>
      </c>
      <c r="E214" s="16" t="s">
        <v>7390</v>
      </c>
      <c r="F214" s="20" t="s">
        <v>7362</v>
      </c>
      <c r="G214" s="17" t="s">
        <v>7391</v>
      </c>
    </row>
    <row r="215" spans="1:7" x14ac:dyDescent="0.25">
      <c r="A215">
        <f t="shared" si="3"/>
        <v>8205115</v>
      </c>
      <c r="B215" s="15">
        <v>140107360</v>
      </c>
      <c r="C215" s="15">
        <v>289662143</v>
      </c>
      <c r="D215" s="16">
        <v>820511537</v>
      </c>
      <c r="E215" s="16" t="s">
        <v>7390</v>
      </c>
      <c r="F215" s="20" t="s">
        <v>7357</v>
      </c>
      <c r="G215" s="17" t="s">
        <v>7391</v>
      </c>
    </row>
    <row r="216" spans="1:7" x14ac:dyDescent="0.25">
      <c r="A216">
        <f t="shared" si="3"/>
        <v>8205115</v>
      </c>
      <c r="B216" s="15">
        <v>140111332</v>
      </c>
      <c r="C216" s="15">
        <v>289667291</v>
      </c>
      <c r="D216" s="16">
        <v>820511539</v>
      </c>
      <c r="E216" s="16" t="s">
        <v>7392</v>
      </c>
      <c r="F216" s="20" t="s">
        <v>7069</v>
      </c>
      <c r="G216" s="17" t="s">
        <v>7391</v>
      </c>
    </row>
    <row r="217" spans="1:7" x14ac:dyDescent="0.25">
      <c r="A217">
        <f t="shared" si="3"/>
        <v>8205115</v>
      </c>
      <c r="B217" s="15">
        <v>140111332</v>
      </c>
      <c r="C217" s="15">
        <v>289667293</v>
      </c>
      <c r="D217" s="16">
        <v>820511541</v>
      </c>
      <c r="E217" s="16" t="s">
        <v>7392</v>
      </c>
      <c r="F217" s="20" t="s">
        <v>7064</v>
      </c>
      <c r="G217" s="17" t="s">
        <v>7391</v>
      </c>
    </row>
    <row r="218" spans="1:7" x14ac:dyDescent="0.25">
      <c r="A218">
        <f t="shared" si="3"/>
        <v>8205115</v>
      </c>
      <c r="B218" s="15">
        <v>140111332</v>
      </c>
      <c r="C218" s="15">
        <v>289667297</v>
      </c>
      <c r="D218" s="16">
        <v>820511544</v>
      </c>
      <c r="E218" s="16" t="s">
        <v>7392</v>
      </c>
      <c r="F218" s="20" t="s">
        <v>7068</v>
      </c>
      <c r="G218" s="17" t="s">
        <v>7391</v>
      </c>
    </row>
    <row r="219" spans="1:7" x14ac:dyDescent="0.25">
      <c r="A219">
        <f t="shared" si="3"/>
        <v>8205115</v>
      </c>
      <c r="B219" s="15">
        <v>140111332</v>
      </c>
      <c r="C219" s="15">
        <v>289667299</v>
      </c>
      <c r="D219" s="16">
        <v>820511546</v>
      </c>
      <c r="E219" s="16" t="s">
        <v>7392</v>
      </c>
      <c r="F219" s="20" t="s">
        <v>7066</v>
      </c>
      <c r="G219" s="17" t="s">
        <v>7391</v>
      </c>
    </row>
    <row r="220" spans="1:7" x14ac:dyDescent="0.25">
      <c r="A220">
        <f t="shared" si="3"/>
        <v>8205115</v>
      </c>
      <c r="B220" s="15">
        <v>140111332</v>
      </c>
      <c r="C220" s="15">
        <v>289667298</v>
      </c>
      <c r="D220" s="16">
        <v>820511545</v>
      </c>
      <c r="E220" s="16" t="s">
        <v>7392</v>
      </c>
      <c r="F220" s="20" t="s">
        <v>7061</v>
      </c>
      <c r="G220" s="17" t="s">
        <v>7391</v>
      </c>
    </row>
    <row r="221" spans="1:7" x14ac:dyDescent="0.25">
      <c r="A221">
        <f t="shared" si="3"/>
        <v>8205115</v>
      </c>
      <c r="B221" s="15">
        <v>140111332</v>
      </c>
      <c r="C221" s="15">
        <v>289667290</v>
      </c>
      <c r="D221" s="16">
        <v>820511538</v>
      </c>
      <c r="E221" s="16" t="s">
        <v>7392</v>
      </c>
      <c r="F221" s="20" t="s">
        <v>7067</v>
      </c>
      <c r="G221" s="17" t="s">
        <v>7391</v>
      </c>
    </row>
    <row r="222" spans="1:7" x14ac:dyDescent="0.25">
      <c r="A222">
        <f t="shared" si="3"/>
        <v>8205115</v>
      </c>
      <c r="B222" s="15">
        <v>140111332</v>
      </c>
      <c r="C222" s="15">
        <v>289667296</v>
      </c>
      <c r="D222" s="16">
        <v>820511543</v>
      </c>
      <c r="E222" s="16" t="s">
        <v>7392</v>
      </c>
      <c r="F222" s="20" t="s">
        <v>7065</v>
      </c>
      <c r="G222" s="17" t="s">
        <v>7391</v>
      </c>
    </row>
    <row r="223" spans="1:7" x14ac:dyDescent="0.25">
      <c r="A223">
        <f t="shared" si="3"/>
        <v>8205115</v>
      </c>
      <c r="B223" s="15">
        <v>140111332</v>
      </c>
      <c r="C223" s="15">
        <v>289667294</v>
      </c>
      <c r="D223" s="16">
        <v>820511542</v>
      </c>
      <c r="E223" s="16" t="s">
        <v>7392</v>
      </c>
      <c r="F223" s="20" t="s">
        <v>7070</v>
      </c>
      <c r="G223" s="17" t="s">
        <v>7391</v>
      </c>
    </row>
    <row r="224" spans="1:7" x14ac:dyDescent="0.25">
      <c r="A224">
        <f t="shared" si="3"/>
        <v>8205115</v>
      </c>
      <c r="B224" s="15">
        <v>140111332</v>
      </c>
      <c r="C224" s="15">
        <v>289667287</v>
      </c>
      <c r="D224" s="16">
        <v>820511535</v>
      </c>
      <c r="E224" s="16" t="s">
        <v>7392</v>
      </c>
      <c r="F224" s="20" t="s">
        <v>7087</v>
      </c>
      <c r="G224" s="17" t="s">
        <v>7391</v>
      </c>
    </row>
    <row r="225" spans="1:7" x14ac:dyDescent="0.25">
      <c r="A225">
        <f t="shared" si="3"/>
        <v>8205115</v>
      </c>
      <c r="B225" s="15">
        <v>140111332</v>
      </c>
      <c r="C225" s="15">
        <v>289667289</v>
      </c>
      <c r="D225" s="16">
        <v>820511537</v>
      </c>
      <c r="E225" s="16" t="s">
        <v>7392</v>
      </c>
      <c r="F225" s="20" t="s">
        <v>7062</v>
      </c>
      <c r="G225" s="17" t="s">
        <v>7391</v>
      </c>
    </row>
    <row r="226" spans="1:7" x14ac:dyDescent="0.25">
      <c r="A226">
        <f t="shared" si="3"/>
        <v>8205115</v>
      </c>
      <c r="B226" s="15">
        <v>140111332</v>
      </c>
      <c r="C226" s="15">
        <v>289667288</v>
      </c>
      <c r="D226" s="16">
        <v>820511536</v>
      </c>
      <c r="E226" s="16" t="s">
        <v>7392</v>
      </c>
      <c r="F226" s="20" t="s">
        <v>7060</v>
      </c>
      <c r="G226" s="17" t="s">
        <v>7391</v>
      </c>
    </row>
    <row r="227" spans="1:7" x14ac:dyDescent="0.25">
      <c r="A227">
        <f t="shared" si="3"/>
        <v>8205115</v>
      </c>
      <c r="B227" s="15">
        <v>140111332</v>
      </c>
      <c r="C227" s="15">
        <v>289667292</v>
      </c>
      <c r="D227" s="16">
        <v>820511540</v>
      </c>
      <c r="E227" s="16" t="s">
        <v>7392</v>
      </c>
      <c r="F227" s="20" t="s">
        <v>7063</v>
      </c>
      <c r="G227" s="17" t="s">
        <v>7391</v>
      </c>
    </row>
    <row r="228" spans="1:7" x14ac:dyDescent="0.25">
      <c r="A228">
        <f t="shared" si="3"/>
        <v>8205051</v>
      </c>
      <c r="B228" s="15">
        <v>140640306</v>
      </c>
      <c r="C228" s="15">
        <v>290221279</v>
      </c>
      <c r="D228" s="16">
        <v>820505139</v>
      </c>
      <c r="E228" s="16" t="s">
        <v>7393</v>
      </c>
      <c r="F228" s="20" t="s">
        <v>7069</v>
      </c>
      <c r="G228" s="17" t="s">
        <v>7394</v>
      </c>
    </row>
    <row r="229" spans="1:7" x14ac:dyDescent="0.25">
      <c r="A229">
        <f t="shared" si="3"/>
        <v>8205051</v>
      </c>
      <c r="B229" s="15">
        <v>140640306</v>
      </c>
      <c r="C229" s="15">
        <v>290221336</v>
      </c>
      <c r="D229" s="16">
        <v>820505144</v>
      </c>
      <c r="E229" s="16" t="s">
        <v>7393</v>
      </c>
      <c r="F229" s="20" t="s">
        <v>7068</v>
      </c>
      <c r="G229" s="17" t="s">
        <v>7394</v>
      </c>
    </row>
    <row r="230" spans="1:7" x14ac:dyDescent="0.25">
      <c r="A230">
        <f t="shared" si="3"/>
        <v>8205051</v>
      </c>
      <c r="B230" s="15">
        <v>140640306</v>
      </c>
      <c r="C230" s="15">
        <v>290221356</v>
      </c>
      <c r="D230" s="16">
        <v>820505146</v>
      </c>
      <c r="E230" s="16" t="s">
        <v>7393</v>
      </c>
      <c r="F230" s="20" t="s">
        <v>7066</v>
      </c>
      <c r="G230" s="17" t="s">
        <v>7394</v>
      </c>
    </row>
    <row r="231" spans="1:7" x14ac:dyDescent="0.25">
      <c r="A231">
        <f t="shared" si="3"/>
        <v>8205051</v>
      </c>
      <c r="B231" s="15">
        <v>140640306</v>
      </c>
      <c r="C231" s="15">
        <v>290221330</v>
      </c>
      <c r="D231" s="16">
        <v>820505143</v>
      </c>
      <c r="E231" s="16" t="s">
        <v>7393</v>
      </c>
      <c r="F231" s="20" t="s">
        <v>7065</v>
      </c>
      <c r="G231" s="17" t="s">
        <v>7394</v>
      </c>
    </row>
    <row r="232" spans="1:7" x14ac:dyDescent="0.25">
      <c r="A232">
        <f t="shared" si="3"/>
        <v>8205051</v>
      </c>
      <c r="B232" s="15">
        <v>140640306</v>
      </c>
      <c r="C232" s="15">
        <v>290221218</v>
      </c>
      <c r="D232" s="16">
        <v>820505135</v>
      </c>
      <c r="E232" s="16" t="s">
        <v>7393</v>
      </c>
      <c r="F232" s="20" t="s">
        <v>7087</v>
      </c>
      <c r="G232" s="17" t="s">
        <v>7394</v>
      </c>
    </row>
    <row r="233" spans="1:7" x14ac:dyDescent="0.25">
      <c r="A233">
        <f t="shared" si="3"/>
        <v>8205051</v>
      </c>
      <c r="B233" s="15">
        <v>140640306</v>
      </c>
      <c r="C233" s="15">
        <v>290221263</v>
      </c>
      <c r="D233" s="16">
        <v>820505138</v>
      </c>
      <c r="E233" s="16" t="s">
        <v>7393</v>
      </c>
      <c r="F233" s="20" t="s">
        <v>7067</v>
      </c>
      <c r="G233" s="17" t="s">
        <v>7394</v>
      </c>
    </row>
    <row r="234" spans="1:7" x14ac:dyDescent="0.25">
      <c r="A234">
        <f t="shared" si="3"/>
        <v>8205051</v>
      </c>
      <c r="B234" s="15">
        <v>140640306</v>
      </c>
      <c r="C234" s="15">
        <v>290221345</v>
      </c>
      <c r="D234" s="16">
        <v>820505145</v>
      </c>
      <c r="E234" s="16" t="s">
        <v>7393</v>
      </c>
      <c r="F234" s="20" t="s">
        <v>7061</v>
      </c>
      <c r="G234" s="17" t="s">
        <v>7394</v>
      </c>
    </row>
    <row r="235" spans="1:7" x14ac:dyDescent="0.25">
      <c r="A235">
        <f t="shared" si="3"/>
        <v>8205051</v>
      </c>
      <c r="B235" s="15">
        <v>140640306</v>
      </c>
      <c r="C235" s="15">
        <v>290221247</v>
      </c>
      <c r="D235" s="16">
        <v>820505137</v>
      </c>
      <c r="E235" s="16" t="s">
        <v>7393</v>
      </c>
      <c r="F235" s="20" t="s">
        <v>7062</v>
      </c>
      <c r="G235" s="17" t="s">
        <v>7394</v>
      </c>
    </row>
    <row r="236" spans="1:7" x14ac:dyDescent="0.25">
      <c r="A236">
        <f t="shared" si="3"/>
        <v>8205051</v>
      </c>
      <c r="B236" s="15">
        <v>140640306</v>
      </c>
      <c r="C236" s="15">
        <v>290221303</v>
      </c>
      <c r="D236" s="16">
        <v>820505141</v>
      </c>
      <c r="E236" s="16" t="s">
        <v>7393</v>
      </c>
      <c r="F236" s="20" t="s">
        <v>7064</v>
      </c>
      <c r="G236" s="17" t="s">
        <v>7394</v>
      </c>
    </row>
    <row r="237" spans="1:7" x14ac:dyDescent="0.25">
      <c r="A237">
        <f t="shared" si="3"/>
        <v>8205051</v>
      </c>
      <c r="B237" s="15">
        <v>140640306</v>
      </c>
      <c r="C237" s="15">
        <v>290221292</v>
      </c>
      <c r="D237" s="16">
        <v>820505140</v>
      </c>
      <c r="E237" s="16" t="s">
        <v>7393</v>
      </c>
      <c r="F237" s="20" t="s">
        <v>7063</v>
      </c>
      <c r="G237" s="17" t="s">
        <v>7394</v>
      </c>
    </row>
    <row r="238" spans="1:7" x14ac:dyDescent="0.25">
      <c r="A238">
        <f t="shared" si="3"/>
        <v>8205051</v>
      </c>
      <c r="B238" s="15">
        <v>140640306</v>
      </c>
      <c r="C238" s="15">
        <v>290221319</v>
      </c>
      <c r="D238" s="16">
        <v>820505142</v>
      </c>
      <c r="E238" s="16" t="s">
        <v>7393</v>
      </c>
      <c r="F238" s="20" t="s">
        <v>7070</v>
      </c>
      <c r="G238" s="17" t="s">
        <v>7394</v>
      </c>
    </row>
    <row r="239" spans="1:7" x14ac:dyDescent="0.25">
      <c r="A239">
        <f t="shared" si="3"/>
        <v>8205051</v>
      </c>
      <c r="B239" s="15">
        <v>140640306</v>
      </c>
      <c r="C239" s="15">
        <v>290221170</v>
      </c>
      <c r="D239" s="16">
        <v>820505136</v>
      </c>
      <c r="E239" s="16" t="s">
        <v>7393</v>
      </c>
      <c r="F239" s="20" t="s">
        <v>7060</v>
      </c>
      <c r="G239" s="17" t="s">
        <v>7394</v>
      </c>
    </row>
    <row r="240" spans="1:7" x14ac:dyDescent="0.25">
      <c r="A240">
        <f t="shared" si="3"/>
        <v>8205051</v>
      </c>
      <c r="B240" s="15">
        <v>140640120</v>
      </c>
      <c r="C240" s="15">
        <v>290219761</v>
      </c>
      <c r="D240" s="16">
        <v>820505137</v>
      </c>
      <c r="E240" s="16" t="s">
        <v>7395</v>
      </c>
      <c r="F240" s="20" t="s">
        <v>7062</v>
      </c>
      <c r="G240" s="17" t="s">
        <v>7394</v>
      </c>
    </row>
    <row r="241" spans="1:7" x14ac:dyDescent="0.25">
      <c r="A241">
        <f t="shared" si="3"/>
        <v>8205051</v>
      </c>
      <c r="B241" s="15">
        <v>140640120</v>
      </c>
      <c r="C241" s="15">
        <v>290219754</v>
      </c>
      <c r="D241" s="16">
        <v>820505135</v>
      </c>
      <c r="E241" s="16" t="s">
        <v>7395</v>
      </c>
      <c r="F241" s="20" t="s">
        <v>7087</v>
      </c>
      <c r="G241" s="17" t="s">
        <v>7394</v>
      </c>
    </row>
    <row r="242" spans="1:7" x14ac:dyDescent="0.25">
      <c r="A242">
        <f t="shared" si="3"/>
        <v>8205051</v>
      </c>
      <c r="B242" s="15">
        <v>140640120</v>
      </c>
      <c r="C242" s="15">
        <v>290219763</v>
      </c>
      <c r="D242" s="16">
        <v>820505138</v>
      </c>
      <c r="E242" s="16" t="s">
        <v>7395</v>
      </c>
      <c r="F242" s="20" t="s">
        <v>7067</v>
      </c>
      <c r="G242" s="17" t="s">
        <v>7394</v>
      </c>
    </row>
    <row r="243" spans="1:7" x14ac:dyDescent="0.25">
      <c r="A243">
        <f t="shared" si="3"/>
        <v>8205051</v>
      </c>
      <c r="B243" s="15">
        <v>140640120</v>
      </c>
      <c r="C243" s="15">
        <v>290219734</v>
      </c>
      <c r="D243" s="16">
        <v>820505136</v>
      </c>
      <c r="E243" s="16" t="s">
        <v>7395</v>
      </c>
      <c r="F243" s="20" t="s">
        <v>7060</v>
      </c>
      <c r="G243" s="17" t="s">
        <v>7394</v>
      </c>
    </row>
    <row r="244" spans="1:7" x14ac:dyDescent="0.25">
      <c r="A244">
        <f t="shared" si="3"/>
        <v>8205051</v>
      </c>
      <c r="B244" s="15">
        <v>140640120</v>
      </c>
      <c r="C244" s="15">
        <v>290219786</v>
      </c>
      <c r="D244" s="16">
        <v>820505144</v>
      </c>
      <c r="E244" s="16" t="s">
        <v>7395</v>
      </c>
      <c r="F244" s="20" t="s">
        <v>7068</v>
      </c>
      <c r="G244" s="17" t="s">
        <v>7394</v>
      </c>
    </row>
    <row r="245" spans="1:7" x14ac:dyDescent="0.25">
      <c r="A245">
        <f t="shared" si="3"/>
        <v>8205051</v>
      </c>
      <c r="B245" s="15">
        <v>140640120</v>
      </c>
      <c r="C245" s="15">
        <v>290219772</v>
      </c>
      <c r="D245" s="16">
        <v>820505140</v>
      </c>
      <c r="E245" s="16" t="s">
        <v>7395</v>
      </c>
      <c r="F245" s="20" t="s">
        <v>7063</v>
      </c>
      <c r="G245" s="17" t="s">
        <v>7394</v>
      </c>
    </row>
    <row r="246" spans="1:7" x14ac:dyDescent="0.25">
      <c r="A246">
        <f t="shared" si="3"/>
        <v>8205051</v>
      </c>
      <c r="B246" s="15">
        <v>140640120</v>
      </c>
      <c r="C246" s="15">
        <v>290219783</v>
      </c>
      <c r="D246" s="16">
        <v>820505143</v>
      </c>
      <c r="E246" s="16" t="s">
        <v>7395</v>
      </c>
      <c r="F246" s="20" t="s">
        <v>7065</v>
      </c>
      <c r="G246" s="17" t="s">
        <v>7394</v>
      </c>
    </row>
    <row r="247" spans="1:7" x14ac:dyDescent="0.25">
      <c r="A247">
        <f t="shared" si="3"/>
        <v>8205051</v>
      </c>
      <c r="B247" s="15">
        <v>140640120</v>
      </c>
      <c r="C247" s="15">
        <v>290219775</v>
      </c>
      <c r="D247" s="16">
        <v>820505141</v>
      </c>
      <c r="E247" s="16" t="s">
        <v>7395</v>
      </c>
      <c r="F247" s="20" t="s">
        <v>7064</v>
      </c>
      <c r="G247" s="17" t="s">
        <v>7394</v>
      </c>
    </row>
    <row r="248" spans="1:7" x14ac:dyDescent="0.25">
      <c r="A248">
        <f t="shared" si="3"/>
        <v>8205051</v>
      </c>
      <c r="B248" s="15">
        <v>140640120</v>
      </c>
      <c r="C248" s="15">
        <v>290219779</v>
      </c>
      <c r="D248" s="16">
        <v>820505142</v>
      </c>
      <c r="E248" s="16" t="s">
        <v>7395</v>
      </c>
      <c r="F248" s="20" t="s">
        <v>7070</v>
      </c>
      <c r="G248" s="17" t="s">
        <v>7394</v>
      </c>
    </row>
    <row r="249" spans="1:7" x14ac:dyDescent="0.25">
      <c r="A249">
        <f t="shared" si="3"/>
        <v>8205051</v>
      </c>
      <c r="B249" s="15">
        <v>140640120</v>
      </c>
      <c r="C249" s="15">
        <v>290219795</v>
      </c>
      <c r="D249" s="16">
        <v>820505146</v>
      </c>
      <c r="E249" s="16" t="s">
        <v>7395</v>
      </c>
      <c r="F249" s="20" t="s">
        <v>7066</v>
      </c>
      <c r="G249" s="17" t="s">
        <v>7394</v>
      </c>
    </row>
    <row r="250" spans="1:7" x14ac:dyDescent="0.25">
      <c r="A250">
        <f t="shared" si="3"/>
        <v>8205051</v>
      </c>
      <c r="B250" s="15">
        <v>140640120</v>
      </c>
      <c r="C250" s="15">
        <v>290219769</v>
      </c>
      <c r="D250" s="16">
        <v>820505139</v>
      </c>
      <c r="E250" s="16" t="s">
        <v>7395</v>
      </c>
      <c r="F250" s="20" t="s">
        <v>7069</v>
      </c>
      <c r="G250" s="17" t="s">
        <v>7394</v>
      </c>
    </row>
    <row r="251" spans="1:7" x14ac:dyDescent="0.25">
      <c r="A251">
        <f t="shared" si="3"/>
        <v>8205051</v>
      </c>
      <c r="B251" s="15">
        <v>140640120</v>
      </c>
      <c r="C251" s="15">
        <v>290219789</v>
      </c>
      <c r="D251" s="16">
        <v>820505145</v>
      </c>
      <c r="E251" s="16" t="s">
        <v>7395</v>
      </c>
      <c r="F251" s="20" t="s">
        <v>7061</v>
      </c>
      <c r="G251" s="17" t="s">
        <v>7394</v>
      </c>
    </row>
    <row r="252" spans="1:7" x14ac:dyDescent="0.25">
      <c r="A252">
        <f t="shared" si="3"/>
        <v>2601495</v>
      </c>
      <c r="B252" s="15">
        <v>140640202</v>
      </c>
      <c r="C252" s="15">
        <v>290220401</v>
      </c>
      <c r="D252" s="16">
        <v>260149500</v>
      </c>
      <c r="E252" s="16" t="s">
        <v>7396</v>
      </c>
      <c r="F252" s="20" t="s">
        <v>7195</v>
      </c>
      <c r="G252" s="17" t="s">
        <v>7397</v>
      </c>
    </row>
    <row r="253" spans="1:7" x14ac:dyDescent="0.25">
      <c r="A253">
        <f t="shared" si="3"/>
        <v>2601495</v>
      </c>
      <c r="B253" s="15">
        <v>140640202</v>
      </c>
      <c r="C253" s="15">
        <v>290220403</v>
      </c>
      <c r="D253" s="16">
        <v>260149506</v>
      </c>
      <c r="E253" s="16" t="s">
        <v>7396</v>
      </c>
      <c r="F253" s="20" t="s">
        <v>7183</v>
      </c>
      <c r="G253" s="17" t="s">
        <v>7397</v>
      </c>
    </row>
    <row r="254" spans="1:7" x14ac:dyDescent="0.25">
      <c r="A254">
        <f t="shared" si="3"/>
        <v>2601900</v>
      </c>
      <c r="B254" s="15">
        <v>140640202</v>
      </c>
      <c r="C254" s="15">
        <v>290220404</v>
      </c>
      <c r="D254" s="16">
        <v>260190006</v>
      </c>
      <c r="E254" s="16" t="s">
        <v>7396</v>
      </c>
      <c r="F254" s="20" t="s">
        <v>7113</v>
      </c>
      <c r="G254" s="17" t="s">
        <v>7398</v>
      </c>
    </row>
    <row r="255" spans="1:7" x14ac:dyDescent="0.25">
      <c r="A255">
        <f t="shared" si="3"/>
        <v>2601495</v>
      </c>
      <c r="B255" s="15">
        <v>140640202</v>
      </c>
      <c r="C255" s="15">
        <v>290220407</v>
      </c>
      <c r="D255" s="16">
        <v>260149502</v>
      </c>
      <c r="E255" s="16" t="s">
        <v>7396</v>
      </c>
      <c r="F255" s="20" t="s">
        <v>7198</v>
      </c>
      <c r="G255" s="17" t="s">
        <v>7397</v>
      </c>
    </row>
    <row r="256" spans="1:7" x14ac:dyDescent="0.25">
      <c r="A256">
        <f t="shared" si="3"/>
        <v>2601900</v>
      </c>
      <c r="B256" s="15">
        <v>140640202</v>
      </c>
      <c r="C256" s="15">
        <v>290220418</v>
      </c>
      <c r="D256" s="16">
        <v>260190005</v>
      </c>
      <c r="E256" s="16" t="s">
        <v>7396</v>
      </c>
      <c r="F256" s="20" t="s">
        <v>7112</v>
      </c>
      <c r="G256" s="17" t="s">
        <v>7398</v>
      </c>
    </row>
    <row r="257" spans="1:7" x14ac:dyDescent="0.25">
      <c r="A257">
        <f t="shared" si="3"/>
        <v>2601495</v>
      </c>
      <c r="B257" s="15">
        <v>140640202</v>
      </c>
      <c r="C257" s="15">
        <v>290220431</v>
      </c>
      <c r="D257" s="16">
        <v>260149504</v>
      </c>
      <c r="E257" s="16" t="s">
        <v>7396</v>
      </c>
      <c r="F257" s="20" t="s">
        <v>7193</v>
      </c>
      <c r="G257" s="17" t="s">
        <v>7397</v>
      </c>
    </row>
    <row r="258" spans="1:7" x14ac:dyDescent="0.25">
      <c r="A258">
        <f t="shared" si="3"/>
        <v>2601495</v>
      </c>
      <c r="B258" s="15">
        <v>140640202</v>
      </c>
      <c r="C258" s="15">
        <v>290220433</v>
      </c>
      <c r="D258" s="16">
        <v>260149503</v>
      </c>
      <c r="E258" s="16" t="s">
        <v>7396</v>
      </c>
      <c r="F258" s="20" t="s">
        <v>7194</v>
      </c>
      <c r="G258" s="17" t="s">
        <v>7397</v>
      </c>
    </row>
    <row r="259" spans="1:7" x14ac:dyDescent="0.25">
      <c r="A259">
        <f t="shared" ref="A259:A322" si="4">LEFT(D259,7)*1</f>
        <v>2601900</v>
      </c>
      <c r="B259" s="15">
        <v>140640202</v>
      </c>
      <c r="C259" s="15">
        <v>290220409</v>
      </c>
      <c r="D259" s="16">
        <v>260190003</v>
      </c>
      <c r="E259" s="16" t="s">
        <v>7396</v>
      </c>
      <c r="F259" s="20" t="s">
        <v>7110</v>
      </c>
      <c r="G259" s="17" t="s">
        <v>7398</v>
      </c>
    </row>
    <row r="260" spans="1:7" x14ac:dyDescent="0.25">
      <c r="A260">
        <f t="shared" si="4"/>
        <v>2601900</v>
      </c>
      <c r="B260" s="15">
        <v>140640202</v>
      </c>
      <c r="C260" s="15">
        <v>290220424</v>
      </c>
      <c r="D260" s="16">
        <v>260190001</v>
      </c>
      <c r="E260" s="16" t="s">
        <v>7396</v>
      </c>
      <c r="F260" s="20" t="s">
        <v>7108</v>
      </c>
      <c r="G260" s="17" t="s">
        <v>7398</v>
      </c>
    </row>
    <row r="261" spans="1:7" x14ac:dyDescent="0.25">
      <c r="A261">
        <f t="shared" si="4"/>
        <v>2601495</v>
      </c>
      <c r="B261" s="15">
        <v>140640202</v>
      </c>
      <c r="C261" s="15">
        <v>290220425</v>
      </c>
      <c r="D261" s="16">
        <v>260149501</v>
      </c>
      <c r="E261" s="16" t="s">
        <v>7396</v>
      </c>
      <c r="F261" s="20" t="s">
        <v>7197</v>
      </c>
      <c r="G261" s="17" t="s">
        <v>7397</v>
      </c>
    </row>
    <row r="262" spans="1:7" x14ac:dyDescent="0.25">
      <c r="A262">
        <f t="shared" si="4"/>
        <v>2601900</v>
      </c>
      <c r="B262" s="15">
        <v>140640202</v>
      </c>
      <c r="C262" s="15">
        <v>290220422</v>
      </c>
      <c r="D262" s="16">
        <v>260190004</v>
      </c>
      <c r="E262" s="16" t="s">
        <v>7396</v>
      </c>
      <c r="F262" s="20" t="s">
        <v>7111</v>
      </c>
      <c r="G262" s="17" t="s">
        <v>7398</v>
      </c>
    </row>
    <row r="263" spans="1:7" x14ac:dyDescent="0.25">
      <c r="A263">
        <f t="shared" si="4"/>
        <v>2601495</v>
      </c>
      <c r="B263" s="15">
        <v>140640202</v>
      </c>
      <c r="C263" s="15">
        <v>320015485</v>
      </c>
      <c r="D263" s="16">
        <v>260149510</v>
      </c>
      <c r="E263" s="16" t="s">
        <v>7396</v>
      </c>
      <c r="F263" s="20" t="s">
        <v>7191</v>
      </c>
      <c r="G263" s="17" t="s">
        <v>7397</v>
      </c>
    </row>
    <row r="264" spans="1:7" x14ac:dyDescent="0.25">
      <c r="A264">
        <f t="shared" si="4"/>
        <v>2601900</v>
      </c>
      <c r="B264" s="15">
        <v>140640202</v>
      </c>
      <c r="C264" s="15">
        <v>320015486</v>
      </c>
      <c r="D264" s="16">
        <v>260190010</v>
      </c>
      <c r="E264" s="16" t="s">
        <v>7396</v>
      </c>
      <c r="F264" s="20" t="s">
        <v>7190</v>
      </c>
      <c r="G264" s="17" t="s">
        <v>7398</v>
      </c>
    </row>
    <row r="265" spans="1:7" x14ac:dyDescent="0.25">
      <c r="A265">
        <f t="shared" si="4"/>
        <v>2601495</v>
      </c>
      <c r="B265" s="15">
        <v>140640202</v>
      </c>
      <c r="C265" s="15">
        <v>290220411</v>
      </c>
      <c r="D265" s="16">
        <v>260149505</v>
      </c>
      <c r="E265" s="16" t="s">
        <v>7396</v>
      </c>
      <c r="F265" s="20" t="s">
        <v>7196</v>
      </c>
      <c r="G265" s="17" t="s">
        <v>7397</v>
      </c>
    </row>
    <row r="266" spans="1:7" x14ac:dyDescent="0.25">
      <c r="A266">
        <f t="shared" si="4"/>
        <v>2601900</v>
      </c>
      <c r="B266" s="15">
        <v>140640202</v>
      </c>
      <c r="C266" s="15">
        <v>290220410</v>
      </c>
      <c r="D266" s="16">
        <v>260190002</v>
      </c>
      <c r="E266" s="16" t="s">
        <v>7396</v>
      </c>
      <c r="F266" s="20" t="s">
        <v>7109</v>
      </c>
      <c r="G266" s="17" t="s">
        <v>7398</v>
      </c>
    </row>
    <row r="267" spans="1:7" x14ac:dyDescent="0.25">
      <c r="A267">
        <f t="shared" si="4"/>
        <v>2601900</v>
      </c>
      <c r="B267" s="15">
        <v>140640202</v>
      </c>
      <c r="C267" s="15">
        <v>290220406</v>
      </c>
      <c r="D267" s="16">
        <v>260190000</v>
      </c>
      <c r="E267" s="16" t="s">
        <v>7396</v>
      </c>
      <c r="F267" s="20" t="s">
        <v>7188</v>
      </c>
      <c r="G267" s="17" t="s">
        <v>7398</v>
      </c>
    </row>
    <row r="268" spans="1:7" x14ac:dyDescent="0.25">
      <c r="A268">
        <f t="shared" si="4"/>
        <v>7800000</v>
      </c>
      <c r="B268" s="15">
        <v>140640165</v>
      </c>
      <c r="C268" s="15">
        <v>290220244</v>
      </c>
      <c r="D268" s="16">
        <v>7800000</v>
      </c>
      <c r="E268" s="16" t="s">
        <v>7114</v>
      </c>
      <c r="F268" s="20" t="s">
        <v>7035</v>
      </c>
      <c r="G268" s="17" t="s">
        <v>7399</v>
      </c>
    </row>
    <row r="269" spans="1:7" x14ac:dyDescent="0.25">
      <c r="A269">
        <f t="shared" si="4"/>
        <v>4120982</v>
      </c>
      <c r="B269" s="15">
        <v>140640260</v>
      </c>
      <c r="C269" s="15">
        <v>290220867</v>
      </c>
      <c r="D269" s="16">
        <v>412098234</v>
      </c>
      <c r="E269" s="16" t="s">
        <v>7400</v>
      </c>
      <c r="F269" s="20" t="s">
        <v>7105</v>
      </c>
      <c r="G269" s="17" t="s">
        <v>7401</v>
      </c>
    </row>
    <row r="270" spans="1:7" x14ac:dyDescent="0.25">
      <c r="A270">
        <f t="shared" si="4"/>
        <v>4120854</v>
      </c>
      <c r="B270" s="15">
        <v>140640260</v>
      </c>
      <c r="C270" s="15">
        <v>290220905</v>
      </c>
      <c r="D270" s="16">
        <v>412085436</v>
      </c>
      <c r="E270" s="16" t="s">
        <v>7400</v>
      </c>
      <c r="F270" s="20" t="s">
        <v>7095</v>
      </c>
      <c r="G270" s="17" t="s">
        <v>7402</v>
      </c>
    </row>
    <row r="271" spans="1:7" x14ac:dyDescent="0.25">
      <c r="A271">
        <f t="shared" si="4"/>
        <v>4120242</v>
      </c>
      <c r="B271" s="15">
        <v>140640260</v>
      </c>
      <c r="C271" s="15">
        <v>290220881</v>
      </c>
      <c r="D271" s="16">
        <v>412024242</v>
      </c>
      <c r="E271" s="16" t="s">
        <v>7400</v>
      </c>
      <c r="F271" s="20" t="s">
        <v>7403</v>
      </c>
      <c r="G271" s="17" t="s">
        <v>7404</v>
      </c>
    </row>
    <row r="272" spans="1:7" x14ac:dyDescent="0.25">
      <c r="A272">
        <f t="shared" si="4"/>
        <v>4130777</v>
      </c>
      <c r="B272" s="15">
        <v>140640260</v>
      </c>
      <c r="C272" s="15">
        <v>290220875</v>
      </c>
      <c r="D272" s="16">
        <v>413077736</v>
      </c>
      <c r="E272" s="16" t="s">
        <v>7400</v>
      </c>
      <c r="F272" s="20" t="s">
        <v>7078</v>
      </c>
      <c r="G272" s="17" t="s">
        <v>7405</v>
      </c>
    </row>
    <row r="273" spans="1:7" x14ac:dyDescent="0.25">
      <c r="A273">
        <f t="shared" si="4"/>
        <v>4120110</v>
      </c>
      <c r="B273" s="15">
        <v>140640260</v>
      </c>
      <c r="C273" s="15">
        <v>290220910</v>
      </c>
      <c r="D273" s="16">
        <v>412011042</v>
      </c>
      <c r="E273" s="16" t="s">
        <v>7400</v>
      </c>
      <c r="F273" s="20" t="s">
        <v>7120</v>
      </c>
      <c r="G273" s="17" t="s">
        <v>7406</v>
      </c>
    </row>
    <row r="274" spans="1:7" x14ac:dyDescent="0.25">
      <c r="A274">
        <f t="shared" si="4"/>
        <v>4120800</v>
      </c>
      <c r="B274" s="15">
        <v>140640260</v>
      </c>
      <c r="C274" s="15">
        <v>290220915</v>
      </c>
      <c r="D274" s="16">
        <v>412080042</v>
      </c>
      <c r="E274" s="16" t="s">
        <v>7400</v>
      </c>
      <c r="F274" s="20" t="s">
        <v>7133</v>
      </c>
      <c r="G274" s="17" t="s">
        <v>7407</v>
      </c>
    </row>
    <row r="275" spans="1:7" x14ac:dyDescent="0.25">
      <c r="A275">
        <f t="shared" si="4"/>
        <v>4120042</v>
      </c>
      <c r="B275" s="15">
        <v>140640260</v>
      </c>
      <c r="C275" s="15">
        <v>290220912</v>
      </c>
      <c r="D275" s="16">
        <v>412004242</v>
      </c>
      <c r="E275" s="16" t="s">
        <v>7400</v>
      </c>
      <c r="F275" s="20" t="s">
        <v>7408</v>
      </c>
      <c r="G275" s="17" t="s">
        <v>7409</v>
      </c>
    </row>
    <row r="276" spans="1:7" x14ac:dyDescent="0.25">
      <c r="A276">
        <f t="shared" si="4"/>
        <v>4120800</v>
      </c>
      <c r="B276" s="15">
        <v>140640260</v>
      </c>
      <c r="C276" s="15">
        <v>290220929</v>
      </c>
      <c r="D276" s="16">
        <v>412080034</v>
      </c>
      <c r="E276" s="16" t="s">
        <v>7400</v>
      </c>
      <c r="F276" s="20" t="s">
        <v>7135</v>
      </c>
      <c r="G276" s="17" t="s">
        <v>7407</v>
      </c>
    </row>
    <row r="277" spans="1:7" x14ac:dyDescent="0.25">
      <c r="A277">
        <f t="shared" si="4"/>
        <v>4130777</v>
      </c>
      <c r="B277" s="15">
        <v>140640260</v>
      </c>
      <c r="C277" s="15">
        <v>290220919</v>
      </c>
      <c r="D277" s="16">
        <v>413077740</v>
      </c>
      <c r="E277" s="16" t="s">
        <v>7400</v>
      </c>
      <c r="F277" s="20" t="s">
        <v>7082</v>
      </c>
      <c r="G277" s="17" t="s">
        <v>7405</v>
      </c>
    </row>
    <row r="278" spans="1:7" x14ac:dyDescent="0.25">
      <c r="A278">
        <f t="shared" si="4"/>
        <v>4120567</v>
      </c>
      <c r="B278" s="15">
        <v>140640260</v>
      </c>
      <c r="C278" s="15">
        <v>290220957</v>
      </c>
      <c r="D278" s="16">
        <v>412056738</v>
      </c>
      <c r="E278" s="16" t="s">
        <v>7400</v>
      </c>
      <c r="F278" s="20" t="s">
        <v>7124</v>
      </c>
      <c r="G278" s="17" t="s">
        <v>7410</v>
      </c>
    </row>
    <row r="279" spans="1:7" x14ac:dyDescent="0.25">
      <c r="A279">
        <f t="shared" si="4"/>
        <v>4120800</v>
      </c>
      <c r="B279" s="15">
        <v>140640260</v>
      </c>
      <c r="C279" s="15">
        <v>290220934</v>
      </c>
      <c r="D279" s="16">
        <v>412080044</v>
      </c>
      <c r="E279" s="16" t="s">
        <v>7400</v>
      </c>
      <c r="F279" s="20" t="s">
        <v>7137</v>
      </c>
      <c r="G279" s="17" t="s">
        <v>7407</v>
      </c>
    </row>
    <row r="280" spans="1:7" x14ac:dyDescent="0.25">
      <c r="A280">
        <f t="shared" si="4"/>
        <v>4120982</v>
      </c>
      <c r="B280" s="15">
        <v>140640260</v>
      </c>
      <c r="C280" s="15">
        <v>290220950</v>
      </c>
      <c r="D280" s="16">
        <v>412098240</v>
      </c>
      <c r="E280" s="16" t="s">
        <v>7400</v>
      </c>
      <c r="F280" s="20" t="s">
        <v>7063</v>
      </c>
      <c r="G280" s="17" t="s">
        <v>7401</v>
      </c>
    </row>
    <row r="281" spans="1:7" x14ac:dyDescent="0.25">
      <c r="A281">
        <f t="shared" si="4"/>
        <v>4120242</v>
      </c>
      <c r="B281" s="15">
        <v>140640260</v>
      </c>
      <c r="C281" s="15">
        <v>290220964</v>
      </c>
      <c r="D281" s="16">
        <v>412024236</v>
      </c>
      <c r="E281" s="16" t="s">
        <v>7400</v>
      </c>
      <c r="F281" s="20" t="s">
        <v>7411</v>
      </c>
      <c r="G281" s="17" t="s">
        <v>7404</v>
      </c>
    </row>
    <row r="282" spans="1:7" x14ac:dyDescent="0.25">
      <c r="A282">
        <f t="shared" si="4"/>
        <v>4120110</v>
      </c>
      <c r="B282" s="15">
        <v>140640260</v>
      </c>
      <c r="C282" s="15">
        <v>290220974</v>
      </c>
      <c r="D282" s="16">
        <v>412011044</v>
      </c>
      <c r="E282" s="16" t="s">
        <v>7400</v>
      </c>
      <c r="F282" s="20" t="s">
        <v>7118</v>
      </c>
      <c r="G282" s="17" t="s">
        <v>7406</v>
      </c>
    </row>
    <row r="283" spans="1:7" x14ac:dyDescent="0.25">
      <c r="A283">
        <f t="shared" si="4"/>
        <v>4120110</v>
      </c>
      <c r="B283" s="15">
        <v>140640260</v>
      </c>
      <c r="C283" s="15">
        <v>290220991</v>
      </c>
      <c r="D283" s="16">
        <v>412011034</v>
      </c>
      <c r="E283" s="16" t="s">
        <v>7400</v>
      </c>
      <c r="F283" s="20" t="s">
        <v>7116</v>
      </c>
      <c r="G283" s="17" t="s">
        <v>7406</v>
      </c>
    </row>
    <row r="284" spans="1:7" x14ac:dyDescent="0.25">
      <c r="A284">
        <f t="shared" si="4"/>
        <v>4120800</v>
      </c>
      <c r="B284" s="15">
        <v>140640260</v>
      </c>
      <c r="C284" s="15">
        <v>290220995</v>
      </c>
      <c r="D284" s="16">
        <v>412080040</v>
      </c>
      <c r="E284" s="16" t="s">
        <v>7400</v>
      </c>
      <c r="F284" s="20" t="s">
        <v>7134</v>
      </c>
      <c r="G284" s="17" t="s">
        <v>7407</v>
      </c>
    </row>
    <row r="285" spans="1:7" x14ac:dyDescent="0.25">
      <c r="A285">
        <f t="shared" si="4"/>
        <v>4120567</v>
      </c>
      <c r="B285" s="15">
        <v>140640260</v>
      </c>
      <c r="C285" s="15">
        <v>290221003</v>
      </c>
      <c r="D285" s="16">
        <v>412056736</v>
      </c>
      <c r="E285" s="16" t="s">
        <v>7400</v>
      </c>
      <c r="F285" s="20" t="s">
        <v>7125</v>
      </c>
      <c r="G285" s="17" t="s">
        <v>7410</v>
      </c>
    </row>
    <row r="286" spans="1:7" x14ac:dyDescent="0.25">
      <c r="A286">
        <f t="shared" si="4"/>
        <v>4120800</v>
      </c>
      <c r="B286" s="15">
        <v>140640260</v>
      </c>
      <c r="C286" s="15">
        <v>290221000</v>
      </c>
      <c r="D286" s="16">
        <v>412080036</v>
      </c>
      <c r="E286" s="16" t="s">
        <v>7400</v>
      </c>
      <c r="F286" s="20" t="s">
        <v>7138</v>
      </c>
      <c r="G286" s="17" t="s">
        <v>7407</v>
      </c>
    </row>
    <row r="287" spans="1:7" x14ac:dyDescent="0.25">
      <c r="A287">
        <f t="shared" si="4"/>
        <v>4120854</v>
      </c>
      <c r="B287" s="15">
        <v>140640260</v>
      </c>
      <c r="C287" s="15">
        <v>290220968</v>
      </c>
      <c r="D287" s="16">
        <v>412085442</v>
      </c>
      <c r="E287" s="16" t="s">
        <v>7400</v>
      </c>
      <c r="F287" s="20" t="s">
        <v>7098</v>
      </c>
      <c r="G287" s="17" t="s">
        <v>7402</v>
      </c>
    </row>
    <row r="288" spans="1:7" x14ac:dyDescent="0.25">
      <c r="A288">
        <f t="shared" si="4"/>
        <v>4120982</v>
      </c>
      <c r="B288" s="15">
        <v>140640260</v>
      </c>
      <c r="C288" s="15">
        <v>290220987</v>
      </c>
      <c r="D288" s="16">
        <v>412098242</v>
      </c>
      <c r="E288" s="16" t="s">
        <v>7400</v>
      </c>
      <c r="F288" s="20" t="s">
        <v>7070</v>
      </c>
      <c r="G288" s="17" t="s">
        <v>7401</v>
      </c>
    </row>
    <row r="289" spans="1:7" x14ac:dyDescent="0.25">
      <c r="A289">
        <f t="shared" si="4"/>
        <v>4120042</v>
      </c>
      <c r="B289" s="15">
        <v>140640260</v>
      </c>
      <c r="C289" s="15">
        <v>290220977</v>
      </c>
      <c r="D289" s="16">
        <v>412004240</v>
      </c>
      <c r="E289" s="16" t="s">
        <v>7400</v>
      </c>
      <c r="F289" s="20" t="s">
        <v>7412</v>
      </c>
      <c r="G289" s="17" t="s">
        <v>7409</v>
      </c>
    </row>
    <row r="290" spans="1:7" x14ac:dyDescent="0.25">
      <c r="A290">
        <f t="shared" si="4"/>
        <v>4120567</v>
      </c>
      <c r="B290" s="15">
        <v>140640260</v>
      </c>
      <c r="C290" s="15">
        <v>290220979</v>
      </c>
      <c r="D290" s="16">
        <v>412056744</v>
      </c>
      <c r="E290" s="16" t="s">
        <v>7400</v>
      </c>
      <c r="F290" s="20" t="s">
        <v>7123</v>
      </c>
      <c r="G290" s="17" t="s">
        <v>7410</v>
      </c>
    </row>
    <row r="291" spans="1:7" x14ac:dyDescent="0.25">
      <c r="A291">
        <f t="shared" si="4"/>
        <v>4120854</v>
      </c>
      <c r="B291" s="15">
        <v>140640260</v>
      </c>
      <c r="C291" s="15">
        <v>290221025</v>
      </c>
      <c r="D291" s="16">
        <v>412085438</v>
      </c>
      <c r="E291" s="16" t="s">
        <v>7400</v>
      </c>
      <c r="F291" s="20" t="s">
        <v>7096</v>
      </c>
      <c r="G291" s="17" t="s">
        <v>7402</v>
      </c>
    </row>
    <row r="292" spans="1:7" x14ac:dyDescent="0.25">
      <c r="A292">
        <f t="shared" si="4"/>
        <v>4120110</v>
      </c>
      <c r="B292" s="15">
        <v>140640260</v>
      </c>
      <c r="C292" s="15">
        <v>290221042</v>
      </c>
      <c r="D292" s="16">
        <v>412011038</v>
      </c>
      <c r="E292" s="16" t="s">
        <v>7400</v>
      </c>
      <c r="F292" s="20" t="s">
        <v>7115</v>
      </c>
      <c r="G292" s="17" t="s">
        <v>7406</v>
      </c>
    </row>
    <row r="293" spans="1:7" x14ac:dyDescent="0.25">
      <c r="A293">
        <f t="shared" si="4"/>
        <v>4120242</v>
      </c>
      <c r="B293" s="15">
        <v>140640260</v>
      </c>
      <c r="C293" s="15">
        <v>290221013</v>
      </c>
      <c r="D293" s="16">
        <v>412024234</v>
      </c>
      <c r="E293" s="16" t="s">
        <v>7400</v>
      </c>
      <c r="F293" s="20" t="s">
        <v>7413</v>
      </c>
      <c r="G293" s="17" t="s">
        <v>7404</v>
      </c>
    </row>
    <row r="294" spans="1:7" x14ac:dyDescent="0.25">
      <c r="A294">
        <f t="shared" si="4"/>
        <v>4130777</v>
      </c>
      <c r="B294" s="15">
        <v>140640260</v>
      </c>
      <c r="C294" s="15">
        <v>290221009</v>
      </c>
      <c r="D294" s="16">
        <v>413077744</v>
      </c>
      <c r="E294" s="16" t="s">
        <v>7400</v>
      </c>
      <c r="F294" s="20" t="s">
        <v>7088</v>
      </c>
      <c r="G294" s="17" t="s">
        <v>7405</v>
      </c>
    </row>
    <row r="295" spans="1:7" x14ac:dyDescent="0.25">
      <c r="A295">
        <f t="shared" si="4"/>
        <v>4120042</v>
      </c>
      <c r="B295" s="15">
        <v>140640260</v>
      </c>
      <c r="C295" s="15">
        <v>290221031</v>
      </c>
      <c r="D295" s="16">
        <v>412004234</v>
      </c>
      <c r="E295" s="16" t="s">
        <v>7400</v>
      </c>
      <c r="F295" s="20" t="s">
        <v>7414</v>
      </c>
      <c r="G295" s="17" t="s">
        <v>7409</v>
      </c>
    </row>
    <row r="296" spans="1:7" x14ac:dyDescent="0.25">
      <c r="A296">
        <f t="shared" si="4"/>
        <v>4120042</v>
      </c>
      <c r="B296" s="15">
        <v>140640260</v>
      </c>
      <c r="C296" s="15">
        <v>290221014</v>
      </c>
      <c r="D296" s="16">
        <v>412004238</v>
      </c>
      <c r="E296" s="16" t="s">
        <v>7400</v>
      </c>
      <c r="F296" s="20" t="s">
        <v>7415</v>
      </c>
      <c r="G296" s="17" t="s">
        <v>7409</v>
      </c>
    </row>
    <row r="297" spans="1:7" x14ac:dyDescent="0.25">
      <c r="A297">
        <f t="shared" si="4"/>
        <v>4120242</v>
      </c>
      <c r="B297" s="15">
        <v>140640260</v>
      </c>
      <c r="C297" s="15">
        <v>290221040</v>
      </c>
      <c r="D297" s="16">
        <v>412024240</v>
      </c>
      <c r="E297" s="16" t="s">
        <v>7400</v>
      </c>
      <c r="F297" s="20" t="s">
        <v>7416</v>
      </c>
      <c r="G297" s="17" t="s">
        <v>7404</v>
      </c>
    </row>
    <row r="298" spans="1:7" x14ac:dyDescent="0.25">
      <c r="A298">
        <f t="shared" si="4"/>
        <v>4120042</v>
      </c>
      <c r="B298" s="15">
        <v>140640260</v>
      </c>
      <c r="C298" s="15">
        <v>290221022</v>
      </c>
      <c r="D298" s="16">
        <v>412004236</v>
      </c>
      <c r="E298" s="16" t="s">
        <v>7400</v>
      </c>
      <c r="F298" s="20" t="s">
        <v>7417</v>
      </c>
      <c r="G298" s="17" t="s">
        <v>7409</v>
      </c>
    </row>
    <row r="299" spans="1:7" x14ac:dyDescent="0.25">
      <c r="A299">
        <f t="shared" si="4"/>
        <v>4120110</v>
      </c>
      <c r="B299" s="15">
        <v>140640260</v>
      </c>
      <c r="C299" s="15">
        <v>290221018</v>
      </c>
      <c r="D299" s="16">
        <v>412011040</v>
      </c>
      <c r="E299" s="16" t="s">
        <v>7400</v>
      </c>
      <c r="F299" s="20" t="s">
        <v>7119</v>
      </c>
      <c r="G299" s="17" t="s">
        <v>7406</v>
      </c>
    </row>
    <row r="300" spans="1:7" x14ac:dyDescent="0.25">
      <c r="A300">
        <f t="shared" si="4"/>
        <v>4120242</v>
      </c>
      <c r="B300" s="15">
        <v>140640260</v>
      </c>
      <c r="C300" s="15">
        <v>290221015</v>
      </c>
      <c r="D300" s="16">
        <v>412024238</v>
      </c>
      <c r="E300" s="16" t="s">
        <v>7400</v>
      </c>
      <c r="F300" s="20" t="s">
        <v>7418</v>
      </c>
      <c r="G300" s="17" t="s">
        <v>7404</v>
      </c>
    </row>
    <row r="301" spans="1:7" x14ac:dyDescent="0.25">
      <c r="A301">
        <f t="shared" si="4"/>
        <v>4120567</v>
      </c>
      <c r="B301" s="15">
        <v>140640260</v>
      </c>
      <c r="C301" s="15">
        <v>290221005</v>
      </c>
      <c r="D301" s="16">
        <v>412056740</v>
      </c>
      <c r="E301" s="16" t="s">
        <v>7400</v>
      </c>
      <c r="F301" s="20" t="s">
        <v>7122</v>
      </c>
      <c r="G301" s="17" t="s">
        <v>7410</v>
      </c>
    </row>
    <row r="302" spans="1:7" x14ac:dyDescent="0.25">
      <c r="A302">
        <f t="shared" si="4"/>
        <v>4130777</v>
      </c>
      <c r="B302" s="15">
        <v>140640260</v>
      </c>
      <c r="C302" s="15">
        <v>290221037</v>
      </c>
      <c r="D302" s="16">
        <v>413077738</v>
      </c>
      <c r="E302" s="16" t="s">
        <v>7400</v>
      </c>
      <c r="F302" s="20" t="s">
        <v>7080</v>
      </c>
      <c r="G302" s="17" t="s">
        <v>7405</v>
      </c>
    </row>
    <row r="303" spans="1:7" x14ac:dyDescent="0.25">
      <c r="A303">
        <f t="shared" si="4"/>
        <v>4120854</v>
      </c>
      <c r="B303" s="15">
        <v>140640260</v>
      </c>
      <c r="C303" s="15">
        <v>290221049</v>
      </c>
      <c r="D303" s="16">
        <v>412085440</v>
      </c>
      <c r="E303" s="16" t="s">
        <v>7400</v>
      </c>
      <c r="F303" s="20" t="s">
        <v>7097</v>
      </c>
      <c r="G303" s="17" t="s">
        <v>7402</v>
      </c>
    </row>
    <row r="304" spans="1:7" x14ac:dyDescent="0.25">
      <c r="A304">
        <f t="shared" si="4"/>
        <v>4120854</v>
      </c>
      <c r="B304" s="15">
        <v>140640260</v>
      </c>
      <c r="C304" s="15">
        <v>290221051</v>
      </c>
      <c r="D304" s="16">
        <v>412085434</v>
      </c>
      <c r="E304" s="16" t="s">
        <v>7400</v>
      </c>
      <c r="F304" s="20" t="s">
        <v>7094</v>
      </c>
      <c r="G304" s="17" t="s">
        <v>7402</v>
      </c>
    </row>
    <row r="305" spans="1:7" x14ac:dyDescent="0.25">
      <c r="A305">
        <f t="shared" si="4"/>
        <v>4120854</v>
      </c>
      <c r="B305" s="15">
        <v>140640260</v>
      </c>
      <c r="C305" s="15">
        <v>290221052</v>
      </c>
      <c r="D305" s="16">
        <v>412085444</v>
      </c>
      <c r="E305" s="16" t="s">
        <v>7400</v>
      </c>
      <c r="F305" s="20" t="s">
        <v>7099</v>
      </c>
      <c r="G305" s="17" t="s">
        <v>7402</v>
      </c>
    </row>
    <row r="306" spans="1:7" x14ac:dyDescent="0.25">
      <c r="A306">
        <f t="shared" si="4"/>
        <v>4120567</v>
      </c>
      <c r="B306" s="15">
        <v>140640260</v>
      </c>
      <c r="C306" s="15">
        <v>290221058</v>
      </c>
      <c r="D306" s="16">
        <v>412056734</v>
      </c>
      <c r="E306" s="16" t="s">
        <v>7400</v>
      </c>
      <c r="F306" s="20" t="s">
        <v>7121</v>
      </c>
      <c r="G306" s="17" t="s">
        <v>7410</v>
      </c>
    </row>
    <row r="307" spans="1:7" x14ac:dyDescent="0.25">
      <c r="A307">
        <f t="shared" si="4"/>
        <v>4120982</v>
      </c>
      <c r="B307" s="15">
        <v>140640260</v>
      </c>
      <c r="C307" s="15">
        <v>290221045</v>
      </c>
      <c r="D307" s="16">
        <v>412098238</v>
      </c>
      <c r="E307" s="16" t="s">
        <v>7400</v>
      </c>
      <c r="F307" s="20" t="s">
        <v>7067</v>
      </c>
      <c r="G307" s="17" t="s">
        <v>7401</v>
      </c>
    </row>
    <row r="308" spans="1:7" x14ac:dyDescent="0.25">
      <c r="A308">
        <f t="shared" si="4"/>
        <v>4120242</v>
      </c>
      <c r="B308" s="15">
        <v>140640260</v>
      </c>
      <c r="C308" s="15">
        <v>290221050</v>
      </c>
      <c r="D308" s="16">
        <v>412024244</v>
      </c>
      <c r="E308" s="16" t="s">
        <v>7400</v>
      </c>
      <c r="F308" s="20" t="s">
        <v>7419</v>
      </c>
      <c r="G308" s="17" t="s">
        <v>7404</v>
      </c>
    </row>
    <row r="309" spans="1:7" x14ac:dyDescent="0.25">
      <c r="A309">
        <f t="shared" si="4"/>
        <v>4130777</v>
      </c>
      <c r="B309" s="15">
        <v>140640260</v>
      </c>
      <c r="C309" s="15">
        <v>290221046</v>
      </c>
      <c r="D309" s="16">
        <v>413077734</v>
      </c>
      <c r="E309" s="16" t="s">
        <v>7400</v>
      </c>
      <c r="F309" s="20" t="s">
        <v>7139</v>
      </c>
      <c r="G309" s="17" t="s">
        <v>7405</v>
      </c>
    </row>
    <row r="310" spans="1:7" x14ac:dyDescent="0.25">
      <c r="A310">
        <f t="shared" si="4"/>
        <v>4130777</v>
      </c>
      <c r="B310" s="15">
        <v>140640260</v>
      </c>
      <c r="C310" s="15">
        <v>290220962</v>
      </c>
      <c r="D310" s="16">
        <v>413077742</v>
      </c>
      <c r="E310" s="16" t="s">
        <v>7400</v>
      </c>
      <c r="F310" s="20" t="s">
        <v>7089</v>
      </c>
      <c r="G310" s="17" t="s">
        <v>7405</v>
      </c>
    </row>
    <row r="311" spans="1:7" x14ac:dyDescent="0.25">
      <c r="A311">
        <f t="shared" si="4"/>
        <v>4120042</v>
      </c>
      <c r="B311" s="15">
        <v>140640260</v>
      </c>
      <c r="C311" s="15">
        <v>290220932</v>
      </c>
      <c r="D311" s="16">
        <v>412004244</v>
      </c>
      <c r="E311" s="16" t="s">
        <v>7400</v>
      </c>
      <c r="F311" s="20" t="s">
        <v>7420</v>
      </c>
      <c r="G311" s="17" t="s">
        <v>7409</v>
      </c>
    </row>
    <row r="312" spans="1:7" x14ac:dyDescent="0.25">
      <c r="A312">
        <f t="shared" si="4"/>
        <v>4120800</v>
      </c>
      <c r="B312" s="15">
        <v>140640260</v>
      </c>
      <c r="C312" s="15">
        <v>290220953</v>
      </c>
      <c r="D312" s="16">
        <v>412080038</v>
      </c>
      <c r="E312" s="16" t="s">
        <v>7400</v>
      </c>
      <c r="F312" s="20" t="s">
        <v>7136</v>
      </c>
      <c r="G312" s="17" t="s">
        <v>7407</v>
      </c>
    </row>
    <row r="313" spans="1:7" x14ac:dyDescent="0.25">
      <c r="A313">
        <f t="shared" si="4"/>
        <v>4120567</v>
      </c>
      <c r="B313" s="15">
        <v>140640260</v>
      </c>
      <c r="C313" s="15">
        <v>290220936</v>
      </c>
      <c r="D313" s="16">
        <v>412056742</v>
      </c>
      <c r="E313" s="16" t="s">
        <v>7400</v>
      </c>
      <c r="F313" s="20" t="s">
        <v>7126</v>
      </c>
      <c r="G313" s="17" t="s">
        <v>7410</v>
      </c>
    </row>
    <row r="314" spans="1:7" x14ac:dyDescent="0.25">
      <c r="A314">
        <f t="shared" si="4"/>
        <v>4120982</v>
      </c>
      <c r="B314" s="15">
        <v>140640260</v>
      </c>
      <c r="C314" s="15">
        <v>290220945</v>
      </c>
      <c r="D314" s="16">
        <v>412098236</v>
      </c>
      <c r="E314" s="16" t="s">
        <v>7400</v>
      </c>
      <c r="F314" s="20" t="s">
        <v>7060</v>
      </c>
      <c r="G314" s="17" t="s">
        <v>7401</v>
      </c>
    </row>
    <row r="315" spans="1:7" x14ac:dyDescent="0.25">
      <c r="A315">
        <f t="shared" si="4"/>
        <v>4120110</v>
      </c>
      <c r="B315" s="15">
        <v>140640260</v>
      </c>
      <c r="C315" s="15">
        <v>290220949</v>
      </c>
      <c r="D315" s="16">
        <v>412011036</v>
      </c>
      <c r="E315" s="16" t="s">
        <v>7400</v>
      </c>
      <c r="F315" s="20" t="s">
        <v>7117</v>
      </c>
      <c r="G315" s="17" t="s">
        <v>7406</v>
      </c>
    </row>
    <row r="316" spans="1:7" x14ac:dyDescent="0.25">
      <c r="A316">
        <f t="shared" si="4"/>
        <v>4120982</v>
      </c>
      <c r="B316" s="15">
        <v>140640260</v>
      </c>
      <c r="C316" s="15">
        <v>290221033</v>
      </c>
      <c r="D316" s="16">
        <v>412098244</v>
      </c>
      <c r="E316" s="16" t="s">
        <v>7400</v>
      </c>
      <c r="F316" s="20" t="s">
        <v>7068</v>
      </c>
      <c r="G316" s="17" t="s">
        <v>7401</v>
      </c>
    </row>
    <row r="317" spans="1:7" x14ac:dyDescent="0.25">
      <c r="A317">
        <f t="shared" si="4"/>
        <v>4120544</v>
      </c>
      <c r="B317" s="15">
        <v>140640273</v>
      </c>
      <c r="C317" s="15">
        <v>290220917</v>
      </c>
      <c r="D317" s="16">
        <v>412054448</v>
      </c>
      <c r="E317" s="16" t="s">
        <v>7421</v>
      </c>
      <c r="F317" s="20" t="s">
        <v>7155</v>
      </c>
      <c r="G317" s="17" t="s">
        <v>7407</v>
      </c>
    </row>
    <row r="318" spans="1:7" x14ac:dyDescent="0.25">
      <c r="A318">
        <f t="shared" si="4"/>
        <v>4120334</v>
      </c>
      <c r="B318" s="15">
        <v>140640273</v>
      </c>
      <c r="C318" s="15">
        <v>290220931</v>
      </c>
      <c r="D318" s="16">
        <v>412033448</v>
      </c>
      <c r="E318" s="16" t="s">
        <v>7421</v>
      </c>
      <c r="F318" s="20" t="s">
        <v>7101</v>
      </c>
      <c r="G318" s="17" t="s">
        <v>7402</v>
      </c>
    </row>
    <row r="319" spans="1:7" x14ac:dyDescent="0.25">
      <c r="A319">
        <f t="shared" si="4"/>
        <v>4120115</v>
      </c>
      <c r="B319" s="15">
        <v>140640273</v>
      </c>
      <c r="C319" s="15">
        <v>290220943</v>
      </c>
      <c r="D319" s="16">
        <v>412011548</v>
      </c>
      <c r="E319" s="16" t="s">
        <v>7421</v>
      </c>
      <c r="F319" s="20" t="s">
        <v>7158</v>
      </c>
      <c r="G319" s="17" t="s">
        <v>7406</v>
      </c>
    </row>
    <row r="320" spans="1:7" x14ac:dyDescent="0.25">
      <c r="A320">
        <f t="shared" si="4"/>
        <v>4120243</v>
      </c>
      <c r="B320" s="15">
        <v>140640273</v>
      </c>
      <c r="C320" s="15">
        <v>290220924</v>
      </c>
      <c r="D320" s="16">
        <v>412024346</v>
      </c>
      <c r="E320" s="16" t="s">
        <v>7421</v>
      </c>
      <c r="F320" s="20" t="s">
        <v>7422</v>
      </c>
      <c r="G320" s="17" t="s">
        <v>7404</v>
      </c>
    </row>
    <row r="321" spans="1:7" x14ac:dyDescent="0.25">
      <c r="A321">
        <f t="shared" si="4"/>
        <v>4120115</v>
      </c>
      <c r="B321" s="15">
        <v>140640273</v>
      </c>
      <c r="C321" s="15">
        <v>290220913</v>
      </c>
      <c r="D321" s="16">
        <v>412011550</v>
      </c>
      <c r="E321" s="16" t="s">
        <v>7421</v>
      </c>
      <c r="F321" s="20" t="s">
        <v>7159</v>
      </c>
      <c r="G321" s="17" t="s">
        <v>7406</v>
      </c>
    </row>
    <row r="322" spans="1:7" x14ac:dyDescent="0.25">
      <c r="A322">
        <f t="shared" si="4"/>
        <v>4120625</v>
      </c>
      <c r="B322" s="15">
        <v>140640273</v>
      </c>
      <c r="C322" s="15">
        <v>290220927</v>
      </c>
      <c r="D322" s="16">
        <v>412062546</v>
      </c>
      <c r="E322" s="16" t="s">
        <v>7421</v>
      </c>
      <c r="F322" s="20" t="s">
        <v>7066</v>
      </c>
      <c r="G322" s="17" t="s">
        <v>7401</v>
      </c>
    </row>
    <row r="323" spans="1:7" x14ac:dyDescent="0.25">
      <c r="A323">
        <f t="shared" ref="A323:A386" si="5">LEFT(D323,7)*1</f>
        <v>4120243</v>
      </c>
      <c r="B323" s="15">
        <v>140640273</v>
      </c>
      <c r="C323" s="15">
        <v>290221067</v>
      </c>
      <c r="D323" s="16">
        <v>412024348</v>
      </c>
      <c r="E323" s="16" t="s">
        <v>7421</v>
      </c>
      <c r="F323" s="20" t="s">
        <v>7423</v>
      </c>
      <c r="G323" s="17" t="s">
        <v>7404</v>
      </c>
    </row>
    <row r="324" spans="1:7" x14ac:dyDescent="0.25">
      <c r="A324">
        <f t="shared" si="5"/>
        <v>4120115</v>
      </c>
      <c r="B324" s="15">
        <v>140640273</v>
      </c>
      <c r="C324" s="15">
        <v>290221023</v>
      </c>
      <c r="D324" s="16">
        <v>412011546</v>
      </c>
      <c r="E324" s="16" t="s">
        <v>7421</v>
      </c>
      <c r="F324" s="20" t="s">
        <v>7157</v>
      </c>
      <c r="G324" s="17" t="s">
        <v>7406</v>
      </c>
    </row>
    <row r="325" spans="1:7" x14ac:dyDescent="0.25">
      <c r="A325">
        <f t="shared" si="5"/>
        <v>4120043</v>
      </c>
      <c r="B325" s="15">
        <v>140640273</v>
      </c>
      <c r="C325" s="15">
        <v>290220955</v>
      </c>
      <c r="D325" s="16">
        <v>412004350</v>
      </c>
      <c r="E325" s="16" t="s">
        <v>7421</v>
      </c>
      <c r="F325" s="20" t="s">
        <v>7424</v>
      </c>
      <c r="G325" s="17" t="s">
        <v>7409</v>
      </c>
    </row>
    <row r="326" spans="1:7" x14ac:dyDescent="0.25">
      <c r="A326">
        <f t="shared" si="5"/>
        <v>4130150</v>
      </c>
      <c r="B326" s="15">
        <v>140640273</v>
      </c>
      <c r="C326" s="15">
        <v>290221001</v>
      </c>
      <c r="D326" s="16">
        <v>413015046</v>
      </c>
      <c r="E326" s="16" t="s">
        <v>7421</v>
      </c>
      <c r="F326" s="20" t="s">
        <v>7086</v>
      </c>
      <c r="G326" s="17" t="s">
        <v>7405</v>
      </c>
    </row>
    <row r="327" spans="1:7" x14ac:dyDescent="0.25">
      <c r="A327">
        <f t="shared" si="5"/>
        <v>4120243</v>
      </c>
      <c r="B327" s="15">
        <v>140640273</v>
      </c>
      <c r="C327" s="15">
        <v>290221011</v>
      </c>
      <c r="D327" s="16">
        <v>412024350</v>
      </c>
      <c r="E327" s="16" t="s">
        <v>7421</v>
      </c>
      <c r="F327" s="20" t="s">
        <v>7425</v>
      </c>
      <c r="G327" s="17" t="s">
        <v>7404</v>
      </c>
    </row>
    <row r="328" spans="1:7" x14ac:dyDescent="0.25">
      <c r="A328">
        <f t="shared" si="5"/>
        <v>4120625</v>
      </c>
      <c r="B328" s="15">
        <v>140640273</v>
      </c>
      <c r="C328" s="15">
        <v>290221080</v>
      </c>
      <c r="D328" s="16">
        <v>412062548</v>
      </c>
      <c r="E328" s="16" t="s">
        <v>7421</v>
      </c>
      <c r="F328" s="20" t="s">
        <v>7091</v>
      </c>
      <c r="G328" s="17" t="s">
        <v>7401</v>
      </c>
    </row>
    <row r="329" spans="1:7" x14ac:dyDescent="0.25">
      <c r="A329">
        <f t="shared" si="5"/>
        <v>4120568</v>
      </c>
      <c r="B329" s="15">
        <v>140640273</v>
      </c>
      <c r="C329" s="15">
        <v>290221090</v>
      </c>
      <c r="D329" s="16">
        <v>412056850</v>
      </c>
      <c r="E329" s="16" t="s">
        <v>7421</v>
      </c>
      <c r="F329" s="20" t="s">
        <v>7153</v>
      </c>
      <c r="G329" s="17" t="s">
        <v>7410</v>
      </c>
    </row>
    <row r="330" spans="1:7" x14ac:dyDescent="0.25">
      <c r="A330">
        <f t="shared" si="5"/>
        <v>4120544</v>
      </c>
      <c r="B330" s="15">
        <v>140640273</v>
      </c>
      <c r="C330" s="15">
        <v>290221072</v>
      </c>
      <c r="D330" s="16">
        <v>412054446</v>
      </c>
      <c r="E330" s="16" t="s">
        <v>7421</v>
      </c>
      <c r="F330" s="20" t="s">
        <v>7154</v>
      </c>
      <c r="G330" s="17" t="s">
        <v>7407</v>
      </c>
    </row>
    <row r="331" spans="1:7" x14ac:dyDescent="0.25">
      <c r="A331">
        <f t="shared" si="5"/>
        <v>4120043</v>
      </c>
      <c r="B331" s="15">
        <v>140640273</v>
      </c>
      <c r="C331" s="15">
        <v>290221076</v>
      </c>
      <c r="D331" s="16">
        <v>412004346</v>
      </c>
      <c r="E331" s="16" t="s">
        <v>7421</v>
      </c>
      <c r="F331" s="20" t="s">
        <v>7426</v>
      </c>
      <c r="G331" s="17" t="s">
        <v>7409</v>
      </c>
    </row>
    <row r="332" spans="1:7" x14ac:dyDescent="0.25">
      <c r="A332">
        <f t="shared" si="5"/>
        <v>4120334</v>
      </c>
      <c r="B332" s="15">
        <v>140640273</v>
      </c>
      <c r="C332" s="15">
        <v>290221084</v>
      </c>
      <c r="D332" s="16">
        <v>412033450</v>
      </c>
      <c r="E332" s="16" t="s">
        <v>7421</v>
      </c>
      <c r="F332" s="20" t="s">
        <v>7102</v>
      </c>
      <c r="G332" s="17" t="s">
        <v>7402</v>
      </c>
    </row>
    <row r="333" spans="1:7" x14ac:dyDescent="0.25">
      <c r="A333">
        <f t="shared" si="5"/>
        <v>4120568</v>
      </c>
      <c r="B333" s="15">
        <v>140640273</v>
      </c>
      <c r="C333" s="15">
        <v>290221088</v>
      </c>
      <c r="D333" s="16">
        <v>412056848</v>
      </c>
      <c r="E333" s="16" t="s">
        <v>7421</v>
      </c>
      <c r="F333" s="20" t="s">
        <v>7152</v>
      </c>
      <c r="G333" s="17" t="s">
        <v>7410</v>
      </c>
    </row>
    <row r="334" spans="1:7" x14ac:dyDescent="0.25">
      <c r="A334">
        <f t="shared" si="5"/>
        <v>4120043</v>
      </c>
      <c r="B334" s="15">
        <v>140640273</v>
      </c>
      <c r="C334" s="15">
        <v>290221057</v>
      </c>
      <c r="D334" s="16">
        <v>412004348</v>
      </c>
      <c r="E334" s="16" t="s">
        <v>7421</v>
      </c>
      <c r="F334" s="20" t="s">
        <v>7427</v>
      </c>
      <c r="G334" s="17" t="s">
        <v>7409</v>
      </c>
    </row>
    <row r="335" spans="1:7" x14ac:dyDescent="0.25">
      <c r="A335">
        <f t="shared" si="5"/>
        <v>4120625</v>
      </c>
      <c r="B335" s="15">
        <v>140640273</v>
      </c>
      <c r="C335" s="15">
        <v>290221060</v>
      </c>
      <c r="D335" s="16">
        <v>412062550</v>
      </c>
      <c r="E335" s="16" t="s">
        <v>7421</v>
      </c>
      <c r="F335" s="20" t="s">
        <v>7093</v>
      </c>
      <c r="G335" s="17" t="s">
        <v>7401</v>
      </c>
    </row>
    <row r="336" spans="1:7" x14ac:dyDescent="0.25">
      <c r="A336">
        <f t="shared" si="5"/>
        <v>4130150</v>
      </c>
      <c r="B336" s="15">
        <v>140640273</v>
      </c>
      <c r="C336" s="15">
        <v>290220921</v>
      </c>
      <c r="D336" s="16">
        <v>413015050</v>
      </c>
      <c r="E336" s="16" t="s">
        <v>7421</v>
      </c>
      <c r="F336" s="20" t="s">
        <v>7164</v>
      </c>
      <c r="G336" s="17" t="s">
        <v>7405</v>
      </c>
    </row>
    <row r="337" spans="1:7" x14ac:dyDescent="0.25">
      <c r="A337">
        <f t="shared" si="5"/>
        <v>4120334</v>
      </c>
      <c r="B337" s="15">
        <v>140640273</v>
      </c>
      <c r="C337" s="15">
        <v>290220986</v>
      </c>
      <c r="D337" s="16">
        <v>412033446</v>
      </c>
      <c r="E337" s="16" t="s">
        <v>7421</v>
      </c>
      <c r="F337" s="20" t="s">
        <v>7100</v>
      </c>
      <c r="G337" s="17" t="s">
        <v>7402</v>
      </c>
    </row>
    <row r="338" spans="1:7" x14ac:dyDescent="0.25">
      <c r="A338">
        <f t="shared" si="5"/>
        <v>4120568</v>
      </c>
      <c r="B338" s="15">
        <v>140640273</v>
      </c>
      <c r="C338" s="15">
        <v>290221041</v>
      </c>
      <c r="D338" s="16">
        <v>412056846</v>
      </c>
      <c r="E338" s="16" t="s">
        <v>7421</v>
      </c>
      <c r="F338" s="20" t="s">
        <v>7151</v>
      </c>
      <c r="G338" s="17" t="s">
        <v>7410</v>
      </c>
    </row>
    <row r="339" spans="1:7" x14ac:dyDescent="0.25">
      <c r="A339">
        <f t="shared" si="5"/>
        <v>4120544</v>
      </c>
      <c r="B339" s="15">
        <v>140640273</v>
      </c>
      <c r="C339" s="15">
        <v>290220970</v>
      </c>
      <c r="D339" s="16">
        <v>412054450</v>
      </c>
      <c r="E339" s="16" t="s">
        <v>7421</v>
      </c>
      <c r="F339" s="20" t="s">
        <v>7156</v>
      </c>
      <c r="G339" s="17" t="s">
        <v>7407</v>
      </c>
    </row>
    <row r="340" spans="1:7" x14ac:dyDescent="0.25">
      <c r="A340">
        <f t="shared" si="5"/>
        <v>4130150</v>
      </c>
      <c r="B340" s="15">
        <v>140640273</v>
      </c>
      <c r="C340" s="15">
        <v>290220938</v>
      </c>
      <c r="D340" s="16">
        <v>413015048</v>
      </c>
      <c r="E340" s="16" t="s">
        <v>7421</v>
      </c>
      <c r="F340" s="20" t="s">
        <v>7163</v>
      </c>
      <c r="G340" s="17" t="s">
        <v>7405</v>
      </c>
    </row>
    <row r="341" spans="1:7" x14ac:dyDescent="0.25">
      <c r="A341">
        <f t="shared" si="5"/>
        <v>4120778</v>
      </c>
      <c r="B341" s="15">
        <v>140640252</v>
      </c>
      <c r="C341" s="15">
        <v>290220785</v>
      </c>
      <c r="D341" s="16">
        <v>412077852</v>
      </c>
      <c r="E341" s="16" t="s">
        <v>7428</v>
      </c>
      <c r="F341" s="20" t="s">
        <v>7140</v>
      </c>
      <c r="G341" s="17" t="s">
        <v>7407</v>
      </c>
    </row>
    <row r="342" spans="1:7" x14ac:dyDescent="0.25">
      <c r="A342">
        <f t="shared" si="5"/>
        <v>4120778</v>
      </c>
      <c r="B342" s="15">
        <v>140640252</v>
      </c>
      <c r="C342" s="15">
        <v>290220789</v>
      </c>
      <c r="D342" s="16">
        <v>412077856</v>
      </c>
      <c r="E342" s="16" t="s">
        <v>7428</v>
      </c>
      <c r="F342" s="20" t="s">
        <v>7142</v>
      </c>
      <c r="G342" s="17" t="s">
        <v>7407</v>
      </c>
    </row>
    <row r="343" spans="1:7" x14ac:dyDescent="0.25">
      <c r="A343">
        <f t="shared" si="5"/>
        <v>4120335</v>
      </c>
      <c r="B343" s="15">
        <v>140640252</v>
      </c>
      <c r="C343" s="15">
        <v>290220782</v>
      </c>
      <c r="D343" s="16">
        <v>412033554</v>
      </c>
      <c r="E343" s="16" t="s">
        <v>7428</v>
      </c>
      <c r="F343" s="20" t="s">
        <v>7104</v>
      </c>
      <c r="G343" s="17" t="s">
        <v>7402</v>
      </c>
    </row>
    <row r="344" spans="1:7" x14ac:dyDescent="0.25">
      <c r="A344">
        <f t="shared" si="5"/>
        <v>4120627</v>
      </c>
      <c r="B344" s="15">
        <v>140640252</v>
      </c>
      <c r="C344" s="15">
        <v>290220792</v>
      </c>
      <c r="D344" s="16">
        <v>412062752</v>
      </c>
      <c r="E344" s="16" t="s">
        <v>7428</v>
      </c>
      <c r="F344" s="20" t="s">
        <v>7106</v>
      </c>
      <c r="G344" s="17" t="s">
        <v>7401</v>
      </c>
    </row>
    <row r="345" spans="1:7" x14ac:dyDescent="0.25">
      <c r="A345">
        <f t="shared" si="5"/>
        <v>4120335</v>
      </c>
      <c r="B345" s="15">
        <v>140640252</v>
      </c>
      <c r="C345" s="15">
        <v>290220797</v>
      </c>
      <c r="D345" s="16">
        <v>412033552</v>
      </c>
      <c r="E345" s="16" t="s">
        <v>7428</v>
      </c>
      <c r="F345" s="20" t="s">
        <v>7103</v>
      </c>
      <c r="G345" s="17" t="s">
        <v>7402</v>
      </c>
    </row>
    <row r="346" spans="1:7" x14ac:dyDescent="0.25">
      <c r="A346">
        <f t="shared" si="5"/>
        <v>4120778</v>
      </c>
      <c r="B346" s="15">
        <v>140640252</v>
      </c>
      <c r="C346" s="15">
        <v>290220788</v>
      </c>
      <c r="D346" s="16">
        <v>412077854</v>
      </c>
      <c r="E346" s="16" t="s">
        <v>7428</v>
      </c>
      <c r="F346" s="20" t="s">
        <v>7143</v>
      </c>
      <c r="G346" s="17" t="s">
        <v>7407</v>
      </c>
    </row>
    <row r="347" spans="1:7" x14ac:dyDescent="0.25">
      <c r="A347">
        <f t="shared" si="5"/>
        <v>4120627</v>
      </c>
      <c r="B347" s="15">
        <v>140640252</v>
      </c>
      <c r="C347" s="15">
        <v>290220794</v>
      </c>
      <c r="D347" s="16">
        <v>412062754</v>
      </c>
      <c r="E347" s="16" t="s">
        <v>7428</v>
      </c>
      <c r="F347" s="20" t="s">
        <v>7107</v>
      </c>
      <c r="G347" s="17" t="s">
        <v>7401</v>
      </c>
    </row>
    <row r="348" spans="1:7" x14ac:dyDescent="0.25">
      <c r="A348">
        <f t="shared" si="5"/>
        <v>4120220</v>
      </c>
      <c r="B348" s="15">
        <v>140640252</v>
      </c>
      <c r="C348" s="15">
        <v>290220799</v>
      </c>
      <c r="D348" s="16">
        <v>412022054</v>
      </c>
      <c r="E348" s="16" t="s">
        <v>7428</v>
      </c>
      <c r="F348" s="20" t="s">
        <v>7144</v>
      </c>
      <c r="G348" s="17" t="s">
        <v>7406</v>
      </c>
    </row>
    <row r="349" spans="1:7" x14ac:dyDescent="0.25">
      <c r="A349">
        <f t="shared" si="5"/>
        <v>4120627</v>
      </c>
      <c r="B349" s="15">
        <v>140640252</v>
      </c>
      <c r="C349" s="15">
        <v>290220795</v>
      </c>
      <c r="D349" s="16">
        <v>412062756</v>
      </c>
      <c r="E349" s="16" t="s">
        <v>7428</v>
      </c>
      <c r="F349" s="20" t="s">
        <v>7175</v>
      </c>
      <c r="G349" s="17" t="s">
        <v>7401</v>
      </c>
    </row>
    <row r="350" spans="1:7" x14ac:dyDescent="0.25">
      <c r="A350">
        <f t="shared" si="5"/>
        <v>4120335</v>
      </c>
      <c r="B350" s="15">
        <v>140640252</v>
      </c>
      <c r="C350" s="15">
        <v>290220798</v>
      </c>
      <c r="D350" s="16">
        <v>412033556</v>
      </c>
      <c r="E350" s="16" t="s">
        <v>7428</v>
      </c>
      <c r="F350" s="20" t="s">
        <v>7174</v>
      </c>
      <c r="G350" s="17" t="s">
        <v>7402</v>
      </c>
    </row>
    <row r="351" spans="1:7" x14ac:dyDescent="0.25">
      <c r="A351">
        <f t="shared" si="5"/>
        <v>4120220</v>
      </c>
      <c r="B351" s="15">
        <v>140640252</v>
      </c>
      <c r="C351" s="15">
        <v>290220802</v>
      </c>
      <c r="D351" s="16">
        <v>412022056</v>
      </c>
      <c r="E351" s="16" t="s">
        <v>7428</v>
      </c>
      <c r="F351" s="20" t="s">
        <v>7145</v>
      </c>
      <c r="G351" s="17" t="s">
        <v>7406</v>
      </c>
    </row>
    <row r="352" spans="1:7" x14ac:dyDescent="0.25">
      <c r="A352">
        <f t="shared" si="5"/>
        <v>4130151</v>
      </c>
      <c r="B352" s="15">
        <v>140640252</v>
      </c>
      <c r="C352" s="15">
        <v>290220811</v>
      </c>
      <c r="D352" s="16">
        <v>413015154</v>
      </c>
      <c r="E352" s="16" t="s">
        <v>7428</v>
      </c>
      <c r="F352" s="20" t="s">
        <v>7274</v>
      </c>
      <c r="G352" s="17" t="s">
        <v>7405</v>
      </c>
    </row>
    <row r="353" spans="1:7" x14ac:dyDescent="0.25">
      <c r="A353">
        <f t="shared" si="5"/>
        <v>4120569</v>
      </c>
      <c r="B353" s="15">
        <v>140640252</v>
      </c>
      <c r="C353" s="15">
        <v>290220807</v>
      </c>
      <c r="D353" s="16">
        <v>412056956</v>
      </c>
      <c r="E353" s="16" t="s">
        <v>7428</v>
      </c>
      <c r="F353" s="20" t="s">
        <v>7148</v>
      </c>
      <c r="G353" s="17" t="s">
        <v>7410</v>
      </c>
    </row>
    <row r="354" spans="1:7" x14ac:dyDescent="0.25">
      <c r="A354">
        <f t="shared" si="5"/>
        <v>4130151</v>
      </c>
      <c r="B354" s="15">
        <v>140640252</v>
      </c>
      <c r="C354" s="15">
        <v>290220808</v>
      </c>
      <c r="D354" s="16">
        <v>413015152</v>
      </c>
      <c r="E354" s="16" t="s">
        <v>7428</v>
      </c>
      <c r="F354" s="20" t="s">
        <v>7273</v>
      </c>
      <c r="G354" s="17" t="s">
        <v>7405</v>
      </c>
    </row>
    <row r="355" spans="1:7" x14ac:dyDescent="0.25">
      <c r="A355">
        <f t="shared" si="5"/>
        <v>4120569</v>
      </c>
      <c r="B355" s="15">
        <v>140640252</v>
      </c>
      <c r="C355" s="15">
        <v>290220803</v>
      </c>
      <c r="D355" s="16">
        <v>412056952</v>
      </c>
      <c r="E355" s="16" t="s">
        <v>7428</v>
      </c>
      <c r="F355" s="20" t="s">
        <v>7146</v>
      </c>
      <c r="G355" s="17" t="s">
        <v>7410</v>
      </c>
    </row>
    <row r="356" spans="1:7" x14ac:dyDescent="0.25">
      <c r="A356">
        <f t="shared" si="5"/>
        <v>4120044</v>
      </c>
      <c r="B356" s="15">
        <v>140640252</v>
      </c>
      <c r="C356" s="15">
        <v>290220813</v>
      </c>
      <c r="D356" s="16">
        <v>412004452</v>
      </c>
      <c r="E356" s="16" t="s">
        <v>7428</v>
      </c>
      <c r="F356" s="20" t="s">
        <v>7429</v>
      </c>
      <c r="G356" s="17" t="s">
        <v>7409</v>
      </c>
    </row>
    <row r="357" spans="1:7" x14ac:dyDescent="0.25">
      <c r="A357">
        <f t="shared" si="5"/>
        <v>4120044</v>
      </c>
      <c r="B357" s="15">
        <v>140640252</v>
      </c>
      <c r="C357" s="15">
        <v>290220816</v>
      </c>
      <c r="D357" s="16">
        <v>412004456</v>
      </c>
      <c r="E357" s="16" t="s">
        <v>7428</v>
      </c>
      <c r="F357" s="20" t="s">
        <v>7430</v>
      </c>
      <c r="G357" s="17" t="s">
        <v>7409</v>
      </c>
    </row>
    <row r="358" spans="1:7" x14ac:dyDescent="0.25">
      <c r="A358">
        <f t="shared" si="5"/>
        <v>4120244</v>
      </c>
      <c r="B358" s="15">
        <v>140640252</v>
      </c>
      <c r="C358" s="15">
        <v>290220820</v>
      </c>
      <c r="D358" s="16">
        <v>412024454</v>
      </c>
      <c r="E358" s="16" t="s">
        <v>7428</v>
      </c>
      <c r="F358" s="20" t="s">
        <v>7431</v>
      </c>
      <c r="G358" s="17" t="s">
        <v>7404</v>
      </c>
    </row>
    <row r="359" spans="1:7" x14ac:dyDescent="0.25">
      <c r="A359">
        <f t="shared" si="5"/>
        <v>4120244</v>
      </c>
      <c r="B359" s="15">
        <v>140640252</v>
      </c>
      <c r="C359" s="15">
        <v>290220821</v>
      </c>
      <c r="D359" s="16">
        <v>412024456</v>
      </c>
      <c r="E359" s="16" t="s">
        <v>7428</v>
      </c>
      <c r="F359" s="20" t="s">
        <v>7432</v>
      </c>
      <c r="G359" s="17" t="s">
        <v>7404</v>
      </c>
    </row>
    <row r="360" spans="1:7" x14ac:dyDescent="0.25">
      <c r="A360">
        <f t="shared" si="5"/>
        <v>4120044</v>
      </c>
      <c r="B360" s="15">
        <v>140640252</v>
      </c>
      <c r="C360" s="15">
        <v>290220814</v>
      </c>
      <c r="D360" s="16">
        <v>412004454</v>
      </c>
      <c r="E360" s="16" t="s">
        <v>7428</v>
      </c>
      <c r="F360" s="20" t="s">
        <v>7433</v>
      </c>
      <c r="G360" s="17" t="s">
        <v>7409</v>
      </c>
    </row>
    <row r="361" spans="1:7" x14ac:dyDescent="0.25">
      <c r="A361">
        <f t="shared" si="5"/>
        <v>4120244</v>
      </c>
      <c r="B361" s="15">
        <v>140640252</v>
      </c>
      <c r="C361" s="15">
        <v>290220817</v>
      </c>
      <c r="D361" s="16">
        <v>412024452</v>
      </c>
      <c r="E361" s="16" t="s">
        <v>7428</v>
      </c>
      <c r="F361" s="20" t="s">
        <v>7434</v>
      </c>
      <c r="G361" s="17" t="s">
        <v>7404</v>
      </c>
    </row>
    <row r="362" spans="1:7" x14ac:dyDescent="0.25">
      <c r="A362">
        <f t="shared" si="5"/>
        <v>4130151</v>
      </c>
      <c r="B362" s="15">
        <v>140640252</v>
      </c>
      <c r="C362" s="15">
        <v>290220812</v>
      </c>
      <c r="D362" s="16">
        <v>413015156</v>
      </c>
      <c r="E362" s="16" t="s">
        <v>7428</v>
      </c>
      <c r="F362" s="20" t="s">
        <v>7435</v>
      </c>
      <c r="G362" s="17" t="s">
        <v>7405</v>
      </c>
    </row>
    <row r="363" spans="1:7" x14ac:dyDescent="0.25">
      <c r="A363">
        <f t="shared" si="5"/>
        <v>4120569</v>
      </c>
      <c r="B363" s="15">
        <v>140640252</v>
      </c>
      <c r="C363" s="15">
        <v>290220805</v>
      </c>
      <c r="D363" s="16">
        <v>412056954</v>
      </c>
      <c r="E363" s="16" t="s">
        <v>7428</v>
      </c>
      <c r="F363" s="20" t="s">
        <v>7147</v>
      </c>
      <c r="G363" s="17" t="s">
        <v>7410</v>
      </c>
    </row>
    <row r="364" spans="1:7" x14ac:dyDescent="0.25">
      <c r="A364">
        <f t="shared" si="5"/>
        <v>4120220</v>
      </c>
      <c r="B364" s="15">
        <v>140640252</v>
      </c>
      <c r="C364" s="15">
        <v>290220783</v>
      </c>
      <c r="D364" s="16">
        <v>412022052</v>
      </c>
      <c r="E364" s="16" t="s">
        <v>7428</v>
      </c>
      <c r="F364" s="20" t="s">
        <v>7141</v>
      </c>
      <c r="G364" s="17" t="s">
        <v>7406</v>
      </c>
    </row>
    <row r="365" spans="1:7" x14ac:dyDescent="0.25">
      <c r="A365">
        <f t="shared" si="5"/>
        <v>4120545</v>
      </c>
      <c r="B365" s="15">
        <v>140640240</v>
      </c>
      <c r="C365" s="15">
        <v>290220676</v>
      </c>
      <c r="D365" s="16">
        <v>412054562</v>
      </c>
      <c r="E365" s="16" t="s">
        <v>7436</v>
      </c>
      <c r="F365" s="20" t="s">
        <v>7437</v>
      </c>
      <c r="G365" s="17" t="s">
        <v>7407</v>
      </c>
    </row>
    <row r="366" spans="1:7" x14ac:dyDescent="0.25">
      <c r="A366">
        <f t="shared" si="5"/>
        <v>4120545</v>
      </c>
      <c r="B366" s="15">
        <v>140640240</v>
      </c>
      <c r="C366" s="15">
        <v>290220686</v>
      </c>
      <c r="D366" s="16">
        <v>412054560</v>
      </c>
      <c r="E366" s="16" t="s">
        <v>7436</v>
      </c>
      <c r="F366" s="20" t="s">
        <v>7438</v>
      </c>
      <c r="G366" s="17" t="s">
        <v>7407</v>
      </c>
    </row>
    <row r="367" spans="1:7" x14ac:dyDescent="0.25">
      <c r="A367">
        <f t="shared" si="5"/>
        <v>4120545</v>
      </c>
      <c r="B367" s="15">
        <v>140640240</v>
      </c>
      <c r="C367" s="15">
        <v>290220681</v>
      </c>
      <c r="D367" s="16">
        <v>412054558</v>
      </c>
      <c r="E367" s="16" t="s">
        <v>7436</v>
      </c>
      <c r="F367" s="20" t="s">
        <v>7439</v>
      </c>
      <c r="G367" s="17" t="s">
        <v>7407</v>
      </c>
    </row>
    <row r="368" spans="1:7" x14ac:dyDescent="0.25">
      <c r="A368">
        <f t="shared" si="5"/>
        <v>4120628</v>
      </c>
      <c r="B368" s="15">
        <v>140640240</v>
      </c>
      <c r="C368" s="15">
        <v>290220691</v>
      </c>
      <c r="D368" s="16">
        <v>412062858</v>
      </c>
      <c r="E368" s="16" t="s">
        <v>7436</v>
      </c>
      <c r="F368" s="20" t="s">
        <v>7252</v>
      </c>
      <c r="G368" s="17" t="s">
        <v>7401</v>
      </c>
    </row>
    <row r="369" spans="1:7" x14ac:dyDescent="0.25">
      <c r="A369">
        <f t="shared" si="5"/>
        <v>4120221</v>
      </c>
      <c r="B369" s="15">
        <v>140640240</v>
      </c>
      <c r="C369" s="15">
        <v>290220710</v>
      </c>
      <c r="D369" s="16">
        <v>412022158</v>
      </c>
      <c r="E369" s="16" t="s">
        <v>7436</v>
      </c>
      <c r="F369" s="20" t="s">
        <v>7440</v>
      </c>
      <c r="G369" s="17" t="s">
        <v>7406</v>
      </c>
    </row>
    <row r="370" spans="1:7" x14ac:dyDescent="0.25">
      <c r="A370">
        <f t="shared" si="5"/>
        <v>4120628</v>
      </c>
      <c r="B370" s="15">
        <v>140640240</v>
      </c>
      <c r="C370" s="15">
        <v>290220697</v>
      </c>
      <c r="D370" s="16">
        <v>412062860</v>
      </c>
      <c r="E370" s="16" t="s">
        <v>7436</v>
      </c>
      <c r="F370" s="20" t="s">
        <v>7253</v>
      </c>
      <c r="G370" s="17" t="s">
        <v>7401</v>
      </c>
    </row>
    <row r="371" spans="1:7" x14ac:dyDescent="0.25">
      <c r="A371">
        <f t="shared" si="5"/>
        <v>4120221</v>
      </c>
      <c r="B371" s="15">
        <v>140640240</v>
      </c>
      <c r="C371" s="15">
        <v>290220714</v>
      </c>
      <c r="D371" s="16">
        <v>412022160</v>
      </c>
      <c r="E371" s="16" t="s">
        <v>7436</v>
      </c>
      <c r="F371" s="20" t="s">
        <v>7441</v>
      </c>
      <c r="G371" s="17" t="s">
        <v>7406</v>
      </c>
    </row>
    <row r="372" spans="1:7" x14ac:dyDescent="0.25">
      <c r="A372">
        <f t="shared" si="5"/>
        <v>4120045</v>
      </c>
      <c r="B372" s="15">
        <v>140640240</v>
      </c>
      <c r="C372" s="15">
        <v>290220735</v>
      </c>
      <c r="D372" s="16">
        <v>412004560</v>
      </c>
      <c r="E372" s="16" t="s">
        <v>7436</v>
      </c>
      <c r="F372" s="20" t="s">
        <v>7442</v>
      </c>
      <c r="G372" s="17" t="s">
        <v>7409</v>
      </c>
    </row>
    <row r="373" spans="1:7" x14ac:dyDescent="0.25">
      <c r="A373">
        <f t="shared" si="5"/>
        <v>4120045</v>
      </c>
      <c r="B373" s="15">
        <v>140640240</v>
      </c>
      <c r="C373" s="15">
        <v>290220753</v>
      </c>
      <c r="D373" s="16">
        <v>412004562</v>
      </c>
      <c r="E373" s="16" t="s">
        <v>7436</v>
      </c>
      <c r="F373" s="20" t="s">
        <v>7443</v>
      </c>
      <c r="G373" s="17" t="s">
        <v>7409</v>
      </c>
    </row>
    <row r="374" spans="1:7" x14ac:dyDescent="0.25">
      <c r="A374">
        <f t="shared" si="5"/>
        <v>4120628</v>
      </c>
      <c r="B374" s="15">
        <v>140640240</v>
      </c>
      <c r="C374" s="15">
        <v>290220705</v>
      </c>
      <c r="D374" s="16">
        <v>412062862</v>
      </c>
      <c r="E374" s="16" t="s">
        <v>7436</v>
      </c>
      <c r="F374" s="20" t="s">
        <v>7256</v>
      </c>
      <c r="G374" s="17" t="s">
        <v>7401</v>
      </c>
    </row>
    <row r="375" spans="1:7" x14ac:dyDescent="0.25">
      <c r="A375">
        <f t="shared" si="5"/>
        <v>4120221</v>
      </c>
      <c r="B375" s="15">
        <v>140640240</v>
      </c>
      <c r="C375" s="15">
        <v>290220720</v>
      </c>
      <c r="D375" s="16">
        <v>412022162</v>
      </c>
      <c r="E375" s="16" t="s">
        <v>7436</v>
      </c>
      <c r="F375" s="20" t="s">
        <v>7444</v>
      </c>
      <c r="G375" s="17" t="s">
        <v>7406</v>
      </c>
    </row>
    <row r="376" spans="1:7" x14ac:dyDescent="0.25">
      <c r="A376">
        <f t="shared" si="5"/>
        <v>4120045</v>
      </c>
      <c r="B376" s="15">
        <v>140640240</v>
      </c>
      <c r="C376" s="15">
        <v>290220725</v>
      </c>
      <c r="D376" s="16">
        <v>412004558</v>
      </c>
      <c r="E376" s="16" t="s">
        <v>7436</v>
      </c>
      <c r="F376" s="20" t="s">
        <v>7445</v>
      </c>
      <c r="G376" s="17" t="s">
        <v>7409</v>
      </c>
    </row>
    <row r="377" spans="1:7" x14ac:dyDescent="0.25">
      <c r="A377">
        <f t="shared" si="5"/>
        <v>4120009</v>
      </c>
      <c r="B377" s="15">
        <v>140640239</v>
      </c>
      <c r="C377" s="15">
        <v>290220679</v>
      </c>
      <c r="D377" s="16">
        <v>412000940</v>
      </c>
      <c r="E377" s="16" t="s">
        <v>7446</v>
      </c>
      <c r="F377" s="20" t="s">
        <v>7063</v>
      </c>
      <c r="G377" s="17" t="s">
        <v>7447</v>
      </c>
    </row>
    <row r="378" spans="1:7" x14ac:dyDescent="0.25">
      <c r="A378">
        <f t="shared" si="5"/>
        <v>4120058</v>
      </c>
      <c r="B378" s="15">
        <v>140640239</v>
      </c>
      <c r="C378" s="15">
        <v>290220688</v>
      </c>
      <c r="D378" s="16">
        <v>412005840</v>
      </c>
      <c r="E378" s="16" t="s">
        <v>7446</v>
      </c>
      <c r="F378" s="20" t="s">
        <v>7171</v>
      </c>
      <c r="G378" s="17" t="s">
        <v>7448</v>
      </c>
    </row>
    <row r="379" spans="1:7" x14ac:dyDescent="0.25">
      <c r="A379">
        <f t="shared" si="5"/>
        <v>4120009</v>
      </c>
      <c r="B379" s="15">
        <v>140640239</v>
      </c>
      <c r="C379" s="15">
        <v>290220675</v>
      </c>
      <c r="D379" s="16">
        <v>412000936</v>
      </c>
      <c r="E379" s="16" t="s">
        <v>7446</v>
      </c>
      <c r="F379" s="20" t="s">
        <v>7060</v>
      </c>
      <c r="G379" s="17" t="s">
        <v>7447</v>
      </c>
    </row>
    <row r="380" spans="1:7" x14ac:dyDescent="0.25">
      <c r="A380">
        <f t="shared" si="5"/>
        <v>4120950</v>
      </c>
      <c r="B380" s="15">
        <v>140640239</v>
      </c>
      <c r="C380" s="15">
        <v>290220693</v>
      </c>
      <c r="D380" s="16">
        <v>412095034</v>
      </c>
      <c r="E380" s="16" t="s">
        <v>7446</v>
      </c>
      <c r="F380" s="20" t="s">
        <v>7449</v>
      </c>
      <c r="G380" s="17" t="s">
        <v>7447</v>
      </c>
    </row>
    <row r="381" spans="1:7" x14ac:dyDescent="0.25">
      <c r="A381">
        <f t="shared" si="5"/>
        <v>4120770</v>
      </c>
      <c r="B381" s="15">
        <v>140640239</v>
      </c>
      <c r="C381" s="15">
        <v>290220683</v>
      </c>
      <c r="D381" s="16">
        <v>412077040</v>
      </c>
      <c r="E381" s="16" t="s">
        <v>7446</v>
      </c>
      <c r="F381" s="20" t="s">
        <v>7450</v>
      </c>
      <c r="G381" s="17" t="s">
        <v>7451</v>
      </c>
    </row>
    <row r="382" spans="1:7" x14ac:dyDescent="0.25">
      <c r="A382">
        <f t="shared" si="5"/>
        <v>4120850</v>
      </c>
      <c r="B382" s="15">
        <v>140640239</v>
      </c>
      <c r="C382" s="15">
        <v>290220716</v>
      </c>
      <c r="D382" s="16">
        <v>412085042</v>
      </c>
      <c r="E382" s="16" t="s">
        <v>7446</v>
      </c>
      <c r="F382" s="20" t="s">
        <v>7133</v>
      </c>
      <c r="G382" s="17" t="s">
        <v>7448</v>
      </c>
    </row>
    <row r="383" spans="1:7" x14ac:dyDescent="0.25">
      <c r="A383">
        <f t="shared" si="5"/>
        <v>4120236</v>
      </c>
      <c r="B383" s="15">
        <v>140640239</v>
      </c>
      <c r="C383" s="15">
        <v>290220704</v>
      </c>
      <c r="D383" s="16">
        <v>412023636</v>
      </c>
      <c r="E383" s="16" t="s">
        <v>7446</v>
      </c>
      <c r="F383" s="20" t="s">
        <v>7411</v>
      </c>
      <c r="G383" s="17" t="s">
        <v>7452</v>
      </c>
    </row>
    <row r="384" spans="1:7" x14ac:dyDescent="0.25">
      <c r="A384">
        <f t="shared" si="5"/>
        <v>4120770</v>
      </c>
      <c r="B384" s="15">
        <v>140640239</v>
      </c>
      <c r="C384" s="15">
        <v>290220709</v>
      </c>
      <c r="D384" s="16">
        <v>412077036</v>
      </c>
      <c r="E384" s="16" t="s">
        <v>7446</v>
      </c>
      <c r="F384" s="20" t="s">
        <v>7453</v>
      </c>
      <c r="G384" s="17" t="s">
        <v>7451</v>
      </c>
    </row>
    <row r="385" spans="1:7" x14ac:dyDescent="0.25">
      <c r="A385">
        <f t="shared" si="5"/>
        <v>4130771</v>
      </c>
      <c r="B385" s="15">
        <v>140640239</v>
      </c>
      <c r="C385" s="15">
        <v>290220700</v>
      </c>
      <c r="D385" s="16">
        <v>413077136</v>
      </c>
      <c r="E385" s="16" t="s">
        <v>7446</v>
      </c>
      <c r="F385" s="20" t="s">
        <v>7078</v>
      </c>
      <c r="G385" s="17" t="s">
        <v>7454</v>
      </c>
    </row>
    <row r="386" spans="1:7" x14ac:dyDescent="0.25">
      <c r="A386">
        <f t="shared" si="5"/>
        <v>4120009</v>
      </c>
      <c r="B386" s="15">
        <v>140640239</v>
      </c>
      <c r="C386" s="15">
        <v>290220712</v>
      </c>
      <c r="D386" s="16">
        <v>412000938</v>
      </c>
      <c r="E386" s="16" t="s">
        <v>7446</v>
      </c>
      <c r="F386" s="20" t="s">
        <v>7067</v>
      </c>
      <c r="G386" s="17" t="s">
        <v>7447</v>
      </c>
    </row>
    <row r="387" spans="1:7" x14ac:dyDescent="0.25">
      <c r="A387">
        <f t="shared" ref="A387:A450" si="6">LEFT(D387,7)*1</f>
        <v>4120066</v>
      </c>
      <c r="B387" s="15">
        <v>140640239</v>
      </c>
      <c r="C387" s="15">
        <v>290220722</v>
      </c>
      <c r="D387" s="16">
        <v>412006634</v>
      </c>
      <c r="E387" s="16" t="s">
        <v>7446</v>
      </c>
      <c r="F387" s="20" t="s">
        <v>7121</v>
      </c>
      <c r="G387" s="17" t="s">
        <v>7455</v>
      </c>
    </row>
    <row r="388" spans="1:7" x14ac:dyDescent="0.25">
      <c r="A388">
        <f t="shared" si="6"/>
        <v>4120003</v>
      </c>
      <c r="B388" s="15">
        <v>140640239</v>
      </c>
      <c r="C388" s="15">
        <v>290220698</v>
      </c>
      <c r="D388" s="16">
        <v>412000342</v>
      </c>
      <c r="E388" s="16" t="s">
        <v>7446</v>
      </c>
      <c r="F388" s="20" t="s">
        <v>7408</v>
      </c>
      <c r="G388" s="17" t="s">
        <v>7451</v>
      </c>
    </row>
    <row r="389" spans="1:7" x14ac:dyDescent="0.25">
      <c r="A389">
        <f t="shared" si="6"/>
        <v>4120853</v>
      </c>
      <c r="B389" s="15">
        <v>140640239</v>
      </c>
      <c r="C389" s="15">
        <v>290220706</v>
      </c>
      <c r="D389" s="16">
        <v>412085344</v>
      </c>
      <c r="E389" s="16" t="s">
        <v>7446</v>
      </c>
      <c r="F389" s="20" t="s">
        <v>7099</v>
      </c>
      <c r="G389" s="17" t="s">
        <v>7456</v>
      </c>
    </row>
    <row r="390" spans="1:7" x14ac:dyDescent="0.25">
      <c r="A390">
        <f t="shared" si="6"/>
        <v>4120062</v>
      </c>
      <c r="B390" s="15">
        <v>140640239</v>
      </c>
      <c r="C390" s="15">
        <v>290220752</v>
      </c>
      <c r="D390" s="16">
        <v>412006240</v>
      </c>
      <c r="E390" s="16" t="s">
        <v>7446</v>
      </c>
      <c r="F390" s="20" t="s">
        <v>7119</v>
      </c>
      <c r="G390" s="17" t="s">
        <v>7457</v>
      </c>
    </row>
    <row r="391" spans="1:7" x14ac:dyDescent="0.25">
      <c r="A391">
        <f t="shared" si="6"/>
        <v>4120066</v>
      </c>
      <c r="B391" s="15">
        <v>140640239</v>
      </c>
      <c r="C391" s="15">
        <v>290220724</v>
      </c>
      <c r="D391" s="16">
        <v>412006642</v>
      </c>
      <c r="E391" s="16" t="s">
        <v>7446</v>
      </c>
      <c r="F391" s="20" t="s">
        <v>7126</v>
      </c>
      <c r="G391" s="17" t="s">
        <v>7455</v>
      </c>
    </row>
    <row r="392" spans="1:7" x14ac:dyDescent="0.25">
      <c r="A392">
        <f t="shared" si="6"/>
        <v>4120270</v>
      </c>
      <c r="B392" s="15">
        <v>140640239</v>
      </c>
      <c r="C392" s="15">
        <v>290220756</v>
      </c>
      <c r="D392" s="16">
        <v>412027034</v>
      </c>
      <c r="E392" s="16" t="s">
        <v>7446</v>
      </c>
      <c r="F392" s="20" t="s">
        <v>7458</v>
      </c>
      <c r="G392" s="17" t="s">
        <v>7456</v>
      </c>
    </row>
    <row r="393" spans="1:7" x14ac:dyDescent="0.25">
      <c r="A393">
        <f t="shared" si="6"/>
        <v>4120770</v>
      </c>
      <c r="B393" s="15">
        <v>140640239</v>
      </c>
      <c r="C393" s="15">
        <v>290220730</v>
      </c>
      <c r="D393" s="16">
        <v>412077038</v>
      </c>
      <c r="E393" s="16" t="s">
        <v>7446</v>
      </c>
      <c r="F393" s="20" t="s">
        <v>7459</v>
      </c>
      <c r="G393" s="17" t="s">
        <v>7451</v>
      </c>
    </row>
    <row r="394" spans="1:7" x14ac:dyDescent="0.25">
      <c r="A394">
        <f t="shared" si="6"/>
        <v>4120950</v>
      </c>
      <c r="B394" s="15">
        <v>140640239</v>
      </c>
      <c r="C394" s="15">
        <v>290220745</v>
      </c>
      <c r="D394" s="16">
        <v>412095044</v>
      </c>
      <c r="E394" s="16" t="s">
        <v>7446</v>
      </c>
      <c r="F394" s="20" t="s">
        <v>7460</v>
      </c>
      <c r="G394" s="17" t="s">
        <v>7447</v>
      </c>
    </row>
    <row r="395" spans="1:7" x14ac:dyDescent="0.25">
      <c r="A395">
        <f t="shared" si="6"/>
        <v>4120850</v>
      </c>
      <c r="B395" s="15">
        <v>140640239</v>
      </c>
      <c r="C395" s="15">
        <v>290220732</v>
      </c>
      <c r="D395" s="16">
        <v>412085038</v>
      </c>
      <c r="E395" s="16" t="s">
        <v>7446</v>
      </c>
      <c r="F395" s="20" t="s">
        <v>7136</v>
      </c>
      <c r="G395" s="17" t="s">
        <v>7448</v>
      </c>
    </row>
    <row r="396" spans="1:7" x14ac:dyDescent="0.25">
      <c r="A396">
        <f t="shared" si="6"/>
        <v>4130771</v>
      </c>
      <c r="B396" s="15">
        <v>140640239</v>
      </c>
      <c r="C396" s="15">
        <v>290220780</v>
      </c>
      <c r="D396" s="16">
        <v>413077134</v>
      </c>
      <c r="E396" s="16" t="s">
        <v>7446</v>
      </c>
      <c r="F396" s="20" t="s">
        <v>7139</v>
      </c>
      <c r="G396" s="17" t="s">
        <v>7454</v>
      </c>
    </row>
    <row r="397" spans="1:7" x14ac:dyDescent="0.25">
      <c r="A397">
        <f t="shared" si="6"/>
        <v>4120236</v>
      </c>
      <c r="B397" s="15">
        <v>140640239</v>
      </c>
      <c r="C397" s="15">
        <v>290220769</v>
      </c>
      <c r="D397" s="16">
        <v>412023640</v>
      </c>
      <c r="E397" s="16" t="s">
        <v>7446</v>
      </c>
      <c r="F397" s="20" t="s">
        <v>7416</v>
      </c>
      <c r="G397" s="17" t="s">
        <v>7452</v>
      </c>
    </row>
    <row r="398" spans="1:7" x14ac:dyDescent="0.25">
      <c r="A398">
        <f t="shared" si="6"/>
        <v>4120770</v>
      </c>
      <c r="B398" s="15">
        <v>140640239</v>
      </c>
      <c r="C398" s="15">
        <v>290220766</v>
      </c>
      <c r="D398" s="16">
        <v>412077034</v>
      </c>
      <c r="E398" s="16" t="s">
        <v>7446</v>
      </c>
      <c r="F398" s="20" t="s">
        <v>7461</v>
      </c>
      <c r="G398" s="17" t="s">
        <v>7451</v>
      </c>
    </row>
    <row r="399" spans="1:7" x14ac:dyDescent="0.25">
      <c r="A399">
        <f t="shared" si="6"/>
        <v>4120062</v>
      </c>
      <c r="B399" s="15">
        <v>140640239</v>
      </c>
      <c r="C399" s="15">
        <v>290220787</v>
      </c>
      <c r="D399" s="16">
        <v>412006242</v>
      </c>
      <c r="E399" s="16" t="s">
        <v>7446</v>
      </c>
      <c r="F399" s="20" t="s">
        <v>7120</v>
      </c>
      <c r="G399" s="17" t="s">
        <v>7457</v>
      </c>
    </row>
    <row r="400" spans="1:7" x14ac:dyDescent="0.25">
      <c r="A400">
        <f t="shared" si="6"/>
        <v>4120003</v>
      </c>
      <c r="B400" s="15">
        <v>140640239</v>
      </c>
      <c r="C400" s="15">
        <v>290220810</v>
      </c>
      <c r="D400" s="16">
        <v>412000334</v>
      </c>
      <c r="E400" s="16" t="s">
        <v>7446</v>
      </c>
      <c r="F400" s="20" t="s">
        <v>7414</v>
      </c>
      <c r="G400" s="17" t="s">
        <v>7451</v>
      </c>
    </row>
    <row r="401" spans="1:7" x14ac:dyDescent="0.25">
      <c r="A401">
        <f t="shared" si="6"/>
        <v>4120062</v>
      </c>
      <c r="B401" s="15">
        <v>140640239</v>
      </c>
      <c r="C401" s="15">
        <v>290220829</v>
      </c>
      <c r="D401" s="16">
        <v>412006244</v>
      </c>
      <c r="E401" s="16" t="s">
        <v>7446</v>
      </c>
      <c r="F401" s="20" t="s">
        <v>7118</v>
      </c>
      <c r="G401" s="17" t="s">
        <v>7457</v>
      </c>
    </row>
    <row r="402" spans="1:7" x14ac:dyDescent="0.25">
      <c r="A402">
        <f t="shared" si="6"/>
        <v>4120066</v>
      </c>
      <c r="B402" s="15">
        <v>140640239</v>
      </c>
      <c r="C402" s="15">
        <v>290220859</v>
      </c>
      <c r="D402" s="16">
        <v>412006636</v>
      </c>
      <c r="E402" s="16" t="s">
        <v>7446</v>
      </c>
      <c r="F402" s="20" t="s">
        <v>7125</v>
      </c>
      <c r="G402" s="17" t="s">
        <v>7455</v>
      </c>
    </row>
    <row r="403" spans="1:7" x14ac:dyDescent="0.25">
      <c r="A403">
        <f t="shared" si="6"/>
        <v>4120003</v>
      </c>
      <c r="B403" s="15">
        <v>140640239</v>
      </c>
      <c r="C403" s="15">
        <v>290220862</v>
      </c>
      <c r="D403" s="16">
        <v>412000344</v>
      </c>
      <c r="E403" s="16" t="s">
        <v>7446</v>
      </c>
      <c r="F403" s="20" t="s">
        <v>7420</v>
      </c>
      <c r="G403" s="17" t="s">
        <v>7451</v>
      </c>
    </row>
    <row r="404" spans="1:7" x14ac:dyDescent="0.25">
      <c r="A404">
        <f t="shared" si="6"/>
        <v>4120236</v>
      </c>
      <c r="B404" s="15">
        <v>140640239</v>
      </c>
      <c r="C404" s="15">
        <v>290220857</v>
      </c>
      <c r="D404" s="16">
        <v>412023634</v>
      </c>
      <c r="E404" s="16" t="s">
        <v>7446</v>
      </c>
      <c r="F404" s="20" t="s">
        <v>7413</v>
      </c>
      <c r="G404" s="17" t="s">
        <v>7452</v>
      </c>
    </row>
    <row r="405" spans="1:7" x14ac:dyDescent="0.25">
      <c r="A405">
        <f t="shared" si="6"/>
        <v>4120003</v>
      </c>
      <c r="B405" s="15">
        <v>140640239</v>
      </c>
      <c r="C405" s="15">
        <v>290220890</v>
      </c>
      <c r="D405" s="16">
        <v>412000338</v>
      </c>
      <c r="E405" s="16" t="s">
        <v>7446</v>
      </c>
      <c r="F405" s="20" t="s">
        <v>7415</v>
      </c>
      <c r="G405" s="17" t="s">
        <v>7451</v>
      </c>
    </row>
    <row r="406" spans="1:7" x14ac:dyDescent="0.25">
      <c r="A406">
        <f t="shared" si="6"/>
        <v>4120058</v>
      </c>
      <c r="B406" s="15">
        <v>140640239</v>
      </c>
      <c r="C406" s="15">
        <v>290220871</v>
      </c>
      <c r="D406" s="16">
        <v>412005842</v>
      </c>
      <c r="E406" s="16" t="s">
        <v>7446</v>
      </c>
      <c r="F406" s="20" t="s">
        <v>7172</v>
      </c>
      <c r="G406" s="17" t="s">
        <v>7448</v>
      </c>
    </row>
    <row r="407" spans="1:7" x14ac:dyDescent="0.25">
      <c r="A407">
        <f t="shared" si="6"/>
        <v>4120270</v>
      </c>
      <c r="B407" s="15">
        <v>140640239</v>
      </c>
      <c r="C407" s="15">
        <v>290220886</v>
      </c>
      <c r="D407" s="16">
        <v>412027044</v>
      </c>
      <c r="E407" s="16" t="s">
        <v>7446</v>
      </c>
      <c r="F407" s="20" t="s">
        <v>7462</v>
      </c>
      <c r="G407" s="17" t="s">
        <v>7456</v>
      </c>
    </row>
    <row r="408" spans="1:7" x14ac:dyDescent="0.25">
      <c r="A408">
        <f t="shared" si="6"/>
        <v>4120270</v>
      </c>
      <c r="B408" s="15">
        <v>140640239</v>
      </c>
      <c r="C408" s="15">
        <v>290220911</v>
      </c>
      <c r="D408" s="16">
        <v>412027040</v>
      </c>
      <c r="E408" s="16" t="s">
        <v>7446</v>
      </c>
      <c r="F408" s="20" t="s">
        <v>7463</v>
      </c>
      <c r="G408" s="17" t="s">
        <v>7456</v>
      </c>
    </row>
    <row r="409" spans="1:7" x14ac:dyDescent="0.25">
      <c r="A409">
        <f t="shared" si="6"/>
        <v>4130771</v>
      </c>
      <c r="B409" s="15">
        <v>140640239</v>
      </c>
      <c r="C409" s="15">
        <v>290220902</v>
      </c>
      <c r="D409" s="16">
        <v>413077142</v>
      </c>
      <c r="E409" s="16" t="s">
        <v>7446</v>
      </c>
      <c r="F409" s="20" t="s">
        <v>7089</v>
      </c>
      <c r="G409" s="17" t="s">
        <v>7454</v>
      </c>
    </row>
    <row r="410" spans="1:7" x14ac:dyDescent="0.25">
      <c r="A410">
        <f t="shared" si="6"/>
        <v>4120062</v>
      </c>
      <c r="B410" s="15">
        <v>140640239</v>
      </c>
      <c r="C410" s="15">
        <v>290220954</v>
      </c>
      <c r="D410" s="16">
        <v>412006234</v>
      </c>
      <c r="E410" s="16" t="s">
        <v>7446</v>
      </c>
      <c r="F410" s="20" t="s">
        <v>7116</v>
      </c>
      <c r="G410" s="17" t="s">
        <v>7457</v>
      </c>
    </row>
    <row r="411" spans="1:7" x14ac:dyDescent="0.25">
      <c r="A411">
        <f t="shared" si="6"/>
        <v>4120950</v>
      </c>
      <c r="B411" s="15">
        <v>140640239</v>
      </c>
      <c r="C411" s="15">
        <v>290220946</v>
      </c>
      <c r="D411" s="16">
        <v>412095036</v>
      </c>
      <c r="E411" s="16" t="s">
        <v>7446</v>
      </c>
      <c r="F411" s="20" t="s">
        <v>7464</v>
      </c>
      <c r="G411" s="17" t="s">
        <v>7447</v>
      </c>
    </row>
    <row r="412" spans="1:7" x14ac:dyDescent="0.25">
      <c r="A412">
        <f t="shared" si="6"/>
        <v>4120236</v>
      </c>
      <c r="B412" s="15">
        <v>140640239</v>
      </c>
      <c r="C412" s="15">
        <v>290220951</v>
      </c>
      <c r="D412" s="16">
        <v>412023638</v>
      </c>
      <c r="E412" s="16" t="s">
        <v>7446</v>
      </c>
      <c r="F412" s="20" t="s">
        <v>7418</v>
      </c>
      <c r="G412" s="17" t="s">
        <v>7452</v>
      </c>
    </row>
    <row r="413" spans="1:7" x14ac:dyDescent="0.25">
      <c r="A413">
        <f t="shared" si="6"/>
        <v>4120853</v>
      </c>
      <c r="B413" s="15">
        <v>140640239</v>
      </c>
      <c r="C413" s="15">
        <v>290220958</v>
      </c>
      <c r="D413" s="16">
        <v>412085342</v>
      </c>
      <c r="E413" s="16" t="s">
        <v>7446</v>
      </c>
      <c r="F413" s="20" t="s">
        <v>7098</v>
      </c>
      <c r="G413" s="17" t="s">
        <v>7456</v>
      </c>
    </row>
    <row r="414" spans="1:7" x14ac:dyDescent="0.25">
      <c r="A414">
        <f t="shared" si="6"/>
        <v>4120062</v>
      </c>
      <c r="B414" s="15">
        <v>140640239</v>
      </c>
      <c r="C414" s="15">
        <v>290220941</v>
      </c>
      <c r="D414" s="16">
        <v>412006238</v>
      </c>
      <c r="E414" s="16" t="s">
        <v>7446</v>
      </c>
      <c r="F414" s="20" t="s">
        <v>7115</v>
      </c>
      <c r="G414" s="17" t="s">
        <v>7457</v>
      </c>
    </row>
    <row r="415" spans="1:7" x14ac:dyDescent="0.25">
      <c r="A415">
        <f t="shared" si="6"/>
        <v>4120003</v>
      </c>
      <c r="B415" s="15">
        <v>140640239</v>
      </c>
      <c r="C415" s="15">
        <v>290220963</v>
      </c>
      <c r="D415" s="16">
        <v>412000336</v>
      </c>
      <c r="E415" s="16" t="s">
        <v>7446</v>
      </c>
      <c r="F415" s="20" t="s">
        <v>7417</v>
      </c>
      <c r="G415" s="17" t="s">
        <v>7451</v>
      </c>
    </row>
    <row r="416" spans="1:7" x14ac:dyDescent="0.25">
      <c r="A416">
        <f t="shared" si="6"/>
        <v>4120853</v>
      </c>
      <c r="B416" s="15">
        <v>140640239</v>
      </c>
      <c r="C416" s="15">
        <v>290220965</v>
      </c>
      <c r="D416" s="16">
        <v>412085336</v>
      </c>
      <c r="E416" s="16" t="s">
        <v>7446</v>
      </c>
      <c r="F416" s="20" t="s">
        <v>7095</v>
      </c>
      <c r="G416" s="17" t="s">
        <v>7456</v>
      </c>
    </row>
    <row r="417" spans="1:7" x14ac:dyDescent="0.25">
      <c r="A417">
        <f t="shared" si="6"/>
        <v>4120062</v>
      </c>
      <c r="B417" s="15">
        <v>140640239</v>
      </c>
      <c r="C417" s="15">
        <v>290220948</v>
      </c>
      <c r="D417" s="16">
        <v>412006236</v>
      </c>
      <c r="E417" s="16" t="s">
        <v>7446</v>
      </c>
      <c r="F417" s="20" t="s">
        <v>7117</v>
      </c>
      <c r="G417" s="17" t="s">
        <v>7457</v>
      </c>
    </row>
    <row r="418" spans="1:7" x14ac:dyDescent="0.25">
      <c r="A418">
        <f t="shared" si="6"/>
        <v>4120270</v>
      </c>
      <c r="B418" s="15">
        <v>140640239</v>
      </c>
      <c r="C418" s="15">
        <v>290220983</v>
      </c>
      <c r="D418" s="16">
        <v>412027042</v>
      </c>
      <c r="E418" s="16" t="s">
        <v>7446</v>
      </c>
      <c r="F418" s="20" t="s">
        <v>7465</v>
      </c>
      <c r="G418" s="17" t="s">
        <v>7456</v>
      </c>
    </row>
    <row r="419" spans="1:7" x14ac:dyDescent="0.25">
      <c r="A419">
        <f t="shared" si="6"/>
        <v>4120850</v>
      </c>
      <c r="B419" s="15">
        <v>140640239</v>
      </c>
      <c r="C419" s="15">
        <v>290220978</v>
      </c>
      <c r="D419" s="16">
        <v>412085044</v>
      </c>
      <c r="E419" s="16" t="s">
        <v>7446</v>
      </c>
      <c r="F419" s="20" t="s">
        <v>7137</v>
      </c>
      <c r="G419" s="17" t="s">
        <v>7448</v>
      </c>
    </row>
    <row r="420" spans="1:7" x14ac:dyDescent="0.25">
      <c r="A420">
        <f t="shared" si="6"/>
        <v>4120950</v>
      </c>
      <c r="B420" s="15">
        <v>140640239</v>
      </c>
      <c r="C420" s="15">
        <v>290220988</v>
      </c>
      <c r="D420" s="16">
        <v>412095040</v>
      </c>
      <c r="E420" s="16" t="s">
        <v>7446</v>
      </c>
      <c r="F420" s="20" t="s">
        <v>7466</v>
      </c>
      <c r="G420" s="17" t="s">
        <v>7447</v>
      </c>
    </row>
    <row r="421" spans="1:7" x14ac:dyDescent="0.25">
      <c r="A421">
        <f t="shared" si="6"/>
        <v>4120853</v>
      </c>
      <c r="B421" s="15">
        <v>140640239</v>
      </c>
      <c r="C421" s="15">
        <v>290220981</v>
      </c>
      <c r="D421" s="16">
        <v>412085334</v>
      </c>
      <c r="E421" s="16" t="s">
        <v>7446</v>
      </c>
      <c r="F421" s="20" t="s">
        <v>7094</v>
      </c>
      <c r="G421" s="17" t="s">
        <v>7456</v>
      </c>
    </row>
    <row r="422" spans="1:7" x14ac:dyDescent="0.25">
      <c r="A422">
        <f t="shared" si="6"/>
        <v>4120853</v>
      </c>
      <c r="B422" s="15">
        <v>140640239</v>
      </c>
      <c r="C422" s="15">
        <v>290220973</v>
      </c>
      <c r="D422" s="16">
        <v>412085338</v>
      </c>
      <c r="E422" s="16" t="s">
        <v>7446</v>
      </c>
      <c r="F422" s="20" t="s">
        <v>7096</v>
      </c>
      <c r="G422" s="17" t="s">
        <v>7456</v>
      </c>
    </row>
    <row r="423" spans="1:7" x14ac:dyDescent="0.25">
      <c r="A423">
        <f t="shared" si="6"/>
        <v>4120009</v>
      </c>
      <c r="B423" s="15">
        <v>140640239</v>
      </c>
      <c r="C423" s="15">
        <v>290220992</v>
      </c>
      <c r="D423" s="16">
        <v>412000944</v>
      </c>
      <c r="E423" s="16" t="s">
        <v>7446</v>
      </c>
      <c r="F423" s="20" t="s">
        <v>7068</v>
      </c>
      <c r="G423" s="17" t="s">
        <v>7447</v>
      </c>
    </row>
    <row r="424" spans="1:7" x14ac:dyDescent="0.25">
      <c r="A424">
        <f t="shared" si="6"/>
        <v>4120066</v>
      </c>
      <c r="B424" s="15">
        <v>140640239</v>
      </c>
      <c r="C424" s="15">
        <v>290220818</v>
      </c>
      <c r="D424" s="16">
        <v>412006640</v>
      </c>
      <c r="E424" s="16" t="s">
        <v>7446</v>
      </c>
      <c r="F424" s="20" t="s">
        <v>7122</v>
      </c>
      <c r="G424" s="17" t="s">
        <v>7455</v>
      </c>
    </row>
    <row r="425" spans="1:7" x14ac:dyDescent="0.25">
      <c r="A425">
        <f t="shared" si="6"/>
        <v>4120009</v>
      </c>
      <c r="B425" s="15">
        <v>140640239</v>
      </c>
      <c r="C425" s="15">
        <v>290220918</v>
      </c>
      <c r="D425" s="16">
        <v>412000934</v>
      </c>
      <c r="E425" s="16" t="s">
        <v>7446</v>
      </c>
      <c r="F425" s="20" t="s">
        <v>7105</v>
      </c>
      <c r="G425" s="17" t="s">
        <v>7447</v>
      </c>
    </row>
    <row r="426" spans="1:7" x14ac:dyDescent="0.25">
      <c r="A426">
        <f t="shared" si="6"/>
        <v>4120770</v>
      </c>
      <c r="B426" s="15">
        <v>140640239</v>
      </c>
      <c r="C426" s="15">
        <v>290220825</v>
      </c>
      <c r="D426" s="16">
        <v>412077044</v>
      </c>
      <c r="E426" s="16" t="s">
        <v>7446</v>
      </c>
      <c r="F426" s="20" t="s">
        <v>7467</v>
      </c>
      <c r="G426" s="17" t="s">
        <v>7451</v>
      </c>
    </row>
    <row r="427" spans="1:7" x14ac:dyDescent="0.25">
      <c r="A427">
        <f t="shared" si="6"/>
        <v>4120236</v>
      </c>
      <c r="B427" s="15">
        <v>140640239</v>
      </c>
      <c r="C427" s="15">
        <v>290220831</v>
      </c>
      <c r="D427" s="16">
        <v>412023642</v>
      </c>
      <c r="E427" s="16" t="s">
        <v>7446</v>
      </c>
      <c r="F427" s="20" t="s">
        <v>7403</v>
      </c>
      <c r="G427" s="17" t="s">
        <v>7452</v>
      </c>
    </row>
    <row r="428" spans="1:7" x14ac:dyDescent="0.25">
      <c r="A428">
        <f t="shared" si="6"/>
        <v>4120066</v>
      </c>
      <c r="B428" s="15">
        <v>140640239</v>
      </c>
      <c r="C428" s="15">
        <v>290220822</v>
      </c>
      <c r="D428" s="16">
        <v>412006644</v>
      </c>
      <c r="E428" s="16" t="s">
        <v>7446</v>
      </c>
      <c r="F428" s="20" t="s">
        <v>7123</v>
      </c>
      <c r="G428" s="17" t="s">
        <v>7455</v>
      </c>
    </row>
    <row r="429" spans="1:7" x14ac:dyDescent="0.25">
      <c r="A429">
        <f t="shared" si="6"/>
        <v>4120850</v>
      </c>
      <c r="B429" s="15">
        <v>140640239</v>
      </c>
      <c r="C429" s="15">
        <v>290220874</v>
      </c>
      <c r="D429" s="16">
        <v>412085036</v>
      </c>
      <c r="E429" s="16" t="s">
        <v>7446</v>
      </c>
      <c r="F429" s="20" t="s">
        <v>7138</v>
      </c>
      <c r="G429" s="17" t="s">
        <v>7448</v>
      </c>
    </row>
    <row r="430" spans="1:7" x14ac:dyDescent="0.25">
      <c r="A430">
        <f t="shared" si="6"/>
        <v>4120850</v>
      </c>
      <c r="B430" s="15">
        <v>140640239</v>
      </c>
      <c r="C430" s="15">
        <v>290220895</v>
      </c>
      <c r="D430" s="16">
        <v>412085040</v>
      </c>
      <c r="E430" s="16" t="s">
        <v>7446</v>
      </c>
      <c r="F430" s="20" t="s">
        <v>7134</v>
      </c>
      <c r="G430" s="17" t="s">
        <v>7448</v>
      </c>
    </row>
    <row r="431" spans="1:7" x14ac:dyDescent="0.25">
      <c r="A431">
        <f t="shared" si="6"/>
        <v>4130771</v>
      </c>
      <c r="B431" s="15">
        <v>140640239</v>
      </c>
      <c r="C431" s="15">
        <v>290220761</v>
      </c>
      <c r="D431" s="16">
        <v>413077138</v>
      </c>
      <c r="E431" s="16" t="s">
        <v>7446</v>
      </c>
      <c r="F431" s="20" t="s">
        <v>7080</v>
      </c>
      <c r="G431" s="17" t="s">
        <v>7454</v>
      </c>
    </row>
    <row r="432" spans="1:7" x14ac:dyDescent="0.25">
      <c r="A432">
        <f t="shared" si="6"/>
        <v>4120270</v>
      </c>
      <c r="B432" s="15">
        <v>140640239</v>
      </c>
      <c r="C432" s="15">
        <v>290220942</v>
      </c>
      <c r="D432" s="16">
        <v>412027038</v>
      </c>
      <c r="E432" s="16" t="s">
        <v>7446</v>
      </c>
      <c r="F432" s="20" t="s">
        <v>7468</v>
      </c>
      <c r="G432" s="17" t="s">
        <v>7456</v>
      </c>
    </row>
    <row r="433" spans="1:7" x14ac:dyDescent="0.25">
      <c r="A433">
        <f t="shared" si="6"/>
        <v>4120270</v>
      </c>
      <c r="B433" s="15">
        <v>140640239</v>
      </c>
      <c r="C433" s="15">
        <v>290220923</v>
      </c>
      <c r="D433" s="16">
        <v>412027036</v>
      </c>
      <c r="E433" s="16" t="s">
        <v>7446</v>
      </c>
      <c r="F433" s="20" t="s">
        <v>7469</v>
      </c>
      <c r="G433" s="17" t="s">
        <v>7456</v>
      </c>
    </row>
    <row r="434" spans="1:7" x14ac:dyDescent="0.25">
      <c r="A434">
        <f t="shared" si="6"/>
        <v>4120058</v>
      </c>
      <c r="B434" s="15">
        <v>140640239</v>
      </c>
      <c r="C434" s="15">
        <v>290220727</v>
      </c>
      <c r="D434" s="16">
        <v>412005836</v>
      </c>
      <c r="E434" s="16" t="s">
        <v>7446</v>
      </c>
      <c r="F434" s="20" t="s">
        <v>7170</v>
      </c>
      <c r="G434" s="17" t="s">
        <v>7448</v>
      </c>
    </row>
    <row r="435" spans="1:7" x14ac:dyDescent="0.25">
      <c r="A435">
        <f t="shared" si="6"/>
        <v>4120066</v>
      </c>
      <c r="B435" s="15">
        <v>140640239</v>
      </c>
      <c r="C435" s="15">
        <v>290220833</v>
      </c>
      <c r="D435" s="16">
        <v>412006638</v>
      </c>
      <c r="E435" s="16" t="s">
        <v>7446</v>
      </c>
      <c r="F435" s="20" t="s">
        <v>7124</v>
      </c>
      <c r="G435" s="17" t="s">
        <v>7455</v>
      </c>
    </row>
    <row r="436" spans="1:7" x14ac:dyDescent="0.25">
      <c r="A436">
        <f t="shared" si="6"/>
        <v>4120850</v>
      </c>
      <c r="B436" s="15">
        <v>140640239</v>
      </c>
      <c r="C436" s="15">
        <v>290220734</v>
      </c>
      <c r="D436" s="16">
        <v>412085034</v>
      </c>
      <c r="E436" s="16" t="s">
        <v>7446</v>
      </c>
      <c r="F436" s="20" t="s">
        <v>7135</v>
      </c>
      <c r="G436" s="17" t="s">
        <v>7448</v>
      </c>
    </row>
    <row r="437" spans="1:7" x14ac:dyDescent="0.25">
      <c r="A437">
        <f t="shared" si="6"/>
        <v>4130771</v>
      </c>
      <c r="B437" s="15">
        <v>140640239</v>
      </c>
      <c r="C437" s="15">
        <v>290220776</v>
      </c>
      <c r="D437" s="16">
        <v>413077144</v>
      </c>
      <c r="E437" s="16" t="s">
        <v>7446</v>
      </c>
      <c r="F437" s="20" t="s">
        <v>7088</v>
      </c>
      <c r="G437" s="17" t="s">
        <v>7454</v>
      </c>
    </row>
    <row r="438" spans="1:7" x14ac:dyDescent="0.25">
      <c r="A438">
        <f t="shared" si="6"/>
        <v>4120003</v>
      </c>
      <c r="B438" s="15">
        <v>140640239</v>
      </c>
      <c r="C438" s="15">
        <v>290220842</v>
      </c>
      <c r="D438" s="16">
        <v>412000340</v>
      </c>
      <c r="E438" s="16" t="s">
        <v>7446</v>
      </c>
      <c r="F438" s="20" t="s">
        <v>7412</v>
      </c>
      <c r="G438" s="17" t="s">
        <v>7451</v>
      </c>
    </row>
    <row r="439" spans="1:7" x14ac:dyDescent="0.25">
      <c r="A439">
        <f t="shared" si="6"/>
        <v>4120058</v>
      </c>
      <c r="B439" s="15">
        <v>140640239</v>
      </c>
      <c r="C439" s="15">
        <v>290220828</v>
      </c>
      <c r="D439" s="16">
        <v>412005834</v>
      </c>
      <c r="E439" s="16" t="s">
        <v>7446</v>
      </c>
      <c r="F439" s="20" t="s">
        <v>7169</v>
      </c>
      <c r="G439" s="17" t="s">
        <v>7448</v>
      </c>
    </row>
    <row r="440" spans="1:7" x14ac:dyDescent="0.25">
      <c r="A440">
        <f t="shared" si="6"/>
        <v>4120009</v>
      </c>
      <c r="B440" s="15">
        <v>140640239</v>
      </c>
      <c r="C440" s="15">
        <v>290220920</v>
      </c>
      <c r="D440" s="16">
        <v>412000942</v>
      </c>
      <c r="E440" s="16" t="s">
        <v>7446</v>
      </c>
      <c r="F440" s="20" t="s">
        <v>7070</v>
      </c>
      <c r="G440" s="17" t="s">
        <v>7447</v>
      </c>
    </row>
    <row r="441" spans="1:7" x14ac:dyDescent="0.25">
      <c r="A441">
        <f t="shared" si="6"/>
        <v>4120058</v>
      </c>
      <c r="B441" s="15">
        <v>140640239</v>
      </c>
      <c r="C441" s="15">
        <v>290220907</v>
      </c>
      <c r="D441" s="16">
        <v>412005844</v>
      </c>
      <c r="E441" s="16" t="s">
        <v>7446</v>
      </c>
      <c r="F441" s="20" t="s">
        <v>7166</v>
      </c>
      <c r="G441" s="17" t="s">
        <v>7448</v>
      </c>
    </row>
    <row r="442" spans="1:7" x14ac:dyDescent="0.25">
      <c r="A442">
        <f t="shared" si="6"/>
        <v>4120058</v>
      </c>
      <c r="B442" s="15">
        <v>140640239</v>
      </c>
      <c r="C442" s="15">
        <v>290220928</v>
      </c>
      <c r="D442" s="16">
        <v>412005838</v>
      </c>
      <c r="E442" s="16" t="s">
        <v>7446</v>
      </c>
      <c r="F442" s="20" t="s">
        <v>7173</v>
      </c>
      <c r="G442" s="17" t="s">
        <v>7448</v>
      </c>
    </row>
    <row r="443" spans="1:7" x14ac:dyDescent="0.25">
      <c r="A443">
        <f t="shared" si="6"/>
        <v>4130771</v>
      </c>
      <c r="B443" s="15">
        <v>140640239</v>
      </c>
      <c r="C443" s="15">
        <v>290220838</v>
      </c>
      <c r="D443" s="16">
        <v>413077140</v>
      </c>
      <c r="E443" s="16" t="s">
        <v>7446</v>
      </c>
      <c r="F443" s="20" t="s">
        <v>7082</v>
      </c>
      <c r="G443" s="17" t="s">
        <v>7454</v>
      </c>
    </row>
    <row r="444" spans="1:7" x14ac:dyDescent="0.25">
      <c r="A444">
        <f t="shared" si="6"/>
        <v>4120853</v>
      </c>
      <c r="B444" s="15">
        <v>140640239</v>
      </c>
      <c r="C444" s="15">
        <v>290220877</v>
      </c>
      <c r="D444" s="16">
        <v>412085340</v>
      </c>
      <c r="E444" s="16" t="s">
        <v>7446</v>
      </c>
      <c r="F444" s="20" t="s">
        <v>7097</v>
      </c>
      <c r="G444" s="17" t="s">
        <v>7456</v>
      </c>
    </row>
    <row r="445" spans="1:7" x14ac:dyDescent="0.25">
      <c r="A445">
        <f t="shared" si="6"/>
        <v>4120950</v>
      </c>
      <c r="B445" s="15">
        <v>140640239</v>
      </c>
      <c r="C445" s="15">
        <v>290220884</v>
      </c>
      <c r="D445" s="16">
        <v>412095042</v>
      </c>
      <c r="E445" s="16" t="s">
        <v>7446</v>
      </c>
      <c r="F445" s="20" t="s">
        <v>7470</v>
      </c>
      <c r="G445" s="17" t="s">
        <v>7447</v>
      </c>
    </row>
    <row r="446" spans="1:7" x14ac:dyDescent="0.25">
      <c r="A446">
        <f t="shared" si="6"/>
        <v>4120950</v>
      </c>
      <c r="B446" s="15">
        <v>140640239</v>
      </c>
      <c r="C446" s="15">
        <v>290220914</v>
      </c>
      <c r="D446" s="16">
        <v>412095038</v>
      </c>
      <c r="E446" s="16" t="s">
        <v>7446</v>
      </c>
      <c r="F446" s="20" t="s">
        <v>7471</v>
      </c>
      <c r="G446" s="17" t="s">
        <v>7447</v>
      </c>
    </row>
    <row r="447" spans="1:7" x14ac:dyDescent="0.25">
      <c r="A447">
        <f t="shared" si="6"/>
        <v>4120770</v>
      </c>
      <c r="B447" s="15">
        <v>140640239</v>
      </c>
      <c r="C447" s="15">
        <v>290220939</v>
      </c>
      <c r="D447" s="16">
        <v>412077042</v>
      </c>
      <c r="E447" s="16" t="s">
        <v>7446</v>
      </c>
      <c r="F447" s="20" t="s">
        <v>7472</v>
      </c>
      <c r="G447" s="17" t="s">
        <v>7451</v>
      </c>
    </row>
    <row r="448" spans="1:7" x14ac:dyDescent="0.25">
      <c r="A448">
        <f t="shared" si="6"/>
        <v>4120236</v>
      </c>
      <c r="B448" s="15">
        <v>140640239</v>
      </c>
      <c r="C448" s="15">
        <v>290220933</v>
      </c>
      <c r="D448" s="16">
        <v>412023644</v>
      </c>
      <c r="E448" s="16" t="s">
        <v>7446</v>
      </c>
      <c r="F448" s="20" t="s">
        <v>7419</v>
      </c>
      <c r="G448" s="17" t="s">
        <v>7452</v>
      </c>
    </row>
    <row r="449" spans="1:7" x14ac:dyDescent="0.25">
      <c r="A449">
        <f t="shared" si="6"/>
        <v>4120063</v>
      </c>
      <c r="B449" s="15">
        <v>140640247</v>
      </c>
      <c r="C449" s="15">
        <v>290220739</v>
      </c>
      <c r="D449" s="16">
        <v>412006350</v>
      </c>
      <c r="E449" s="16" t="s">
        <v>7473</v>
      </c>
      <c r="F449" s="20" t="s">
        <v>7159</v>
      </c>
      <c r="G449" s="17" t="s">
        <v>7457</v>
      </c>
    </row>
    <row r="450" spans="1:7" x14ac:dyDescent="0.25">
      <c r="A450">
        <f t="shared" si="6"/>
        <v>4120852</v>
      </c>
      <c r="B450" s="15">
        <v>140640247</v>
      </c>
      <c r="C450" s="15">
        <v>290220738</v>
      </c>
      <c r="D450" s="16">
        <v>412085246</v>
      </c>
      <c r="E450" s="16" t="s">
        <v>7473</v>
      </c>
      <c r="F450" s="20" t="s">
        <v>7474</v>
      </c>
      <c r="G450" s="17" t="s">
        <v>7456</v>
      </c>
    </row>
    <row r="451" spans="1:7" x14ac:dyDescent="0.25">
      <c r="A451">
        <f t="shared" ref="A451:A514" si="7">LEFT(D451,7)*1</f>
        <v>4120010</v>
      </c>
      <c r="B451" s="15">
        <v>140640247</v>
      </c>
      <c r="C451" s="15">
        <v>290220768</v>
      </c>
      <c r="D451" s="16">
        <v>412001046</v>
      </c>
      <c r="E451" s="16" t="s">
        <v>7473</v>
      </c>
      <c r="F451" s="20" t="s">
        <v>7066</v>
      </c>
      <c r="G451" s="17" t="s">
        <v>7447</v>
      </c>
    </row>
    <row r="452" spans="1:7" x14ac:dyDescent="0.25">
      <c r="A452">
        <f t="shared" si="7"/>
        <v>4130950</v>
      </c>
      <c r="B452" s="15">
        <v>140640247</v>
      </c>
      <c r="C452" s="15">
        <v>290220764</v>
      </c>
      <c r="D452" s="16">
        <v>413095050</v>
      </c>
      <c r="E452" s="16" t="s">
        <v>7473</v>
      </c>
      <c r="F452" s="20" t="s">
        <v>7164</v>
      </c>
      <c r="G452" s="17" t="s">
        <v>7454</v>
      </c>
    </row>
    <row r="453" spans="1:7" x14ac:dyDescent="0.25">
      <c r="A453">
        <f t="shared" si="7"/>
        <v>4120063</v>
      </c>
      <c r="B453" s="15">
        <v>140640247</v>
      </c>
      <c r="C453" s="15">
        <v>290220762</v>
      </c>
      <c r="D453" s="16">
        <v>412006346</v>
      </c>
      <c r="E453" s="16" t="s">
        <v>7473</v>
      </c>
      <c r="F453" s="20" t="s">
        <v>7157</v>
      </c>
      <c r="G453" s="17" t="s">
        <v>7457</v>
      </c>
    </row>
    <row r="454" spans="1:7" x14ac:dyDescent="0.25">
      <c r="A454">
        <f t="shared" si="7"/>
        <v>4120951</v>
      </c>
      <c r="B454" s="15">
        <v>140640247</v>
      </c>
      <c r="C454" s="15">
        <v>290220790</v>
      </c>
      <c r="D454" s="16">
        <v>412095148</v>
      </c>
      <c r="E454" s="16" t="s">
        <v>7473</v>
      </c>
      <c r="F454" s="20" t="s">
        <v>7475</v>
      </c>
      <c r="G454" s="17" t="s">
        <v>7447</v>
      </c>
    </row>
    <row r="455" spans="1:7" x14ac:dyDescent="0.25">
      <c r="A455">
        <f t="shared" si="7"/>
        <v>4120010</v>
      </c>
      <c r="B455" s="15">
        <v>140640247</v>
      </c>
      <c r="C455" s="15">
        <v>290220784</v>
      </c>
      <c r="D455" s="16">
        <v>412001048</v>
      </c>
      <c r="E455" s="16" t="s">
        <v>7473</v>
      </c>
      <c r="F455" s="20" t="s">
        <v>7091</v>
      </c>
      <c r="G455" s="17" t="s">
        <v>7447</v>
      </c>
    </row>
    <row r="456" spans="1:7" x14ac:dyDescent="0.25">
      <c r="A456">
        <f t="shared" si="7"/>
        <v>4120271</v>
      </c>
      <c r="B456" s="15">
        <v>140640247</v>
      </c>
      <c r="C456" s="15">
        <v>290220779</v>
      </c>
      <c r="D456" s="16">
        <v>412027150</v>
      </c>
      <c r="E456" s="16" t="s">
        <v>7473</v>
      </c>
      <c r="F456" s="20" t="s">
        <v>7476</v>
      </c>
      <c r="G456" s="17" t="s">
        <v>7456</v>
      </c>
    </row>
    <row r="457" spans="1:7" x14ac:dyDescent="0.25">
      <c r="A457">
        <f t="shared" si="7"/>
        <v>4120005</v>
      </c>
      <c r="B457" s="15">
        <v>140640247</v>
      </c>
      <c r="C457" s="15">
        <v>290220781</v>
      </c>
      <c r="D457" s="16">
        <v>412000548</v>
      </c>
      <c r="E457" s="16" t="s">
        <v>7473</v>
      </c>
      <c r="F457" s="20" t="s">
        <v>7427</v>
      </c>
      <c r="G457" s="17" t="s">
        <v>7451</v>
      </c>
    </row>
    <row r="458" spans="1:7" x14ac:dyDescent="0.25">
      <c r="A458">
        <f t="shared" si="7"/>
        <v>4120067</v>
      </c>
      <c r="B458" s="15">
        <v>140640247</v>
      </c>
      <c r="C458" s="15">
        <v>290220786</v>
      </c>
      <c r="D458" s="16">
        <v>412006748</v>
      </c>
      <c r="E458" s="16" t="s">
        <v>7473</v>
      </c>
      <c r="F458" s="20" t="s">
        <v>7152</v>
      </c>
      <c r="G458" s="17" t="s">
        <v>7455</v>
      </c>
    </row>
    <row r="459" spans="1:7" x14ac:dyDescent="0.25">
      <c r="A459">
        <f t="shared" si="7"/>
        <v>4120067</v>
      </c>
      <c r="B459" s="15">
        <v>140640247</v>
      </c>
      <c r="C459" s="15">
        <v>290220804</v>
      </c>
      <c r="D459" s="16">
        <v>412006750</v>
      </c>
      <c r="E459" s="16" t="s">
        <v>7473</v>
      </c>
      <c r="F459" s="20" t="s">
        <v>7153</v>
      </c>
      <c r="G459" s="17" t="s">
        <v>7455</v>
      </c>
    </row>
    <row r="460" spans="1:7" x14ac:dyDescent="0.25">
      <c r="A460">
        <f t="shared" si="7"/>
        <v>4120771</v>
      </c>
      <c r="B460" s="15">
        <v>140640247</v>
      </c>
      <c r="C460" s="15">
        <v>290220800</v>
      </c>
      <c r="D460" s="16">
        <v>412077150</v>
      </c>
      <c r="E460" s="16" t="s">
        <v>7473</v>
      </c>
      <c r="F460" s="20" t="s">
        <v>7477</v>
      </c>
      <c r="G460" s="17" t="s">
        <v>7451</v>
      </c>
    </row>
    <row r="461" spans="1:7" x14ac:dyDescent="0.25">
      <c r="A461">
        <f t="shared" si="7"/>
        <v>4130950</v>
      </c>
      <c r="B461" s="15">
        <v>140640247</v>
      </c>
      <c r="C461" s="15">
        <v>290220801</v>
      </c>
      <c r="D461" s="16">
        <v>413095046</v>
      </c>
      <c r="E461" s="16" t="s">
        <v>7473</v>
      </c>
      <c r="F461" s="20" t="s">
        <v>7086</v>
      </c>
      <c r="G461" s="17" t="s">
        <v>7454</v>
      </c>
    </row>
    <row r="462" spans="1:7" x14ac:dyDescent="0.25">
      <c r="A462">
        <f t="shared" si="7"/>
        <v>4120951</v>
      </c>
      <c r="B462" s="15">
        <v>140640247</v>
      </c>
      <c r="C462" s="15">
        <v>290220819</v>
      </c>
      <c r="D462" s="16">
        <v>412095150</v>
      </c>
      <c r="E462" s="16" t="s">
        <v>7473</v>
      </c>
      <c r="F462" s="20" t="s">
        <v>7478</v>
      </c>
      <c r="G462" s="17" t="s">
        <v>7447</v>
      </c>
    </row>
    <row r="463" spans="1:7" x14ac:dyDescent="0.25">
      <c r="A463">
        <f t="shared" si="7"/>
        <v>4120855</v>
      </c>
      <c r="B463" s="15">
        <v>140640247</v>
      </c>
      <c r="C463" s="15">
        <v>290220775</v>
      </c>
      <c r="D463" s="16">
        <v>412085546</v>
      </c>
      <c r="E463" s="16" t="s">
        <v>7473</v>
      </c>
      <c r="F463" s="20" t="s">
        <v>7100</v>
      </c>
      <c r="G463" s="17" t="s">
        <v>7456</v>
      </c>
    </row>
    <row r="464" spans="1:7" x14ac:dyDescent="0.25">
      <c r="A464">
        <f t="shared" si="7"/>
        <v>4120237</v>
      </c>
      <c r="B464" s="15">
        <v>140640247</v>
      </c>
      <c r="C464" s="15">
        <v>290220759</v>
      </c>
      <c r="D464" s="16">
        <v>412023746</v>
      </c>
      <c r="E464" s="16" t="s">
        <v>7473</v>
      </c>
      <c r="F464" s="20" t="s">
        <v>7422</v>
      </c>
      <c r="G464" s="17" t="s">
        <v>7452</v>
      </c>
    </row>
    <row r="465" spans="1:7" x14ac:dyDescent="0.25">
      <c r="A465">
        <f t="shared" si="7"/>
        <v>4120005</v>
      </c>
      <c r="B465" s="15">
        <v>140640247</v>
      </c>
      <c r="C465" s="15">
        <v>290220751</v>
      </c>
      <c r="D465" s="16">
        <v>412000550</v>
      </c>
      <c r="E465" s="16" t="s">
        <v>7473</v>
      </c>
      <c r="F465" s="20" t="s">
        <v>7424</v>
      </c>
      <c r="G465" s="17" t="s">
        <v>7451</v>
      </c>
    </row>
    <row r="466" spans="1:7" x14ac:dyDescent="0.25">
      <c r="A466">
        <f t="shared" si="7"/>
        <v>4120010</v>
      </c>
      <c r="B466" s="15">
        <v>140640247</v>
      </c>
      <c r="C466" s="15">
        <v>290220809</v>
      </c>
      <c r="D466" s="16">
        <v>412001050</v>
      </c>
      <c r="E466" s="16" t="s">
        <v>7473</v>
      </c>
      <c r="F466" s="20" t="s">
        <v>7093</v>
      </c>
      <c r="G466" s="17" t="s">
        <v>7447</v>
      </c>
    </row>
    <row r="467" spans="1:7" x14ac:dyDescent="0.25">
      <c r="A467">
        <f t="shared" si="7"/>
        <v>4120059</v>
      </c>
      <c r="B467" s="15">
        <v>140640247</v>
      </c>
      <c r="C467" s="15">
        <v>290220763</v>
      </c>
      <c r="D467" s="16">
        <v>412005950</v>
      </c>
      <c r="E467" s="16" t="s">
        <v>7473</v>
      </c>
      <c r="F467" s="20" t="s">
        <v>7168</v>
      </c>
      <c r="G467" s="17" t="s">
        <v>7448</v>
      </c>
    </row>
    <row r="468" spans="1:7" x14ac:dyDescent="0.25">
      <c r="A468">
        <f t="shared" si="7"/>
        <v>4120771</v>
      </c>
      <c r="B468" s="15">
        <v>140640247</v>
      </c>
      <c r="C468" s="15">
        <v>290220741</v>
      </c>
      <c r="D468" s="16">
        <v>412077148</v>
      </c>
      <c r="E468" s="16" t="s">
        <v>7473</v>
      </c>
      <c r="F468" s="20" t="s">
        <v>7479</v>
      </c>
      <c r="G468" s="17" t="s">
        <v>7451</v>
      </c>
    </row>
    <row r="469" spans="1:7" x14ac:dyDescent="0.25">
      <c r="A469">
        <f t="shared" si="7"/>
        <v>4120852</v>
      </c>
      <c r="B469" s="15">
        <v>140640247</v>
      </c>
      <c r="C469" s="15">
        <v>290220773</v>
      </c>
      <c r="D469" s="16">
        <v>412085248</v>
      </c>
      <c r="E469" s="16" t="s">
        <v>7473</v>
      </c>
      <c r="F469" s="20" t="s">
        <v>7155</v>
      </c>
      <c r="G469" s="17" t="s">
        <v>7448</v>
      </c>
    </row>
    <row r="470" spans="1:7" x14ac:dyDescent="0.25">
      <c r="A470">
        <f t="shared" si="7"/>
        <v>4120059</v>
      </c>
      <c r="B470" s="15">
        <v>140640247</v>
      </c>
      <c r="C470" s="15">
        <v>290220778</v>
      </c>
      <c r="D470" s="16">
        <v>412005946</v>
      </c>
      <c r="E470" s="16" t="s">
        <v>7473</v>
      </c>
      <c r="F470" s="20" t="s">
        <v>7167</v>
      </c>
      <c r="G470" s="17" t="s">
        <v>7448</v>
      </c>
    </row>
    <row r="471" spans="1:7" x14ac:dyDescent="0.25">
      <c r="A471">
        <f t="shared" si="7"/>
        <v>4120067</v>
      </c>
      <c r="B471" s="15">
        <v>140640247</v>
      </c>
      <c r="C471" s="15">
        <v>290220796</v>
      </c>
      <c r="D471" s="16">
        <v>412006746</v>
      </c>
      <c r="E471" s="16" t="s">
        <v>7473</v>
      </c>
      <c r="F471" s="20" t="s">
        <v>7151</v>
      </c>
      <c r="G471" s="17" t="s">
        <v>7455</v>
      </c>
    </row>
    <row r="472" spans="1:7" x14ac:dyDescent="0.25">
      <c r="A472">
        <f t="shared" si="7"/>
        <v>4120059</v>
      </c>
      <c r="B472" s="15">
        <v>140640247</v>
      </c>
      <c r="C472" s="15">
        <v>290220748</v>
      </c>
      <c r="D472" s="16">
        <v>412005948</v>
      </c>
      <c r="E472" s="16" t="s">
        <v>7473</v>
      </c>
      <c r="F472" s="20" t="s">
        <v>7165</v>
      </c>
      <c r="G472" s="17" t="s">
        <v>7448</v>
      </c>
    </row>
    <row r="473" spans="1:7" x14ac:dyDescent="0.25">
      <c r="A473">
        <f t="shared" si="7"/>
        <v>4130950</v>
      </c>
      <c r="B473" s="15">
        <v>140640247</v>
      </c>
      <c r="C473" s="15">
        <v>290220743</v>
      </c>
      <c r="D473" s="16">
        <v>413095048</v>
      </c>
      <c r="E473" s="16" t="s">
        <v>7473</v>
      </c>
      <c r="F473" s="20" t="s">
        <v>7163</v>
      </c>
      <c r="G473" s="17" t="s">
        <v>7454</v>
      </c>
    </row>
    <row r="474" spans="1:7" x14ac:dyDescent="0.25">
      <c r="A474">
        <f t="shared" si="7"/>
        <v>4120855</v>
      </c>
      <c r="B474" s="15">
        <v>140640247</v>
      </c>
      <c r="C474" s="15">
        <v>290220754</v>
      </c>
      <c r="D474" s="16">
        <v>412085548</v>
      </c>
      <c r="E474" s="16" t="s">
        <v>7473</v>
      </c>
      <c r="F474" s="20" t="s">
        <v>7101</v>
      </c>
      <c r="G474" s="17" t="s">
        <v>7456</v>
      </c>
    </row>
    <row r="475" spans="1:7" x14ac:dyDescent="0.25">
      <c r="A475">
        <f t="shared" si="7"/>
        <v>4120951</v>
      </c>
      <c r="B475" s="15">
        <v>140640247</v>
      </c>
      <c r="C475" s="15">
        <v>290220806</v>
      </c>
      <c r="D475" s="16">
        <v>412095146</v>
      </c>
      <c r="E475" s="16" t="s">
        <v>7473</v>
      </c>
      <c r="F475" s="20" t="s">
        <v>7480</v>
      </c>
      <c r="G475" s="17" t="s">
        <v>7447</v>
      </c>
    </row>
    <row r="476" spans="1:7" x14ac:dyDescent="0.25">
      <c r="A476">
        <f t="shared" si="7"/>
        <v>4120005</v>
      </c>
      <c r="B476" s="15">
        <v>140640247</v>
      </c>
      <c r="C476" s="15">
        <v>290220744</v>
      </c>
      <c r="D476" s="16">
        <v>412000546</v>
      </c>
      <c r="E476" s="16" t="s">
        <v>7473</v>
      </c>
      <c r="F476" s="20" t="s">
        <v>7426</v>
      </c>
      <c r="G476" s="17" t="s">
        <v>7451</v>
      </c>
    </row>
    <row r="477" spans="1:7" x14ac:dyDescent="0.25">
      <c r="A477">
        <f t="shared" si="7"/>
        <v>4120063</v>
      </c>
      <c r="B477" s="15">
        <v>140640247</v>
      </c>
      <c r="C477" s="15">
        <v>290220755</v>
      </c>
      <c r="D477" s="16">
        <v>412006348</v>
      </c>
      <c r="E477" s="16" t="s">
        <v>7473</v>
      </c>
      <c r="F477" s="20" t="s">
        <v>7158</v>
      </c>
      <c r="G477" s="17" t="s">
        <v>7457</v>
      </c>
    </row>
    <row r="478" spans="1:7" x14ac:dyDescent="0.25">
      <c r="A478">
        <f t="shared" si="7"/>
        <v>4120237</v>
      </c>
      <c r="B478" s="15">
        <v>140640247</v>
      </c>
      <c r="C478" s="15">
        <v>290220757</v>
      </c>
      <c r="D478" s="16">
        <v>412023750</v>
      </c>
      <c r="E478" s="16" t="s">
        <v>7473</v>
      </c>
      <c r="F478" s="20" t="s">
        <v>7425</v>
      </c>
      <c r="G478" s="17" t="s">
        <v>7452</v>
      </c>
    </row>
    <row r="479" spans="1:7" x14ac:dyDescent="0.25">
      <c r="A479">
        <f t="shared" si="7"/>
        <v>4120271</v>
      </c>
      <c r="B479" s="15">
        <v>140640247</v>
      </c>
      <c r="C479" s="15">
        <v>290220746</v>
      </c>
      <c r="D479" s="16">
        <v>412027146</v>
      </c>
      <c r="E479" s="16" t="s">
        <v>7473</v>
      </c>
      <c r="F479" s="20" t="s">
        <v>7154</v>
      </c>
      <c r="G479" s="17" t="s">
        <v>7448</v>
      </c>
    </row>
    <row r="480" spans="1:7" x14ac:dyDescent="0.25">
      <c r="A480">
        <f t="shared" si="7"/>
        <v>4120771</v>
      </c>
      <c r="B480" s="15">
        <v>140640247</v>
      </c>
      <c r="C480" s="15">
        <v>290220765</v>
      </c>
      <c r="D480" s="16">
        <v>412077146</v>
      </c>
      <c r="E480" s="16" t="s">
        <v>7473</v>
      </c>
      <c r="F480" s="20" t="s">
        <v>7481</v>
      </c>
      <c r="G480" s="17" t="s">
        <v>7451</v>
      </c>
    </row>
    <row r="481" spans="1:7" x14ac:dyDescent="0.25">
      <c r="A481">
        <f t="shared" si="7"/>
        <v>4120271</v>
      </c>
      <c r="B481" s="15">
        <v>140640247</v>
      </c>
      <c r="C481" s="15">
        <v>290220815</v>
      </c>
      <c r="D481" s="16">
        <v>412027148</v>
      </c>
      <c r="E481" s="16" t="s">
        <v>7473</v>
      </c>
      <c r="F481" s="20" t="s">
        <v>7482</v>
      </c>
      <c r="G481" s="17" t="s">
        <v>7456</v>
      </c>
    </row>
    <row r="482" spans="1:7" x14ac:dyDescent="0.25">
      <c r="A482">
        <f t="shared" si="7"/>
        <v>4120855</v>
      </c>
      <c r="B482" s="15">
        <v>140640247</v>
      </c>
      <c r="C482" s="15">
        <v>290220777</v>
      </c>
      <c r="D482" s="16">
        <v>412085550</v>
      </c>
      <c r="E482" s="16" t="s">
        <v>7473</v>
      </c>
      <c r="F482" s="20" t="s">
        <v>7102</v>
      </c>
      <c r="G482" s="17" t="s">
        <v>7456</v>
      </c>
    </row>
    <row r="483" spans="1:7" x14ac:dyDescent="0.25">
      <c r="A483">
        <f t="shared" si="7"/>
        <v>4120852</v>
      </c>
      <c r="B483" s="15">
        <v>140640247</v>
      </c>
      <c r="C483" s="15">
        <v>290220793</v>
      </c>
      <c r="D483" s="16">
        <v>412085250</v>
      </c>
      <c r="E483" s="16" t="s">
        <v>7473</v>
      </c>
      <c r="F483" s="20" t="s">
        <v>7156</v>
      </c>
      <c r="G483" s="17" t="s">
        <v>7448</v>
      </c>
    </row>
    <row r="484" spans="1:7" x14ac:dyDescent="0.25">
      <c r="A484">
        <f t="shared" si="7"/>
        <v>4120237</v>
      </c>
      <c r="B484" s="15">
        <v>140640247</v>
      </c>
      <c r="C484" s="15">
        <v>290220772</v>
      </c>
      <c r="D484" s="16">
        <v>412023748</v>
      </c>
      <c r="E484" s="16" t="s">
        <v>7473</v>
      </c>
      <c r="F484" s="20" t="s">
        <v>7423</v>
      </c>
      <c r="G484" s="17" t="s">
        <v>7452</v>
      </c>
    </row>
    <row r="485" spans="1:7" x14ac:dyDescent="0.25">
      <c r="A485">
        <f t="shared" si="7"/>
        <v>4120272</v>
      </c>
      <c r="B485" s="15">
        <v>140640224</v>
      </c>
      <c r="C485" s="15">
        <v>290220591</v>
      </c>
      <c r="D485" s="16">
        <v>412027252</v>
      </c>
      <c r="E485" s="16" t="s">
        <v>7483</v>
      </c>
      <c r="F485" s="20" t="s">
        <v>7484</v>
      </c>
      <c r="G485" s="17" t="s">
        <v>7456</v>
      </c>
    </row>
    <row r="486" spans="1:7" x14ac:dyDescent="0.25">
      <c r="A486">
        <f t="shared" si="7"/>
        <v>4120111</v>
      </c>
      <c r="B486" s="15">
        <v>140640224</v>
      </c>
      <c r="C486" s="15">
        <v>290220595</v>
      </c>
      <c r="D486" s="16">
        <v>412011152</v>
      </c>
      <c r="E486" s="16" t="s">
        <v>7483</v>
      </c>
      <c r="F486" s="20" t="s">
        <v>7106</v>
      </c>
      <c r="G486" s="17" t="s">
        <v>7447</v>
      </c>
    </row>
    <row r="487" spans="1:7" x14ac:dyDescent="0.25">
      <c r="A487">
        <f t="shared" si="7"/>
        <v>4120753</v>
      </c>
      <c r="B487" s="15">
        <v>140640224</v>
      </c>
      <c r="C487" s="15">
        <v>290220588</v>
      </c>
      <c r="D487" s="16">
        <v>412075352</v>
      </c>
      <c r="E487" s="16" t="s">
        <v>7483</v>
      </c>
      <c r="F487" s="20" t="s">
        <v>7140</v>
      </c>
      <c r="G487" s="17" t="s">
        <v>7448</v>
      </c>
    </row>
    <row r="488" spans="1:7" x14ac:dyDescent="0.25">
      <c r="A488">
        <f t="shared" si="7"/>
        <v>4120952</v>
      </c>
      <c r="B488" s="15">
        <v>140640224</v>
      </c>
      <c r="C488" s="15">
        <v>290220592</v>
      </c>
      <c r="D488" s="16">
        <v>412095252</v>
      </c>
      <c r="E488" s="16" t="s">
        <v>7483</v>
      </c>
      <c r="F488" s="20" t="s">
        <v>7485</v>
      </c>
      <c r="G488" s="17" t="s">
        <v>7447</v>
      </c>
    </row>
    <row r="489" spans="1:7" x14ac:dyDescent="0.25">
      <c r="A489">
        <f t="shared" si="7"/>
        <v>4120068</v>
      </c>
      <c r="B489" s="15">
        <v>140640224</v>
      </c>
      <c r="C489" s="15">
        <v>290220596</v>
      </c>
      <c r="D489" s="16">
        <v>412006856</v>
      </c>
      <c r="E489" s="16" t="s">
        <v>7483</v>
      </c>
      <c r="F489" s="20" t="s">
        <v>7148</v>
      </c>
      <c r="G489" s="17" t="s">
        <v>7455</v>
      </c>
    </row>
    <row r="490" spans="1:7" x14ac:dyDescent="0.25">
      <c r="A490">
        <f t="shared" si="7"/>
        <v>4120111</v>
      </c>
      <c r="B490" s="15">
        <v>140640224</v>
      </c>
      <c r="C490" s="15">
        <v>290220602</v>
      </c>
      <c r="D490" s="16">
        <v>412011156</v>
      </c>
      <c r="E490" s="16" t="s">
        <v>7483</v>
      </c>
      <c r="F490" s="20" t="s">
        <v>7175</v>
      </c>
      <c r="G490" s="17" t="s">
        <v>7447</v>
      </c>
    </row>
    <row r="491" spans="1:7" x14ac:dyDescent="0.25">
      <c r="A491">
        <f t="shared" si="7"/>
        <v>4120064</v>
      </c>
      <c r="B491" s="15">
        <v>140640224</v>
      </c>
      <c r="C491" s="15">
        <v>290220597</v>
      </c>
      <c r="D491" s="16">
        <v>412006454</v>
      </c>
      <c r="E491" s="16" t="s">
        <v>7483</v>
      </c>
      <c r="F491" s="20" t="s">
        <v>7144</v>
      </c>
      <c r="G491" s="17" t="s">
        <v>7457</v>
      </c>
    </row>
    <row r="492" spans="1:7" x14ac:dyDescent="0.25">
      <c r="A492">
        <f t="shared" si="7"/>
        <v>4120060</v>
      </c>
      <c r="B492" s="15">
        <v>140640224</v>
      </c>
      <c r="C492" s="15">
        <v>290220598</v>
      </c>
      <c r="D492" s="16">
        <v>412006056</v>
      </c>
      <c r="E492" s="16" t="s">
        <v>7483</v>
      </c>
      <c r="F492" s="20" t="s">
        <v>7486</v>
      </c>
      <c r="G492" s="17" t="s">
        <v>7448</v>
      </c>
    </row>
    <row r="493" spans="1:7" x14ac:dyDescent="0.25">
      <c r="A493">
        <f t="shared" si="7"/>
        <v>4120238</v>
      </c>
      <c r="B493" s="15">
        <v>140640224</v>
      </c>
      <c r="C493" s="15">
        <v>290220601</v>
      </c>
      <c r="D493" s="16">
        <v>412023856</v>
      </c>
      <c r="E493" s="16" t="s">
        <v>7483</v>
      </c>
      <c r="F493" s="20" t="s">
        <v>7432</v>
      </c>
      <c r="G493" s="17" t="s">
        <v>7452</v>
      </c>
    </row>
    <row r="494" spans="1:7" x14ac:dyDescent="0.25">
      <c r="A494">
        <f t="shared" si="7"/>
        <v>4120772</v>
      </c>
      <c r="B494" s="15">
        <v>140640224</v>
      </c>
      <c r="C494" s="15">
        <v>290220599</v>
      </c>
      <c r="D494" s="16">
        <v>412077256</v>
      </c>
      <c r="E494" s="16" t="s">
        <v>7483</v>
      </c>
      <c r="F494" s="20" t="s">
        <v>7487</v>
      </c>
      <c r="G494" s="17" t="s">
        <v>7451</v>
      </c>
    </row>
    <row r="495" spans="1:7" x14ac:dyDescent="0.25">
      <c r="A495">
        <f t="shared" si="7"/>
        <v>4120068</v>
      </c>
      <c r="B495" s="15">
        <v>140640224</v>
      </c>
      <c r="C495" s="15">
        <v>290220604</v>
      </c>
      <c r="D495" s="16">
        <v>412006852</v>
      </c>
      <c r="E495" s="16" t="s">
        <v>7483</v>
      </c>
      <c r="F495" s="20" t="s">
        <v>7146</v>
      </c>
      <c r="G495" s="17" t="s">
        <v>7455</v>
      </c>
    </row>
    <row r="496" spans="1:7" x14ac:dyDescent="0.25">
      <c r="A496">
        <f t="shared" si="7"/>
        <v>4120857</v>
      </c>
      <c r="B496" s="15">
        <v>140640224</v>
      </c>
      <c r="C496" s="15">
        <v>290220610</v>
      </c>
      <c r="D496" s="16">
        <v>412085752</v>
      </c>
      <c r="E496" s="16" t="s">
        <v>7483</v>
      </c>
      <c r="F496" s="20" t="s">
        <v>7103</v>
      </c>
      <c r="G496" s="17" t="s">
        <v>7456</v>
      </c>
    </row>
    <row r="497" spans="1:7" x14ac:dyDescent="0.25">
      <c r="A497">
        <f t="shared" si="7"/>
        <v>4120068</v>
      </c>
      <c r="B497" s="15">
        <v>140640224</v>
      </c>
      <c r="C497" s="15">
        <v>290220611</v>
      </c>
      <c r="D497" s="16">
        <v>412006854</v>
      </c>
      <c r="E497" s="16" t="s">
        <v>7483</v>
      </c>
      <c r="F497" s="20" t="s">
        <v>7147</v>
      </c>
      <c r="G497" s="17" t="s">
        <v>7455</v>
      </c>
    </row>
    <row r="498" spans="1:7" x14ac:dyDescent="0.25">
      <c r="A498">
        <f t="shared" si="7"/>
        <v>4120238</v>
      </c>
      <c r="B498" s="15">
        <v>140640224</v>
      </c>
      <c r="C498" s="15">
        <v>290220614</v>
      </c>
      <c r="D498" s="16">
        <v>412023854</v>
      </c>
      <c r="E498" s="16" t="s">
        <v>7483</v>
      </c>
      <c r="F498" s="20" t="s">
        <v>7431</v>
      </c>
      <c r="G498" s="17" t="s">
        <v>7452</v>
      </c>
    </row>
    <row r="499" spans="1:7" x14ac:dyDescent="0.25">
      <c r="A499">
        <f t="shared" si="7"/>
        <v>4120006</v>
      </c>
      <c r="B499" s="15">
        <v>140640224</v>
      </c>
      <c r="C499" s="15">
        <v>290220618</v>
      </c>
      <c r="D499" s="16">
        <v>412000654</v>
      </c>
      <c r="E499" s="16" t="s">
        <v>7483</v>
      </c>
      <c r="F499" s="20" t="s">
        <v>7433</v>
      </c>
      <c r="G499" s="17" t="s">
        <v>7451</v>
      </c>
    </row>
    <row r="500" spans="1:7" x14ac:dyDescent="0.25">
      <c r="A500">
        <f t="shared" si="7"/>
        <v>4120857</v>
      </c>
      <c r="B500" s="15">
        <v>140640224</v>
      </c>
      <c r="C500" s="15">
        <v>290220627</v>
      </c>
      <c r="D500" s="16">
        <v>412085754</v>
      </c>
      <c r="E500" s="16" t="s">
        <v>7483</v>
      </c>
      <c r="F500" s="20" t="s">
        <v>7104</v>
      </c>
      <c r="G500" s="17" t="s">
        <v>7456</v>
      </c>
    </row>
    <row r="501" spans="1:7" x14ac:dyDescent="0.25">
      <c r="A501">
        <f t="shared" si="7"/>
        <v>4120064</v>
      </c>
      <c r="B501" s="15">
        <v>140640224</v>
      </c>
      <c r="C501" s="15">
        <v>290220615</v>
      </c>
      <c r="D501" s="16">
        <v>412006456</v>
      </c>
      <c r="E501" s="16" t="s">
        <v>7483</v>
      </c>
      <c r="F501" s="20" t="s">
        <v>7145</v>
      </c>
      <c r="G501" s="17" t="s">
        <v>7457</v>
      </c>
    </row>
    <row r="502" spans="1:7" x14ac:dyDescent="0.25">
      <c r="A502">
        <f t="shared" si="7"/>
        <v>4120111</v>
      </c>
      <c r="B502" s="15">
        <v>140640224</v>
      </c>
      <c r="C502" s="15">
        <v>290220625</v>
      </c>
      <c r="D502" s="16">
        <v>412011154</v>
      </c>
      <c r="E502" s="16" t="s">
        <v>7483</v>
      </c>
      <c r="F502" s="20" t="s">
        <v>7107</v>
      </c>
      <c r="G502" s="17" t="s">
        <v>7447</v>
      </c>
    </row>
    <row r="503" spans="1:7" x14ac:dyDescent="0.25">
      <c r="A503">
        <f t="shared" si="7"/>
        <v>4120753</v>
      </c>
      <c r="B503" s="15">
        <v>140640224</v>
      </c>
      <c r="C503" s="15">
        <v>290220620</v>
      </c>
      <c r="D503" s="16">
        <v>412075356</v>
      </c>
      <c r="E503" s="16" t="s">
        <v>7483</v>
      </c>
      <c r="F503" s="20" t="s">
        <v>7142</v>
      </c>
      <c r="G503" s="17" t="s">
        <v>7448</v>
      </c>
    </row>
    <row r="504" spans="1:7" x14ac:dyDescent="0.25">
      <c r="A504">
        <f t="shared" si="7"/>
        <v>4120006</v>
      </c>
      <c r="B504" s="15">
        <v>140640224</v>
      </c>
      <c r="C504" s="15">
        <v>290220612</v>
      </c>
      <c r="D504" s="16">
        <v>412000652</v>
      </c>
      <c r="E504" s="16" t="s">
        <v>7483</v>
      </c>
      <c r="F504" s="20" t="s">
        <v>7429</v>
      </c>
      <c r="G504" s="17" t="s">
        <v>7451</v>
      </c>
    </row>
    <row r="505" spans="1:7" x14ac:dyDescent="0.25">
      <c r="A505">
        <f t="shared" si="7"/>
        <v>4120952</v>
      </c>
      <c r="B505" s="15">
        <v>140640224</v>
      </c>
      <c r="C505" s="15">
        <v>290220590</v>
      </c>
      <c r="D505" s="16">
        <v>412095254</v>
      </c>
      <c r="E505" s="16" t="s">
        <v>7483</v>
      </c>
      <c r="F505" s="20" t="s">
        <v>7488</v>
      </c>
      <c r="G505" s="17" t="s">
        <v>7447</v>
      </c>
    </row>
    <row r="506" spans="1:7" x14ac:dyDescent="0.25">
      <c r="A506">
        <f t="shared" si="7"/>
        <v>4120006</v>
      </c>
      <c r="B506" s="15">
        <v>140640224</v>
      </c>
      <c r="C506" s="15">
        <v>290220616</v>
      </c>
      <c r="D506" s="16">
        <v>412000656</v>
      </c>
      <c r="E506" s="16" t="s">
        <v>7483</v>
      </c>
      <c r="F506" s="20" t="s">
        <v>7430</v>
      </c>
      <c r="G506" s="17" t="s">
        <v>7451</v>
      </c>
    </row>
    <row r="507" spans="1:7" x14ac:dyDescent="0.25">
      <c r="A507">
        <f t="shared" si="7"/>
        <v>4120772</v>
      </c>
      <c r="B507" s="15">
        <v>140640224</v>
      </c>
      <c r="C507" s="15">
        <v>290220605</v>
      </c>
      <c r="D507" s="16">
        <v>412077252</v>
      </c>
      <c r="E507" s="16" t="s">
        <v>7483</v>
      </c>
      <c r="F507" s="20" t="s">
        <v>7489</v>
      </c>
      <c r="G507" s="17" t="s">
        <v>7451</v>
      </c>
    </row>
    <row r="508" spans="1:7" x14ac:dyDescent="0.25">
      <c r="A508">
        <f t="shared" si="7"/>
        <v>4120272</v>
      </c>
      <c r="B508" s="15">
        <v>140640224</v>
      </c>
      <c r="C508" s="15">
        <v>290220617</v>
      </c>
      <c r="D508" s="16">
        <v>412027254</v>
      </c>
      <c r="E508" s="16" t="s">
        <v>7483</v>
      </c>
      <c r="F508" s="20" t="s">
        <v>7490</v>
      </c>
      <c r="G508" s="17" t="s">
        <v>7456</v>
      </c>
    </row>
    <row r="509" spans="1:7" x14ac:dyDescent="0.25">
      <c r="A509">
        <f t="shared" si="7"/>
        <v>4120060</v>
      </c>
      <c r="B509" s="15">
        <v>140640224</v>
      </c>
      <c r="C509" s="15">
        <v>290220609</v>
      </c>
      <c r="D509" s="16">
        <v>412006054</v>
      </c>
      <c r="E509" s="16" t="s">
        <v>7483</v>
      </c>
      <c r="F509" s="20" t="s">
        <v>7491</v>
      </c>
      <c r="G509" s="17" t="s">
        <v>7448</v>
      </c>
    </row>
    <row r="510" spans="1:7" x14ac:dyDescent="0.25">
      <c r="A510">
        <f t="shared" si="7"/>
        <v>4120060</v>
      </c>
      <c r="B510" s="15">
        <v>140640224</v>
      </c>
      <c r="C510" s="15">
        <v>290220608</v>
      </c>
      <c r="D510" s="16">
        <v>412006052</v>
      </c>
      <c r="E510" s="16" t="s">
        <v>7483</v>
      </c>
      <c r="F510" s="20" t="s">
        <v>7492</v>
      </c>
      <c r="G510" s="17" t="s">
        <v>7448</v>
      </c>
    </row>
    <row r="511" spans="1:7" x14ac:dyDescent="0.25">
      <c r="A511">
        <f t="shared" si="7"/>
        <v>4120064</v>
      </c>
      <c r="B511" s="15">
        <v>140640224</v>
      </c>
      <c r="C511" s="15">
        <v>290220593</v>
      </c>
      <c r="D511" s="16">
        <v>412006452</v>
      </c>
      <c r="E511" s="16" t="s">
        <v>7483</v>
      </c>
      <c r="F511" s="20" t="s">
        <v>7141</v>
      </c>
      <c r="G511" s="17" t="s">
        <v>7457</v>
      </c>
    </row>
    <row r="512" spans="1:7" x14ac:dyDescent="0.25">
      <c r="A512">
        <f t="shared" si="7"/>
        <v>4120857</v>
      </c>
      <c r="B512" s="15">
        <v>140640224</v>
      </c>
      <c r="C512" s="15">
        <v>290220621</v>
      </c>
      <c r="D512" s="16">
        <v>412085756</v>
      </c>
      <c r="E512" s="16" t="s">
        <v>7483</v>
      </c>
      <c r="F512" s="20" t="s">
        <v>7174</v>
      </c>
      <c r="G512" s="17" t="s">
        <v>7456</v>
      </c>
    </row>
    <row r="513" spans="1:7" x14ac:dyDescent="0.25">
      <c r="A513">
        <f t="shared" si="7"/>
        <v>4120772</v>
      </c>
      <c r="B513" s="15">
        <v>140640224</v>
      </c>
      <c r="C513" s="15">
        <v>290220613</v>
      </c>
      <c r="D513" s="16">
        <v>412077254</v>
      </c>
      <c r="E513" s="16" t="s">
        <v>7483</v>
      </c>
      <c r="F513" s="20" t="s">
        <v>7493</v>
      </c>
      <c r="G513" s="17" t="s">
        <v>7451</v>
      </c>
    </row>
    <row r="514" spans="1:7" x14ac:dyDescent="0.25">
      <c r="A514">
        <f t="shared" si="7"/>
        <v>4120753</v>
      </c>
      <c r="B514" s="15">
        <v>140640224</v>
      </c>
      <c r="C514" s="15">
        <v>290220626</v>
      </c>
      <c r="D514" s="16">
        <v>412075354</v>
      </c>
      <c r="E514" s="16" t="s">
        <v>7483</v>
      </c>
      <c r="F514" s="20" t="s">
        <v>7143</v>
      </c>
      <c r="G514" s="17" t="s">
        <v>7448</v>
      </c>
    </row>
    <row r="515" spans="1:7" x14ac:dyDescent="0.25">
      <c r="A515">
        <f t="shared" ref="A515:A578" si="8">LEFT(D515,7)*1</f>
        <v>4120952</v>
      </c>
      <c r="B515" s="15">
        <v>140640224</v>
      </c>
      <c r="C515" s="15">
        <v>290220623</v>
      </c>
      <c r="D515" s="16">
        <v>412095256</v>
      </c>
      <c r="E515" s="16" t="s">
        <v>7483</v>
      </c>
      <c r="F515" s="20" t="s">
        <v>7494</v>
      </c>
      <c r="G515" s="17" t="s">
        <v>7447</v>
      </c>
    </row>
    <row r="516" spans="1:7" x14ac:dyDescent="0.25">
      <c r="A516">
        <f t="shared" si="8"/>
        <v>4120238</v>
      </c>
      <c r="B516" s="15">
        <v>140640224</v>
      </c>
      <c r="C516" s="15">
        <v>290220606</v>
      </c>
      <c r="D516" s="16">
        <v>412023852</v>
      </c>
      <c r="E516" s="16" t="s">
        <v>7483</v>
      </c>
      <c r="F516" s="20" t="s">
        <v>7434</v>
      </c>
      <c r="G516" s="17" t="s">
        <v>7452</v>
      </c>
    </row>
    <row r="517" spans="1:7" x14ac:dyDescent="0.25">
      <c r="A517">
        <f t="shared" si="8"/>
        <v>4120272</v>
      </c>
      <c r="B517" s="15">
        <v>140640224</v>
      </c>
      <c r="C517" s="15">
        <v>290220607</v>
      </c>
      <c r="D517" s="16">
        <v>412027256</v>
      </c>
      <c r="E517" s="16" t="s">
        <v>7483</v>
      </c>
      <c r="F517" s="20" t="s">
        <v>7495</v>
      </c>
      <c r="G517" s="17" t="s">
        <v>7456</v>
      </c>
    </row>
    <row r="518" spans="1:7" x14ac:dyDescent="0.25">
      <c r="A518">
        <f t="shared" si="8"/>
        <v>4120069</v>
      </c>
      <c r="B518" s="15">
        <v>140640236</v>
      </c>
      <c r="C518" s="15">
        <v>290220668</v>
      </c>
      <c r="D518" s="16">
        <v>412006958</v>
      </c>
      <c r="E518" s="16" t="s">
        <v>7496</v>
      </c>
      <c r="F518" s="20" t="s">
        <v>7254</v>
      </c>
      <c r="G518" s="17" t="s">
        <v>7455</v>
      </c>
    </row>
    <row r="519" spans="1:7" x14ac:dyDescent="0.25">
      <c r="A519">
        <f t="shared" si="8"/>
        <v>4120232</v>
      </c>
      <c r="B519" s="15">
        <v>140640236</v>
      </c>
      <c r="C519" s="15">
        <v>290220665</v>
      </c>
      <c r="D519" s="16">
        <v>412023258</v>
      </c>
      <c r="E519" s="16" t="s">
        <v>7496</v>
      </c>
      <c r="F519" s="20" t="s">
        <v>7497</v>
      </c>
      <c r="G519" s="17" t="s">
        <v>7452</v>
      </c>
    </row>
    <row r="520" spans="1:7" x14ac:dyDescent="0.25">
      <c r="A520">
        <f t="shared" si="8"/>
        <v>4120953</v>
      </c>
      <c r="B520" s="15">
        <v>140640236</v>
      </c>
      <c r="C520" s="15">
        <v>290220674</v>
      </c>
      <c r="D520" s="16">
        <v>412095362</v>
      </c>
      <c r="E520" s="16" t="s">
        <v>7496</v>
      </c>
      <c r="F520" s="20" t="s">
        <v>7498</v>
      </c>
      <c r="G520" s="17" t="s">
        <v>7447</v>
      </c>
    </row>
    <row r="521" spans="1:7" x14ac:dyDescent="0.25">
      <c r="A521">
        <f t="shared" si="8"/>
        <v>4120754</v>
      </c>
      <c r="B521" s="15">
        <v>140640236</v>
      </c>
      <c r="C521" s="15">
        <v>290220708</v>
      </c>
      <c r="D521" s="16">
        <v>412075458</v>
      </c>
      <c r="E521" s="16" t="s">
        <v>7496</v>
      </c>
      <c r="F521" s="20" t="s">
        <v>7439</v>
      </c>
      <c r="G521" s="17" t="s">
        <v>7448</v>
      </c>
    </row>
    <row r="522" spans="1:7" x14ac:dyDescent="0.25">
      <c r="A522">
        <f t="shared" si="8"/>
        <v>4120061</v>
      </c>
      <c r="B522" s="15">
        <v>140640236</v>
      </c>
      <c r="C522" s="15">
        <v>290220740</v>
      </c>
      <c r="D522" s="16">
        <v>412006160</v>
      </c>
      <c r="E522" s="16" t="s">
        <v>7496</v>
      </c>
      <c r="F522" s="20" t="s">
        <v>7499</v>
      </c>
      <c r="G522" s="17" t="s">
        <v>7448</v>
      </c>
    </row>
    <row r="523" spans="1:7" x14ac:dyDescent="0.25">
      <c r="A523">
        <f t="shared" si="8"/>
        <v>4120953</v>
      </c>
      <c r="B523" s="15">
        <v>140640236</v>
      </c>
      <c r="C523" s="15">
        <v>290220758</v>
      </c>
      <c r="D523" s="16">
        <v>412095358</v>
      </c>
      <c r="E523" s="16" t="s">
        <v>7496</v>
      </c>
      <c r="F523" s="20" t="s">
        <v>7500</v>
      </c>
      <c r="G523" s="17" t="s">
        <v>7447</v>
      </c>
    </row>
    <row r="524" spans="1:7" x14ac:dyDescent="0.25">
      <c r="A524">
        <f t="shared" si="8"/>
        <v>4120773</v>
      </c>
      <c r="B524" s="15">
        <v>140640236</v>
      </c>
      <c r="C524" s="15">
        <v>290220771</v>
      </c>
      <c r="D524" s="16">
        <v>412077362</v>
      </c>
      <c r="E524" s="16" t="s">
        <v>7496</v>
      </c>
      <c r="F524" s="20" t="s">
        <v>7501</v>
      </c>
      <c r="G524" s="17" t="s">
        <v>7451</v>
      </c>
    </row>
    <row r="525" spans="1:7" x14ac:dyDescent="0.25">
      <c r="A525">
        <f t="shared" si="8"/>
        <v>4120754</v>
      </c>
      <c r="B525" s="15">
        <v>140640236</v>
      </c>
      <c r="C525" s="15">
        <v>290220750</v>
      </c>
      <c r="D525" s="16">
        <v>412075460</v>
      </c>
      <c r="E525" s="16" t="s">
        <v>7496</v>
      </c>
      <c r="F525" s="20" t="s">
        <v>7438</v>
      </c>
      <c r="G525" s="17" t="s">
        <v>7448</v>
      </c>
    </row>
    <row r="526" spans="1:7" x14ac:dyDescent="0.25">
      <c r="A526">
        <f t="shared" si="8"/>
        <v>4120953</v>
      </c>
      <c r="B526" s="15">
        <v>140640236</v>
      </c>
      <c r="C526" s="15">
        <v>290220726</v>
      </c>
      <c r="D526" s="16">
        <v>412095360</v>
      </c>
      <c r="E526" s="16" t="s">
        <v>7496</v>
      </c>
      <c r="F526" s="20" t="s">
        <v>7502</v>
      </c>
      <c r="G526" s="17" t="s">
        <v>7447</v>
      </c>
    </row>
    <row r="527" spans="1:7" x14ac:dyDescent="0.25">
      <c r="A527">
        <f t="shared" si="8"/>
        <v>4120773</v>
      </c>
      <c r="B527" s="15">
        <v>140640236</v>
      </c>
      <c r="C527" s="15">
        <v>290220690</v>
      </c>
      <c r="D527" s="16">
        <v>412077358</v>
      </c>
      <c r="E527" s="16" t="s">
        <v>7496</v>
      </c>
      <c r="F527" s="20" t="s">
        <v>7503</v>
      </c>
      <c r="G527" s="17" t="s">
        <v>7451</v>
      </c>
    </row>
    <row r="528" spans="1:7" x14ac:dyDescent="0.25">
      <c r="A528">
        <f t="shared" si="8"/>
        <v>4120754</v>
      </c>
      <c r="B528" s="15">
        <v>140640236</v>
      </c>
      <c r="C528" s="15">
        <v>290220682</v>
      </c>
      <c r="D528" s="16">
        <v>412075462</v>
      </c>
      <c r="E528" s="16" t="s">
        <v>7496</v>
      </c>
      <c r="F528" s="20" t="s">
        <v>7437</v>
      </c>
      <c r="G528" s="17" t="s">
        <v>7448</v>
      </c>
    </row>
    <row r="529" spans="1:7" x14ac:dyDescent="0.25">
      <c r="A529">
        <f t="shared" si="8"/>
        <v>4120069</v>
      </c>
      <c r="B529" s="15">
        <v>140640236</v>
      </c>
      <c r="C529" s="15">
        <v>290220715</v>
      </c>
      <c r="D529" s="16">
        <v>412006962</v>
      </c>
      <c r="E529" s="16" t="s">
        <v>7496</v>
      </c>
      <c r="F529" s="20" t="s">
        <v>7277</v>
      </c>
      <c r="G529" s="17" t="s">
        <v>7455</v>
      </c>
    </row>
    <row r="530" spans="1:7" x14ac:dyDescent="0.25">
      <c r="A530">
        <f t="shared" si="8"/>
        <v>4120069</v>
      </c>
      <c r="B530" s="15">
        <v>140640236</v>
      </c>
      <c r="C530" s="15">
        <v>290220702</v>
      </c>
      <c r="D530" s="16">
        <v>412006960</v>
      </c>
      <c r="E530" s="16" t="s">
        <v>7496</v>
      </c>
      <c r="F530" s="20" t="s">
        <v>7255</v>
      </c>
      <c r="G530" s="17" t="s">
        <v>7455</v>
      </c>
    </row>
    <row r="531" spans="1:7" x14ac:dyDescent="0.25">
      <c r="A531">
        <f t="shared" si="8"/>
        <v>4120773</v>
      </c>
      <c r="B531" s="15">
        <v>140640236</v>
      </c>
      <c r="C531" s="15">
        <v>290220728</v>
      </c>
      <c r="D531" s="16">
        <v>412077360</v>
      </c>
      <c r="E531" s="16" t="s">
        <v>7496</v>
      </c>
      <c r="F531" s="20" t="s">
        <v>7504</v>
      </c>
      <c r="G531" s="17" t="s">
        <v>7451</v>
      </c>
    </row>
    <row r="532" spans="1:7" x14ac:dyDescent="0.25">
      <c r="A532">
        <f t="shared" si="8"/>
        <v>4120232</v>
      </c>
      <c r="B532" s="15">
        <v>140640236</v>
      </c>
      <c r="C532" s="15">
        <v>290220736</v>
      </c>
      <c r="D532" s="16">
        <v>412023262</v>
      </c>
      <c r="E532" s="16" t="s">
        <v>7496</v>
      </c>
      <c r="F532" s="20" t="s">
        <v>7505</v>
      </c>
      <c r="G532" s="17" t="s">
        <v>7452</v>
      </c>
    </row>
    <row r="533" spans="1:7" x14ac:dyDescent="0.25">
      <c r="A533">
        <f t="shared" si="8"/>
        <v>4120061</v>
      </c>
      <c r="B533" s="15">
        <v>140640236</v>
      </c>
      <c r="C533" s="15">
        <v>290220723</v>
      </c>
      <c r="D533" s="16">
        <v>412006158</v>
      </c>
      <c r="E533" s="16" t="s">
        <v>7496</v>
      </c>
      <c r="F533" s="20" t="s">
        <v>7506</v>
      </c>
      <c r="G533" s="17" t="s">
        <v>7448</v>
      </c>
    </row>
    <row r="534" spans="1:7" x14ac:dyDescent="0.25">
      <c r="A534">
        <f t="shared" si="8"/>
        <v>4120232</v>
      </c>
      <c r="B534" s="15">
        <v>140640236</v>
      </c>
      <c r="C534" s="15">
        <v>290220718</v>
      </c>
      <c r="D534" s="16">
        <v>412023260</v>
      </c>
      <c r="E534" s="16" t="s">
        <v>7496</v>
      </c>
      <c r="F534" s="20" t="s">
        <v>7507</v>
      </c>
      <c r="G534" s="17" t="s">
        <v>7452</v>
      </c>
    </row>
    <row r="535" spans="1:7" x14ac:dyDescent="0.25">
      <c r="A535">
        <f t="shared" si="8"/>
        <v>4120061</v>
      </c>
      <c r="B535" s="15">
        <v>140640236</v>
      </c>
      <c r="C535" s="15">
        <v>290220696</v>
      </c>
      <c r="D535" s="16">
        <v>412006162</v>
      </c>
      <c r="E535" s="16" t="s">
        <v>7496</v>
      </c>
      <c r="F535" s="20" t="s">
        <v>7508</v>
      </c>
      <c r="G535" s="17" t="s">
        <v>7448</v>
      </c>
    </row>
    <row r="536" spans="1:7" x14ac:dyDescent="0.25">
      <c r="A536">
        <f t="shared" si="8"/>
        <v>5101170</v>
      </c>
      <c r="B536" s="15">
        <v>140611586</v>
      </c>
      <c r="C536" s="15">
        <v>290189187</v>
      </c>
      <c r="D536" s="16">
        <v>510117004</v>
      </c>
      <c r="E536" s="16" t="s">
        <v>7509</v>
      </c>
      <c r="F536" s="20" t="s">
        <v>7510</v>
      </c>
      <c r="G536" s="17" t="s">
        <v>7511</v>
      </c>
    </row>
    <row r="537" spans="1:7" x14ac:dyDescent="0.25">
      <c r="A537">
        <f t="shared" si="8"/>
        <v>5101170</v>
      </c>
      <c r="B537" s="15">
        <v>140611586</v>
      </c>
      <c r="C537" s="15">
        <v>290189186</v>
      </c>
      <c r="D537" s="16">
        <v>510117000</v>
      </c>
      <c r="E537" s="16" t="s">
        <v>7509</v>
      </c>
      <c r="F537" s="20" t="s">
        <v>7512</v>
      </c>
      <c r="G537" s="17" t="s">
        <v>7511</v>
      </c>
    </row>
    <row r="538" spans="1:7" x14ac:dyDescent="0.25">
      <c r="A538">
        <f t="shared" si="8"/>
        <v>5101170</v>
      </c>
      <c r="B538" s="15">
        <v>140611586</v>
      </c>
      <c r="C538" s="15">
        <v>290189189</v>
      </c>
      <c r="D538" s="16">
        <v>510117010</v>
      </c>
      <c r="E538" s="16" t="s">
        <v>7509</v>
      </c>
      <c r="F538" s="20" t="s">
        <v>7513</v>
      </c>
      <c r="G538" s="17" t="s">
        <v>7511</v>
      </c>
    </row>
    <row r="539" spans="1:7" x14ac:dyDescent="0.25">
      <c r="A539">
        <f t="shared" si="8"/>
        <v>5101170</v>
      </c>
      <c r="B539" s="15">
        <v>140611586</v>
      </c>
      <c r="C539" s="15">
        <v>290189193</v>
      </c>
      <c r="D539" s="16">
        <v>510117006</v>
      </c>
      <c r="E539" s="16" t="s">
        <v>7509</v>
      </c>
      <c r="F539" s="20" t="s">
        <v>7514</v>
      </c>
      <c r="G539" s="17" t="s">
        <v>7511</v>
      </c>
    </row>
    <row r="540" spans="1:7" x14ac:dyDescent="0.25">
      <c r="A540">
        <f t="shared" si="8"/>
        <v>5101170</v>
      </c>
      <c r="B540" s="15">
        <v>140611586</v>
      </c>
      <c r="C540" s="15">
        <v>290189196</v>
      </c>
      <c r="D540" s="16">
        <v>510117009</v>
      </c>
      <c r="E540" s="16" t="s">
        <v>7509</v>
      </c>
      <c r="F540" s="20" t="s">
        <v>7515</v>
      </c>
      <c r="G540" s="17" t="s">
        <v>7511</v>
      </c>
    </row>
    <row r="541" spans="1:7" x14ac:dyDescent="0.25">
      <c r="A541">
        <f t="shared" si="8"/>
        <v>5101171</v>
      </c>
      <c r="B541" s="15">
        <v>140611586</v>
      </c>
      <c r="C541" s="15">
        <v>290189207</v>
      </c>
      <c r="D541" s="16">
        <v>510117109</v>
      </c>
      <c r="E541" s="16" t="s">
        <v>7509</v>
      </c>
      <c r="F541" s="20" t="s">
        <v>7516</v>
      </c>
      <c r="G541" s="17" t="s">
        <v>7517</v>
      </c>
    </row>
    <row r="542" spans="1:7" x14ac:dyDescent="0.25">
      <c r="A542">
        <f t="shared" si="8"/>
        <v>5101171</v>
      </c>
      <c r="B542" s="15">
        <v>140611586</v>
      </c>
      <c r="C542" s="15">
        <v>290189202</v>
      </c>
      <c r="D542" s="16">
        <v>510117104</v>
      </c>
      <c r="E542" s="16" t="s">
        <v>7509</v>
      </c>
      <c r="F542" s="20" t="s">
        <v>7518</v>
      </c>
      <c r="G542" s="17" t="s">
        <v>7517</v>
      </c>
    </row>
    <row r="543" spans="1:7" x14ac:dyDescent="0.25">
      <c r="A543">
        <f t="shared" si="8"/>
        <v>5101171</v>
      </c>
      <c r="B543" s="15">
        <v>140611586</v>
      </c>
      <c r="C543" s="15">
        <v>290189206</v>
      </c>
      <c r="D543" s="16">
        <v>510117108</v>
      </c>
      <c r="E543" s="16" t="s">
        <v>7509</v>
      </c>
      <c r="F543" s="20" t="s">
        <v>7519</v>
      </c>
      <c r="G543" s="17" t="s">
        <v>7517</v>
      </c>
    </row>
    <row r="544" spans="1:7" x14ac:dyDescent="0.25">
      <c r="A544">
        <f t="shared" si="8"/>
        <v>5101171</v>
      </c>
      <c r="B544" s="15">
        <v>140611586</v>
      </c>
      <c r="C544" s="15">
        <v>290189205</v>
      </c>
      <c r="D544" s="16">
        <v>510117107</v>
      </c>
      <c r="E544" s="16" t="s">
        <v>7509</v>
      </c>
      <c r="F544" s="20" t="s">
        <v>7520</v>
      </c>
      <c r="G544" s="17" t="s">
        <v>7517</v>
      </c>
    </row>
    <row r="545" spans="1:7" x14ac:dyDescent="0.25">
      <c r="A545">
        <f t="shared" si="8"/>
        <v>5101171</v>
      </c>
      <c r="B545" s="15">
        <v>140611586</v>
      </c>
      <c r="C545" s="15">
        <v>290189203</v>
      </c>
      <c r="D545" s="16">
        <v>510117105</v>
      </c>
      <c r="E545" s="16" t="s">
        <v>7509</v>
      </c>
      <c r="F545" s="20" t="s">
        <v>7521</v>
      </c>
      <c r="G545" s="17" t="s">
        <v>7517</v>
      </c>
    </row>
    <row r="546" spans="1:7" x14ac:dyDescent="0.25">
      <c r="A546">
        <f t="shared" si="8"/>
        <v>5101171</v>
      </c>
      <c r="B546" s="15">
        <v>140611586</v>
      </c>
      <c r="C546" s="15">
        <v>290189204</v>
      </c>
      <c r="D546" s="16">
        <v>510117106</v>
      </c>
      <c r="E546" s="16" t="s">
        <v>7509</v>
      </c>
      <c r="F546" s="20" t="s">
        <v>7522</v>
      </c>
      <c r="G546" s="17" t="s">
        <v>7517</v>
      </c>
    </row>
    <row r="547" spans="1:7" x14ac:dyDescent="0.25">
      <c r="A547">
        <f t="shared" si="8"/>
        <v>5101850</v>
      </c>
      <c r="B547" s="15">
        <v>140611586</v>
      </c>
      <c r="C547" s="15">
        <v>290189212</v>
      </c>
      <c r="D547" s="16">
        <v>510185003</v>
      </c>
      <c r="E547" s="16" t="s">
        <v>7509</v>
      </c>
      <c r="F547" s="20" t="s">
        <v>7523</v>
      </c>
      <c r="G547" s="17" t="s">
        <v>7524</v>
      </c>
    </row>
    <row r="548" spans="1:7" x14ac:dyDescent="0.25">
      <c r="A548">
        <f t="shared" si="8"/>
        <v>5101850</v>
      </c>
      <c r="B548" s="15">
        <v>140611586</v>
      </c>
      <c r="C548" s="15">
        <v>290189208</v>
      </c>
      <c r="D548" s="16">
        <v>510185010</v>
      </c>
      <c r="E548" s="16" t="s">
        <v>7509</v>
      </c>
      <c r="F548" s="20" t="s">
        <v>7525</v>
      </c>
      <c r="G548" s="17" t="s">
        <v>7524</v>
      </c>
    </row>
    <row r="549" spans="1:7" x14ac:dyDescent="0.25">
      <c r="A549">
        <f t="shared" si="8"/>
        <v>5101850</v>
      </c>
      <c r="B549" s="15">
        <v>140611586</v>
      </c>
      <c r="C549" s="15">
        <v>290189214</v>
      </c>
      <c r="D549" s="16">
        <v>510185005</v>
      </c>
      <c r="E549" s="16" t="s">
        <v>7509</v>
      </c>
      <c r="F549" s="20" t="s">
        <v>7526</v>
      </c>
      <c r="G549" s="17" t="s">
        <v>7524</v>
      </c>
    </row>
    <row r="550" spans="1:7" x14ac:dyDescent="0.25">
      <c r="A550">
        <f t="shared" si="8"/>
        <v>5101170</v>
      </c>
      <c r="B550" s="15">
        <v>140611586</v>
      </c>
      <c r="C550" s="15">
        <v>290189190</v>
      </c>
      <c r="D550" s="16">
        <v>510117001</v>
      </c>
      <c r="E550" s="16" t="s">
        <v>7509</v>
      </c>
      <c r="F550" s="20" t="s">
        <v>7527</v>
      </c>
      <c r="G550" s="17" t="s">
        <v>7511</v>
      </c>
    </row>
    <row r="551" spans="1:7" x14ac:dyDescent="0.25">
      <c r="A551">
        <f t="shared" si="8"/>
        <v>5101170</v>
      </c>
      <c r="B551" s="15">
        <v>140611586</v>
      </c>
      <c r="C551" s="15">
        <v>290189194</v>
      </c>
      <c r="D551" s="16">
        <v>510117007</v>
      </c>
      <c r="E551" s="16" t="s">
        <v>7509</v>
      </c>
      <c r="F551" s="20" t="s">
        <v>7528</v>
      </c>
      <c r="G551" s="17" t="s">
        <v>7511</v>
      </c>
    </row>
    <row r="552" spans="1:7" x14ac:dyDescent="0.25">
      <c r="A552">
        <f t="shared" si="8"/>
        <v>5101850</v>
      </c>
      <c r="B552" s="15">
        <v>140611586</v>
      </c>
      <c r="C552" s="15">
        <v>290189215</v>
      </c>
      <c r="D552" s="16">
        <v>510185006</v>
      </c>
      <c r="E552" s="16" t="s">
        <v>7509</v>
      </c>
      <c r="F552" s="20" t="s">
        <v>7529</v>
      </c>
      <c r="G552" s="17" t="s">
        <v>7524</v>
      </c>
    </row>
    <row r="553" spans="1:7" x14ac:dyDescent="0.25">
      <c r="A553">
        <f t="shared" si="8"/>
        <v>5101850</v>
      </c>
      <c r="B553" s="15">
        <v>140611586</v>
      </c>
      <c r="C553" s="15">
        <v>290189217</v>
      </c>
      <c r="D553" s="16">
        <v>510185008</v>
      </c>
      <c r="E553" s="16" t="s">
        <v>7509</v>
      </c>
      <c r="F553" s="20" t="s">
        <v>7530</v>
      </c>
      <c r="G553" s="17" t="s">
        <v>7524</v>
      </c>
    </row>
    <row r="554" spans="1:7" x14ac:dyDescent="0.25">
      <c r="A554">
        <f t="shared" si="8"/>
        <v>5101171</v>
      </c>
      <c r="B554" s="15">
        <v>140611586</v>
      </c>
      <c r="C554" s="15">
        <v>290189198</v>
      </c>
      <c r="D554" s="16">
        <v>510117100</v>
      </c>
      <c r="E554" s="16" t="s">
        <v>7509</v>
      </c>
      <c r="F554" s="20" t="s">
        <v>7531</v>
      </c>
      <c r="G554" s="17" t="s">
        <v>7517</v>
      </c>
    </row>
    <row r="555" spans="1:7" x14ac:dyDescent="0.25">
      <c r="A555">
        <f t="shared" si="8"/>
        <v>5101171</v>
      </c>
      <c r="B555" s="15">
        <v>140611586</v>
      </c>
      <c r="C555" s="15">
        <v>290189201</v>
      </c>
      <c r="D555" s="16">
        <v>510117103</v>
      </c>
      <c r="E555" s="16" t="s">
        <v>7509</v>
      </c>
      <c r="F555" s="20" t="s">
        <v>7532</v>
      </c>
      <c r="G555" s="17" t="s">
        <v>7517</v>
      </c>
    </row>
    <row r="556" spans="1:7" x14ac:dyDescent="0.25">
      <c r="A556">
        <f t="shared" si="8"/>
        <v>5101850</v>
      </c>
      <c r="B556" s="15">
        <v>140611586</v>
      </c>
      <c r="C556" s="15">
        <v>290189216</v>
      </c>
      <c r="D556" s="16">
        <v>510185007</v>
      </c>
      <c r="E556" s="16" t="s">
        <v>7509</v>
      </c>
      <c r="F556" s="20" t="s">
        <v>7533</v>
      </c>
      <c r="G556" s="17" t="s">
        <v>7524</v>
      </c>
    </row>
    <row r="557" spans="1:7" x14ac:dyDescent="0.25">
      <c r="A557">
        <f t="shared" si="8"/>
        <v>5101171</v>
      </c>
      <c r="B557" s="15">
        <v>140611586</v>
      </c>
      <c r="C557" s="15">
        <v>290189200</v>
      </c>
      <c r="D557" s="16">
        <v>510117102</v>
      </c>
      <c r="E557" s="16" t="s">
        <v>7509</v>
      </c>
      <c r="F557" s="20" t="s">
        <v>7534</v>
      </c>
      <c r="G557" s="17" t="s">
        <v>7517</v>
      </c>
    </row>
    <row r="558" spans="1:7" x14ac:dyDescent="0.25">
      <c r="A558">
        <f t="shared" si="8"/>
        <v>5101850</v>
      </c>
      <c r="B558" s="15">
        <v>140611586</v>
      </c>
      <c r="C558" s="15">
        <v>290189218</v>
      </c>
      <c r="D558" s="16">
        <v>510185009</v>
      </c>
      <c r="E558" s="16" t="s">
        <v>7509</v>
      </c>
      <c r="F558" s="20" t="s">
        <v>7535</v>
      </c>
      <c r="G558" s="17" t="s">
        <v>7524</v>
      </c>
    </row>
    <row r="559" spans="1:7" x14ac:dyDescent="0.25">
      <c r="A559">
        <f t="shared" si="8"/>
        <v>5101171</v>
      </c>
      <c r="B559" s="15">
        <v>140611586</v>
      </c>
      <c r="C559" s="15">
        <v>290189199</v>
      </c>
      <c r="D559" s="16">
        <v>510117101</v>
      </c>
      <c r="E559" s="16" t="s">
        <v>7509</v>
      </c>
      <c r="F559" s="20" t="s">
        <v>7536</v>
      </c>
      <c r="G559" s="17" t="s">
        <v>7517</v>
      </c>
    </row>
    <row r="560" spans="1:7" x14ac:dyDescent="0.25">
      <c r="A560">
        <f t="shared" si="8"/>
        <v>5101170</v>
      </c>
      <c r="B560" s="15">
        <v>140611586</v>
      </c>
      <c r="C560" s="15">
        <v>290189188</v>
      </c>
      <c r="D560" s="16">
        <v>510117002</v>
      </c>
      <c r="E560" s="16" t="s">
        <v>7509</v>
      </c>
      <c r="F560" s="20" t="s">
        <v>7537</v>
      </c>
      <c r="G560" s="17" t="s">
        <v>7511</v>
      </c>
    </row>
    <row r="561" spans="1:7" x14ac:dyDescent="0.25">
      <c r="A561">
        <f t="shared" si="8"/>
        <v>5101170</v>
      </c>
      <c r="B561" s="15">
        <v>140611586</v>
      </c>
      <c r="C561" s="15">
        <v>290189195</v>
      </c>
      <c r="D561" s="16">
        <v>510117008</v>
      </c>
      <c r="E561" s="16" t="s">
        <v>7509</v>
      </c>
      <c r="F561" s="20" t="s">
        <v>7538</v>
      </c>
      <c r="G561" s="17" t="s">
        <v>7511</v>
      </c>
    </row>
    <row r="562" spans="1:7" x14ac:dyDescent="0.25">
      <c r="A562">
        <f t="shared" si="8"/>
        <v>5101850</v>
      </c>
      <c r="B562" s="15">
        <v>140611586</v>
      </c>
      <c r="C562" s="15">
        <v>290189211</v>
      </c>
      <c r="D562" s="16">
        <v>510185002</v>
      </c>
      <c r="E562" s="16" t="s">
        <v>7509</v>
      </c>
      <c r="F562" s="20" t="s">
        <v>7539</v>
      </c>
      <c r="G562" s="17" t="s">
        <v>7524</v>
      </c>
    </row>
    <row r="563" spans="1:7" x14ac:dyDescent="0.25">
      <c r="A563">
        <f t="shared" si="8"/>
        <v>5101170</v>
      </c>
      <c r="B563" s="15">
        <v>140611586</v>
      </c>
      <c r="C563" s="15">
        <v>290189191</v>
      </c>
      <c r="D563" s="16">
        <v>510117003</v>
      </c>
      <c r="E563" s="16" t="s">
        <v>7509</v>
      </c>
      <c r="F563" s="20" t="s">
        <v>7540</v>
      </c>
      <c r="G563" s="17" t="s">
        <v>7511</v>
      </c>
    </row>
    <row r="564" spans="1:7" x14ac:dyDescent="0.25">
      <c r="A564">
        <f t="shared" si="8"/>
        <v>5101850</v>
      </c>
      <c r="B564" s="15">
        <v>140611586</v>
      </c>
      <c r="C564" s="15">
        <v>290189209</v>
      </c>
      <c r="D564" s="16">
        <v>510185000</v>
      </c>
      <c r="E564" s="16" t="s">
        <v>7509</v>
      </c>
      <c r="F564" s="20" t="s">
        <v>7541</v>
      </c>
      <c r="G564" s="17" t="s">
        <v>7524</v>
      </c>
    </row>
    <row r="565" spans="1:7" x14ac:dyDescent="0.25">
      <c r="A565">
        <f t="shared" si="8"/>
        <v>5101171</v>
      </c>
      <c r="B565" s="15">
        <v>140611586</v>
      </c>
      <c r="C565" s="15">
        <v>290189197</v>
      </c>
      <c r="D565" s="16">
        <v>510117110</v>
      </c>
      <c r="E565" s="16" t="s">
        <v>7509</v>
      </c>
      <c r="F565" s="20" t="s">
        <v>7542</v>
      </c>
      <c r="G565" s="17" t="s">
        <v>7517</v>
      </c>
    </row>
    <row r="566" spans="1:7" x14ac:dyDescent="0.25">
      <c r="A566">
        <f t="shared" si="8"/>
        <v>5101850</v>
      </c>
      <c r="B566" s="15">
        <v>140611586</v>
      </c>
      <c r="C566" s="15">
        <v>290189210</v>
      </c>
      <c r="D566" s="16">
        <v>510185001</v>
      </c>
      <c r="E566" s="16" t="s">
        <v>7509</v>
      </c>
      <c r="F566" s="20" t="s">
        <v>7543</v>
      </c>
      <c r="G566" s="17" t="s">
        <v>7524</v>
      </c>
    </row>
    <row r="567" spans="1:7" x14ac:dyDescent="0.25">
      <c r="A567">
        <f t="shared" si="8"/>
        <v>5101170</v>
      </c>
      <c r="B567" s="15">
        <v>140611586</v>
      </c>
      <c r="C567" s="15">
        <v>290189192</v>
      </c>
      <c r="D567" s="16">
        <v>510117005</v>
      </c>
      <c r="E567" s="16" t="s">
        <v>7509</v>
      </c>
      <c r="F567" s="20" t="s">
        <v>7544</v>
      </c>
      <c r="G567" s="17" t="s">
        <v>7511</v>
      </c>
    </row>
    <row r="568" spans="1:7" x14ac:dyDescent="0.25">
      <c r="A568">
        <f t="shared" si="8"/>
        <v>5101850</v>
      </c>
      <c r="B568" s="15">
        <v>140611586</v>
      </c>
      <c r="C568" s="15">
        <v>290189213</v>
      </c>
      <c r="D568" s="16">
        <v>510185004</v>
      </c>
      <c r="E568" s="16" t="s">
        <v>7509</v>
      </c>
      <c r="F568" s="20" t="s">
        <v>7545</v>
      </c>
      <c r="G568" s="17" t="s">
        <v>7524</v>
      </c>
    </row>
    <row r="569" spans="1:7" x14ac:dyDescent="0.25">
      <c r="A569">
        <f t="shared" si="8"/>
        <v>5101850</v>
      </c>
      <c r="B569" s="15">
        <v>140232869</v>
      </c>
      <c r="C569" s="15">
        <v>289793928</v>
      </c>
      <c r="D569" s="16">
        <v>510185009</v>
      </c>
      <c r="E569" s="16" t="s">
        <v>7546</v>
      </c>
      <c r="F569" s="20" t="s">
        <v>7535</v>
      </c>
      <c r="G569" s="17" t="s">
        <v>7524</v>
      </c>
    </row>
    <row r="570" spans="1:7" x14ac:dyDescent="0.25">
      <c r="A570">
        <f t="shared" si="8"/>
        <v>5101171</v>
      </c>
      <c r="B570" s="15">
        <v>140232869</v>
      </c>
      <c r="C570" s="15">
        <v>289793899</v>
      </c>
      <c r="D570" s="16">
        <v>510117104</v>
      </c>
      <c r="E570" s="16" t="s">
        <v>7546</v>
      </c>
      <c r="F570" s="20" t="s">
        <v>7518</v>
      </c>
      <c r="G570" s="17" t="s">
        <v>7517</v>
      </c>
    </row>
    <row r="571" spans="1:7" x14ac:dyDescent="0.25">
      <c r="A571">
        <f t="shared" si="8"/>
        <v>5101850</v>
      </c>
      <c r="B571" s="15">
        <v>140232869</v>
      </c>
      <c r="C571" s="15">
        <v>289793912</v>
      </c>
      <c r="D571" s="16">
        <v>510185001</v>
      </c>
      <c r="E571" s="16" t="s">
        <v>7546</v>
      </c>
      <c r="F571" s="20" t="s">
        <v>7543</v>
      </c>
      <c r="G571" s="17" t="s">
        <v>7524</v>
      </c>
    </row>
    <row r="572" spans="1:7" x14ac:dyDescent="0.25">
      <c r="A572">
        <f t="shared" si="8"/>
        <v>5101170</v>
      </c>
      <c r="B572" s="15">
        <v>140232869</v>
      </c>
      <c r="C572" s="15">
        <v>289793876</v>
      </c>
      <c r="D572" s="16">
        <v>510117001</v>
      </c>
      <c r="E572" s="16" t="s">
        <v>7546</v>
      </c>
      <c r="F572" s="20" t="s">
        <v>7527</v>
      </c>
      <c r="G572" s="17" t="s">
        <v>7511</v>
      </c>
    </row>
    <row r="573" spans="1:7" x14ac:dyDescent="0.25">
      <c r="A573">
        <f t="shared" si="8"/>
        <v>5101171</v>
      </c>
      <c r="B573" s="15">
        <v>140232869</v>
      </c>
      <c r="C573" s="15">
        <v>289793897</v>
      </c>
      <c r="D573" s="16">
        <v>510117103</v>
      </c>
      <c r="E573" s="16" t="s">
        <v>7546</v>
      </c>
      <c r="F573" s="20" t="s">
        <v>7532</v>
      </c>
      <c r="G573" s="17" t="s">
        <v>7517</v>
      </c>
    </row>
    <row r="574" spans="1:7" x14ac:dyDescent="0.25">
      <c r="A574">
        <f t="shared" si="8"/>
        <v>5101850</v>
      </c>
      <c r="B574" s="15">
        <v>140232869</v>
      </c>
      <c r="C574" s="15">
        <v>289793927</v>
      </c>
      <c r="D574" s="16">
        <v>510185008</v>
      </c>
      <c r="E574" s="16" t="s">
        <v>7546</v>
      </c>
      <c r="F574" s="20" t="s">
        <v>7530</v>
      </c>
      <c r="G574" s="17" t="s">
        <v>7524</v>
      </c>
    </row>
    <row r="575" spans="1:7" x14ac:dyDescent="0.25">
      <c r="A575">
        <f t="shared" si="8"/>
        <v>5101850</v>
      </c>
      <c r="B575" s="15">
        <v>140232869</v>
      </c>
      <c r="C575" s="15">
        <v>289793920</v>
      </c>
      <c r="D575" s="16">
        <v>510185005</v>
      </c>
      <c r="E575" s="16" t="s">
        <v>7546</v>
      </c>
      <c r="F575" s="20" t="s">
        <v>7526</v>
      </c>
      <c r="G575" s="17" t="s">
        <v>7524</v>
      </c>
    </row>
    <row r="576" spans="1:7" x14ac:dyDescent="0.25">
      <c r="A576">
        <f t="shared" si="8"/>
        <v>5101850</v>
      </c>
      <c r="B576" s="15">
        <v>140232869</v>
      </c>
      <c r="C576" s="15">
        <v>289793924</v>
      </c>
      <c r="D576" s="16">
        <v>510185006</v>
      </c>
      <c r="E576" s="16" t="s">
        <v>7546</v>
      </c>
      <c r="F576" s="20" t="s">
        <v>7529</v>
      </c>
      <c r="G576" s="17" t="s">
        <v>7524</v>
      </c>
    </row>
    <row r="577" spans="1:7" x14ac:dyDescent="0.25">
      <c r="A577">
        <f t="shared" si="8"/>
        <v>5101850</v>
      </c>
      <c r="B577" s="15">
        <v>140232869</v>
      </c>
      <c r="C577" s="15">
        <v>289793910</v>
      </c>
      <c r="D577" s="16">
        <v>510185000</v>
      </c>
      <c r="E577" s="16" t="s">
        <v>7546</v>
      </c>
      <c r="F577" s="20" t="s">
        <v>7541</v>
      </c>
      <c r="G577" s="17" t="s">
        <v>7524</v>
      </c>
    </row>
    <row r="578" spans="1:7" x14ac:dyDescent="0.25">
      <c r="A578">
        <f t="shared" si="8"/>
        <v>5101171</v>
      </c>
      <c r="B578" s="15">
        <v>140232869</v>
      </c>
      <c r="C578" s="15">
        <v>289793905</v>
      </c>
      <c r="D578" s="16">
        <v>510117109</v>
      </c>
      <c r="E578" s="16" t="s">
        <v>7546</v>
      </c>
      <c r="F578" s="20" t="s">
        <v>7516</v>
      </c>
      <c r="G578" s="17" t="s">
        <v>7517</v>
      </c>
    </row>
    <row r="579" spans="1:7" x14ac:dyDescent="0.25">
      <c r="A579">
        <f t="shared" ref="A579:A642" si="9">LEFT(D579,7)*1</f>
        <v>5101171</v>
      </c>
      <c r="B579" s="15">
        <v>140232869</v>
      </c>
      <c r="C579" s="15">
        <v>289793902</v>
      </c>
      <c r="D579" s="16">
        <v>510117107</v>
      </c>
      <c r="E579" s="16" t="s">
        <v>7546</v>
      </c>
      <c r="F579" s="20" t="s">
        <v>7520</v>
      </c>
      <c r="G579" s="17" t="s">
        <v>7517</v>
      </c>
    </row>
    <row r="580" spans="1:7" x14ac:dyDescent="0.25">
      <c r="A580">
        <f t="shared" si="9"/>
        <v>5101171</v>
      </c>
      <c r="B580" s="15">
        <v>140232869</v>
      </c>
      <c r="C580" s="15">
        <v>289793893</v>
      </c>
      <c r="D580" s="16">
        <v>510117110</v>
      </c>
      <c r="E580" s="16" t="s">
        <v>7546</v>
      </c>
      <c r="F580" s="20" t="s">
        <v>7542</v>
      </c>
      <c r="G580" s="17" t="s">
        <v>7517</v>
      </c>
    </row>
    <row r="581" spans="1:7" x14ac:dyDescent="0.25">
      <c r="A581">
        <f t="shared" si="9"/>
        <v>5101171</v>
      </c>
      <c r="B581" s="15">
        <v>140232869</v>
      </c>
      <c r="C581" s="15">
        <v>289793896</v>
      </c>
      <c r="D581" s="16">
        <v>510117102</v>
      </c>
      <c r="E581" s="16" t="s">
        <v>7546</v>
      </c>
      <c r="F581" s="20" t="s">
        <v>7534</v>
      </c>
      <c r="G581" s="17" t="s">
        <v>7517</v>
      </c>
    </row>
    <row r="582" spans="1:7" x14ac:dyDescent="0.25">
      <c r="A582">
        <f t="shared" si="9"/>
        <v>5101170</v>
      </c>
      <c r="B582" s="15">
        <v>140232869</v>
      </c>
      <c r="C582" s="15">
        <v>289793885</v>
      </c>
      <c r="D582" s="16">
        <v>510117005</v>
      </c>
      <c r="E582" s="16" t="s">
        <v>7546</v>
      </c>
      <c r="F582" s="20" t="s">
        <v>7544</v>
      </c>
      <c r="G582" s="17" t="s">
        <v>7511</v>
      </c>
    </row>
    <row r="583" spans="1:7" x14ac:dyDescent="0.25">
      <c r="A583">
        <f t="shared" si="9"/>
        <v>5101850</v>
      </c>
      <c r="B583" s="15">
        <v>140232869</v>
      </c>
      <c r="C583" s="15">
        <v>289793925</v>
      </c>
      <c r="D583" s="16">
        <v>510185007</v>
      </c>
      <c r="E583" s="16" t="s">
        <v>7546</v>
      </c>
      <c r="F583" s="20" t="s">
        <v>7533</v>
      </c>
      <c r="G583" s="17" t="s">
        <v>7524</v>
      </c>
    </row>
    <row r="584" spans="1:7" x14ac:dyDescent="0.25">
      <c r="A584">
        <f t="shared" si="9"/>
        <v>5101170</v>
      </c>
      <c r="B584" s="15">
        <v>140232869</v>
      </c>
      <c r="C584" s="15">
        <v>289793891</v>
      </c>
      <c r="D584" s="16">
        <v>510117009</v>
      </c>
      <c r="E584" s="16" t="s">
        <v>7546</v>
      </c>
      <c r="F584" s="20" t="s">
        <v>7515</v>
      </c>
      <c r="G584" s="17" t="s">
        <v>7511</v>
      </c>
    </row>
    <row r="585" spans="1:7" x14ac:dyDescent="0.25">
      <c r="A585">
        <f t="shared" si="9"/>
        <v>5101171</v>
      </c>
      <c r="B585" s="15">
        <v>140232869</v>
      </c>
      <c r="C585" s="15">
        <v>289793894</v>
      </c>
      <c r="D585" s="16">
        <v>510117100</v>
      </c>
      <c r="E585" s="16" t="s">
        <v>7546</v>
      </c>
      <c r="F585" s="20" t="s">
        <v>7531</v>
      </c>
      <c r="G585" s="17" t="s">
        <v>7517</v>
      </c>
    </row>
    <row r="586" spans="1:7" x14ac:dyDescent="0.25">
      <c r="A586">
        <f t="shared" si="9"/>
        <v>5101171</v>
      </c>
      <c r="B586" s="15">
        <v>140232869</v>
      </c>
      <c r="C586" s="15">
        <v>289793901</v>
      </c>
      <c r="D586" s="16">
        <v>510117106</v>
      </c>
      <c r="E586" s="16" t="s">
        <v>7546</v>
      </c>
      <c r="F586" s="20" t="s">
        <v>7522</v>
      </c>
      <c r="G586" s="17" t="s">
        <v>7517</v>
      </c>
    </row>
    <row r="587" spans="1:7" x14ac:dyDescent="0.25">
      <c r="A587">
        <f t="shared" si="9"/>
        <v>5101170</v>
      </c>
      <c r="B587" s="15">
        <v>140232869</v>
      </c>
      <c r="C587" s="15">
        <v>289793872</v>
      </c>
      <c r="D587" s="16">
        <v>510117010</v>
      </c>
      <c r="E587" s="16" t="s">
        <v>7546</v>
      </c>
      <c r="F587" s="20" t="s">
        <v>7513</v>
      </c>
      <c r="G587" s="17" t="s">
        <v>7511</v>
      </c>
    </row>
    <row r="588" spans="1:7" x14ac:dyDescent="0.25">
      <c r="A588">
        <f t="shared" si="9"/>
        <v>5101170</v>
      </c>
      <c r="B588" s="15">
        <v>140232869</v>
      </c>
      <c r="C588" s="15">
        <v>289793882</v>
      </c>
      <c r="D588" s="16">
        <v>510117003</v>
      </c>
      <c r="E588" s="16" t="s">
        <v>7546</v>
      </c>
      <c r="F588" s="20" t="s">
        <v>7540</v>
      </c>
      <c r="G588" s="17" t="s">
        <v>7511</v>
      </c>
    </row>
    <row r="589" spans="1:7" x14ac:dyDescent="0.25">
      <c r="A589">
        <f t="shared" si="9"/>
        <v>5101850</v>
      </c>
      <c r="B589" s="15">
        <v>140232869</v>
      </c>
      <c r="C589" s="15">
        <v>289793907</v>
      </c>
      <c r="D589" s="16">
        <v>510185010</v>
      </c>
      <c r="E589" s="16" t="s">
        <v>7546</v>
      </c>
      <c r="F589" s="20" t="s">
        <v>7525</v>
      </c>
      <c r="G589" s="17" t="s">
        <v>7524</v>
      </c>
    </row>
    <row r="590" spans="1:7" x14ac:dyDescent="0.25">
      <c r="A590">
        <f t="shared" si="9"/>
        <v>5101170</v>
      </c>
      <c r="B590" s="15">
        <v>140232869</v>
      </c>
      <c r="C590" s="15">
        <v>289793866</v>
      </c>
      <c r="D590" s="16">
        <v>510117000</v>
      </c>
      <c r="E590" s="16" t="s">
        <v>7546</v>
      </c>
      <c r="F590" s="20" t="s">
        <v>7512</v>
      </c>
      <c r="G590" s="17" t="s">
        <v>7511</v>
      </c>
    </row>
    <row r="591" spans="1:7" x14ac:dyDescent="0.25">
      <c r="A591">
        <f t="shared" si="9"/>
        <v>5101171</v>
      </c>
      <c r="B591" s="15">
        <v>140232869</v>
      </c>
      <c r="C591" s="15">
        <v>289793904</v>
      </c>
      <c r="D591" s="16">
        <v>510117108</v>
      </c>
      <c r="E591" s="16" t="s">
        <v>7546</v>
      </c>
      <c r="F591" s="20" t="s">
        <v>7519</v>
      </c>
      <c r="G591" s="17" t="s">
        <v>7517</v>
      </c>
    </row>
    <row r="592" spans="1:7" x14ac:dyDescent="0.25">
      <c r="A592">
        <f t="shared" si="9"/>
        <v>5101170</v>
      </c>
      <c r="B592" s="15">
        <v>140232869</v>
      </c>
      <c r="C592" s="15">
        <v>289793890</v>
      </c>
      <c r="D592" s="16">
        <v>510117008</v>
      </c>
      <c r="E592" s="16" t="s">
        <v>7546</v>
      </c>
      <c r="F592" s="20" t="s">
        <v>7538</v>
      </c>
      <c r="G592" s="17" t="s">
        <v>7511</v>
      </c>
    </row>
    <row r="593" spans="1:7" x14ac:dyDescent="0.25">
      <c r="A593">
        <f t="shared" si="9"/>
        <v>5101850</v>
      </c>
      <c r="B593" s="15">
        <v>140232869</v>
      </c>
      <c r="C593" s="15">
        <v>289793915</v>
      </c>
      <c r="D593" s="16">
        <v>510185002</v>
      </c>
      <c r="E593" s="16" t="s">
        <v>7546</v>
      </c>
      <c r="F593" s="20" t="s">
        <v>7539</v>
      </c>
      <c r="G593" s="17" t="s">
        <v>7524</v>
      </c>
    </row>
    <row r="594" spans="1:7" x14ac:dyDescent="0.25">
      <c r="A594">
        <f t="shared" si="9"/>
        <v>5101850</v>
      </c>
      <c r="B594" s="15">
        <v>140232869</v>
      </c>
      <c r="C594" s="15">
        <v>289793917</v>
      </c>
      <c r="D594" s="16">
        <v>510185003</v>
      </c>
      <c r="E594" s="16" t="s">
        <v>7546</v>
      </c>
      <c r="F594" s="20" t="s">
        <v>7523</v>
      </c>
      <c r="G594" s="17" t="s">
        <v>7524</v>
      </c>
    </row>
    <row r="595" spans="1:7" x14ac:dyDescent="0.25">
      <c r="A595">
        <f t="shared" si="9"/>
        <v>5101170</v>
      </c>
      <c r="B595" s="15">
        <v>140232869</v>
      </c>
      <c r="C595" s="15">
        <v>289793889</v>
      </c>
      <c r="D595" s="16">
        <v>510117007</v>
      </c>
      <c r="E595" s="16" t="s">
        <v>7546</v>
      </c>
      <c r="F595" s="20" t="s">
        <v>7528</v>
      </c>
      <c r="G595" s="17" t="s">
        <v>7511</v>
      </c>
    </row>
    <row r="596" spans="1:7" x14ac:dyDescent="0.25">
      <c r="A596">
        <f t="shared" si="9"/>
        <v>5101170</v>
      </c>
      <c r="B596" s="15">
        <v>140232869</v>
      </c>
      <c r="C596" s="15">
        <v>289793867</v>
      </c>
      <c r="D596" s="16">
        <v>510117004</v>
      </c>
      <c r="E596" s="16" t="s">
        <v>7546</v>
      </c>
      <c r="F596" s="20" t="s">
        <v>7510</v>
      </c>
      <c r="G596" s="17" t="s">
        <v>7511</v>
      </c>
    </row>
    <row r="597" spans="1:7" x14ac:dyDescent="0.25">
      <c r="A597">
        <f t="shared" si="9"/>
        <v>5101850</v>
      </c>
      <c r="B597" s="15">
        <v>140232869</v>
      </c>
      <c r="C597" s="15">
        <v>289793918</v>
      </c>
      <c r="D597" s="16">
        <v>510185004</v>
      </c>
      <c r="E597" s="16" t="s">
        <v>7546</v>
      </c>
      <c r="F597" s="20" t="s">
        <v>7545</v>
      </c>
      <c r="G597" s="17" t="s">
        <v>7524</v>
      </c>
    </row>
    <row r="598" spans="1:7" x14ac:dyDescent="0.25">
      <c r="A598">
        <f t="shared" si="9"/>
        <v>5101170</v>
      </c>
      <c r="B598" s="15">
        <v>140232869</v>
      </c>
      <c r="C598" s="15">
        <v>289793887</v>
      </c>
      <c r="D598" s="16">
        <v>510117006</v>
      </c>
      <c r="E598" s="16" t="s">
        <v>7546</v>
      </c>
      <c r="F598" s="20" t="s">
        <v>7514</v>
      </c>
      <c r="G598" s="17" t="s">
        <v>7511</v>
      </c>
    </row>
    <row r="599" spans="1:7" x14ac:dyDescent="0.25">
      <c r="A599">
        <f t="shared" si="9"/>
        <v>5101171</v>
      </c>
      <c r="B599" s="15">
        <v>140232869</v>
      </c>
      <c r="C599" s="15">
        <v>289793895</v>
      </c>
      <c r="D599" s="16">
        <v>510117101</v>
      </c>
      <c r="E599" s="16" t="s">
        <v>7546</v>
      </c>
      <c r="F599" s="20" t="s">
        <v>7536</v>
      </c>
      <c r="G599" s="17" t="s">
        <v>7517</v>
      </c>
    </row>
    <row r="600" spans="1:7" x14ac:dyDescent="0.25">
      <c r="A600">
        <f t="shared" si="9"/>
        <v>5101170</v>
      </c>
      <c r="B600" s="15">
        <v>140232869</v>
      </c>
      <c r="C600" s="15">
        <v>289793869</v>
      </c>
      <c r="D600" s="16">
        <v>510117002</v>
      </c>
      <c r="E600" s="16" t="s">
        <v>7546</v>
      </c>
      <c r="F600" s="20" t="s">
        <v>7537</v>
      </c>
      <c r="G600" s="17" t="s">
        <v>7511</v>
      </c>
    </row>
    <row r="601" spans="1:7" x14ac:dyDescent="0.25">
      <c r="A601">
        <f t="shared" si="9"/>
        <v>5101171</v>
      </c>
      <c r="B601" s="15">
        <v>140232869</v>
      </c>
      <c r="C601" s="15">
        <v>289793900</v>
      </c>
      <c r="D601" s="16">
        <v>510117105</v>
      </c>
      <c r="E601" s="16" t="s">
        <v>7546</v>
      </c>
      <c r="F601" s="20" t="s">
        <v>7521</v>
      </c>
      <c r="G601" s="17" t="s">
        <v>7517</v>
      </c>
    </row>
    <row r="602" spans="1:7" x14ac:dyDescent="0.25">
      <c r="A602">
        <f t="shared" si="9"/>
        <v>5101986</v>
      </c>
      <c r="B602" s="15">
        <v>140640149</v>
      </c>
      <c r="C602" s="15">
        <v>290220135</v>
      </c>
      <c r="D602" s="16">
        <v>510198609</v>
      </c>
      <c r="E602" s="16" t="s">
        <v>7547</v>
      </c>
      <c r="F602" s="20" t="s">
        <v>7200</v>
      </c>
      <c r="G602" s="17" t="s">
        <v>7548</v>
      </c>
    </row>
    <row r="603" spans="1:7" x14ac:dyDescent="0.25">
      <c r="A603">
        <f t="shared" si="9"/>
        <v>5101986</v>
      </c>
      <c r="B603" s="15">
        <v>140640149</v>
      </c>
      <c r="C603" s="15">
        <v>290220126</v>
      </c>
      <c r="D603" s="16">
        <v>510198608</v>
      </c>
      <c r="E603" s="16" t="s">
        <v>7547</v>
      </c>
      <c r="F603" s="20" t="s">
        <v>7201</v>
      </c>
      <c r="G603" s="17" t="s">
        <v>7548</v>
      </c>
    </row>
    <row r="604" spans="1:7" x14ac:dyDescent="0.25">
      <c r="A604">
        <f t="shared" si="9"/>
        <v>5101986</v>
      </c>
      <c r="B604" s="15">
        <v>140640149</v>
      </c>
      <c r="C604" s="15">
        <v>290220120</v>
      </c>
      <c r="D604" s="16">
        <v>510198607</v>
      </c>
      <c r="E604" s="16" t="s">
        <v>7547</v>
      </c>
      <c r="F604" s="20" t="s">
        <v>7199</v>
      </c>
      <c r="G604" s="17" t="s">
        <v>7548</v>
      </c>
    </row>
    <row r="605" spans="1:7" x14ac:dyDescent="0.25">
      <c r="A605">
        <f t="shared" si="9"/>
        <v>5101901</v>
      </c>
      <c r="B605" s="15">
        <v>140640150</v>
      </c>
      <c r="C605" s="15">
        <v>290220140</v>
      </c>
      <c r="D605" s="16">
        <v>510190107</v>
      </c>
      <c r="E605" s="16" t="s">
        <v>7549</v>
      </c>
      <c r="F605" s="20" t="s">
        <v>7176</v>
      </c>
      <c r="G605" s="17" t="s">
        <v>7550</v>
      </c>
    </row>
    <row r="606" spans="1:7" x14ac:dyDescent="0.25">
      <c r="A606">
        <f t="shared" si="9"/>
        <v>5101901</v>
      </c>
      <c r="B606" s="15">
        <v>140640150</v>
      </c>
      <c r="C606" s="15">
        <v>290220151</v>
      </c>
      <c r="D606" s="16">
        <v>510190109</v>
      </c>
      <c r="E606" s="16" t="s">
        <v>7549</v>
      </c>
      <c r="F606" s="20" t="s">
        <v>7182</v>
      </c>
      <c r="G606" s="17" t="s">
        <v>7550</v>
      </c>
    </row>
    <row r="607" spans="1:7" x14ac:dyDescent="0.25">
      <c r="A607">
        <f t="shared" si="9"/>
        <v>5101901</v>
      </c>
      <c r="B607" s="15">
        <v>140640150</v>
      </c>
      <c r="C607" s="15">
        <v>290220146</v>
      </c>
      <c r="D607" s="16">
        <v>510190108</v>
      </c>
      <c r="E607" s="16" t="s">
        <v>7549</v>
      </c>
      <c r="F607" s="20" t="s">
        <v>7177</v>
      </c>
      <c r="G607" s="17" t="s">
        <v>7550</v>
      </c>
    </row>
    <row r="608" spans="1:7" x14ac:dyDescent="0.25">
      <c r="A608">
        <f t="shared" si="9"/>
        <v>5101985</v>
      </c>
      <c r="B608" s="15">
        <v>140640145</v>
      </c>
      <c r="C608" s="15">
        <v>290220094</v>
      </c>
      <c r="D608" s="16">
        <v>510198510</v>
      </c>
      <c r="E608" s="16" t="s">
        <v>7551</v>
      </c>
      <c r="F608" s="20" t="s">
        <v>7191</v>
      </c>
      <c r="G608" s="17" t="s">
        <v>7548</v>
      </c>
    </row>
    <row r="609" spans="1:7" x14ac:dyDescent="0.25">
      <c r="A609">
        <f t="shared" si="9"/>
        <v>5101985</v>
      </c>
      <c r="B609" s="15">
        <v>140640145</v>
      </c>
      <c r="C609" s="15">
        <v>290220088</v>
      </c>
      <c r="D609" s="16">
        <v>510198504</v>
      </c>
      <c r="E609" s="16" t="s">
        <v>7551</v>
      </c>
      <c r="F609" s="20" t="s">
        <v>7193</v>
      </c>
      <c r="G609" s="17" t="s">
        <v>7548</v>
      </c>
    </row>
    <row r="610" spans="1:7" x14ac:dyDescent="0.25">
      <c r="A610">
        <f t="shared" si="9"/>
        <v>5101985</v>
      </c>
      <c r="B610" s="15">
        <v>140640145</v>
      </c>
      <c r="C610" s="15">
        <v>290220103</v>
      </c>
      <c r="D610" s="16">
        <v>510198503</v>
      </c>
      <c r="E610" s="16" t="s">
        <v>7551</v>
      </c>
      <c r="F610" s="20" t="s">
        <v>7194</v>
      </c>
      <c r="G610" s="17" t="s">
        <v>7548</v>
      </c>
    </row>
    <row r="611" spans="1:7" x14ac:dyDescent="0.25">
      <c r="A611">
        <f t="shared" si="9"/>
        <v>5101985</v>
      </c>
      <c r="B611" s="15">
        <v>140640145</v>
      </c>
      <c r="C611" s="15">
        <v>290220113</v>
      </c>
      <c r="D611" s="16">
        <v>510198505</v>
      </c>
      <c r="E611" s="16" t="s">
        <v>7551</v>
      </c>
      <c r="F611" s="20" t="s">
        <v>7196</v>
      </c>
      <c r="G611" s="17" t="s">
        <v>7548</v>
      </c>
    </row>
    <row r="612" spans="1:7" x14ac:dyDescent="0.25">
      <c r="A612">
        <f t="shared" si="9"/>
        <v>5101985</v>
      </c>
      <c r="B612" s="15">
        <v>140640145</v>
      </c>
      <c r="C612" s="15">
        <v>290220098</v>
      </c>
      <c r="D612" s="16">
        <v>510198501</v>
      </c>
      <c r="E612" s="16" t="s">
        <v>7551</v>
      </c>
      <c r="F612" s="20" t="s">
        <v>7197</v>
      </c>
      <c r="G612" s="17" t="s">
        <v>7548</v>
      </c>
    </row>
    <row r="613" spans="1:7" x14ac:dyDescent="0.25">
      <c r="A613">
        <f t="shared" si="9"/>
        <v>5101985</v>
      </c>
      <c r="B613" s="15">
        <v>140640145</v>
      </c>
      <c r="C613" s="15">
        <v>290220117</v>
      </c>
      <c r="D613" s="16">
        <v>510198506</v>
      </c>
      <c r="E613" s="16" t="s">
        <v>7551</v>
      </c>
      <c r="F613" s="20" t="s">
        <v>7183</v>
      </c>
      <c r="G613" s="17" t="s">
        <v>7548</v>
      </c>
    </row>
    <row r="614" spans="1:7" x14ac:dyDescent="0.25">
      <c r="A614">
        <f t="shared" si="9"/>
        <v>5101985</v>
      </c>
      <c r="B614" s="15">
        <v>140640145</v>
      </c>
      <c r="C614" s="15">
        <v>290220092</v>
      </c>
      <c r="D614" s="16">
        <v>510198502</v>
      </c>
      <c r="E614" s="16" t="s">
        <v>7551</v>
      </c>
      <c r="F614" s="20" t="s">
        <v>7198</v>
      </c>
      <c r="G614" s="17" t="s">
        <v>7548</v>
      </c>
    </row>
    <row r="615" spans="1:7" x14ac:dyDescent="0.25">
      <c r="A615">
        <f t="shared" si="9"/>
        <v>5101985</v>
      </c>
      <c r="B615" s="15">
        <v>140640145</v>
      </c>
      <c r="C615" s="15">
        <v>290220108</v>
      </c>
      <c r="D615" s="16">
        <v>510198500</v>
      </c>
      <c r="E615" s="16" t="s">
        <v>7551</v>
      </c>
      <c r="F615" s="20" t="s">
        <v>7195</v>
      </c>
      <c r="G615" s="17" t="s">
        <v>7548</v>
      </c>
    </row>
    <row r="616" spans="1:7" x14ac:dyDescent="0.25">
      <c r="A616">
        <f t="shared" si="9"/>
        <v>5101985</v>
      </c>
      <c r="B616" s="15">
        <v>140640137</v>
      </c>
      <c r="C616" s="15">
        <v>290219937</v>
      </c>
      <c r="D616" s="16">
        <v>510198506</v>
      </c>
      <c r="E616" s="16" t="s">
        <v>7552</v>
      </c>
      <c r="F616" s="20" t="s">
        <v>7183</v>
      </c>
      <c r="G616" s="17" t="s">
        <v>7548</v>
      </c>
    </row>
    <row r="617" spans="1:7" x14ac:dyDescent="0.25">
      <c r="A617">
        <f t="shared" si="9"/>
        <v>5101985</v>
      </c>
      <c r="B617" s="15">
        <v>140640137</v>
      </c>
      <c r="C617" s="15">
        <v>290219926</v>
      </c>
      <c r="D617" s="16">
        <v>510198510</v>
      </c>
      <c r="E617" s="16" t="s">
        <v>7552</v>
      </c>
      <c r="F617" s="20" t="s">
        <v>7191</v>
      </c>
      <c r="G617" s="17" t="s">
        <v>7548</v>
      </c>
    </row>
    <row r="618" spans="1:7" x14ac:dyDescent="0.25">
      <c r="A618">
        <f t="shared" si="9"/>
        <v>5101985</v>
      </c>
      <c r="B618" s="15">
        <v>140640137</v>
      </c>
      <c r="C618" s="15">
        <v>290219920</v>
      </c>
      <c r="D618" s="16">
        <v>510198504</v>
      </c>
      <c r="E618" s="16" t="s">
        <v>7552</v>
      </c>
      <c r="F618" s="20" t="s">
        <v>7193</v>
      </c>
      <c r="G618" s="17" t="s">
        <v>7548</v>
      </c>
    </row>
    <row r="619" spans="1:7" x14ac:dyDescent="0.25">
      <c r="A619">
        <f t="shared" si="9"/>
        <v>5101985</v>
      </c>
      <c r="B619" s="15">
        <v>140640137</v>
      </c>
      <c r="C619" s="15">
        <v>290219929</v>
      </c>
      <c r="D619" s="16">
        <v>510198501</v>
      </c>
      <c r="E619" s="16" t="s">
        <v>7552</v>
      </c>
      <c r="F619" s="20" t="s">
        <v>7197</v>
      </c>
      <c r="G619" s="17" t="s">
        <v>7548</v>
      </c>
    </row>
    <row r="620" spans="1:7" x14ac:dyDescent="0.25">
      <c r="A620">
        <f t="shared" si="9"/>
        <v>5101985</v>
      </c>
      <c r="B620" s="15">
        <v>140640137</v>
      </c>
      <c r="C620" s="15">
        <v>290219931</v>
      </c>
      <c r="D620" s="16">
        <v>510198503</v>
      </c>
      <c r="E620" s="16" t="s">
        <v>7552</v>
      </c>
      <c r="F620" s="20" t="s">
        <v>7194</v>
      </c>
      <c r="G620" s="17" t="s">
        <v>7548</v>
      </c>
    </row>
    <row r="621" spans="1:7" x14ac:dyDescent="0.25">
      <c r="A621">
        <f t="shared" si="9"/>
        <v>5101985</v>
      </c>
      <c r="B621" s="15">
        <v>140640137</v>
      </c>
      <c r="C621" s="15">
        <v>290219935</v>
      </c>
      <c r="D621" s="16">
        <v>510198505</v>
      </c>
      <c r="E621" s="16" t="s">
        <v>7552</v>
      </c>
      <c r="F621" s="20" t="s">
        <v>7196</v>
      </c>
      <c r="G621" s="17" t="s">
        <v>7548</v>
      </c>
    </row>
    <row r="622" spans="1:7" x14ac:dyDescent="0.25">
      <c r="A622">
        <f t="shared" si="9"/>
        <v>5101985</v>
      </c>
      <c r="B622" s="15">
        <v>140640137</v>
      </c>
      <c r="C622" s="15">
        <v>290219923</v>
      </c>
      <c r="D622" s="16">
        <v>510198502</v>
      </c>
      <c r="E622" s="16" t="s">
        <v>7552</v>
      </c>
      <c r="F622" s="20" t="s">
        <v>7198</v>
      </c>
      <c r="G622" s="17" t="s">
        <v>7548</v>
      </c>
    </row>
    <row r="623" spans="1:7" x14ac:dyDescent="0.25">
      <c r="A623">
        <f t="shared" si="9"/>
        <v>5101985</v>
      </c>
      <c r="B623" s="15">
        <v>140640137</v>
      </c>
      <c r="C623" s="15">
        <v>290219934</v>
      </c>
      <c r="D623" s="16">
        <v>510198500</v>
      </c>
      <c r="E623" s="16" t="s">
        <v>7552</v>
      </c>
      <c r="F623" s="20" t="s">
        <v>7195</v>
      </c>
      <c r="G623" s="17" t="s">
        <v>7548</v>
      </c>
    </row>
    <row r="624" spans="1:7" x14ac:dyDescent="0.25">
      <c r="A624">
        <f t="shared" si="9"/>
        <v>5101986</v>
      </c>
      <c r="B624" s="15">
        <v>140640152</v>
      </c>
      <c r="C624" s="15">
        <v>290220178</v>
      </c>
      <c r="D624" s="16">
        <v>510198608</v>
      </c>
      <c r="E624" s="16" t="s">
        <v>7553</v>
      </c>
      <c r="F624" s="20" t="s">
        <v>7201</v>
      </c>
      <c r="G624" s="17" t="s">
        <v>7548</v>
      </c>
    </row>
    <row r="625" spans="1:7" x14ac:dyDescent="0.25">
      <c r="A625">
        <f t="shared" si="9"/>
        <v>5101986</v>
      </c>
      <c r="B625" s="15">
        <v>140640152</v>
      </c>
      <c r="C625" s="15">
        <v>290220164</v>
      </c>
      <c r="D625" s="16">
        <v>510198607</v>
      </c>
      <c r="E625" s="16" t="s">
        <v>7553</v>
      </c>
      <c r="F625" s="20" t="s">
        <v>7199</v>
      </c>
      <c r="G625" s="17" t="s">
        <v>7548</v>
      </c>
    </row>
    <row r="626" spans="1:7" x14ac:dyDescent="0.25">
      <c r="A626">
        <f t="shared" si="9"/>
        <v>5101986</v>
      </c>
      <c r="B626" s="15">
        <v>140640152</v>
      </c>
      <c r="C626" s="15">
        <v>290220196</v>
      </c>
      <c r="D626" s="16">
        <v>510198609</v>
      </c>
      <c r="E626" s="16" t="s">
        <v>7553</v>
      </c>
      <c r="F626" s="20" t="s">
        <v>7200</v>
      </c>
      <c r="G626" s="17" t="s">
        <v>7548</v>
      </c>
    </row>
    <row r="627" spans="1:7" x14ac:dyDescent="0.25">
      <c r="A627">
        <f t="shared" si="9"/>
        <v>5101083</v>
      </c>
      <c r="B627" s="15">
        <v>140640143</v>
      </c>
      <c r="C627" s="15">
        <v>290220063</v>
      </c>
      <c r="D627" s="16">
        <v>510108300</v>
      </c>
      <c r="E627" s="16" t="s">
        <v>7554</v>
      </c>
      <c r="F627" s="20" t="s">
        <v>7202</v>
      </c>
      <c r="G627" s="17" t="s">
        <v>7555</v>
      </c>
    </row>
    <row r="628" spans="1:7" x14ac:dyDescent="0.25">
      <c r="A628">
        <f t="shared" si="9"/>
        <v>5101083</v>
      </c>
      <c r="B628" s="15">
        <v>140640143</v>
      </c>
      <c r="C628" s="15">
        <v>290220069</v>
      </c>
      <c r="D628" s="16">
        <v>510108302</v>
      </c>
      <c r="E628" s="16" t="s">
        <v>7554</v>
      </c>
      <c r="F628" s="20" t="s">
        <v>7185</v>
      </c>
      <c r="G628" s="17" t="s">
        <v>7555</v>
      </c>
    </row>
    <row r="629" spans="1:7" x14ac:dyDescent="0.25">
      <c r="A629">
        <f t="shared" si="9"/>
        <v>5101083</v>
      </c>
      <c r="B629" s="15">
        <v>140640143</v>
      </c>
      <c r="C629" s="15">
        <v>290220078</v>
      </c>
      <c r="D629" s="16">
        <v>510108307</v>
      </c>
      <c r="E629" s="16" t="s">
        <v>7554</v>
      </c>
      <c r="F629" s="20" t="s">
        <v>7179</v>
      </c>
      <c r="G629" s="17" t="s">
        <v>7555</v>
      </c>
    </row>
    <row r="630" spans="1:7" x14ac:dyDescent="0.25">
      <c r="A630">
        <f t="shared" si="9"/>
        <v>5101083</v>
      </c>
      <c r="B630" s="15">
        <v>140640143</v>
      </c>
      <c r="C630" s="15">
        <v>290220066</v>
      </c>
      <c r="D630" s="16">
        <v>510108310</v>
      </c>
      <c r="E630" s="16" t="s">
        <v>7554</v>
      </c>
      <c r="F630" s="20" t="s">
        <v>7192</v>
      </c>
      <c r="G630" s="17" t="s">
        <v>7555</v>
      </c>
    </row>
    <row r="631" spans="1:7" x14ac:dyDescent="0.25">
      <c r="A631">
        <f t="shared" si="9"/>
        <v>5101083</v>
      </c>
      <c r="B631" s="15">
        <v>140640143</v>
      </c>
      <c r="C631" s="15">
        <v>290220062</v>
      </c>
      <c r="D631" s="16">
        <v>510108301</v>
      </c>
      <c r="E631" s="16" t="s">
        <v>7554</v>
      </c>
      <c r="F631" s="20" t="s">
        <v>7186</v>
      </c>
      <c r="G631" s="17" t="s">
        <v>7555</v>
      </c>
    </row>
    <row r="632" spans="1:7" x14ac:dyDescent="0.25">
      <c r="A632">
        <f t="shared" si="9"/>
        <v>5101083</v>
      </c>
      <c r="B632" s="15">
        <v>140640143</v>
      </c>
      <c r="C632" s="15">
        <v>290220071</v>
      </c>
      <c r="D632" s="16">
        <v>510108304</v>
      </c>
      <c r="E632" s="16" t="s">
        <v>7554</v>
      </c>
      <c r="F632" s="20" t="s">
        <v>7189</v>
      </c>
      <c r="G632" s="17" t="s">
        <v>7555</v>
      </c>
    </row>
    <row r="633" spans="1:7" x14ac:dyDescent="0.25">
      <c r="A633">
        <f t="shared" si="9"/>
        <v>5101083</v>
      </c>
      <c r="B633" s="15">
        <v>140640143</v>
      </c>
      <c r="C633" s="15">
        <v>290220084</v>
      </c>
      <c r="D633" s="16">
        <v>510108309</v>
      </c>
      <c r="E633" s="16" t="s">
        <v>7554</v>
      </c>
      <c r="F633" s="20" t="s">
        <v>7181</v>
      </c>
      <c r="G633" s="17" t="s">
        <v>7555</v>
      </c>
    </row>
    <row r="634" spans="1:7" x14ac:dyDescent="0.25">
      <c r="A634">
        <f t="shared" si="9"/>
        <v>5101083</v>
      </c>
      <c r="B634" s="15">
        <v>140640143</v>
      </c>
      <c r="C634" s="15">
        <v>290220077</v>
      </c>
      <c r="D634" s="16">
        <v>510108306</v>
      </c>
      <c r="E634" s="16" t="s">
        <v>7554</v>
      </c>
      <c r="F634" s="20" t="s">
        <v>7178</v>
      </c>
      <c r="G634" s="17" t="s">
        <v>7555</v>
      </c>
    </row>
    <row r="635" spans="1:7" x14ac:dyDescent="0.25">
      <c r="A635">
        <f t="shared" si="9"/>
        <v>5101083</v>
      </c>
      <c r="B635" s="15">
        <v>140640143</v>
      </c>
      <c r="C635" s="15">
        <v>290220070</v>
      </c>
      <c r="D635" s="16">
        <v>510108303</v>
      </c>
      <c r="E635" s="16" t="s">
        <v>7554</v>
      </c>
      <c r="F635" s="20" t="s">
        <v>7187</v>
      </c>
      <c r="G635" s="17" t="s">
        <v>7555</v>
      </c>
    </row>
    <row r="636" spans="1:7" x14ac:dyDescent="0.25">
      <c r="A636">
        <f t="shared" si="9"/>
        <v>5101083</v>
      </c>
      <c r="B636" s="15">
        <v>140640143</v>
      </c>
      <c r="C636" s="15">
        <v>290220074</v>
      </c>
      <c r="D636" s="16">
        <v>510108305</v>
      </c>
      <c r="E636" s="16" t="s">
        <v>7554</v>
      </c>
      <c r="F636" s="20" t="s">
        <v>7184</v>
      </c>
      <c r="G636" s="17" t="s">
        <v>7555</v>
      </c>
    </row>
    <row r="637" spans="1:7" x14ac:dyDescent="0.25">
      <c r="A637">
        <f t="shared" si="9"/>
        <v>5101083</v>
      </c>
      <c r="B637" s="15">
        <v>140640143</v>
      </c>
      <c r="C637" s="15">
        <v>290220082</v>
      </c>
      <c r="D637" s="16">
        <v>510108308</v>
      </c>
      <c r="E637" s="16" t="s">
        <v>7554</v>
      </c>
      <c r="F637" s="20" t="s">
        <v>7180</v>
      </c>
      <c r="G637" s="17" t="s">
        <v>7555</v>
      </c>
    </row>
    <row r="638" spans="1:7" x14ac:dyDescent="0.25">
      <c r="A638">
        <f t="shared" si="9"/>
        <v>5101083</v>
      </c>
      <c r="B638" s="15">
        <v>140640136</v>
      </c>
      <c r="C638" s="15">
        <v>290219957</v>
      </c>
      <c r="D638" s="16">
        <v>510108306</v>
      </c>
      <c r="E638" s="16" t="s">
        <v>7556</v>
      </c>
      <c r="F638" s="20" t="s">
        <v>7178</v>
      </c>
      <c r="G638" s="17" t="s">
        <v>7555</v>
      </c>
    </row>
    <row r="639" spans="1:7" x14ac:dyDescent="0.25">
      <c r="A639">
        <f t="shared" si="9"/>
        <v>5101083</v>
      </c>
      <c r="B639" s="15">
        <v>140640136</v>
      </c>
      <c r="C639" s="15">
        <v>290219933</v>
      </c>
      <c r="D639" s="16">
        <v>510108310</v>
      </c>
      <c r="E639" s="16" t="s">
        <v>7556</v>
      </c>
      <c r="F639" s="20" t="s">
        <v>7192</v>
      </c>
      <c r="G639" s="17" t="s">
        <v>7555</v>
      </c>
    </row>
    <row r="640" spans="1:7" x14ac:dyDescent="0.25">
      <c r="A640">
        <f t="shared" si="9"/>
        <v>5101083</v>
      </c>
      <c r="B640" s="15">
        <v>140640136</v>
      </c>
      <c r="C640" s="15">
        <v>290219915</v>
      </c>
      <c r="D640" s="16">
        <v>510108301</v>
      </c>
      <c r="E640" s="16" t="s">
        <v>7556</v>
      </c>
      <c r="F640" s="20" t="s">
        <v>7186</v>
      </c>
      <c r="G640" s="17" t="s">
        <v>7555</v>
      </c>
    </row>
    <row r="641" spans="1:7" x14ac:dyDescent="0.25">
      <c r="A641">
        <f t="shared" si="9"/>
        <v>5101083</v>
      </c>
      <c r="B641" s="15">
        <v>140640136</v>
      </c>
      <c r="C641" s="15">
        <v>290219945</v>
      </c>
      <c r="D641" s="16">
        <v>510108303</v>
      </c>
      <c r="E641" s="16" t="s">
        <v>7556</v>
      </c>
      <c r="F641" s="20" t="s">
        <v>7187</v>
      </c>
      <c r="G641" s="17" t="s">
        <v>7555</v>
      </c>
    </row>
    <row r="642" spans="1:7" x14ac:dyDescent="0.25">
      <c r="A642">
        <f t="shared" si="9"/>
        <v>5101083</v>
      </c>
      <c r="B642" s="15">
        <v>140640136</v>
      </c>
      <c r="C642" s="15">
        <v>290219953</v>
      </c>
      <c r="D642" s="16">
        <v>510108305</v>
      </c>
      <c r="E642" s="16" t="s">
        <v>7556</v>
      </c>
      <c r="F642" s="20" t="s">
        <v>7184</v>
      </c>
      <c r="G642" s="17" t="s">
        <v>7555</v>
      </c>
    </row>
    <row r="643" spans="1:7" x14ac:dyDescent="0.25">
      <c r="A643">
        <f t="shared" ref="A643:A706" si="10">LEFT(D643,7)*1</f>
        <v>5101083</v>
      </c>
      <c r="B643" s="15">
        <v>140640136</v>
      </c>
      <c r="C643" s="15">
        <v>290219922</v>
      </c>
      <c r="D643" s="16">
        <v>510108300</v>
      </c>
      <c r="E643" s="16" t="s">
        <v>7556</v>
      </c>
      <c r="F643" s="20" t="s">
        <v>7202</v>
      </c>
      <c r="G643" s="17" t="s">
        <v>7555</v>
      </c>
    </row>
    <row r="644" spans="1:7" x14ac:dyDescent="0.25">
      <c r="A644">
        <f t="shared" si="10"/>
        <v>5101083</v>
      </c>
      <c r="B644" s="15">
        <v>140640136</v>
      </c>
      <c r="C644" s="15">
        <v>290219942</v>
      </c>
      <c r="D644" s="16">
        <v>510108302</v>
      </c>
      <c r="E644" s="16" t="s">
        <v>7556</v>
      </c>
      <c r="F644" s="20" t="s">
        <v>7185</v>
      </c>
      <c r="G644" s="17" t="s">
        <v>7555</v>
      </c>
    </row>
    <row r="645" spans="1:7" x14ac:dyDescent="0.25">
      <c r="A645">
        <f t="shared" si="10"/>
        <v>5101083</v>
      </c>
      <c r="B645" s="15">
        <v>140640136</v>
      </c>
      <c r="C645" s="15">
        <v>290219975</v>
      </c>
      <c r="D645" s="16">
        <v>510108309</v>
      </c>
      <c r="E645" s="16" t="s">
        <v>7556</v>
      </c>
      <c r="F645" s="20" t="s">
        <v>7181</v>
      </c>
      <c r="G645" s="17" t="s">
        <v>7555</v>
      </c>
    </row>
    <row r="646" spans="1:7" x14ac:dyDescent="0.25">
      <c r="A646">
        <f t="shared" si="10"/>
        <v>5101083</v>
      </c>
      <c r="B646" s="15">
        <v>140640136</v>
      </c>
      <c r="C646" s="15">
        <v>290219963</v>
      </c>
      <c r="D646" s="16">
        <v>510108307</v>
      </c>
      <c r="E646" s="16" t="s">
        <v>7556</v>
      </c>
      <c r="F646" s="20" t="s">
        <v>7179</v>
      </c>
      <c r="G646" s="17" t="s">
        <v>7555</v>
      </c>
    </row>
    <row r="647" spans="1:7" x14ac:dyDescent="0.25">
      <c r="A647">
        <f t="shared" si="10"/>
        <v>5101083</v>
      </c>
      <c r="B647" s="15">
        <v>140640136</v>
      </c>
      <c r="C647" s="15">
        <v>290219969</v>
      </c>
      <c r="D647" s="16">
        <v>510108308</v>
      </c>
      <c r="E647" s="16" t="s">
        <v>7556</v>
      </c>
      <c r="F647" s="20" t="s">
        <v>7180</v>
      </c>
      <c r="G647" s="17" t="s">
        <v>7555</v>
      </c>
    </row>
    <row r="648" spans="1:7" x14ac:dyDescent="0.25">
      <c r="A648">
        <f t="shared" si="10"/>
        <v>5101083</v>
      </c>
      <c r="B648" s="15">
        <v>140640136</v>
      </c>
      <c r="C648" s="15">
        <v>290219948</v>
      </c>
      <c r="D648" s="16">
        <v>510108304</v>
      </c>
      <c r="E648" s="16" t="s">
        <v>7556</v>
      </c>
      <c r="F648" s="20" t="s">
        <v>7189</v>
      </c>
      <c r="G648" s="17" t="s">
        <v>7555</v>
      </c>
    </row>
    <row r="649" spans="1:7" x14ac:dyDescent="0.25">
      <c r="A649">
        <f t="shared" si="10"/>
        <v>5101900</v>
      </c>
      <c r="B649" s="15">
        <v>140640142</v>
      </c>
      <c r="C649" s="15">
        <v>290220051</v>
      </c>
      <c r="D649" s="16">
        <v>510190005</v>
      </c>
      <c r="E649" s="16" t="s">
        <v>7557</v>
      </c>
      <c r="F649" s="20" t="s">
        <v>7112</v>
      </c>
      <c r="G649" s="17" t="s">
        <v>7550</v>
      </c>
    </row>
    <row r="650" spans="1:7" x14ac:dyDescent="0.25">
      <c r="A650">
        <f t="shared" si="10"/>
        <v>5101900</v>
      </c>
      <c r="B650" s="15">
        <v>140640142</v>
      </c>
      <c r="C650" s="15">
        <v>290220032</v>
      </c>
      <c r="D650" s="16">
        <v>510190002</v>
      </c>
      <c r="E650" s="16" t="s">
        <v>7557</v>
      </c>
      <c r="F650" s="20" t="s">
        <v>7109</v>
      </c>
      <c r="G650" s="17" t="s">
        <v>7550</v>
      </c>
    </row>
    <row r="651" spans="1:7" x14ac:dyDescent="0.25">
      <c r="A651">
        <f t="shared" si="10"/>
        <v>5101900</v>
      </c>
      <c r="B651" s="15">
        <v>140640142</v>
      </c>
      <c r="C651" s="15">
        <v>290220036</v>
      </c>
      <c r="D651" s="16">
        <v>510190000</v>
      </c>
      <c r="E651" s="16" t="s">
        <v>7557</v>
      </c>
      <c r="F651" s="20" t="s">
        <v>7188</v>
      </c>
      <c r="G651" s="17" t="s">
        <v>7550</v>
      </c>
    </row>
    <row r="652" spans="1:7" x14ac:dyDescent="0.25">
      <c r="A652">
        <f t="shared" si="10"/>
        <v>5101900</v>
      </c>
      <c r="B652" s="15">
        <v>140640142</v>
      </c>
      <c r="C652" s="15">
        <v>290220054</v>
      </c>
      <c r="D652" s="16">
        <v>510190006</v>
      </c>
      <c r="E652" s="16" t="s">
        <v>7557</v>
      </c>
      <c r="F652" s="20" t="s">
        <v>7113</v>
      </c>
      <c r="G652" s="17" t="s">
        <v>7550</v>
      </c>
    </row>
    <row r="653" spans="1:7" x14ac:dyDescent="0.25">
      <c r="A653">
        <f t="shared" si="10"/>
        <v>5101900</v>
      </c>
      <c r="B653" s="15">
        <v>140640142</v>
      </c>
      <c r="C653" s="15">
        <v>290220041</v>
      </c>
      <c r="D653" s="16">
        <v>510190001</v>
      </c>
      <c r="E653" s="16" t="s">
        <v>7557</v>
      </c>
      <c r="F653" s="20" t="s">
        <v>7108</v>
      </c>
      <c r="G653" s="17" t="s">
        <v>7550</v>
      </c>
    </row>
    <row r="654" spans="1:7" x14ac:dyDescent="0.25">
      <c r="A654">
        <f t="shared" si="10"/>
        <v>5101900</v>
      </c>
      <c r="B654" s="15">
        <v>140640142</v>
      </c>
      <c r="C654" s="15">
        <v>290220038</v>
      </c>
      <c r="D654" s="16">
        <v>510190010</v>
      </c>
      <c r="E654" s="16" t="s">
        <v>7557</v>
      </c>
      <c r="F654" s="20" t="s">
        <v>7190</v>
      </c>
      <c r="G654" s="17" t="s">
        <v>7550</v>
      </c>
    </row>
    <row r="655" spans="1:7" x14ac:dyDescent="0.25">
      <c r="A655">
        <f t="shared" si="10"/>
        <v>5101900</v>
      </c>
      <c r="B655" s="15">
        <v>140640142</v>
      </c>
      <c r="C655" s="15">
        <v>290220029</v>
      </c>
      <c r="D655" s="16">
        <v>510190003</v>
      </c>
      <c r="E655" s="16" t="s">
        <v>7557</v>
      </c>
      <c r="F655" s="20" t="s">
        <v>7110</v>
      </c>
      <c r="G655" s="17" t="s">
        <v>7550</v>
      </c>
    </row>
    <row r="656" spans="1:7" x14ac:dyDescent="0.25">
      <c r="A656">
        <f t="shared" si="10"/>
        <v>5101900</v>
      </c>
      <c r="B656" s="15">
        <v>140640142</v>
      </c>
      <c r="C656" s="15">
        <v>290220044</v>
      </c>
      <c r="D656" s="16">
        <v>510190004</v>
      </c>
      <c r="E656" s="16" t="s">
        <v>7557</v>
      </c>
      <c r="F656" s="20" t="s">
        <v>7111</v>
      </c>
      <c r="G656" s="17" t="s">
        <v>7550</v>
      </c>
    </row>
    <row r="657" spans="1:7" x14ac:dyDescent="0.25">
      <c r="A657">
        <f t="shared" si="10"/>
        <v>5101900</v>
      </c>
      <c r="B657" s="15">
        <v>140640144</v>
      </c>
      <c r="C657" s="15">
        <v>290220086</v>
      </c>
      <c r="D657" s="16">
        <v>510190002</v>
      </c>
      <c r="E657" s="16" t="s">
        <v>7558</v>
      </c>
      <c r="F657" s="20" t="s">
        <v>7109</v>
      </c>
      <c r="G657" s="17" t="s">
        <v>7550</v>
      </c>
    </row>
    <row r="658" spans="1:7" x14ac:dyDescent="0.25">
      <c r="A658">
        <f t="shared" si="10"/>
        <v>5101900</v>
      </c>
      <c r="B658" s="15">
        <v>140640144</v>
      </c>
      <c r="C658" s="15">
        <v>290220102</v>
      </c>
      <c r="D658" s="16">
        <v>510190000</v>
      </c>
      <c r="E658" s="16" t="s">
        <v>7558</v>
      </c>
      <c r="F658" s="20" t="s">
        <v>7188</v>
      </c>
      <c r="G658" s="17" t="s">
        <v>7550</v>
      </c>
    </row>
    <row r="659" spans="1:7" x14ac:dyDescent="0.25">
      <c r="A659">
        <f t="shared" si="10"/>
        <v>5101900</v>
      </c>
      <c r="B659" s="15">
        <v>140640144</v>
      </c>
      <c r="C659" s="15">
        <v>290220085</v>
      </c>
      <c r="D659" s="16">
        <v>510190003</v>
      </c>
      <c r="E659" s="16" t="s">
        <v>7558</v>
      </c>
      <c r="F659" s="20" t="s">
        <v>7110</v>
      </c>
      <c r="G659" s="17" t="s">
        <v>7550</v>
      </c>
    </row>
    <row r="660" spans="1:7" x14ac:dyDescent="0.25">
      <c r="A660">
        <f t="shared" si="10"/>
        <v>5101900</v>
      </c>
      <c r="B660" s="15">
        <v>140640144</v>
      </c>
      <c r="C660" s="15">
        <v>290220112</v>
      </c>
      <c r="D660" s="16">
        <v>510190010</v>
      </c>
      <c r="E660" s="16" t="s">
        <v>7558</v>
      </c>
      <c r="F660" s="20" t="s">
        <v>7190</v>
      </c>
      <c r="G660" s="17" t="s">
        <v>7550</v>
      </c>
    </row>
    <row r="661" spans="1:7" x14ac:dyDescent="0.25">
      <c r="A661">
        <f t="shared" si="10"/>
        <v>5101900</v>
      </c>
      <c r="B661" s="15">
        <v>140640144</v>
      </c>
      <c r="C661" s="15">
        <v>290220132</v>
      </c>
      <c r="D661" s="16">
        <v>510190005</v>
      </c>
      <c r="E661" s="16" t="s">
        <v>7558</v>
      </c>
      <c r="F661" s="20" t="s">
        <v>7112</v>
      </c>
      <c r="G661" s="17" t="s">
        <v>7550</v>
      </c>
    </row>
    <row r="662" spans="1:7" x14ac:dyDescent="0.25">
      <c r="A662">
        <f t="shared" si="10"/>
        <v>5101900</v>
      </c>
      <c r="B662" s="15">
        <v>140640144</v>
      </c>
      <c r="C662" s="15">
        <v>290220125</v>
      </c>
      <c r="D662" s="16">
        <v>510190004</v>
      </c>
      <c r="E662" s="16" t="s">
        <v>7558</v>
      </c>
      <c r="F662" s="20" t="s">
        <v>7111</v>
      </c>
      <c r="G662" s="17" t="s">
        <v>7550</v>
      </c>
    </row>
    <row r="663" spans="1:7" x14ac:dyDescent="0.25">
      <c r="A663">
        <f t="shared" si="10"/>
        <v>5101900</v>
      </c>
      <c r="B663" s="15">
        <v>140640144</v>
      </c>
      <c r="C663" s="15">
        <v>290220121</v>
      </c>
      <c r="D663" s="16">
        <v>510190001</v>
      </c>
      <c r="E663" s="16" t="s">
        <v>7558</v>
      </c>
      <c r="F663" s="20" t="s">
        <v>7108</v>
      </c>
      <c r="G663" s="17" t="s">
        <v>7550</v>
      </c>
    </row>
    <row r="664" spans="1:7" x14ac:dyDescent="0.25">
      <c r="A664">
        <f t="shared" si="10"/>
        <v>5101900</v>
      </c>
      <c r="B664" s="15">
        <v>140640144</v>
      </c>
      <c r="C664" s="15">
        <v>290220137</v>
      </c>
      <c r="D664" s="16">
        <v>510190006</v>
      </c>
      <c r="E664" s="16" t="s">
        <v>7558</v>
      </c>
      <c r="F664" s="20" t="s">
        <v>7113</v>
      </c>
      <c r="G664" s="17" t="s">
        <v>7550</v>
      </c>
    </row>
    <row r="665" spans="1:7" x14ac:dyDescent="0.25">
      <c r="A665">
        <f t="shared" si="10"/>
        <v>5101901</v>
      </c>
      <c r="B665" s="15">
        <v>140640153</v>
      </c>
      <c r="C665" s="15">
        <v>290220179</v>
      </c>
      <c r="D665" s="16">
        <v>510190107</v>
      </c>
      <c r="E665" s="16" t="s">
        <v>7559</v>
      </c>
      <c r="F665" s="20" t="s">
        <v>7176</v>
      </c>
      <c r="G665" s="17" t="s">
        <v>7550</v>
      </c>
    </row>
    <row r="666" spans="1:7" x14ac:dyDescent="0.25">
      <c r="A666">
        <f t="shared" si="10"/>
        <v>5101901</v>
      </c>
      <c r="B666" s="15">
        <v>140640153</v>
      </c>
      <c r="C666" s="15">
        <v>290220195</v>
      </c>
      <c r="D666" s="16">
        <v>510190108</v>
      </c>
      <c r="E666" s="16" t="s">
        <v>7559</v>
      </c>
      <c r="F666" s="20" t="s">
        <v>7177</v>
      </c>
      <c r="G666" s="17" t="s">
        <v>7550</v>
      </c>
    </row>
    <row r="667" spans="1:7" x14ac:dyDescent="0.25">
      <c r="A667">
        <f t="shared" si="10"/>
        <v>5101901</v>
      </c>
      <c r="B667" s="15">
        <v>140640153</v>
      </c>
      <c r="C667" s="15">
        <v>290220202</v>
      </c>
      <c r="D667" s="16">
        <v>510190109</v>
      </c>
      <c r="E667" s="16" t="s">
        <v>7559</v>
      </c>
      <c r="F667" s="20" t="s">
        <v>7182</v>
      </c>
      <c r="G667" s="17" t="s">
        <v>7550</v>
      </c>
    </row>
    <row r="668" spans="1:7" x14ac:dyDescent="0.25">
      <c r="A668">
        <f t="shared" si="10"/>
        <v>5101985</v>
      </c>
      <c r="B668" s="15">
        <v>140640140</v>
      </c>
      <c r="C668" s="15">
        <v>290219984</v>
      </c>
      <c r="D668" s="16">
        <v>510198504</v>
      </c>
      <c r="E668" s="16" t="s">
        <v>7560</v>
      </c>
      <c r="F668" s="20" t="s">
        <v>7193</v>
      </c>
      <c r="G668" s="17" t="s">
        <v>7548</v>
      </c>
    </row>
    <row r="669" spans="1:7" x14ac:dyDescent="0.25">
      <c r="A669">
        <f t="shared" si="10"/>
        <v>5101985</v>
      </c>
      <c r="B669" s="15">
        <v>140640140</v>
      </c>
      <c r="C669" s="15">
        <v>290219989</v>
      </c>
      <c r="D669" s="16">
        <v>510198510</v>
      </c>
      <c r="E669" s="16" t="s">
        <v>7560</v>
      </c>
      <c r="F669" s="20" t="s">
        <v>7191</v>
      </c>
      <c r="G669" s="17" t="s">
        <v>7548</v>
      </c>
    </row>
    <row r="670" spans="1:7" x14ac:dyDescent="0.25">
      <c r="A670">
        <f t="shared" si="10"/>
        <v>5101083</v>
      </c>
      <c r="B670" s="15">
        <v>140640140</v>
      </c>
      <c r="C670" s="15">
        <v>290220007</v>
      </c>
      <c r="D670" s="16">
        <v>510108310</v>
      </c>
      <c r="E670" s="16" t="s">
        <v>7560</v>
      </c>
      <c r="F670" s="20" t="s">
        <v>7192</v>
      </c>
      <c r="G670" s="17" t="s">
        <v>7555</v>
      </c>
    </row>
    <row r="671" spans="1:7" x14ac:dyDescent="0.25">
      <c r="A671">
        <f t="shared" si="10"/>
        <v>5101083</v>
      </c>
      <c r="B671" s="15">
        <v>140640140</v>
      </c>
      <c r="C671" s="15">
        <v>290220008</v>
      </c>
      <c r="D671" s="16">
        <v>510108300</v>
      </c>
      <c r="E671" s="16" t="s">
        <v>7560</v>
      </c>
      <c r="F671" s="20" t="s">
        <v>7202</v>
      </c>
      <c r="G671" s="17" t="s">
        <v>7555</v>
      </c>
    </row>
    <row r="672" spans="1:7" x14ac:dyDescent="0.25">
      <c r="A672">
        <f t="shared" si="10"/>
        <v>5101985</v>
      </c>
      <c r="B672" s="15">
        <v>140640140</v>
      </c>
      <c r="C672" s="15">
        <v>290219990</v>
      </c>
      <c r="D672" s="16">
        <v>510198501</v>
      </c>
      <c r="E672" s="16" t="s">
        <v>7560</v>
      </c>
      <c r="F672" s="20" t="s">
        <v>7197</v>
      </c>
      <c r="G672" s="17" t="s">
        <v>7548</v>
      </c>
    </row>
    <row r="673" spans="1:7" x14ac:dyDescent="0.25">
      <c r="A673">
        <f t="shared" si="10"/>
        <v>5101083</v>
      </c>
      <c r="B673" s="15">
        <v>140640140</v>
      </c>
      <c r="C673" s="15">
        <v>290220012</v>
      </c>
      <c r="D673" s="16">
        <v>510108304</v>
      </c>
      <c r="E673" s="16" t="s">
        <v>7560</v>
      </c>
      <c r="F673" s="20" t="s">
        <v>7189</v>
      </c>
      <c r="G673" s="17" t="s">
        <v>7555</v>
      </c>
    </row>
    <row r="674" spans="1:7" x14ac:dyDescent="0.25">
      <c r="A674">
        <f t="shared" si="10"/>
        <v>5101083</v>
      </c>
      <c r="B674" s="15">
        <v>140640140</v>
      </c>
      <c r="C674" s="15">
        <v>290220017</v>
      </c>
      <c r="D674" s="16">
        <v>510108309</v>
      </c>
      <c r="E674" s="16" t="s">
        <v>7560</v>
      </c>
      <c r="F674" s="20" t="s">
        <v>7181</v>
      </c>
      <c r="G674" s="17" t="s">
        <v>7555</v>
      </c>
    </row>
    <row r="675" spans="1:7" x14ac:dyDescent="0.25">
      <c r="A675">
        <f t="shared" si="10"/>
        <v>5101083</v>
      </c>
      <c r="B675" s="15">
        <v>140640140</v>
      </c>
      <c r="C675" s="15">
        <v>290220016</v>
      </c>
      <c r="D675" s="16">
        <v>510108308</v>
      </c>
      <c r="E675" s="16" t="s">
        <v>7560</v>
      </c>
      <c r="F675" s="20" t="s">
        <v>7180</v>
      </c>
      <c r="G675" s="17" t="s">
        <v>7555</v>
      </c>
    </row>
    <row r="676" spans="1:7" x14ac:dyDescent="0.25">
      <c r="A676">
        <f t="shared" si="10"/>
        <v>5101083</v>
      </c>
      <c r="B676" s="15">
        <v>140640140</v>
      </c>
      <c r="C676" s="15">
        <v>290220015</v>
      </c>
      <c r="D676" s="16">
        <v>510108307</v>
      </c>
      <c r="E676" s="16" t="s">
        <v>7560</v>
      </c>
      <c r="F676" s="20" t="s">
        <v>7179</v>
      </c>
      <c r="G676" s="17" t="s">
        <v>7555</v>
      </c>
    </row>
    <row r="677" spans="1:7" x14ac:dyDescent="0.25">
      <c r="A677">
        <f t="shared" si="10"/>
        <v>5101083</v>
      </c>
      <c r="B677" s="15">
        <v>140640140</v>
      </c>
      <c r="C677" s="15">
        <v>290220009</v>
      </c>
      <c r="D677" s="16">
        <v>510108301</v>
      </c>
      <c r="E677" s="16" t="s">
        <v>7560</v>
      </c>
      <c r="F677" s="20" t="s">
        <v>7186</v>
      </c>
      <c r="G677" s="17" t="s">
        <v>7555</v>
      </c>
    </row>
    <row r="678" spans="1:7" x14ac:dyDescent="0.25">
      <c r="A678">
        <f t="shared" si="10"/>
        <v>5101083</v>
      </c>
      <c r="B678" s="15">
        <v>140640140</v>
      </c>
      <c r="C678" s="15">
        <v>290220014</v>
      </c>
      <c r="D678" s="16">
        <v>510108306</v>
      </c>
      <c r="E678" s="16" t="s">
        <v>7560</v>
      </c>
      <c r="F678" s="20" t="s">
        <v>7178</v>
      </c>
      <c r="G678" s="17" t="s">
        <v>7555</v>
      </c>
    </row>
    <row r="679" spans="1:7" x14ac:dyDescent="0.25">
      <c r="A679">
        <f t="shared" si="10"/>
        <v>5101083</v>
      </c>
      <c r="B679" s="15">
        <v>140640140</v>
      </c>
      <c r="C679" s="15">
        <v>290220010</v>
      </c>
      <c r="D679" s="16">
        <v>510108302</v>
      </c>
      <c r="E679" s="16" t="s">
        <v>7560</v>
      </c>
      <c r="F679" s="20" t="s">
        <v>7185</v>
      </c>
      <c r="G679" s="17" t="s">
        <v>7555</v>
      </c>
    </row>
    <row r="680" spans="1:7" x14ac:dyDescent="0.25">
      <c r="A680">
        <f t="shared" si="10"/>
        <v>5101083</v>
      </c>
      <c r="B680" s="15">
        <v>140640140</v>
      </c>
      <c r="C680" s="15">
        <v>290220013</v>
      </c>
      <c r="D680" s="16">
        <v>510108305</v>
      </c>
      <c r="E680" s="16" t="s">
        <v>7560</v>
      </c>
      <c r="F680" s="20" t="s">
        <v>7184</v>
      </c>
      <c r="G680" s="17" t="s">
        <v>7555</v>
      </c>
    </row>
    <row r="681" spans="1:7" x14ac:dyDescent="0.25">
      <c r="A681">
        <f t="shared" si="10"/>
        <v>5101083</v>
      </c>
      <c r="B681" s="15">
        <v>140640140</v>
      </c>
      <c r="C681" s="15">
        <v>290220011</v>
      </c>
      <c r="D681" s="16">
        <v>510108303</v>
      </c>
      <c r="E681" s="16" t="s">
        <v>7560</v>
      </c>
      <c r="F681" s="20" t="s">
        <v>7187</v>
      </c>
      <c r="G681" s="17" t="s">
        <v>7555</v>
      </c>
    </row>
    <row r="682" spans="1:7" x14ac:dyDescent="0.25">
      <c r="A682">
        <f t="shared" si="10"/>
        <v>5101900</v>
      </c>
      <c r="B682" s="15">
        <v>140640140</v>
      </c>
      <c r="C682" s="15">
        <v>290220006</v>
      </c>
      <c r="D682" s="16">
        <v>510190006</v>
      </c>
      <c r="E682" s="16" t="s">
        <v>7560</v>
      </c>
      <c r="F682" s="20" t="s">
        <v>7113</v>
      </c>
      <c r="G682" s="17" t="s">
        <v>7550</v>
      </c>
    </row>
    <row r="683" spans="1:7" x14ac:dyDescent="0.25">
      <c r="A683">
        <f t="shared" si="10"/>
        <v>5101900</v>
      </c>
      <c r="B683" s="15">
        <v>140640140</v>
      </c>
      <c r="C683" s="15">
        <v>290220003</v>
      </c>
      <c r="D683" s="16">
        <v>510190004</v>
      </c>
      <c r="E683" s="16" t="s">
        <v>7560</v>
      </c>
      <c r="F683" s="20" t="s">
        <v>7111</v>
      </c>
      <c r="G683" s="17" t="s">
        <v>7550</v>
      </c>
    </row>
    <row r="684" spans="1:7" x14ac:dyDescent="0.25">
      <c r="A684">
        <f t="shared" si="10"/>
        <v>5101985</v>
      </c>
      <c r="B684" s="15">
        <v>140640140</v>
      </c>
      <c r="C684" s="15">
        <v>290219994</v>
      </c>
      <c r="D684" s="16">
        <v>510198505</v>
      </c>
      <c r="E684" s="16" t="s">
        <v>7560</v>
      </c>
      <c r="F684" s="20" t="s">
        <v>7196</v>
      </c>
      <c r="G684" s="17" t="s">
        <v>7548</v>
      </c>
    </row>
    <row r="685" spans="1:7" x14ac:dyDescent="0.25">
      <c r="A685">
        <f t="shared" si="10"/>
        <v>5101900</v>
      </c>
      <c r="B685" s="15">
        <v>140640140</v>
      </c>
      <c r="C685" s="15">
        <v>290219998</v>
      </c>
      <c r="D685" s="16">
        <v>510190000</v>
      </c>
      <c r="E685" s="16" t="s">
        <v>7560</v>
      </c>
      <c r="F685" s="20" t="s">
        <v>7188</v>
      </c>
      <c r="G685" s="17" t="s">
        <v>7550</v>
      </c>
    </row>
    <row r="686" spans="1:7" x14ac:dyDescent="0.25">
      <c r="A686">
        <f t="shared" si="10"/>
        <v>5101900</v>
      </c>
      <c r="B686" s="15">
        <v>140640140</v>
      </c>
      <c r="C686" s="15">
        <v>290220001</v>
      </c>
      <c r="D686" s="16">
        <v>510190002</v>
      </c>
      <c r="E686" s="16" t="s">
        <v>7560</v>
      </c>
      <c r="F686" s="20" t="s">
        <v>7109</v>
      </c>
      <c r="G686" s="17" t="s">
        <v>7550</v>
      </c>
    </row>
    <row r="687" spans="1:7" x14ac:dyDescent="0.25">
      <c r="A687">
        <f t="shared" si="10"/>
        <v>5101900</v>
      </c>
      <c r="B687" s="15">
        <v>140640140</v>
      </c>
      <c r="C687" s="15">
        <v>290220004</v>
      </c>
      <c r="D687" s="16">
        <v>510190005</v>
      </c>
      <c r="E687" s="16" t="s">
        <v>7560</v>
      </c>
      <c r="F687" s="20" t="s">
        <v>7112</v>
      </c>
      <c r="G687" s="17" t="s">
        <v>7550</v>
      </c>
    </row>
    <row r="688" spans="1:7" x14ac:dyDescent="0.25">
      <c r="A688">
        <f t="shared" si="10"/>
        <v>5101985</v>
      </c>
      <c r="B688" s="15">
        <v>140640140</v>
      </c>
      <c r="C688" s="15">
        <v>290219996</v>
      </c>
      <c r="D688" s="16">
        <v>510198506</v>
      </c>
      <c r="E688" s="16" t="s">
        <v>7560</v>
      </c>
      <c r="F688" s="20" t="s">
        <v>7183</v>
      </c>
      <c r="G688" s="17" t="s">
        <v>7548</v>
      </c>
    </row>
    <row r="689" spans="1:7" x14ac:dyDescent="0.25">
      <c r="A689">
        <f t="shared" si="10"/>
        <v>5101900</v>
      </c>
      <c r="B689" s="15">
        <v>140640140</v>
      </c>
      <c r="C689" s="15">
        <v>290220002</v>
      </c>
      <c r="D689" s="16">
        <v>510190003</v>
      </c>
      <c r="E689" s="16" t="s">
        <v>7560</v>
      </c>
      <c r="F689" s="20" t="s">
        <v>7110</v>
      </c>
      <c r="G689" s="17" t="s">
        <v>7550</v>
      </c>
    </row>
    <row r="690" spans="1:7" x14ac:dyDescent="0.25">
      <c r="A690">
        <f t="shared" si="10"/>
        <v>5101900</v>
      </c>
      <c r="B690" s="15">
        <v>140640140</v>
      </c>
      <c r="C690" s="15">
        <v>290219997</v>
      </c>
      <c r="D690" s="16">
        <v>510190010</v>
      </c>
      <c r="E690" s="16" t="s">
        <v>7560</v>
      </c>
      <c r="F690" s="20" t="s">
        <v>7190</v>
      </c>
      <c r="G690" s="17" t="s">
        <v>7550</v>
      </c>
    </row>
    <row r="691" spans="1:7" x14ac:dyDescent="0.25">
      <c r="A691">
        <f t="shared" si="10"/>
        <v>5101985</v>
      </c>
      <c r="B691" s="15">
        <v>140640140</v>
      </c>
      <c r="C691" s="15">
        <v>290219992</v>
      </c>
      <c r="D691" s="16">
        <v>510198503</v>
      </c>
      <c r="E691" s="16" t="s">
        <v>7560</v>
      </c>
      <c r="F691" s="20" t="s">
        <v>7194</v>
      </c>
      <c r="G691" s="17" t="s">
        <v>7548</v>
      </c>
    </row>
    <row r="692" spans="1:7" x14ac:dyDescent="0.25">
      <c r="A692">
        <f t="shared" si="10"/>
        <v>5101900</v>
      </c>
      <c r="B692" s="15">
        <v>140640140</v>
      </c>
      <c r="C692" s="15">
        <v>290219999</v>
      </c>
      <c r="D692" s="16">
        <v>510190001</v>
      </c>
      <c r="E692" s="16" t="s">
        <v>7560</v>
      </c>
      <c r="F692" s="20" t="s">
        <v>7108</v>
      </c>
      <c r="G692" s="17" t="s">
        <v>7550</v>
      </c>
    </row>
    <row r="693" spans="1:7" x14ac:dyDescent="0.25">
      <c r="A693">
        <f t="shared" si="10"/>
        <v>5101985</v>
      </c>
      <c r="B693" s="15">
        <v>140640140</v>
      </c>
      <c r="C693" s="15">
        <v>290219988</v>
      </c>
      <c r="D693" s="16">
        <v>510198502</v>
      </c>
      <c r="E693" s="16" t="s">
        <v>7560</v>
      </c>
      <c r="F693" s="20" t="s">
        <v>7198</v>
      </c>
      <c r="G693" s="17" t="s">
        <v>7548</v>
      </c>
    </row>
    <row r="694" spans="1:7" x14ac:dyDescent="0.25">
      <c r="A694">
        <f t="shared" si="10"/>
        <v>5101985</v>
      </c>
      <c r="B694" s="15">
        <v>140640140</v>
      </c>
      <c r="C694" s="15">
        <v>290219993</v>
      </c>
      <c r="D694" s="16">
        <v>510198500</v>
      </c>
      <c r="E694" s="16" t="s">
        <v>7560</v>
      </c>
      <c r="F694" s="20" t="s">
        <v>7195</v>
      </c>
      <c r="G694" s="17" t="s">
        <v>7548</v>
      </c>
    </row>
    <row r="695" spans="1:7" x14ac:dyDescent="0.25">
      <c r="A695">
        <f t="shared" si="10"/>
        <v>5101985</v>
      </c>
      <c r="B695" s="15">
        <v>140640139</v>
      </c>
      <c r="C695" s="15">
        <v>290220021</v>
      </c>
      <c r="D695" s="16">
        <v>510198510</v>
      </c>
      <c r="E695" s="16" t="s">
        <v>7561</v>
      </c>
      <c r="F695" s="20" t="s">
        <v>7191</v>
      </c>
      <c r="G695" s="17" t="s">
        <v>7548</v>
      </c>
    </row>
    <row r="696" spans="1:7" x14ac:dyDescent="0.25">
      <c r="A696">
        <f t="shared" si="10"/>
        <v>5101985</v>
      </c>
      <c r="B696" s="15">
        <v>140640139</v>
      </c>
      <c r="C696" s="15">
        <v>290219977</v>
      </c>
      <c r="D696" s="16">
        <v>510198504</v>
      </c>
      <c r="E696" s="16" t="s">
        <v>7561</v>
      </c>
      <c r="F696" s="20" t="s">
        <v>7193</v>
      </c>
      <c r="G696" s="17" t="s">
        <v>7548</v>
      </c>
    </row>
    <row r="697" spans="1:7" x14ac:dyDescent="0.25">
      <c r="A697">
        <f t="shared" si="10"/>
        <v>5101985</v>
      </c>
      <c r="B697" s="15">
        <v>140640139</v>
      </c>
      <c r="C697" s="15">
        <v>290220026</v>
      </c>
      <c r="D697" s="16">
        <v>510198501</v>
      </c>
      <c r="E697" s="16" t="s">
        <v>7561</v>
      </c>
      <c r="F697" s="20" t="s">
        <v>7197</v>
      </c>
      <c r="G697" s="17" t="s">
        <v>7548</v>
      </c>
    </row>
    <row r="698" spans="1:7" x14ac:dyDescent="0.25">
      <c r="A698">
        <f t="shared" si="10"/>
        <v>5101985</v>
      </c>
      <c r="B698" s="15">
        <v>140640139</v>
      </c>
      <c r="C698" s="15">
        <v>290220037</v>
      </c>
      <c r="D698" s="16">
        <v>510198503</v>
      </c>
      <c r="E698" s="16" t="s">
        <v>7561</v>
      </c>
      <c r="F698" s="20" t="s">
        <v>7194</v>
      </c>
      <c r="G698" s="17" t="s">
        <v>7548</v>
      </c>
    </row>
    <row r="699" spans="1:7" x14ac:dyDescent="0.25">
      <c r="A699">
        <f t="shared" si="10"/>
        <v>5101083</v>
      </c>
      <c r="B699" s="15">
        <v>140640139</v>
      </c>
      <c r="C699" s="15">
        <v>290220181</v>
      </c>
      <c r="D699" s="16">
        <v>510108308</v>
      </c>
      <c r="E699" s="16" t="s">
        <v>7561</v>
      </c>
      <c r="F699" s="20" t="s">
        <v>7180</v>
      </c>
      <c r="G699" s="17" t="s">
        <v>7555</v>
      </c>
    </row>
    <row r="700" spans="1:7" x14ac:dyDescent="0.25">
      <c r="A700">
        <f t="shared" si="10"/>
        <v>5101083</v>
      </c>
      <c r="B700" s="15">
        <v>140640139</v>
      </c>
      <c r="C700" s="15">
        <v>290220143</v>
      </c>
      <c r="D700" s="16">
        <v>510108305</v>
      </c>
      <c r="E700" s="16" t="s">
        <v>7561</v>
      </c>
      <c r="F700" s="20" t="s">
        <v>7184</v>
      </c>
      <c r="G700" s="17" t="s">
        <v>7555</v>
      </c>
    </row>
    <row r="701" spans="1:7" x14ac:dyDescent="0.25">
      <c r="A701">
        <f t="shared" si="10"/>
        <v>5101083</v>
      </c>
      <c r="B701" s="15">
        <v>140640139</v>
      </c>
      <c r="C701" s="15">
        <v>290220159</v>
      </c>
      <c r="D701" s="16">
        <v>510108307</v>
      </c>
      <c r="E701" s="16" t="s">
        <v>7561</v>
      </c>
      <c r="F701" s="20" t="s">
        <v>7179</v>
      </c>
      <c r="G701" s="17" t="s">
        <v>7555</v>
      </c>
    </row>
    <row r="702" spans="1:7" x14ac:dyDescent="0.25">
      <c r="A702">
        <f t="shared" si="10"/>
        <v>5101083</v>
      </c>
      <c r="B702" s="15">
        <v>140640139</v>
      </c>
      <c r="C702" s="15">
        <v>290220189</v>
      </c>
      <c r="D702" s="16">
        <v>510108309</v>
      </c>
      <c r="E702" s="16" t="s">
        <v>7561</v>
      </c>
      <c r="F702" s="20" t="s">
        <v>7181</v>
      </c>
      <c r="G702" s="17" t="s">
        <v>7555</v>
      </c>
    </row>
    <row r="703" spans="1:7" x14ac:dyDescent="0.25">
      <c r="A703">
        <f t="shared" si="10"/>
        <v>5101083</v>
      </c>
      <c r="B703" s="15">
        <v>140640139</v>
      </c>
      <c r="C703" s="15">
        <v>290220147</v>
      </c>
      <c r="D703" s="16">
        <v>510108306</v>
      </c>
      <c r="E703" s="16" t="s">
        <v>7561</v>
      </c>
      <c r="F703" s="20" t="s">
        <v>7178</v>
      </c>
      <c r="G703" s="17" t="s">
        <v>7555</v>
      </c>
    </row>
    <row r="704" spans="1:7" x14ac:dyDescent="0.25">
      <c r="A704">
        <f t="shared" si="10"/>
        <v>5101083</v>
      </c>
      <c r="B704" s="15">
        <v>140640139</v>
      </c>
      <c r="C704" s="15">
        <v>290220139</v>
      </c>
      <c r="D704" s="16">
        <v>510108304</v>
      </c>
      <c r="E704" s="16" t="s">
        <v>7561</v>
      </c>
      <c r="F704" s="20" t="s">
        <v>7189</v>
      </c>
      <c r="G704" s="17" t="s">
        <v>7555</v>
      </c>
    </row>
    <row r="705" spans="1:7" x14ac:dyDescent="0.25">
      <c r="A705">
        <f t="shared" si="10"/>
        <v>5101900</v>
      </c>
      <c r="B705" s="15">
        <v>140640139</v>
      </c>
      <c r="C705" s="15">
        <v>290220061</v>
      </c>
      <c r="D705" s="16">
        <v>510190010</v>
      </c>
      <c r="E705" s="16" t="s">
        <v>7561</v>
      </c>
      <c r="F705" s="20" t="s">
        <v>7190</v>
      </c>
      <c r="G705" s="17" t="s">
        <v>7550</v>
      </c>
    </row>
    <row r="706" spans="1:7" x14ac:dyDescent="0.25">
      <c r="A706">
        <f t="shared" si="10"/>
        <v>5101900</v>
      </c>
      <c r="B706" s="15">
        <v>140640139</v>
      </c>
      <c r="C706" s="15">
        <v>290220076</v>
      </c>
      <c r="D706" s="16">
        <v>510190003</v>
      </c>
      <c r="E706" s="16" t="s">
        <v>7561</v>
      </c>
      <c r="F706" s="20" t="s">
        <v>7110</v>
      </c>
      <c r="G706" s="17" t="s">
        <v>7550</v>
      </c>
    </row>
    <row r="707" spans="1:7" x14ac:dyDescent="0.25">
      <c r="A707">
        <f t="shared" ref="A707:A770" si="11">LEFT(D707,7)*1</f>
        <v>5101900</v>
      </c>
      <c r="B707" s="15">
        <v>140640139</v>
      </c>
      <c r="C707" s="15">
        <v>290220100</v>
      </c>
      <c r="D707" s="16">
        <v>510190006</v>
      </c>
      <c r="E707" s="16" t="s">
        <v>7561</v>
      </c>
      <c r="F707" s="20" t="s">
        <v>7113</v>
      </c>
      <c r="G707" s="17" t="s">
        <v>7550</v>
      </c>
    </row>
    <row r="708" spans="1:7" x14ac:dyDescent="0.25">
      <c r="A708">
        <f t="shared" si="11"/>
        <v>5101985</v>
      </c>
      <c r="B708" s="15">
        <v>140640139</v>
      </c>
      <c r="C708" s="15">
        <v>290220055</v>
      </c>
      <c r="D708" s="16">
        <v>510198506</v>
      </c>
      <c r="E708" s="16" t="s">
        <v>7561</v>
      </c>
      <c r="F708" s="20" t="s">
        <v>7183</v>
      </c>
      <c r="G708" s="17" t="s">
        <v>7548</v>
      </c>
    </row>
    <row r="709" spans="1:7" x14ac:dyDescent="0.25">
      <c r="A709">
        <f t="shared" si="11"/>
        <v>5101900</v>
      </c>
      <c r="B709" s="15">
        <v>140640139</v>
      </c>
      <c r="C709" s="15">
        <v>290220065</v>
      </c>
      <c r="D709" s="16">
        <v>510190000</v>
      </c>
      <c r="E709" s="16" t="s">
        <v>7561</v>
      </c>
      <c r="F709" s="20" t="s">
        <v>7188</v>
      </c>
      <c r="G709" s="17" t="s">
        <v>7550</v>
      </c>
    </row>
    <row r="710" spans="1:7" x14ac:dyDescent="0.25">
      <c r="A710">
        <f t="shared" si="11"/>
        <v>5101900</v>
      </c>
      <c r="B710" s="15">
        <v>140640139</v>
      </c>
      <c r="C710" s="15">
        <v>290220068</v>
      </c>
      <c r="D710" s="16">
        <v>510190001</v>
      </c>
      <c r="E710" s="16" t="s">
        <v>7561</v>
      </c>
      <c r="F710" s="20" t="s">
        <v>7108</v>
      </c>
      <c r="G710" s="17" t="s">
        <v>7550</v>
      </c>
    </row>
    <row r="711" spans="1:7" x14ac:dyDescent="0.25">
      <c r="A711">
        <f t="shared" si="11"/>
        <v>5101900</v>
      </c>
      <c r="B711" s="15">
        <v>140640139</v>
      </c>
      <c r="C711" s="15">
        <v>290220081</v>
      </c>
      <c r="D711" s="16">
        <v>510190004</v>
      </c>
      <c r="E711" s="16" t="s">
        <v>7561</v>
      </c>
      <c r="F711" s="20" t="s">
        <v>7111</v>
      </c>
      <c r="G711" s="17" t="s">
        <v>7550</v>
      </c>
    </row>
    <row r="712" spans="1:7" x14ac:dyDescent="0.25">
      <c r="A712">
        <f t="shared" si="11"/>
        <v>5101900</v>
      </c>
      <c r="B712" s="15">
        <v>140640139</v>
      </c>
      <c r="C712" s="15">
        <v>290220072</v>
      </c>
      <c r="D712" s="16">
        <v>510190002</v>
      </c>
      <c r="E712" s="16" t="s">
        <v>7561</v>
      </c>
      <c r="F712" s="20" t="s">
        <v>7109</v>
      </c>
      <c r="G712" s="17" t="s">
        <v>7550</v>
      </c>
    </row>
    <row r="713" spans="1:7" x14ac:dyDescent="0.25">
      <c r="A713">
        <f t="shared" si="11"/>
        <v>5101083</v>
      </c>
      <c r="B713" s="15">
        <v>140640139</v>
      </c>
      <c r="C713" s="15">
        <v>290220109</v>
      </c>
      <c r="D713" s="16">
        <v>510108310</v>
      </c>
      <c r="E713" s="16" t="s">
        <v>7561</v>
      </c>
      <c r="F713" s="20" t="s">
        <v>7192</v>
      </c>
      <c r="G713" s="17" t="s">
        <v>7555</v>
      </c>
    </row>
    <row r="714" spans="1:7" x14ac:dyDescent="0.25">
      <c r="A714">
        <f t="shared" si="11"/>
        <v>5101083</v>
      </c>
      <c r="B714" s="15">
        <v>140640139</v>
      </c>
      <c r="C714" s="15">
        <v>290220128</v>
      </c>
      <c r="D714" s="16">
        <v>510108301</v>
      </c>
      <c r="E714" s="16" t="s">
        <v>7561</v>
      </c>
      <c r="F714" s="20" t="s">
        <v>7186</v>
      </c>
      <c r="G714" s="17" t="s">
        <v>7555</v>
      </c>
    </row>
    <row r="715" spans="1:7" x14ac:dyDescent="0.25">
      <c r="A715">
        <f t="shared" si="11"/>
        <v>5101900</v>
      </c>
      <c r="B715" s="15">
        <v>140640139</v>
      </c>
      <c r="C715" s="15">
        <v>290220087</v>
      </c>
      <c r="D715" s="16">
        <v>510190005</v>
      </c>
      <c r="E715" s="16" t="s">
        <v>7561</v>
      </c>
      <c r="F715" s="20" t="s">
        <v>7112</v>
      </c>
      <c r="G715" s="17" t="s">
        <v>7550</v>
      </c>
    </row>
    <row r="716" spans="1:7" x14ac:dyDescent="0.25">
      <c r="A716">
        <f t="shared" si="11"/>
        <v>5101985</v>
      </c>
      <c r="B716" s="15">
        <v>140640139</v>
      </c>
      <c r="C716" s="15">
        <v>290220050</v>
      </c>
      <c r="D716" s="16">
        <v>510198505</v>
      </c>
      <c r="E716" s="16" t="s">
        <v>7561</v>
      </c>
      <c r="F716" s="20" t="s">
        <v>7196</v>
      </c>
      <c r="G716" s="17" t="s">
        <v>7548</v>
      </c>
    </row>
    <row r="717" spans="1:7" x14ac:dyDescent="0.25">
      <c r="A717">
        <f t="shared" si="11"/>
        <v>5101083</v>
      </c>
      <c r="B717" s="15">
        <v>140640139</v>
      </c>
      <c r="C717" s="15">
        <v>290220122</v>
      </c>
      <c r="D717" s="16">
        <v>510108300</v>
      </c>
      <c r="E717" s="16" t="s">
        <v>7561</v>
      </c>
      <c r="F717" s="20" t="s">
        <v>7202</v>
      </c>
      <c r="G717" s="17" t="s">
        <v>7555</v>
      </c>
    </row>
    <row r="718" spans="1:7" x14ac:dyDescent="0.25">
      <c r="A718">
        <f t="shared" si="11"/>
        <v>5101083</v>
      </c>
      <c r="B718" s="15">
        <v>140640139</v>
      </c>
      <c r="C718" s="15">
        <v>290220131</v>
      </c>
      <c r="D718" s="16">
        <v>510108302</v>
      </c>
      <c r="E718" s="16" t="s">
        <v>7561</v>
      </c>
      <c r="F718" s="20" t="s">
        <v>7185</v>
      </c>
      <c r="G718" s="17" t="s">
        <v>7555</v>
      </c>
    </row>
    <row r="719" spans="1:7" x14ac:dyDescent="0.25">
      <c r="A719">
        <f t="shared" si="11"/>
        <v>5101083</v>
      </c>
      <c r="B719" s="15">
        <v>140640139</v>
      </c>
      <c r="C719" s="15">
        <v>290220133</v>
      </c>
      <c r="D719" s="16">
        <v>510108303</v>
      </c>
      <c r="E719" s="16" t="s">
        <v>7561</v>
      </c>
      <c r="F719" s="20" t="s">
        <v>7187</v>
      </c>
      <c r="G719" s="17" t="s">
        <v>7555</v>
      </c>
    </row>
    <row r="720" spans="1:7" x14ac:dyDescent="0.25">
      <c r="A720">
        <f t="shared" si="11"/>
        <v>5101985</v>
      </c>
      <c r="B720" s="15">
        <v>140640139</v>
      </c>
      <c r="C720" s="15">
        <v>290219983</v>
      </c>
      <c r="D720" s="16">
        <v>510198502</v>
      </c>
      <c r="E720" s="16" t="s">
        <v>7561</v>
      </c>
      <c r="F720" s="20" t="s">
        <v>7198</v>
      </c>
      <c r="G720" s="17" t="s">
        <v>7548</v>
      </c>
    </row>
    <row r="721" spans="1:7" x14ac:dyDescent="0.25">
      <c r="A721">
        <f t="shared" si="11"/>
        <v>5101985</v>
      </c>
      <c r="B721" s="15">
        <v>140640139</v>
      </c>
      <c r="C721" s="15">
        <v>290220045</v>
      </c>
      <c r="D721" s="16">
        <v>510198500</v>
      </c>
      <c r="E721" s="16" t="s">
        <v>7561</v>
      </c>
      <c r="F721" s="20" t="s">
        <v>7195</v>
      </c>
      <c r="G721" s="17" t="s">
        <v>7548</v>
      </c>
    </row>
    <row r="722" spans="1:7" x14ac:dyDescent="0.25">
      <c r="A722">
        <f t="shared" si="11"/>
        <v>5101901</v>
      </c>
      <c r="B722" s="15">
        <v>140640141</v>
      </c>
      <c r="C722" s="15">
        <v>290220097</v>
      </c>
      <c r="D722" s="16">
        <v>510190109</v>
      </c>
      <c r="E722" s="16" t="s">
        <v>7562</v>
      </c>
      <c r="F722" s="20" t="s">
        <v>7182</v>
      </c>
      <c r="G722" s="17" t="s">
        <v>7550</v>
      </c>
    </row>
    <row r="723" spans="1:7" x14ac:dyDescent="0.25">
      <c r="A723">
        <f t="shared" si="11"/>
        <v>5101986</v>
      </c>
      <c r="B723" s="15">
        <v>140640141</v>
      </c>
      <c r="C723" s="15">
        <v>290220052</v>
      </c>
      <c r="D723" s="16">
        <v>510198609</v>
      </c>
      <c r="E723" s="16" t="s">
        <v>7562</v>
      </c>
      <c r="F723" s="20" t="s">
        <v>7200</v>
      </c>
      <c r="G723" s="17" t="s">
        <v>7548</v>
      </c>
    </row>
    <row r="724" spans="1:7" x14ac:dyDescent="0.25">
      <c r="A724">
        <f t="shared" si="11"/>
        <v>5101901</v>
      </c>
      <c r="B724" s="15">
        <v>140640141</v>
      </c>
      <c r="C724" s="15">
        <v>290220059</v>
      </c>
      <c r="D724" s="16">
        <v>510190107</v>
      </c>
      <c r="E724" s="16" t="s">
        <v>7562</v>
      </c>
      <c r="F724" s="20" t="s">
        <v>7176</v>
      </c>
      <c r="G724" s="17" t="s">
        <v>7550</v>
      </c>
    </row>
    <row r="725" spans="1:7" x14ac:dyDescent="0.25">
      <c r="A725">
        <f t="shared" si="11"/>
        <v>5101986</v>
      </c>
      <c r="B725" s="15">
        <v>140640141</v>
      </c>
      <c r="C725" s="15">
        <v>290220022</v>
      </c>
      <c r="D725" s="16">
        <v>510198607</v>
      </c>
      <c r="E725" s="16" t="s">
        <v>7562</v>
      </c>
      <c r="F725" s="20" t="s">
        <v>7199</v>
      </c>
      <c r="G725" s="17" t="s">
        <v>7548</v>
      </c>
    </row>
    <row r="726" spans="1:7" x14ac:dyDescent="0.25">
      <c r="A726">
        <f t="shared" si="11"/>
        <v>5101901</v>
      </c>
      <c r="B726" s="15">
        <v>140640141</v>
      </c>
      <c r="C726" s="15">
        <v>290220079</v>
      </c>
      <c r="D726" s="16">
        <v>510190108</v>
      </c>
      <c r="E726" s="16" t="s">
        <v>7562</v>
      </c>
      <c r="F726" s="20" t="s">
        <v>7177</v>
      </c>
      <c r="G726" s="17" t="s">
        <v>7550</v>
      </c>
    </row>
    <row r="727" spans="1:7" x14ac:dyDescent="0.25">
      <c r="A727">
        <f t="shared" si="11"/>
        <v>5101986</v>
      </c>
      <c r="B727" s="15">
        <v>140640141</v>
      </c>
      <c r="C727" s="15">
        <v>290220043</v>
      </c>
      <c r="D727" s="16">
        <v>510198608</v>
      </c>
      <c r="E727" s="16" t="s">
        <v>7562</v>
      </c>
      <c r="F727" s="20" t="s">
        <v>7201</v>
      </c>
      <c r="G727" s="17" t="s">
        <v>7548</v>
      </c>
    </row>
    <row r="728" spans="1:7" x14ac:dyDescent="0.25">
      <c r="A728">
        <f t="shared" si="11"/>
        <v>5101986</v>
      </c>
      <c r="B728" s="15">
        <v>140640147</v>
      </c>
      <c r="C728" s="15">
        <v>290220160</v>
      </c>
      <c r="D728" s="16">
        <v>510198608</v>
      </c>
      <c r="E728" s="16" t="s">
        <v>7563</v>
      </c>
      <c r="F728" s="20" t="s">
        <v>7201</v>
      </c>
      <c r="G728" s="17" t="s">
        <v>7548</v>
      </c>
    </row>
    <row r="729" spans="1:7" x14ac:dyDescent="0.25">
      <c r="A729">
        <f t="shared" si="11"/>
        <v>5101901</v>
      </c>
      <c r="B729" s="15">
        <v>140640147</v>
      </c>
      <c r="C729" s="15">
        <v>290220321</v>
      </c>
      <c r="D729" s="16">
        <v>510190108</v>
      </c>
      <c r="E729" s="16" t="s">
        <v>7563</v>
      </c>
      <c r="F729" s="20" t="s">
        <v>7177</v>
      </c>
      <c r="G729" s="17" t="s">
        <v>7550</v>
      </c>
    </row>
    <row r="730" spans="1:7" x14ac:dyDescent="0.25">
      <c r="A730">
        <f t="shared" si="11"/>
        <v>5101986</v>
      </c>
      <c r="B730" s="15">
        <v>140640147</v>
      </c>
      <c r="C730" s="15">
        <v>290220214</v>
      </c>
      <c r="D730" s="16">
        <v>510198609</v>
      </c>
      <c r="E730" s="16" t="s">
        <v>7563</v>
      </c>
      <c r="F730" s="20" t="s">
        <v>7200</v>
      </c>
      <c r="G730" s="17" t="s">
        <v>7548</v>
      </c>
    </row>
    <row r="731" spans="1:7" x14ac:dyDescent="0.25">
      <c r="A731">
        <f t="shared" si="11"/>
        <v>5101901</v>
      </c>
      <c r="B731" s="15">
        <v>140640147</v>
      </c>
      <c r="C731" s="15">
        <v>290220419</v>
      </c>
      <c r="D731" s="16">
        <v>510190109</v>
      </c>
      <c r="E731" s="16" t="s">
        <v>7563</v>
      </c>
      <c r="F731" s="20" t="s">
        <v>7182</v>
      </c>
      <c r="G731" s="17" t="s">
        <v>7550</v>
      </c>
    </row>
    <row r="732" spans="1:7" x14ac:dyDescent="0.25">
      <c r="A732">
        <f t="shared" si="11"/>
        <v>5101901</v>
      </c>
      <c r="B732" s="15">
        <v>140640147</v>
      </c>
      <c r="C732" s="15">
        <v>290220243</v>
      </c>
      <c r="D732" s="16">
        <v>510190107</v>
      </c>
      <c r="E732" s="16" t="s">
        <v>7563</v>
      </c>
      <c r="F732" s="20" t="s">
        <v>7176</v>
      </c>
      <c r="G732" s="17" t="s">
        <v>7550</v>
      </c>
    </row>
    <row r="733" spans="1:7" x14ac:dyDescent="0.25">
      <c r="A733">
        <f t="shared" si="11"/>
        <v>5101986</v>
      </c>
      <c r="B733" s="15">
        <v>140640147</v>
      </c>
      <c r="C733" s="15">
        <v>290220101</v>
      </c>
      <c r="D733" s="16">
        <v>510198607</v>
      </c>
      <c r="E733" s="16" t="s">
        <v>7563</v>
      </c>
      <c r="F733" s="20" t="s">
        <v>7199</v>
      </c>
      <c r="G733" s="17" t="s">
        <v>7548</v>
      </c>
    </row>
    <row r="734" spans="1:7" x14ac:dyDescent="0.25">
      <c r="A734">
        <f t="shared" si="11"/>
        <v>5101888</v>
      </c>
      <c r="B734" s="15">
        <v>140233604</v>
      </c>
      <c r="C734" s="15">
        <v>289794972</v>
      </c>
      <c r="D734" s="16">
        <v>510188805</v>
      </c>
      <c r="E734" s="16" t="s">
        <v>7203</v>
      </c>
      <c r="F734" s="20" t="s">
        <v>7112</v>
      </c>
      <c r="G734" s="17" t="s">
        <v>7564</v>
      </c>
    </row>
    <row r="735" spans="1:7" x14ac:dyDescent="0.25">
      <c r="A735">
        <f t="shared" si="11"/>
        <v>5101999</v>
      </c>
      <c r="B735" s="15">
        <v>140233604</v>
      </c>
      <c r="C735" s="15">
        <v>289794944</v>
      </c>
      <c r="D735" s="16">
        <v>510199906</v>
      </c>
      <c r="E735" s="16" t="s">
        <v>7203</v>
      </c>
      <c r="F735" s="20" t="s">
        <v>7183</v>
      </c>
      <c r="G735" s="17" t="s">
        <v>7565</v>
      </c>
    </row>
    <row r="736" spans="1:7" x14ac:dyDescent="0.25">
      <c r="A736">
        <f t="shared" si="11"/>
        <v>5101999</v>
      </c>
      <c r="B736" s="15">
        <v>140233604</v>
      </c>
      <c r="C736" s="15">
        <v>289794977</v>
      </c>
      <c r="D736" s="16">
        <v>510199901</v>
      </c>
      <c r="E736" s="16" t="s">
        <v>7203</v>
      </c>
      <c r="F736" s="20" t="s">
        <v>7197</v>
      </c>
      <c r="G736" s="17" t="s">
        <v>7565</v>
      </c>
    </row>
    <row r="737" spans="1:7" x14ac:dyDescent="0.25">
      <c r="A737">
        <f t="shared" si="11"/>
        <v>5101999</v>
      </c>
      <c r="B737" s="15">
        <v>140233604</v>
      </c>
      <c r="C737" s="15">
        <v>289794973</v>
      </c>
      <c r="D737" s="16">
        <v>510199910</v>
      </c>
      <c r="E737" s="16" t="s">
        <v>7203</v>
      </c>
      <c r="F737" s="20" t="s">
        <v>7191</v>
      </c>
      <c r="G737" s="17" t="s">
        <v>7565</v>
      </c>
    </row>
    <row r="738" spans="1:7" x14ac:dyDescent="0.25">
      <c r="A738">
        <f t="shared" si="11"/>
        <v>5101999</v>
      </c>
      <c r="B738" s="15">
        <v>140233604</v>
      </c>
      <c r="C738" s="15">
        <v>289794966</v>
      </c>
      <c r="D738" s="16">
        <v>510199903</v>
      </c>
      <c r="E738" s="16" t="s">
        <v>7203</v>
      </c>
      <c r="F738" s="20" t="s">
        <v>7194</v>
      </c>
      <c r="G738" s="17" t="s">
        <v>7565</v>
      </c>
    </row>
    <row r="739" spans="1:7" x14ac:dyDescent="0.25">
      <c r="A739">
        <f t="shared" si="11"/>
        <v>5101999</v>
      </c>
      <c r="B739" s="15">
        <v>140233604</v>
      </c>
      <c r="C739" s="15">
        <v>289794959</v>
      </c>
      <c r="D739" s="16">
        <v>510199902</v>
      </c>
      <c r="E739" s="16" t="s">
        <v>7203</v>
      </c>
      <c r="F739" s="20" t="s">
        <v>7198</v>
      </c>
      <c r="G739" s="17" t="s">
        <v>7565</v>
      </c>
    </row>
    <row r="740" spans="1:7" x14ac:dyDescent="0.25">
      <c r="A740">
        <f t="shared" si="11"/>
        <v>5101777</v>
      </c>
      <c r="B740" s="15">
        <v>140233604</v>
      </c>
      <c r="C740" s="15">
        <v>289794960</v>
      </c>
      <c r="D740" s="16">
        <v>510177700</v>
      </c>
      <c r="E740" s="16" t="s">
        <v>7203</v>
      </c>
      <c r="F740" s="20" t="s">
        <v>7202</v>
      </c>
      <c r="G740" s="17" t="s">
        <v>7566</v>
      </c>
    </row>
    <row r="741" spans="1:7" x14ac:dyDescent="0.25">
      <c r="A741">
        <f t="shared" si="11"/>
        <v>5101999</v>
      </c>
      <c r="B741" s="15">
        <v>140233604</v>
      </c>
      <c r="C741" s="15">
        <v>289794961</v>
      </c>
      <c r="D741" s="16">
        <v>510199905</v>
      </c>
      <c r="E741" s="16" t="s">
        <v>7203</v>
      </c>
      <c r="F741" s="20" t="s">
        <v>7196</v>
      </c>
      <c r="G741" s="17" t="s">
        <v>7565</v>
      </c>
    </row>
    <row r="742" spans="1:7" x14ac:dyDescent="0.25">
      <c r="A742">
        <f t="shared" si="11"/>
        <v>5101777</v>
      </c>
      <c r="B742" s="15">
        <v>140233604</v>
      </c>
      <c r="C742" s="15">
        <v>289794957</v>
      </c>
      <c r="D742" s="16">
        <v>510177706</v>
      </c>
      <c r="E742" s="16" t="s">
        <v>7203</v>
      </c>
      <c r="F742" s="20" t="s">
        <v>7178</v>
      </c>
      <c r="G742" s="17" t="s">
        <v>7566</v>
      </c>
    </row>
    <row r="743" spans="1:7" x14ac:dyDescent="0.25">
      <c r="A743">
        <f t="shared" si="11"/>
        <v>5101777</v>
      </c>
      <c r="B743" s="15">
        <v>140233604</v>
      </c>
      <c r="C743" s="15">
        <v>289794965</v>
      </c>
      <c r="D743" s="16">
        <v>510177703</v>
      </c>
      <c r="E743" s="16" t="s">
        <v>7203</v>
      </c>
      <c r="F743" s="20" t="s">
        <v>7187</v>
      </c>
      <c r="G743" s="17" t="s">
        <v>7566</v>
      </c>
    </row>
    <row r="744" spans="1:7" x14ac:dyDescent="0.25">
      <c r="A744">
        <f t="shared" si="11"/>
        <v>5101999</v>
      </c>
      <c r="B744" s="15">
        <v>140233604</v>
      </c>
      <c r="C744" s="15">
        <v>289794969</v>
      </c>
      <c r="D744" s="16">
        <v>510199900</v>
      </c>
      <c r="E744" s="16" t="s">
        <v>7203</v>
      </c>
      <c r="F744" s="20" t="s">
        <v>7195</v>
      </c>
      <c r="G744" s="17" t="s">
        <v>7565</v>
      </c>
    </row>
    <row r="745" spans="1:7" x14ac:dyDescent="0.25">
      <c r="A745">
        <f t="shared" si="11"/>
        <v>5101888</v>
      </c>
      <c r="B745" s="15">
        <v>140233604</v>
      </c>
      <c r="C745" s="15">
        <v>289794983</v>
      </c>
      <c r="D745" s="16">
        <v>510188801</v>
      </c>
      <c r="E745" s="16" t="s">
        <v>7203</v>
      </c>
      <c r="F745" s="20" t="s">
        <v>7108</v>
      </c>
      <c r="G745" s="17" t="s">
        <v>7564</v>
      </c>
    </row>
    <row r="746" spans="1:7" x14ac:dyDescent="0.25">
      <c r="A746">
        <f t="shared" si="11"/>
        <v>5101777</v>
      </c>
      <c r="B746" s="15">
        <v>140233604</v>
      </c>
      <c r="C746" s="15">
        <v>289794978</v>
      </c>
      <c r="D746" s="16">
        <v>510177704</v>
      </c>
      <c r="E746" s="16" t="s">
        <v>7203</v>
      </c>
      <c r="F746" s="20" t="s">
        <v>7189</v>
      </c>
      <c r="G746" s="17" t="s">
        <v>7566</v>
      </c>
    </row>
    <row r="747" spans="1:7" x14ac:dyDescent="0.25">
      <c r="A747">
        <f t="shared" si="11"/>
        <v>5101888</v>
      </c>
      <c r="B747" s="15">
        <v>140233604</v>
      </c>
      <c r="C747" s="15">
        <v>289794947</v>
      </c>
      <c r="D747" s="16">
        <v>510188804</v>
      </c>
      <c r="E747" s="16" t="s">
        <v>7203</v>
      </c>
      <c r="F747" s="20" t="s">
        <v>7111</v>
      </c>
      <c r="G747" s="17" t="s">
        <v>7564</v>
      </c>
    </row>
    <row r="748" spans="1:7" x14ac:dyDescent="0.25">
      <c r="A748">
        <f t="shared" si="11"/>
        <v>5101777</v>
      </c>
      <c r="B748" s="15">
        <v>140233604</v>
      </c>
      <c r="C748" s="15">
        <v>289794955</v>
      </c>
      <c r="D748" s="16">
        <v>510177701</v>
      </c>
      <c r="E748" s="16" t="s">
        <v>7203</v>
      </c>
      <c r="F748" s="20" t="s">
        <v>7186</v>
      </c>
      <c r="G748" s="17" t="s">
        <v>7566</v>
      </c>
    </row>
    <row r="749" spans="1:7" x14ac:dyDescent="0.25">
      <c r="A749">
        <f t="shared" si="11"/>
        <v>5101999</v>
      </c>
      <c r="B749" s="15">
        <v>140233604</v>
      </c>
      <c r="C749" s="15">
        <v>289794981</v>
      </c>
      <c r="D749" s="16">
        <v>510199904</v>
      </c>
      <c r="E749" s="16" t="s">
        <v>7203</v>
      </c>
      <c r="F749" s="20" t="s">
        <v>7193</v>
      </c>
      <c r="G749" s="17" t="s">
        <v>7565</v>
      </c>
    </row>
    <row r="750" spans="1:7" x14ac:dyDescent="0.25">
      <c r="A750">
        <f t="shared" si="11"/>
        <v>5101888</v>
      </c>
      <c r="B750" s="15">
        <v>140233604</v>
      </c>
      <c r="C750" s="15">
        <v>289794949</v>
      </c>
      <c r="D750" s="16">
        <v>510188800</v>
      </c>
      <c r="E750" s="16" t="s">
        <v>7203</v>
      </c>
      <c r="F750" s="20" t="s">
        <v>7188</v>
      </c>
      <c r="G750" s="17" t="s">
        <v>7564</v>
      </c>
    </row>
    <row r="751" spans="1:7" x14ac:dyDescent="0.25">
      <c r="A751">
        <f t="shared" si="11"/>
        <v>5101777</v>
      </c>
      <c r="B751" s="15">
        <v>140233604</v>
      </c>
      <c r="C751" s="15">
        <v>289794975</v>
      </c>
      <c r="D751" s="16">
        <v>510177705</v>
      </c>
      <c r="E751" s="16" t="s">
        <v>7203</v>
      </c>
      <c r="F751" s="20" t="s">
        <v>7184</v>
      </c>
      <c r="G751" s="17" t="s">
        <v>7566</v>
      </c>
    </row>
    <row r="752" spans="1:7" x14ac:dyDescent="0.25">
      <c r="A752">
        <f t="shared" si="11"/>
        <v>5101888</v>
      </c>
      <c r="B752" s="15">
        <v>140233604</v>
      </c>
      <c r="C752" s="15">
        <v>289794951</v>
      </c>
      <c r="D752" s="16">
        <v>510188803</v>
      </c>
      <c r="E752" s="16" t="s">
        <v>7203</v>
      </c>
      <c r="F752" s="20" t="s">
        <v>7110</v>
      </c>
      <c r="G752" s="17" t="s">
        <v>7564</v>
      </c>
    </row>
    <row r="753" spans="1:7" x14ac:dyDescent="0.25">
      <c r="A753">
        <f t="shared" si="11"/>
        <v>5101777</v>
      </c>
      <c r="B753" s="15">
        <v>140233604</v>
      </c>
      <c r="C753" s="15">
        <v>289794953</v>
      </c>
      <c r="D753" s="16">
        <v>510177710</v>
      </c>
      <c r="E753" s="16" t="s">
        <v>7203</v>
      </c>
      <c r="F753" s="20" t="s">
        <v>7192</v>
      </c>
      <c r="G753" s="17" t="s">
        <v>7566</v>
      </c>
    </row>
    <row r="754" spans="1:7" x14ac:dyDescent="0.25">
      <c r="A754">
        <f t="shared" si="11"/>
        <v>5101888</v>
      </c>
      <c r="B754" s="15">
        <v>140233604</v>
      </c>
      <c r="C754" s="15">
        <v>289794970</v>
      </c>
      <c r="D754" s="16">
        <v>510188806</v>
      </c>
      <c r="E754" s="16" t="s">
        <v>7203</v>
      </c>
      <c r="F754" s="20" t="s">
        <v>7113</v>
      </c>
      <c r="G754" s="17" t="s">
        <v>7564</v>
      </c>
    </row>
    <row r="755" spans="1:7" x14ac:dyDescent="0.25">
      <c r="A755">
        <f t="shared" si="11"/>
        <v>5101888</v>
      </c>
      <c r="B755" s="15">
        <v>140233604</v>
      </c>
      <c r="C755" s="15">
        <v>289794963</v>
      </c>
      <c r="D755" s="16">
        <v>510188810</v>
      </c>
      <c r="E755" s="16" t="s">
        <v>7203</v>
      </c>
      <c r="F755" s="20" t="s">
        <v>7190</v>
      </c>
      <c r="G755" s="17" t="s">
        <v>7564</v>
      </c>
    </row>
    <row r="756" spans="1:7" x14ac:dyDescent="0.25">
      <c r="A756">
        <f t="shared" si="11"/>
        <v>5101888</v>
      </c>
      <c r="B756" s="15">
        <v>140233604</v>
      </c>
      <c r="C756" s="15">
        <v>289794967</v>
      </c>
      <c r="D756" s="16">
        <v>510188802</v>
      </c>
      <c r="E756" s="16" t="s">
        <v>7203</v>
      </c>
      <c r="F756" s="20" t="s">
        <v>7109</v>
      </c>
      <c r="G756" s="17" t="s">
        <v>7564</v>
      </c>
    </row>
    <row r="757" spans="1:7" x14ac:dyDescent="0.25">
      <c r="A757">
        <f t="shared" si="11"/>
        <v>5101777</v>
      </c>
      <c r="B757" s="15">
        <v>140233604</v>
      </c>
      <c r="C757" s="15">
        <v>289794980</v>
      </c>
      <c r="D757" s="16">
        <v>510177702</v>
      </c>
      <c r="E757" s="16" t="s">
        <v>7203</v>
      </c>
      <c r="F757" s="20" t="s">
        <v>7185</v>
      </c>
      <c r="G757" s="17" t="s">
        <v>7566</v>
      </c>
    </row>
    <row r="758" spans="1:7" x14ac:dyDescent="0.25">
      <c r="A758">
        <f t="shared" si="11"/>
        <v>5101999</v>
      </c>
      <c r="B758" s="15">
        <v>140640093</v>
      </c>
      <c r="C758" s="15">
        <v>290219322</v>
      </c>
      <c r="D758" s="16">
        <v>510199906</v>
      </c>
      <c r="E758" s="16" t="s">
        <v>7567</v>
      </c>
      <c r="F758" s="20" t="s">
        <v>7183</v>
      </c>
      <c r="G758" s="17" t="s">
        <v>7565</v>
      </c>
    </row>
    <row r="759" spans="1:7" x14ac:dyDescent="0.25">
      <c r="A759">
        <f t="shared" si="11"/>
        <v>5101888</v>
      </c>
      <c r="B759" s="15">
        <v>140640093</v>
      </c>
      <c r="C759" s="15">
        <v>290219337</v>
      </c>
      <c r="D759" s="16">
        <v>510188803</v>
      </c>
      <c r="E759" s="16" t="s">
        <v>7567</v>
      </c>
      <c r="F759" s="20" t="s">
        <v>7110</v>
      </c>
      <c r="G759" s="17" t="s">
        <v>7564</v>
      </c>
    </row>
    <row r="760" spans="1:7" x14ac:dyDescent="0.25">
      <c r="A760">
        <f t="shared" si="11"/>
        <v>5101888</v>
      </c>
      <c r="B760" s="15">
        <v>140640093</v>
      </c>
      <c r="C760" s="15">
        <v>290219333</v>
      </c>
      <c r="D760" s="16">
        <v>510188800</v>
      </c>
      <c r="E760" s="16" t="s">
        <v>7567</v>
      </c>
      <c r="F760" s="20" t="s">
        <v>7188</v>
      </c>
      <c r="G760" s="17" t="s">
        <v>7564</v>
      </c>
    </row>
    <row r="761" spans="1:7" x14ac:dyDescent="0.25">
      <c r="A761">
        <f t="shared" si="11"/>
        <v>5101777</v>
      </c>
      <c r="B761" s="15">
        <v>140640093</v>
      </c>
      <c r="C761" s="15">
        <v>290219339</v>
      </c>
      <c r="D761" s="16">
        <v>510177710</v>
      </c>
      <c r="E761" s="16" t="s">
        <v>7567</v>
      </c>
      <c r="F761" s="20" t="s">
        <v>7192</v>
      </c>
      <c r="G761" s="17" t="s">
        <v>7566</v>
      </c>
    </row>
    <row r="762" spans="1:7" x14ac:dyDescent="0.25">
      <c r="A762">
        <f t="shared" si="11"/>
        <v>5101888</v>
      </c>
      <c r="B762" s="15">
        <v>140640093</v>
      </c>
      <c r="C762" s="15">
        <v>290219376</v>
      </c>
      <c r="D762" s="16">
        <v>510188806</v>
      </c>
      <c r="E762" s="16" t="s">
        <v>7567</v>
      </c>
      <c r="F762" s="20" t="s">
        <v>7113</v>
      </c>
      <c r="G762" s="17" t="s">
        <v>7564</v>
      </c>
    </row>
    <row r="763" spans="1:7" x14ac:dyDescent="0.25">
      <c r="A763">
        <f t="shared" si="11"/>
        <v>5101888</v>
      </c>
      <c r="B763" s="15">
        <v>140640093</v>
      </c>
      <c r="C763" s="15">
        <v>290219330</v>
      </c>
      <c r="D763" s="16">
        <v>510188804</v>
      </c>
      <c r="E763" s="16" t="s">
        <v>7567</v>
      </c>
      <c r="F763" s="20" t="s">
        <v>7111</v>
      </c>
      <c r="G763" s="17" t="s">
        <v>7564</v>
      </c>
    </row>
    <row r="764" spans="1:7" x14ac:dyDescent="0.25">
      <c r="A764">
        <f t="shared" si="11"/>
        <v>5101777</v>
      </c>
      <c r="B764" s="15">
        <v>140640093</v>
      </c>
      <c r="C764" s="15">
        <v>290219356</v>
      </c>
      <c r="D764" s="16">
        <v>510177703</v>
      </c>
      <c r="E764" s="16" t="s">
        <v>7567</v>
      </c>
      <c r="F764" s="20" t="s">
        <v>7187</v>
      </c>
      <c r="G764" s="17" t="s">
        <v>7566</v>
      </c>
    </row>
    <row r="765" spans="1:7" x14ac:dyDescent="0.25">
      <c r="A765">
        <f t="shared" si="11"/>
        <v>5101888</v>
      </c>
      <c r="B765" s="15">
        <v>140640093</v>
      </c>
      <c r="C765" s="15">
        <v>290219351</v>
      </c>
      <c r="D765" s="16">
        <v>510188810</v>
      </c>
      <c r="E765" s="16" t="s">
        <v>7567</v>
      </c>
      <c r="F765" s="20" t="s">
        <v>7190</v>
      </c>
      <c r="G765" s="17" t="s">
        <v>7564</v>
      </c>
    </row>
    <row r="766" spans="1:7" x14ac:dyDescent="0.25">
      <c r="A766">
        <f t="shared" si="11"/>
        <v>5101999</v>
      </c>
      <c r="B766" s="15">
        <v>140640093</v>
      </c>
      <c r="C766" s="15">
        <v>290219372</v>
      </c>
      <c r="D766" s="16">
        <v>510199900</v>
      </c>
      <c r="E766" s="16" t="s">
        <v>7567</v>
      </c>
      <c r="F766" s="20" t="s">
        <v>7195</v>
      </c>
      <c r="G766" s="17" t="s">
        <v>7565</v>
      </c>
    </row>
    <row r="767" spans="1:7" x14ac:dyDescent="0.25">
      <c r="A767">
        <f t="shared" si="11"/>
        <v>5101777</v>
      </c>
      <c r="B767" s="15">
        <v>140640093</v>
      </c>
      <c r="C767" s="15">
        <v>290219340</v>
      </c>
      <c r="D767" s="16">
        <v>510177701</v>
      </c>
      <c r="E767" s="16" t="s">
        <v>7567</v>
      </c>
      <c r="F767" s="20" t="s">
        <v>7186</v>
      </c>
      <c r="G767" s="17" t="s">
        <v>7566</v>
      </c>
    </row>
    <row r="768" spans="1:7" x14ac:dyDescent="0.25">
      <c r="A768">
        <f t="shared" si="11"/>
        <v>5101999</v>
      </c>
      <c r="B768" s="15">
        <v>140640093</v>
      </c>
      <c r="C768" s="15">
        <v>290219344</v>
      </c>
      <c r="D768" s="16">
        <v>510199902</v>
      </c>
      <c r="E768" s="16" t="s">
        <v>7567</v>
      </c>
      <c r="F768" s="20" t="s">
        <v>7198</v>
      </c>
      <c r="G768" s="17" t="s">
        <v>7565</v>
      </c>
    </row>
    <row r="769" spans="1:7" x14ac:dyDescent="0.25">
      <c r="A769">
        <f t="shared" si="11"/>
        <v>5101999</v>
      </c>
      <c r="B769" s="15">
        <v>140640093</v>
      </c>
      <c r="C769" s="15">
        <v>290219359</v>
      </c>
      <c r="D769" s="16">
        <v>510199903</v>
      </c>
      <c r="E769" s="16" t="s">
        <v>7567</v>
      </c>
      <c r="F769" s="20" t="s">
        <v>7194</v>
      </c>
      <c r="G769" s="17" t="s">
        <v>7565</v>
      </c>
    </row>
    <row r="770" spans="1:7" x14ac:dyDescent="0.25">
      <c r="A770">
        <f t="shared" si="11"/>
        <v>5101777</v>
      </c>
      <c r="B770" s="15">
        <v>140640093</v>
      </c>
      <c r="C770" s="15">
        <v>290219342</v>
      </c>
      <c r="D770" s="16">
        <v>510177706</v>
      </c>
      <c r="E770" s="16" t="s">
        <v>7567</v>
      </c>
      <c r="F770" s="20" t="s">
        <v>7178</v>
      </c>
      <c r="G770" s="17" t="s">
        <v>7566</v>
      </c>
    </row>
    <row r="771" spans="1:7" x14ac:dyDescent="0.25">
      <c r="A771">
        <f t="shared" ref="A771:A834" si="12">LEFT(D771,7)*1</f>
        <v>5101777</v>
      </c>
      <c r="B771" s="15">
        <v>140640093</v>
      </c>
      <c r="C771" s="15">
        <v>290219347</v>
      </c>
      <c r="D771" s="16">
        <v>510177700</v>
      </c>
      <c r="E771" s="16" t="s">
        <v>7567</v>
      </c>
      <c r="F771" s="20" t="s">
        <v>7202</v>
      </c>
      <c r="G771" s="17" t="s">
        <v>7566</v>
      </c>
    </row>
    <row r="772" spans="1:7" x14ac:dyDescent="0.25">
      <c r="A772">
        <f t="shared" si="12"/>
        <v>5101777</v>
      </c>
      <c r="B772" s="15">
        <v>140640093</v>
      </c>
      <c r="C772" s="15">
        <v>290219407</v>
      </c>
      <c r="D772" s="16">
        <v>510177702</v>
      </c>
      <c r="E772" s="16" t="s">
        <v>7567</v>
      </c>
      <c r="F772" s="20" t="s">
        <v>7185</v>
      </c>
      <c r="G772" s="17" t="s">
        <v>7566</v>
      </c>
    </row>
    <row r="773" spans="1:7" x14ac:dyDescent="0.25">
      <c r="A773">
        <f t="shared" si="12"/>
        <v>5101888</v>
      </c>
      <c r="B773" s="15">
        <v>140640093</v>
      </c>
      <c r="C773" s="15">
        <v>290219386</v>
      </c>
      <c r="D773" s="16">
        <v>510188805</v>
      </c>
      <c r="E773" s="16" t="s">
        <v>7567</v>
      </c>
      <c r="F773" s="20" t="s">
        <v>7112</v>
      </c>
      <c r="G773" s="17" t="s">
        <v>7564</v>
      </c>
    </row>
    <row r="774" spans="1:7" x14ac:dyDescent="0.25">
      <c r="A774">
        <f t="shared" si="12"/>
        <v>5101999</v>
      </c>
      <c r="B774" s="15">
        <v>140640093</v>
      </c>
      <c r="C774" s="15">
        <v>290219395</v>
      </c>
      <c r="D774" s="16">
        <v>510199910</v>
      </c>
      <c r="E774" s="16" t="s">
        <v>7567</v>
      </c>
      <c r="F774" s="20" t="s">
        <v>7191</v>
      </c>
      <c r="G774" s="17" t="s">
        <v>7565</v>
      </c>
    </row>
    <row r="775" spans="1:7" x14ac:dyDescent="0.25">
      <c r="A775">
        <f t="shared" si="12"/>
        <v>5101999</v>
      </c>
      <c r="B775" s="15">
        <v>140640093</v>
      </c>
      <c r="C775" s="15">
        <v>290219349</v>
      </c>
      <c r="D775" s="16">
        <v>510199905</v>
      </c>
      <c r="E775" s="16" t="s">
        <v>7567</v>
      </c>
      <c r="F775" s="20" t="s">
        <v>7196</v>
      </c>
      <c r="G775" s="17" t="s">
        <v>7565</v>
      </c>
    </row>
    <row r="776" spans="1:7" x14ac:dyDescent="0.25">
      <c r="A776">
        <f t="shared" si="12"/>
        <v>5101888</v>
      </c>
      <c r="B776" s="15">
        <v>140640093</v>
      </c>
      <c r="C776" s="15">
        <v>290219362</v>
      </c>
      <c r="D776" s="16">
        <v>510188802</v>
      </c>
      <c r="E776" s="16" t="s">
        <v>7567</v>
      </c>
      <c r="F776" s="20" t="s">
        <v>7109</v>
      </c>
      <c r="G776" s="17" t="s">
        <v>7564</v>
      </c>
    </row>
    <row r="777" spans="1:7" x14ac:dyDescent="0.25">
      <c r="A777">
        <f t="shared" si="12"/>
        <v>5101777</v>
      </c>
      <c r="B777" s="15">
        <v>140640093</v>
      </c>
      <c r="C777" s="15">
        <v>290219402</v>
      </c>
      <c r="D777" s="16">
        <v>510177704</v>
      </c>
      <c r="E777" s="16" t="s">
        <v>7567</v>
      </c>
      <c r="F777" s="20" t="s">
        <v>7189</v>
      </c>
      <c r="G777" s="17" t="s">
        <v>7566</v>
      </c>
    </row>
    <row r="778" spans="1:7" x14ac:dyDescent="0.25">
      <c r="A778">
        <f t="shared" si="12"/>
        <v>5101777</v>
      </c>
      <c r="B778" s="15">
        <v>140640093</v>
      </c>
      <c r="C778" s="15">
        <v>290219397</v>
      </c>
      <c r="D778" s="16">
        <v>510177705</v>
      </c>
      <c r="E778" s="16" t="s">
        <v>7567</v>
      </c>
      <c r="F778" s="20" t="s">
        <v>7184</v>
      </c>
      <c r="G778" s="17" t="s">
        <v>7566</v>
      </c>
    </row>
    <row r="779" spans="1:7" x14ac:dyDescent="0.25">
      <c r="A779">
        <f t="shared" si="12"/>
        <v>5101999</v>
      </c>
      <c r="B779" s="15">
        <v>140640093</v>
      </c>
      <c r="C779" s="15">
        <v>290219410</v>
      </c>
      <c r="D779" s="16">
        <v>510199904</v>
      </c>
      <c r="E779" s="16" t="s">
        <v>7567</v>
      </c>
      <c r="F779" s="20" t="s">
        <v>7193</v>
      </c>
      <c r="G779" s="17" t="s">
        <v>7565</v>
      </c>
    </row>
    <row r="780" spans="1:7" x14ac:dyDescent="0.25">
      <c r="A780">
        <f t="shared" si="12"/>
        <v>5101999</v>
      </c>
      <c r="B780" s="15">
        <v>140640093</v>
      </c>
      <c r="C780" s="15">
        <v>290219399</v>
      </c>
      <c r="D780" s="16">
        <v>510199901</v>
      </c>
      <c r="E780" s="16" t="s">
        <v>7567</v>
      </c>
      <c r="F780" s="20" t="s">
        <v>7197</v>
      </c>
      <c r="G780" s="17" t="s">
        <v>7565</v>
      </c>
    </row>
    <row r="781" spans="1:7" x14ac:dyDescent="0.25">
      <c r="A781">
        <f t="shared" si="12"/>
        <v>5101888</v>
      </c>
      <c r="B781" s="15">
        <v>140640093</v>
      </c>
      <c r="C781" s="15">
        <v>290219417</v>
      </c>
      <c r="D781" s="16">
        <v>510188801</v>
      </c>
      <c r="E781" s="16" t="s">
        <v>7567</v>
      </c>
      <c r="F781" s="20" t="s">
        <v>7108</v>
      </c>
      <c r="G781" s="17" t="s">
        <v>7564</v>
      </c>
    </row>
    <row r="782" spans="1:7" x14ac:dyDescent="0.25">
      <c r="A782">
        <f t="shared" si="12"/>
        <v>5101998</v>
      </c>
      <c r="B782" s="15">
        <v>140640206</v>
      </c>
      <c r="C782" s="15">
        <v>290220477</v>
      </c>
      <c r="D782" s="16">
        <v>510199808</v>
      </c>
      <c r="E782" s="16" t="s">
        <v>7568</v>
      </c>
      <c r="F782" s="20" t="s">
        <v>7201</v>
      </c>
      <c r="G782" s="17" t="s">
        <v>7565</v>
      </c>
    </row>
    <row r="783" spans="1:7" x14ac:dyDescent="0.25">
      <c r="A783">
        <f t="shared" si="12"/>
        <v>5101778</v>
      </c>
      <c r="B783" s="15">
        <v>140640206</v>
      </c>
      <c r="C783" s="15">
        <v>290220465</v>
      </c>
      <c r="D783" s="16">
        <v>510177809</v>
      </c>
      <c r="E783" s="16" t="s">
        <v>7568</v>
      </c>
      <c r="F783" s="20" t="s">
        <v>7181</v>
      </c>
      <c r="G783" s="17" t="s">
        <v>7566</v>
      </c>
    </row>
    <row r="784" spans="1:7" x14ac:dyDescent="0.25">
      <c r="A784">
        <f t="shared" si="12"/>
        <v>5101889</v>
      </c>
      <c r="B784" s="15">
        <v>140640206</v>
      </c>
      <c r="C784" s="15">
        <v>290220464</v>
      </c>
      <c r="D784" s="16">
        <v>510188907</v>
      </c>
      <c r="E784" s="16" t="s">
        <v>7568</v>
      </c>
      <c r="F784" s="20" t="s">
        <v>7176</v>
      </c>
      <c r="G784" s="17" t="s">
        <v>7564</v>
      </c>
    </row>
    <row r="785" spans="1:7" x14ac:dyDescent="0.25">
      <c r="A785">
        <f t="shared" si="12"/>
        <v>5101998</v>
      </c>
      <c r="B785" s="15">
        <v>140640206</v>
      </c>
      <c r="C785" s="15">
        <v>290220485</v>
      </c>
      <c r="D785" s="16">
        <v>510199809</v>
      </c>
      <c r="E785" s="16" t="s">
        <v>7568</v>
      </c>
      <c r="F785" s="20" t="s">
        <v>7200</v>
      </c>
      <c r="G785" s="17" t="s">
        <v>7565</v>
      </c>
    </row>
    <row r="786" spans="1:7" x14ac:dyDescent="0.25">
      <c r="A786">
        <f t="shared" si="12"/>
        <v>5101889</v>
      </c>
      <c r="B786" s="15">
        <v>140640206</v>
      </c>
      <c r="C786" s="15">
        <v>290220452</v>
      </c>
      <c r="D786" s="16">
        <v>510188908</v>
      </c>
      <c r="E786" s="16" t="s">
        <v>7568</v>
      </c>
      <c r="F786" s="20" t="s">
        <v>7177</v>
      </c>
      <c r="G786" s="17" t="s">
        <v>7564</v>
      </c>
    </row>
    <row r="787" spans="1:7" x14ac:dyDescent="0.25">
      <c r="A787">
        <f t="shared" si="12"/>
        <v>5101778</v>
      </c>
      <c r="B787" s="15">
        <v>140640206</v>
      </c>
      <c r="C787" s="15">
        <v>290220469</v>
      </c>
      <c r="D787" s="16">
        <v>510177807</v>
      </c>
      <c r="E787" s="16" t="s">
        <v>7568</v>
      </c>
      <c r="F787" s="20" t="s">
        <v>7179</v>
      </c>
      <c r="G787" s="17" t="s">
        <v>7566</v>
      </c>
    </row>
    <row r="788" spans="1:7" x14ac:dyDescent="0.25">
      <c r="A788">
        <f t="shared" si="12"/>
        <v>5101889</v>
      </c>
      <c r="B788" s="15">
        <v>140640206</v>
      </c>
      <c r="C788" s="15">
        <v>290220458</v>
      </c>
      <c r="D788" s="16">
        <v>510188909</v>
      </c>
      <c r="E788" s="16" t="s">
        <v>7568</v>
      </c>
      <c r="F788" s="20" t="s">
        <v>7182</v>
      </c>
      <c r="G788" s="17" t="s">
        <v>7564</v>
      </c>
    </row>
    <row r="789" spans="1:7" x14ac:dyDescent="0.25">
      <c r="A789">
        <f t="shared" si="12"/>
        <v>5101998</v>
      </c>
      <c r="B789" s="15">
        <v>140640206</v>
      </c>
      <c r="C789" s="15">
        <v>290220447</v>
      </c>
      <c r="D789" s="16">
        <v>510199807</v>
      </c>
      <c r="E789" s="16" t="s">
        <v>7568</v>
      </c>
      <c r="F789" s="20" t="s">
        <v>7199</v>
      </c>
      <c r="G789" s="17" t="s">
        <v>7565</v>
      </c>
    </row>
    <row r="790" spans="1:7" x14ac:dyDescent="0.25">
      <c r="A790">
        <f t="shared" si="12"/>
        <v>5101778</v>
      </c>
      <c r="B790" s="15">
        <v>140640206</v>
      </c>
      <c r="C790" s="15">
        <v>290220440</v>
      </c>
      <c r="D790" s="16">
        <v>510177808</v>
      </c>
      <c r="E790" s="16" t="s">
        <v>7568</v>
      </c>
      <c r="F790" s="20" t="s">
        <v>7180</v>
      </c>
      <c r="G790" s="17" t="s">
        <v>7566</v>
      </c>
    </row>
    <row r="791" spans="1:7" x14ac:dyDescent="0.25">
      <c r="A791">
        <f t="shared" si="12"/>
        <v>5101778</v>
      </c>
      <c r="B791" s="15">
        <v>140640079</v>
      </c>
      <c r="C791" s="15">
        <v>290219158</v>
      </c>
      <c r="D791" s="16">
        <v>510177808</v>
      </c>
      <c r="E791" s="16" t="s">
        <v>7569</v>
      </c>
      <c r="F791" s="20" t="s">
        <v>7180</v>
      </c>
      <c r="G791" s="17" t="s">
        <v>7566</v>
      </c>
    </row>
    <row r="792" spans="1:7" x14ac:dyDescent="0.25">
      <c r="A792">
        <f t="shared" si="12"/>
        <v>5101998</v>
      </c>
      <c r="B792" s="15">
        <v>140640079</v>
      </c>
      <c r="C792" s="15">
        <v>290219167</v>
      </c>
      <c r="D792" s="16">
        <v>510199808</v>
      </c>
      <c r="E792" s="16" t="s">
        <v>7569</v>
      </c>
      <c r="F792" s="20" t="s">
        <v>7201</v>
      </c>
      <c r="G792" s="17" t="s">
        <v>7565</v>
      </c>
    </row>
    <row r="793" spans="1:7" x14ac:dyDescent="0.25">
      <c r="A793">
        <f t="shared" si="12"/>
        <v>5101998</v>
      </c>
      <c r="B793" s="15">
        <v>140640079</v>
      </c>
      <c r="C793" s="15">
        <v>290219163</v>
      </c>
      <c r="D793" s="16">
        <v>510199807</v>
      </c>
      <c r="E793" s="16" t="s">
        <v>7569</v>
      </c>
      <c r="F793" s="20" t="s">
        <v>7199</v>
      </c>
      <c r="G793" s="17" t="s">
        <v>7565</v>
      </c>
    </row>
    <row r="794" spans="1:7" x14ac:dyDescent="0.25">
      <c r="A794">
        <f t="shared" si="12"/>
        <v>5101778</v>
      </c>
      <c r="B794" s="15">
        <v>140640079</v>
      </c>
      <c r="C794" s="15">
        <v>290219165</v>
      </c>
      <c r="D794" s="16">
        <v>510177807</v>
      </c>
      <c r="E794" s="16" t="s">
        <v>7569</v>
      </c>
      <c r="F794" s="20" t="s">
        <v>7179</v>
      </c>
      <c r="G794" s="17" t="s">
        <v>7566</v>
      </c>
    </row>
    <row r="795" spans="1:7" x14ac:dyDescent="0.25">
      <c r="A795">
        <f t="shared" si="12"/>
        <v>5101998</v>
      </c>
      <c r="B795" s="15">
        <v>140640079</v>
      </c>
      <c r="C795" s="15">
        <v>290219168</v>
      </c>
      <c r="D795" s="16">
        <v>510199809</v>
      </c>
      <c r="E795" s="16" t="s">
        <v>7569</v>
      </c>
      <c r="F795" s="20" t="s">
        <v>7200</v>
      </c>
      <c r="G795" s="17" t="s">
        <v>7565</v>
      </c>
    </row>
    <row r="796" spans="1:7" x14ac:dyDescent="0.25">
      <c r="A796">
        <f t="shared" si="12"/>
        <v>5101778</v>
      </c>
      <c r="B796" s="15">
        <v>140640079</v>
      </c>
      <c r="C796" s="15">
        <v>290219161</v>
      </c>
      <c r="D796" s="16">
        <v>510177809</v>
      </c>
      <c r="E796" s="16" t="s">
        <v>7569</v>
      </c>
      <c r="F796" s="20" t="s">
        <v>7181</v>
      </c>
      <c r="G796" s="17" t="s">
        <v>7566</v>
      </c>
    </row>
    <row r="797" spans="1:7" x14ac:dyDescent="0.25">
      <c r="A797">
        <f t="shared" si="12"/>
        <v>5101889</v>
      </c>
      <c r="B797" s="15">
        <v>140640079</v>
      </c>
      <c r="C797" s="15">
        <v>290219147</v>
      </c>
      <c r="D797" s="16">
        <v>510188908</v>
      </c>
      <c r="E797" s="16" t="s">
        <v>7569</v>
      </c>
      <c r="F797" s="20" t="s">
        <v>7177</v>
      </c>
      <c r="G797" s="17" t="s">
        <v>7564</v>
      </c>
    </row>
    <row r="798" spans="1:7" x14ac:dyDescent="0.25">
      <c r="A798">
        <f t="shared" si="12"/>
        <v>5101889</v>
      </c>
      <c r="B798" s="15">
        <v>140640079</v>
      </c>
      <c r="C798" s="15">
        <v>290219155</v>
      </c>
      <c r="D798" s="16">
        <v>510188909</v>
      </c>
      <c r="E798" s="16" t="s">
        <v>7569</v>
      </c>
      <c r="F798" s="20" t="s">
        <v>7182</v>
      </c>
      <c r="G798" s="17" t="s">
        <v>7564</v>
      </c>
    </row>
    <row r="799" spans="1:7" x14ac:dyDescent="0.25">
      <c r="A799">
        <f t="shared" si="12"/>
        <v>5101889</v>
      </c>
      <c r="B799" s="15">
        <v>140640079</v>
      </c>
      <c r="C799" s="15">
        <v>290219144</v>
      </c>
      <c r="D799" s="16">
        <v>510188907</v>
      </c>
      <c r="E799" s="16" t="s">
        <v>7569</v>
      </c>
      <c r="F799" s="20" t="s">
        <v>7176</v>
      </c>
      <c r="G799" s="17" t="s">
        <v>7564</v>
      </c>
    </row>
    <row r="800" spans="1:7" x14ac:dyDescent="0.25">
      <c r="A800">
        <f t="shared" si="12"/>
        <v>5101187</v>
      </c>
      <c r="B800" s="15">
        <v>140640086</v>
      </c>
      <c r="C800" s="15">
        <v>290219279</v>
      </c>
      <c r="D800" s="16">
        <v>510118702</v>
      </c>
      <c r="E800" s="16" t="s">
        <v>7570</v>
      </c>
      <c r="F800" s="20" t="s">
        <v>7109</v>
      </c>
      <c r="G800" s="17" t="s">
        <v>7571</v>
      </c>
    </row>
    <row r="801" spans="1:7" x14ac:dyDescent="0.25">
      <c r="A801">
        <f t="shared" si="12"/>
        <v>5101192</v>
      </c>
      <c r="B801" s="15">
        <v>140640086</v>
      </c>
      <c r="C801" s="15">
        <v>290219286</v>
      </c>
      <c r="D801" s="16">
        <v>510119202</v>
      </c>
      <c r="E801" s="16" t="s">
        <v>7570</v>
      </c>
      <c r="F801" s="20" t="s">
        <v>7198</v>
      </c>
      <c r="G801" s="17" t="s">
        <v>7572</v>
      </c>
    </row>
    <row r="802" spans="1:7" x14ac:dyDescent="0.25">
      <c r="A802">
        <f t="shared" si="12"/>
        <v>5101187</v>
      </c>
      <c r="B802" s="15">
        <v>140640086</v>
      </c>
      <c r="C802" s="15">
        <v>290219295</v>
      </c>
      <c r="D802" s="16">
        <v>510118705</v>
      </c>
      <c r="E802" s="16" t="s">
        <v>7570</v>
      </c>
      <c r="F802" s="20" t="s">
        <v>7112</v>
      </c>
      <c r="G802" s="17" t="s">
        <v>7571</v>
      </c>
    </row>
    <row r="803" spans="1:7" x14ac:dyDescent="0.25">
      <c r="A803">
        <f t="shared" si="12"/>
        <v>5101192</v>
      </c>
      <c r="B803" s="15">
        <v>140640086</v>
      </c>
      <c r="C803" s="15">
        <v>290219231</v>
      </c>
      <c r="D803" s="16">
        <v>510119200</v>
      </c>
      <c r="E803" s="16" t="s">
        <v>7570</v>
      </c>
      <c r="F803" s="20" t="s">
        <v>7195</v>
      </c>
      <c r="G803" s="17" t="s">
        <v>7572</v>
      </c>
    </row>
    <row r="804" spans="1:7" x14ac:dyDescent="0.25">
      <c r="A804">
        <f t="shared" si="12"/>
        <v>5101192</v>
      </c>
      <c r="B804" s="15">
        <v>140640086</v>
      </c>
      <c r="C804" s="15">
        <v>290219248</v>
      </c>
      <c r="D804" s="16">
        <v>510119203</v>
      </c>
      <c r="E804" s="16" t="s">
        <v>7570</v>
      </c>
      <c r="F804" s="20" t="s">
        <v>7194</v>
      </c>
      <c r="G804" s="17" t="s">
        <v>7572</v>
      </c>
    </row>
    <row r="805" spans="1:7" x14ac:dyDescent="0.25">
      <c r="A805">
        <f t="shared" si="12"/>
        <v>5101187</v>
      </c>
      <c r="B805" s="15">
        <v>140640086</v>
      </c>
      <c r="C805" s="15">
        <v>290219238</v>
      </c>
      <c r="D805" s="16">
        <v>510118701</v>
      </c>
      <c r="E805" s="16" t="s">
        <v>7570</v>
      </c>
      <c r="F805" s="20" t="s">
        <v>7108</v>
      </c>
      <c r="G805" s="17" t="s">
        <v>7571</v>
      </c>
    </row>
    <row r="806" spans="1:7" x14ac:dyDescent="0.25">
      <c r="A806">
        <f t="shared" si="12"/>
        <v>5101187</v>
      </c>
      <c r="B806" s="15">
        <v>140640086</v>
      </c>
      <c r="C806" s="15">
        <v>290219258</v>
      </c>
      <c r="D806" s="16">
        <v>510118704</v>
      </c>
      <c r="E806" s="16" t="s">
        <v>7570</v>
      </c>
      <c r="F806" s="20" t="s">
        <v>7111</v>
      </c>
      <c r="G806" s="17" t="s">
        <v>7571</v>
      </c>
    </row>
    <row r="807" spans="1:7" x14ac:dyDescent="0.25">
      <c r="A807">
        <f t="shared" si="12"/>
        <v>5101187</v>
      </c>
      <c r="B807" s="15">
        <v>140640086</v>
      </c>
      <c r="C807" s="15">
        <v>290219267</v>
      </c>
      <c r="D807" s="16">
        <v>510118703</v>
      </c>
      <c r="E807" s="16" t="s">
        <v>7570</v>
      </c>
      <c r="F807" s="20" t="s">
        <v>7110</v>
      </c>
      <c r="G807" s="17" t="s">
        <v>7571</v>
      </c>
    </row>
    <row r="808" spans="1:7" x14ac:dyDescent="0.25">
      <c r="A808">
        <f t="shared" si="12"/>
        <v>5101192</v>
      </c>
      <c r="B808" s="15">
        <v>140640086</v>
      </c>
      <c r="C808" s="15">
        <v>290219256</v>
      </c>
      <c r="D808" s="16">
        <v>510119201</v>
      </c>
      <c r="E808" s="16" t="s">
        <v>7570</v>
      </c>
      <c r="F808" s="20" t="s">
        <v>7197</v>
      </c>
      <c r="G808" s="17" t="s">
        <v>7572</v>
      </c>
    </row>
    <row r="809" spans="1:7" x14ac:dyDescent="0.25">
      <c r="A809">
        <f t="shared" si="12"/>
        <v>5101187</v>
      </c>
      <c r="B809" s="15">
        <v>140640086</v>
      </c>
      <c r="C809" s="15">
        <v>290219274</v>
      </c>
      <c r="D809" s="16">
        <v>510118706</v>
      </c>
      <c r="E809" s="16" t="s">
        <v>7570</v>
      </c>
      <c r="F809" s="20" t="s">
        <v>7113</v>
      </c>
      <c r="G809" s="17" t="s">
        <v>7571</v>
      </c>
    </row>
    <row r="810" spans="1:7" x14ac:dyDescent="0.25">
      <c r="A810">
        <f t="shared" si="12"/>
        <v>5101192</v>
      </c>
      <c r="B810" s="15">
        <v>140640086</v>
      </c>
      <c r="C810" s="15">
        <v>290219269</v>
      </c>
      <c r="D810" s="16">
        <v>510119205</v>
      </c>
      <c r="E810" s="16" t="s">
        <v>7570</v>
      </c>
      <c r="F810" s="20" t="s">
        <v>7196</v>
      </c>
      <c r="G810" s="17" t="s">
        <v>7572</v>
      </c>
    </row>
    <row r="811" spans="1:7" x14ac:dyDescent="0.25">
      <c r="A811">
        <f t="shared" si="12"/>
        <v>5101187</v>
      </c>
      <c r="B811" s="15">
        <v>140640086</v>
      </c>
      <c r="C811" s="15">
        <v>290219264</v>
      </c>
      <c r="D811" s="16">
        <v>510118700</v>
      </c>
      <c r="E811" s="16" t="s">
        <v>7570</v>
      </c>
      <c r="F811" s="20" t="s">
        <v>7188</v>
      </c>
      <c r="G811" s="17" t="s">
        <v>7571</v>
      </c>
    </row>
    <row r="812" spans="1:7" x14ac:dyDescent="0.25">
      <c r="A812">
        <f t="shared" si="12"/>
        <v>5101192</v>
      </c>
      <c r="B812" s="15">
        <v>140640086</v>
      </c>
      <c r="C812" s="15">
        <v>290219242</v>
      </c>
      <c r="D812" s="16">
        <v>510119206</v>
      </c>
      <c r="E812" s="16" t="s">
        <v>7570</v>
      </c>
      <c r="F812" s="20" t="s">
        <v>7183</v>
      </c>
      <c r="G812" s="17" t="s">
        <v>7572</v>
      </c>
    </row>
    <row r="813" spans="1:7" x14ac:dyDescent="0.25">
      <c r="A813">
        <f t="shared" si="12"/>
        <v>5101192</v>
      </c>
      <c r="B813" s="15">
        <v>140640086</v>
      </c>
      <c r="C813" s="15">
        <v>290219226</v>
      </c>
      <c r="D813" s="16">
        <v>510119204</v>
      </c>
      <c r="E813" s="16" t="s">
        <v>7570</v>
      </c>
      <c r="F813" s="20" t="s">
        <v>7193</v>
      </c>
      <c r="G813" s="17" t="s">
        <v>7572</v>
      </c>
    </row>
    <row r="814" spans="1:7" x14ac:dyDescent="0.25">
      <c r="A814">
        <f t="shared" si="12"/>
        <v>5101187</v>
      </c>
      <c r="B814" s="15">
        <v>140640082</v>
      </c>
      <c r="C814" s="15">
        <v>290219237</v>
      </c>
      <c r="D814" s="16">
        <v>510118704</v>
      </c>
      <c r="E814" s="16" t="s">
        <v>7573</v>
      </c>
      <c r="F814" s="20" t="s">
        <v>7111</v>
      </c>
      <c r="G814" s="17" t="s">
        <v>7571</v>
      </c>
    </row>
    <row r="815" spans="1:7" x14ac:dyDescent="0.25">
      <c r="A815">
        <f t="shared" si="12"/>
        <v>5101187</v>
      </c>
      <c r="B815" s="15">
        <v>140640082</v>
      </c>
      <c r="C815" s="15">
        <v>290219205</v>
      </c>
      <c r="D815" s="16">
        <v>510118701</v>
      </c>
      <c r="E815" s="16" t="s">
        <v>7573</v>
      </c>
      <c r="F815" s="20" t="s">
        <v>7108</v>
      </c>
      <c r="G815" s="17" t="s">
        <v>7571</v>
      </c>
    </row>
    <row r="816" spans="1:7" x14ac:dyDescent="0.25">
      <c r="A816">
        <f t="shared" si="12"/>
        <v>5101192</v>
      </c>
      <c r="B816" s="15">
        <v>140640082</v>
      </c>
      <c r="C816" s="15">
        <v>290219277</v>
      </c>
      <c r="D816" s="16">
        <v>510119205</v>
      </c>
      <c r="E816" s="16" t="s">
        <v>7573</v>
      </c>
      <c r="F816" s="20" t="s">
        <v>7196</v>
      </c>
      <c r="G816" s="17" t="s">
        <v>7572</v>
      </c>
    </row>
    <row r="817" spans="1:7" x14ac:dyDescent="0.25">
      <c r="A817">
        <f t="shared" si="12"/>
        <v>5101187</v>
      </c>
      <c r="B817" s="15">
        <v>140640082</v>
      </c>
      <c r="C817" s="15">
        <v>290219326</v>
      </c>
      <c r="D817" s="16">
        <v>510118705</v>
      </c>
      <c r="E817" s="16" t="s">
        <v>7573</v>
      </c>
      <c r="F817" s="20" t="s">
        <v>7112</v>
      </c>
      <c r="G817" s="17" t="s">
        <v>7571</v>
      </c>
    </row>
    <row r="818" spans="1:7" x14ac:dyDescent="0.25">
      <c r="A818">
        <f t="shared" si="12"/>
        <v>5101192</v>
      </c>
      <c r="B818" s="15">
        <v>140640082</v>
      </c>
      <c r="C818" s="15">
        <v>290219203</v>
      </c>
      <c r="D818" s="16">
        <v>510119200</v>
      </c>
      <c r="E818" s="16" t="s">
        <v>7573</v>
      </c>
      <c r="F818" s="20" t="s">
        <v>7195</v>
      </c>
      <c r="G818" s="17" t="s">
        <v>7572</v>
      </c>
    </row>
    <row r="819" spans="1:7" x14ac:dyDescent="0.25">
      <c r="A819">
        <f t="shared" si="12"/>
        <v>5101187</v>
      </c>
      <c r="B819" s="15">
        <v>140640082</v>
      </c>
      <c r="C819" s="15">
        <v>290219300</v>
      </c>
      <c r="D819" s="16">
        <v>510118706</v>
      </c>
      <c r="E819" s="16" t="s">
        <v>7573</v>
      </c>
      <c r="F819" s="20" t="s">
        <v>7113</v>
      </c>
      <c r="G819" s="17" t="s">
        <v>7571</v>
      </c>
    </row>
    <row r="820" spans="1:7" x14ac:dyDescent="0.25">
      <c r="A820">
        <f t="shared" si="12"/>
        <v>5101192</v>
      </c>
      <c r="B820" s="15">
        <v>140640082</v>
      </c>
      <c r="C820" s="15">
        <v>290219320</v>
      </c>
      <c r="D820" s="16">
        <v>510119202</v>
      </c>
      <c r="E820" s="16" t="s">
        <v>7573</v>
      </c>
      <c r="F820" s="20" t="s">
        <v>7198</v>
      </c>
      <c r="G820" s="17" t="s">
        <v>7572</v>
      </c>
    </row>
    <row r="821" spans="1:7" x14ac:dyDescent="0.25">
      <c r="A821">
        <f t="shared" si="12"/>
        <v>5101187</v>
      </c>
      <c r="B821" s="15">
        <v>140640082</v>
      </c>
      <c r="C821" s="15">
        <v>290219266</v>
      </c>
      <c r="D821" s="16">
        <v>510118703</v>
      </c>
      <c r="E821" s="16" t="s">
        <v>7573</v>
      </c>
      <c r="F821" s="20" t="s">
        <v>7110</v>
      </c>
      <c r="G821" s="17" t="s">
        <v>7571</v>
      </c>
    </row>
    <row r="822" spans="1:7" x14ac:dyDescent="0.25">
      <c r="A822">
        <f t="shared" si="12"/>
        <v>5101192</v>
      </c>
      <c r="B822" s="15">
        <v>140640082</v>
      </c>
      <c r="C822" s="15">
        <v>290219215</v>
      </c>
      <c r="D822" s="16">
        <v>510119203</v>
      </c>
      <c r="E822" s="16" t="s">
        <v>7573</v>
      </c>
      <c r="F822" s="20" t="s">
        <v>7194</v>
      </c>
      <c r="G822" s="17" t="s">
        <v>7572</v>
      </c>
    </row>
    <row r="823" spans="1:7" x14ac:dyDescent="0.25">
      <c r="A823">
        <f t="shared" si="12"/>
        <v>5101187</v>
      </c>
      <c r="B823" s="15">
        <v>140640082</v>
      </c>
      <c r="C823" s="15">
        <v>290219260</v>
      </c>
      <c r="D823" s="16">
        <v>510118700</v>
      </c>
      <c r="E823" s="16" t="s">
        <v>7573</v>
      </c>
      <c r="F823" s="20" t="s">
        <v>7188</v>
      </c>
      <c r="G823" s="17" t="s">
        <v>7571</v>
      </c>
    </row>
    <row r="824" spans="1:7" x14ac:dyDescent="0.25">
      <c r="A824">
        <f t="shared" si="12"/>
        <v>5101192</v>
      </c>
      <c r="B824" s="15">
        <v>140640082</v>
      </c>
      <c r="C824" s="15">
        <v>290219197</v>
      </c>
      <c r="D824" s="16">
        <v>510119204</v>
      </c>
      <c r="E824" s="16" t="s">
        <v>7573</v>
      </c>
      <c r="F824" s="20" t="s">
        <v>7193</v>
      </c>
      <c r="G824" s="17" t="s">
        <v>7572</v>
      </c>
    </row>
    <row r="825" spans="1:7" x14ac:dyDescent="0.25">
      <c r="A825">
        <f t="shared" si="12"/>
        <v>5101187</v>
      </c>
      <c r="B825" s="15">
        <v>140640082</v>
      </c>
      <c r="C825" s="15">
        <v>290219311</v>
      </c>
      <c r="D825" s="16">
        <v>510118702</v>
      </c>
      <c r="E825" s="16" t="s">
        <v>7573</v>
      </c>
      <c r="F825" s="20" t="s">
        <v>7109</v>
      </c>
      <c r="G825" s="17" t="s">
        <v>7571</v>
      </c>
    </row>
    <row r="826" spans="1:7" x14ac:dyDescent="0.25">
      <c r="A826">
        <f t="shared" si="12"/>
        <v>5101192</v>
      </c>
      <c r="B826" s="15">
        <v>140640082</v>
      </c>
      <c r="C826" s="15">
        <v>290219211</v>
      </c>
      <c r="D826" s="16">
        <v>510119206</v>
      </c>
      <c r="E826" s="16" t="s">
        <v>7573</v>
      </c>
      <c r="F826" s="20" t="s">
        <v>7183</v>
      </c>
      <c r="G826" s="17" t="s">
        <v>7572</v>
      </c>
    </row>
    <row r="827" spans="1:7" x14ac:dyDescent="0.25">
      <c r="A827">
        <f t="shared" si="12"/>
        <v>5101192</v>
      </c>
      <c r="B827" s="15">
        <v>140640082</v>
      </c>
      <c r="C827" s="15">
        <v>290219221</v>
      </c>
      <c r="D827" s="16">
        <v>510119201</v>
      </c>
      <c r="E827" s="16" t="s">
        <v>7573</v>
      </c>
      <c r="F827" s="20" t="s">
        <v>7197</v>
      </c>
      <c r="G827" s="17" t="s">
        <v>7572</v>
      </c>
    </row>
    <row r="828" spans="1:7" x14ac:dyDescent="0.25">
      <c r="A828">
        <f t="shared" si="12"/>
        <v>5101193</v>
      </c>
      <c r="B828" s="15">
        <v>140640112</v>
      </c>
      <c r="C828" s="15">
        <v>290219631</v>
      </c>
      <c r="D828" s="16">
        <v>510119307</v>
      </c>
      <c r="E828" s="16" t="s">
        <v>7574</v>
      </c>
      <c r="F828" s="20" t="s">
        <v>7199</v>
      </c>
      <c r="G828" s="17" t="s">
        <v>7572</v>
      </c>
    </row>
    <row r="829" spans="1:7" x14ac:dyDescent="0.25">
      <c r="A829">
        <f t="shared" si="12"/>
        <v>5101188</v>
      </c>
      <c r="B829" s="15">
        <v>140640112</v>
      </c>
      <c r="C829" s="15">
        <v>290219619</v>
      </c>
      <c r="D829" s="16">
        <v>510118808</v>
      </c>
      <c r="E829" s="16" t="s">
        <v>7574</v>
      </c>
      <c r="F829" s="20" t="s">
        <v>7177</v>
      </c>
      <c r="G829" s="17" t="s">
        <v>7571</v>
      </c>
    </row>
    <row r="830" spans="1:7" x14ac:dyDescent="0.25">
      <c r="A830">
        <f t="shared" si="12"/>
        <v>5101188</v>
      </c>
      <c r="B830" s="15">
        <v>140640112</v>
      </c>
      <c r="C830" s="15">
        <v>290219611</v>
      </c>
      <c r="D830" s="16">
        <v>510118809</v>
      </c>
      <c r="E830" s="16" t="s">
        <v>7574</v>
      </c>
      <c r="F830" s="20" t="s">
        <v>7182</v>
      </c>
      <c r="G830" s="17" t="s">
        <v>7571</v>
      </c>
    </row>
    <row r="831" spans="1:7" x14ac:dyDescent="0.25">
      <c r="A831">
        <f t="shared" si="12"/>
        <v>5101188</v>
      </c>
      <c r="B831" s="15">
        <v>140640112</v>
      </c>
      <c r="C831" s="15">
        <v>290219638</v>
      </c>
      <c r="D831" s="16">
        <v>510118807</v>
      </c>
      <c r="E831" s="16" t="s">
        <v>7574</v>
      </c>
      <c r="F831" s="20" t="s">
        <v>7176</v>
      </c>
      <c r="G831" s="17" t="s">
        <v>7571</v>
      </c>
    </row>
    <row r="832" spans="1:7" x14ac:dyDescent="0.25">
      <c r="A832">
        <f t="shared" si="12"/>
        <v>5101193</v>
      </c>
      <c r="B832" s="15">
        <v>140640112</v>
      </c>
      <c r="C832" s="15">
        <v>290219601</v>
      </c>
      <c r="D832" s="16">
        <v>510119309</v>
      </c>
      <c r="E832" s="16" t="s">
        <v>7574</v>
      </c>
      <c r="F832" s="20" t="s">
        <v>7200</v>
      </c>
      <c r="G832" s="17" t="s">
        <v>7572</v>
      </c>
    </row>
    <row r="833" spans="1:7" x14ac:dyDescent="0.25">
      <c r="A833">
        <f t="shared" si="12"/>
        <v>5101193</v>
      </c>
      <c r="B833" s="15">
        <v>140640112</v>
      </c>
      <c r="C833" s="15">
        <v>290219597</v>
      </c>
      <c r="D833" s="16">
        <v>510119308</v>
      </c>
      <c r="E833" s="16" t="s">
        <v>7574</v>
      </c>
      <c r="F833" s="20" t="s">
        <v>7201</v>
      </c>
      <c r="G833" s="17" t="s">
        <v>7572</v>
      </c>
    </row>
    <row r="834" spans="1:7" x14ac:dyDescent="0.25">
      <c r="A834">
        <f t="shared" si="12"/>
        <v>5101193</v>
      </c>
      <c r="B834" s="15">
        <v>140640105</v>
      </c>
      <c r="C834" s="15">
        <v>290219444</v>
      </c>
      <c r="D834" s="16">
        <v>510119308</v>
      </c>
      <c r="E834" s="16" t="s">
        <v>7575</v>
      </c>
      <c r="F834" s="20" t="s">
        <v>7201</v>
      </c>
      <c r="G834" s="17" t="s">
        <v>7572</v>
      </c>
    </row>
    <row r="835" spans="1:7" x14ac:dyDescent="0.25">
      <c r="A835">
        <f t="shared" ref="A835:A874" si="13">LEFT(D835,7)*1</f>
        <v>5101193</v>
      </c>
      <c r="B835" s="15">
        <v>140640105</v>
      </c>
      <c r="C835" s="15">
        <v>290219452</v>
      </c>
      <c r="D835" s="16">
        <v>510119307</v>
      </c>
      <c r="E835" s="16" t="s">
        <v>7575</v>
      </c>
      <c r="F835" s="20" t="s">
        <v>7199</v>
      </c>
      <c r="G835" s="17" t="s">
        <v>7572</v>
      </c>
    </row>
    <row r="836" spans="1:7" x14ac:dyDescent="0.25">
      <c r="A836">
        <f t="shared" si="13"/>
        <v>5101188</v>
      </c>
      <c r="B836" s="15">
        <v>140640105</v>
      </c>
      <c r="C836" s="15">
        <v>290219461</v>
      </c>
      <c r="D836" s="16">
        <v>510118807</v>
      </c>
      <c r="E836" s="16" t="s">
        <v>7575</v>
      </c>
      <c r="F836" s="20" t="s">
        <v>7176</v>
      </c>
      <c r="G836" s="17" t="s">
        <v>7571</v>
      </c>
    </row>
    <row r="837" spans="1:7" x14ac:dyDescent="0.25">
      <c r="A837">
        <f t="shared" si="13"/>
        <v>5101193</v>
      </c>
      <c r="B837" s="15">
        <v>140640105</v>
      </c>
      <c r="C837" s="15">
        <v>290219456</v>
      </c>
      <c r="D837" s="16">
        <v>510119309</v>
      </c>
      <c r="E837" s="16" t="s">
        <v>7575</v>
      </c>
      <c r="F837" s="20" t="s">
        <v>7200</v>
      </c>
      <c r="G837" s="17" t="s">
        <v>7572</v>
      </c>
    </row>
    <row r="838" spans="1:7" x14ac:dyDescent="0.25">
      <c r="A838">
        <f t="shared" si="13"/>
        <v>5101188</v>
      </c>
      <c r="B838" s="15">
        <v>140640105</v>
      </c>
      <c r="C838" s="15">
        <v>290219468</v>
      </c>
      <c r="D838" s="16">
        <v>510118808</v>
      </c>
      <c r="E838" s="16" t="s">
        <v>7575</v>
      </c>
      <c r="F838" s="20" t="s">
        <v>7177</v>
      </c>
      <c r="G838" s="17" t="s">
        <v>7571</v>
      </c>
    </row>
    <row r="839" spans="1:7" x14ac:dyDescent="0.25">
      <c r="A839">
        <f t="shared" si="13"/>
        <v>5101188</v>
      </c>
      <c r="B839" s="15">
        <v>140640105</v>
      </c>
      <c r="C839" s="15">
        <v>290219474</v>
      </c>
      <c r="D839" s="16">
        <v>510118809</v>
      </c>
      <c r="E839" s="16" t="s">
        <v>7575</v>
      </c>
      <c r="F839" s="20" t="s">
        <v>7182</v>
      </c>
      <c r="G839" s="17" t="s">
        <v>7571</v>
      </c>
    </row>
    <row r="840" spans="1:7" x14ac:dyDescent="0.25">
      <c r="A840">
        <f t="shared" si="13"/>
        <v>2401584</v>
      </c>
      <c r="B840" s="15">
        <v>140640092</v>
      </c>
      <c r="C840" s="15">
        <v>290219576</v>
      </c>
      <c r="D840" s="16">
        <v>240158409</v>
      </c>
      <c r="E840" s="16" t="s">
        <v>7576</v>
      </c>
      <c r="F840" s="20" t="s">
        <v>7182</v>
      </c>
      <c r="G840" s="17" t="s">
        <v>7577</v>
      </c>
    </row>
    <row r="841" spans="1:7" x14ac:dyDescent="0.25">
      <c r="A841">
        <f t="shared" si="13"/>
        <v>2401584</v>
      </c>
      <c r="B841" s="15">
        <v>140640092</v>
      </c>
      <c r="C841" s="15">
        <v>290219409</v>
      </c>
      <c r="D841" s="16">
        <v>240158401</v>
      </c>
      <c r="E841" s="16" t="s">
        <v>7576</v>
      </c>
      <c r="F841" s="20" t="s">
        <v>7108</v>
      </c>
      <c r="G841" s="17" t="s">
        <v>7577</v>
      </c>
    </row>
    <row r="842" spans="1:7" x14ac:dyDescent="0.25">
      <c r="A842">
        <f t="shared" si="13"/>
        <v>2401298</v>
      </c>
      <c r="B842" s="15">
        <v>140640092</v>
      </c>
      <c r="C842" s="15">
        <v>290219319</v>
      </c>
      <c r="D842" s="16">
        <v>240129800</v>
      </c>
      <c r="E842" s="16" t="s">
        <v>7576</v>
      </c>
      <c r="F842" s="20" t="s">
        <v>7195</v>
      </c>
      <c r="G842" s="17" t="s">
        <v>7578</v>
      </c>
    </row>
    <row r="843" spans="1:7" x14ac:dyDescent="0.25">
      <c r="A843">
        <f t="shared" si="13"/>
        <v>2401584</v>
      </c>
      <c r="B843" s="15">
        <v>140640092</v>
      </c>
      <c r="C843" s="15">
        <v>290219448</v>
      </c>
      <c r="D843" s="16">
        <v>240158403</v>
      </c>
      <c r="E843" s="16" t="s">
        <v>7576</v>
      </c>
      <c r="F843" s="20" t="s">
        <v>7110</v>
      </c>
      <c r="G843" s="17" t="s">
        <v>7577</v>
      </c>
    </row>
    <row r="844" spans="1:7" x14ac:dyDescent="0.25">
      <c r="A844">
        <f t="shared" si="13"/>
        <v>2401298</v>
      </c>
      <c r="B844" s="15">
        <v>140640092</v>
      </c>
      <c r="C844" s="15">
        <v>290219357</v>
      </c>
      <c r="D844" s="16">
        <v>240129806</v>
      </c>
      <c r="E844" s="16" t="s">
        <v>7576</v>
      </c>
      <c r="F844" s="20" t="s">
        <v>7183</v>
      </c>
      <c r="G844" s="17" t="s">
        <v>7578</v>
      </c>
    </row>
    <row r="845" spans="1:7" x14ac:dyDescent="0.25">
      <c r="A845">
        <f t="shared" si="13"/>
        <v>2401298</v>
      </c>
      <c r="B845" s="15">
        <v>140640092</v>
      </c>
      <c r="C845" s="15">
        <v>290219323</v>
      </c>
      <c r="D845" s="16">
        <v>240129810</v>
      </c>
      <c r="E845" s="16" t="s">
        <v>7576</v>
      </c>
      <c r="F845" s="20" t="s">
        <v>7191</v>
      </c>
      <c r="G845" s="17" t="s">
        <v>7578</v>
      </c>
    </row>
    <row r="846" spans="1:7" x14ac:dyDescent="0.25">
      <c r="A846">
        <f t="shared" si="13"/>
        <v>2401298</v>
      </c>
      <c r="B846" s="15">
        <v>140640092</v>
      </c>
      <c r="C846" s="15">
        <v>290219353</v>
      </c>
      <c r="D846" s="16">
        <v>240129805</v>
      </c>
      <c r="E846" s="16" t="s">
        <v>7576</v>
      </c>
      <c r="F846" s="20" t="s">
        <v>7196</v>
      </c>
      <c r="G846" s="17" t="s">
        <v>7578</v>
      </c>
    </row>
    <row r="847" spans="1:7" x14ac:dyDescent="0.25">
      <c r="A847">
        <f t="shared" si="13"/>
        <v>2401298</v>
      </c>
      <c r="B847" s="15">
        <v>140640092</v>
      </c>
      <c r="C847" s="15">
        <v>290219368</v>
      </c>
      <c r="D847" s="16">
        <v>240129808</v>
      </c>
      <c r="E847" s="16" t="s">
        <v>7576</v>
      </c>
      <c r="F847" s="20" t="s">
        <v>7201</v>
      </c>
      <c r="G847" s="17" t="s">
        <v>7578</v>
      </c>
    </row>
    <row r="848" spans="1:7" x14ac:dyDescent="0.25">
      <c r="A848">
        <f t="shared" si="13"/>
        <v>2401298</v>
      </c>
      <c r="B848" s="15">
        <v>140640092</v>
      </c>
      <c r="C848" s="15">
        <v>290219377</v>
      </c>
      <c r="D848" s="16">
        <v>240129809</v>
      </c>
      <c r="E848" s="16" t="s">
        <v>7576</v>
      </c>
      <c r="F848" s="20" t="s">
        <v>7200</v>
      </c>
      <c r="G848" s="17" t="s">
        <v>7578</v>
      </c>
    </row>
    <row r="849" spans="1:7" x14ac:dyDescent="0.25">
      <c r="A849">
        <f t="shared" si="13"/>
        <v>2401584</v>
      </c>
      <c r="B849" s="15">
        <v>140640092</v>
      </c>
      <c r="C849" s="15">
        <v>290219487</v>
      </c>
      <c r="D849" s="16">
        <v>240158406</v>
      </c>
      <c r="E849" s="16" t="s">
        <v>7576</v>
      </c>
      <c r="F849" s="20" t="s">
        <v>7113</v>
      </c>
      <c r="G849" s="17" t="s">
        <v>7577</v>
      </c>
    </row>
    <row r="850" spans="1:7" x14ac:dyDescent="0.25">
      <c r="A850">
        <f t="shared" si="13"/>
        <v>2401298</v>
      </c>
      <c r="B850" s="15">
        <v>140640092</v>
      </c>
      <c r="C850" s="15">
        <v>290219341</v>
      </c>
      <c r="D850" s="16">
        <v>240129802</v>
      </c>
      <c r="E850" s="16" t="s">
        <v>7576</v>
      </c>
      <c r="F850" s="20" t="s">
        <v>7198</v>
      </c>
      <c r="G850" s="17" t="s">
        <v>7578</v>
      </c>
    </row>
    <row r="851" spans="1:7" x14ac:dyDescent="0.25">
      <c r="A851">
        <f t="shared" si="13"/>
        <v>2401584</v>
      </c>
      <c r="B851" s="15">
        <v>140640092</v>
      </c>
      <c r="C851" s="15">
        <v>290219521</v>
      </c>
      <c r="D851" s="16">
        <v>240158407</v>
      </c>
      <c r="E851" s="16" t="s">
        <v>7576</v>
      </c>
      <c r="F851" s="20" t="s">
        <v>7176</v>
      </c>
      <c r="G851" s="17" t="s">
        <v>7577</v>
      </c>
    </row>
    <row r="852" spans="1:7" x14ac:dyDescent="0.25">
      <c r="A852">
        <f t="shared" si="13"/>
        <v>2401298</v>
      </c>
      <c r="B852" s="15">
        <v>140640092</v>
      </c>
      <c r="C852" s="15">
        <v>290219343</v>
      </c>
      <c r="D852" s="16">
        <v>240129803</v>
      </c>
      <c r="E852" s="16" t="s">
        <v>7576</v>
      </c>
      <c r="F852" s="20" t="s">
        <v>7194</v>
      </c>
      <c r="G852" s="17" t="s">
        <v>7578</v>
      </c>
    </row>
    <row r="853" spans="1:7" x14ac:dyDescent="0.25">
      <c r="A853">
        <f t="shared" si="13"/>
        <v>2401298</v>
      </c>
      <c r="B853" s="15">
        <v>140640092</v>
      </c>
      <c r="C853" s="15">
        <v>290219361</v>
      </c>
      <c r="D853" s="16">
        <v>240129807</v>
      </c>
      <c r="E853" s="16" t="s">
        <v>7576</v>
      </c>
      <c r="F853" s="20" t="s">
        <v>7199</v>
      </c>
      <c r="G853" s="17" t="s">
        <v>7578</v>
      </c>
    </row>
    <row r="854" spans="1:7" x14ac:dyDescent="0.25">
      <c r="A854">
        <f t="shared" si="13"/>
        <v>2401298</v>
      </c>
      <c r="B854" s="15">
        <v>140640092</v>
      </c>
      <c r="C854" s="15">
        <v>290219338</v>
      </c>
      <c r="D854" s="16">
        <v>240129801</v>
      </c>
      <c r="E854" s="16" t="s">
        <v>7576</v>
      </c>
      <c r="F854" s="20" t="s">
        <v>7197</v>
      </c>
      <c r="G854" s="17" t="s">
        <v>7578</v>
      </c>
    </row>
    <row r="855" spans="1:7" x14ac:dyDescent="0.25">
      <c r="A855">
        <f t="shared" si="13"/>
        <v>2401298</v>
      </c>
      <c r="B855" s="15">
        <v>140640092</v>
      </c>
      <c r="C855" s="15">
        <v>290219348</v>
      </c>
      <c r="D855" s="16">
        <v>240129804</v>
      </c>
      <c r="E855" s="16" t="s">
        <v>7576</v>
      </c>
      <c r="F855" s="20" t="s">
        <v>7193</v>
      </c>
      <c r="G855" s="17" t="s">
        <v>7578</v>
      </c>
    </row>
    <row r="856" spans="1:7" x14ac:dyDescent="0.25">
      <c r="A856">
        <f t="shared" si="13"/>
        <v>2401584</v>
      </c>
      <c r="B856" s="15">
        <v>140640092</v>
      </c>
      <c r="C856" s="15">
        <v>290219433</v>
      </c>
      <c r="D856" s="16">
        <v>240158402</v>
      </c>
      <c r="E856" s="16" t="s">
        <v>7576</v>
      </c>
      <c r="F856" s="20" t="s">
        <v>7109</v>
      </c>
      <c r="G856" s="17" t="s">
        <v>7577</v>
      </c>
    </row>
    <row r="857" spans="1:7" x14ac:dyDescent="0.25">
      <c r="A857">
        <f t="shared" si="13"/>
        <v>2401584</v>
      </c>
      <c r="B857" s="15">
        <v>140640092</v>
      </c>
      <c r="C857" s="15">
        <v>290219388</v>
      </c>
      <c r="D857" s="16">
        <v>240158410</v>
      </c>
      <c r="E857" s="16" t="s">
        <v>7576</v>
      </c>
      <c r="F857" s="20" t="s">
        <v>7190</v>
      </c>
      <c r="G857" s="17" t="s">
        <v>7577</v>
      </c>
    </row>
    <row r="858" spans="1:7" x14ac:dyDescent="0.25">
      <c r="A858">
        <f t="shared" si="13"/>
        <v>2401584</v>
      </c>
      <c r="B858" s="15">
        <v>140640092</v>
      </c>
      <c r="C858" s="15">
        <v>290219477</v>
      </c>
      <c r="D858" s="16">
        <v>240158405</v>
      </c>
      <c r="E858" s="16" t="s">
        <v>7576</v>
      </c>
      <c r="F858" s="20" t="s">
        <v>7112</v>
      </c>
      <c r="G858" s="17" t="s">
        <v>7577</v>
      </c>
    </row>
    <row r="859" spans="1:7" x14ac:dyDescent="0.25">
      <c r="A859">
        <f t="shared" si="13"/>
        <v>2401584</v>
      </c>
      <c r="B859" s="15">
        <v>140640092</v>
      </c>
      <c r="C859" s="15">
        <v>290219464</v>
      </c>
      <c r="D859" s="16">
        <v>240158404</v>
      </c>
      <c r="E859" s="16" t="s">
        <v>7576</v>
      </c>
      <c r="F859" s="20" t="s">
        <v>7111</v>
      </c>
      <c r="G859" s="17" t="s">
        <v>7577</v>
      </c>
    </row>
    <row r="860" spans="1:7" x14ac:dyDescent="0.25">
      <c r="A860">
        <f t="shared" si="13"/>
        <v>2401584</v>
      </c>
      <c r="B860" s="15">
        <v>140640092</v>
      </c>
      <c r="C860" s="15">
        <v>290219552</v>
      </c>
      <c r="D860" s="16">
        <v>240158408</v>
      </c>
      <c r="E860" s="16" t="s">
        <v>7576</v>
      </c>
      <c r="F860" s="20" t="s">
        <v>7177</v>
      </c>
      <c r="G860" s="17" t="s">
        <v>7577</v>
      </c>
    </row>
    <row r="861" spans="1:7" x14ac:dyDescent="0.25">
      <c r="A861">
        <f t="shared" si="13"/>
        <v>2401584</v>
      </c>
      <c r="B861" s="15">
        <v>140640092</v>
      </c>
      <c r="C861" s="15">
        <v>290219400</v>
      </c>
      <c r="D861" s="16">
        <v>240158400</v>
      </c>
      <c r="E861" s="16" t="s">
        <v>7576</v>
      </c>
      <c r="F861" s="20" t="s">
        <v>7188</v>
      </c>
      <c r="G861" s="17" t="s">
        <v>7577</v>
      </c>
    </row>
    <row r="862" spans="1:7" x14ac:dyDescent="0.25">
      <c r="A862">
        <f t="shared" si="13"/>
        <v>2401584</v>
      </c>
      <c r="B862" s="15">
        <v>140640113</v>
      </c>
      <c r="C862" s="15">
        <v>290219618</v>
      </c>
      <c r="D862" s="16">
        <v>240158400</v>
      </c>
      <c r="E862" s="16" t="s">
        <v>7579</v>
      </c>
      <c r="F862" s="20" t="s">
        <v>7188</v>
      </c>
      <c r="G862" s="17" t="s">
        <v>7580</v>
      </c>
    </row>
    <row r="863" spans="1:7" x14ac:dyDescent="0.25">
      <c r="A863">
        <f t="shared" si="13"/>
        <v>2401584</v>
      </c>
      <c r="B863" s="15">
        <v>140640113</v>
      </c>
      <c r="C863" s="15">
        <v>290219625</v>
      </c>
      <c r="D863" s="16">
        <v>240158405</v>
      </c>
      <c r="E863" s="16" t="s">
        <v>7579</v>
      </c>
      <c r="F863" s="20" t="s">
        <v>7112</v>
      </c>
      <c r="G863" s="17" t="s">
        <v>7580</v>
      </c>
    </row>
    <row r="864" spans="1:7" x14ac:dyDescent="0.25">
      <c r="A864">
        <f t="shared" si="13"/>
        <v>2401298</v>
      </c>
      <c r="B864" s="15">
        <v>140640113</v>
      </c>
      <c r="C864" s="15">
        <v>290219614</v>
      </c>
      <c r="D864" s="16">
        <v>240129807</v>
      </c>
      <c r="E864" s="16" t="s">
        <v>7579</v>
      </c>
      <c r="F864" s="20" t="s">
        <v>7199</v>
      </c>
      <c r="G864" s="17" t="s">
        <v>7581</v>
      </c>
    </row>
    <row r="865" spans="1:7" x14ac:dyDescent="0.25">
      <c r="A865">
        <f t="shared" si="13"/>
        <v>2401584</v>
      </c>
      <c r="B865" s="15">
        <v>140640113</v>
      </c>
      <c r="C865" s="15">
        <v>290219623</v>
      </c>
      <c r="D865" s="16">
        <v>240158404</v>
      </c>
      <c r="E865" s="16" t="s">
        <v>7579</v>
      </c>
      <c r="F865" s="20" t="s">
        <v>7111</v>
      </c>
      <c r="G865" s="17" t="s">
        <v>7580</v>
      </c>
    </row>
    <row r="866" spans="1:7" x14ac:dyDescent="0.25">
      <c r="A866">
        <f t="shared" si="13"/>
        <v>2401584</v>
      </c>
      <c r="B866" s="15">
        <v>140640113</v>
      </c>
      <c r="C866" s="15">
        <v>290219632</v>
      </c>
      <c r="D866" s="16">
        <v>240158408</v>
      </c>
      <c r="E866" s="16" t="s">
        <v>7579</v>
      </c>
      <c r="F866" s="20" t="s">
        <v>7177</v>
      </c>
      <c r="G866" s="17" t="s">
        <v>7580</v>
      </c>
    </row>
    <row r="867" spans="1:7" x14ac:dyDescent="0.25">
      <c r="A867">
        <f t="shared" si="13"/>
        <v>2401584</v>
      </c>
      <c r="B867" s="15">
        <v>140640113</v>
      </c>
      <c r="C867" s="15">
        <v>290219620</v>
      </c>
      <c r="D867" s="16">
        <v>240158401</v>
      </c>
      <c r="E867" s="16" t="s">
        <v>7579</v>
      </c>
      <c r="F867" s="20" t="s">
        <v>7108</v>
      </c>
      <c r="G867" s="17" t="s">
        <v>7580</v>
      </c>
    </row>
    <row r="868" spans="1:7" x14ac:dyDescent="0.25">
      <c r="A868">
        <f t="shared" si="13"/>
        <v>2401298</v>
      </c>
      <c r="B868" s="15">
        <v>140640113</v>
      </c>
      <c r="C868" s="15">
        <v>290219608</v>
      </c>
      <c r="D868" s="16">
        <v>240129804</v>
      </c>
      <c r="E868" s="16" t="s">
        <v>7579</v>
      </c>
      <c r="F868" s="20" t="s">
        <v>7193</v>
      </c>
      <c r="G868" s="17" t="s">
        <v>7581</v>
      </c>
    </row>
    <row r="869" spans="1:7" x14ac:dyDescent="0.25">
      <c r="A869">
        <f t="shared" si="13"/>
        <v>2401584</v>
      </c>
      <c r="B869" s="15">
        <v>140640113</v>
      </c>
      <c r="C869" s="15">
        <v>290219621</v>
      </c>
      <c r="D869" s="16">
        <v>240158402</v>
      </c>
      <c r="E869" s="16" t="s">
        <v>7579</v>
      </c>
      <c r="F869" s="20" t="s">
        <v>7109</v>
      </c>
      <c r="G869" s="17" t="s">
        <v>7580</v>
      </c>
    </row>
    <row r="870" spans="1:7" x14ac:dyDescent="0.25">
      <c r="A870">
        <f t="shared" si="13"/>
        <v>2401584</v>
      </c>
      <c r="B870" s="15">
        <v>140640113</v>
      </c>
      <c r="C870" s="15">
        <v>290219627</v>
      </c>
      <c r="D870" s="16">
        <v>240158406</v>
      </c>
      <c r="E870" s="16" t="s">
        <v>7579</v>
      </c>
      <c r="F870" s="20" t="s">
        <v>7113</v>
      </c>
      <c r="G870" s="17" t="s">
        <v>7580</v>
      </c>
    </row>
    <row r="871" spans="1:7" x14ac:dyDescent="0.25">
      <c r="A871">
        <f t="shared" si="13"/>
        <v>2401298</v>
      </c>
      <c r="B871" s="15">
        <v>140640113</v>
      </c>
      <c r="C871" s="15">
        <v>290219615</v>
      </c>
      <c r="D871" s="16">
        <v>240129808</v>
      </c>
      <c r="E871" s="16" t="s">
        <v>7579</v>
      </c>
      <c r="F871" s="20" t="s">
        <v>7201</v>
      </c>
      <c r="G871" s="17" t="s">
        <v>7581</v>
      </c>
    </row>
    <row r="872" spans="1:7" x14ac:dyDescent="0.25">
      <c r="A872">
        <f t="shared" si="13"/>
        <v>2401584</v>
      </c>
      <c r="B872" s="15">
        <v>140640113</v>
      </c>
      <c r="C872" s="15">
        <v>290219622</v>
      </c>
      <c r="D872" s="16">
        <v>240158403</v>
      </c>
      <c r="E872" s="16" t="s">
        <v>7579</v>
      </c>
      <c r="F872" s="20" t="s">
        <v>7110</v>
      </c>
      <c r="G872" s="17" t="s">
        <v>7580</v>
      </c>
    </row>
    <row r="873" spans="1:7" x14ac:dyDescent="0.25">
      <c r="A873">
        <f t="shared" si="13"/>
        <v>2401298</v>
      </c>
      <c r="B873" s="15">
        <v>140640113</v>
      </c>
      <c r="C873" s="15">
        <v>290219603</v>
      </c>
      <c r="D873" s="16">
        <v>240129801</v>
      </c>
      <c r="E873" s="16" t="s">
        <v>7579</v>
      </c>
      <c r="F873" s="20" t="s">
        <v>7197</v>
      </c>
      <c r="G873" s="17" t="s">
        <v>7581</v>
      </c>
    </row>
    <row r="874" spans="1:7" x14ac:dyDescent="0.25">
      <c r="A874">
        <f t="shared" si="13"/>
        <v>2401584</v>
      </c>
      <c r="B874" s="15">
        <v>140640113</v>
      </c>
      <c r="C874" s="15">
        <v>290219617</v>
      </c>
      <c r="D874" s="16">
        <v>240158410</v>
      </c>
      <c r="E874" s="16" t="s">
        <v>7579</v>
      </c>
      <c r="F874" s="20" t="s">
        <v>7190</v>
      </c>
      <c r="G874" s="17" t="s">
        <v>7580</v>
      </c>
    </row>
    <row r="875" spans="1:7" x14ac:dyDescent="0.25">
      <c r="A875">
        <f t="shared" ref="A875:A894" si="14">LEFT(D875,7)*1</f>
        <v>2401298</v>
      </c>
      <c r="B875" s="15">
        <v>140640113</v>
      </c>
      <c r="C875" s="15">
        <v>290219600</v>
      </c>
      <c r="D875" s="16">
        <v>240129800</v>
      </c>
      <c r="E875" s="16" t="s">
        <v>7579</v>
      </c>
      <c r="F875" s="20" t="s">
        <v>7195</v>
      </c>
      <c r="G875" s="17" t="s">
        <v>7581</v>
      </c>
    </row>
    <row r="876" spans="1:7" x14ac:dyDescent="0.25">
      <c r="A876">
        <f t="shared" si="14"/>
        <v>2401298</v>
      </c>
      <c r="B876" s="15">
        <v>140640113</v>
      </c>
      <c r="C876" s="15">
        <v>290219606</v>
      </c>
      <c r="D876" s="16">
        <v>240129803</v>
      </c>
      <c r="E876" s="16" t="s">
        <v>7579</v>
      </c>
      <c r="F876" s="20" t="s">
        <v>7194</v>
      </c>
      <c r="G876" s="17" t="s">
        <v>7581</v>
      </c>
    </row>
    <row r="877" spans="1:7" x14ac:dyDescent="0.25">
      <c r="A877">
        <f t="shared" si="14"/>
        <v>2401298</v>
      </c>
      <c r="B877" s="15">
        <v>140640113</v>
      </c>
      <c r="C877" s="15">
        <v>290219605</v>
      </c>
      <c r="D877" s="16">
        <v>240129802</v>
      </c>
      <c r="E877" s="16" t="s">
        <v>7579</v>
      </c>
      <c r="F877" s="20" t="s">
        <v>7198</v>
      </c>
      <c r="G877" s="17" t="s">
        <v>7581</v>
      </c>
    </row>
    <row r="878" spans="1:7" x14ac:dyDescent="0.25">
      <c r="A878">
        <f t="shared" si="14"/>
        <v>2401298</v>
      </c>
      <c r="B878" s="15">
        <v>140640113</v>
      </c>
      <c r="C878" s="15">
        <v>290219610</v>
      </c>
      <c r="D878" s="16">
        <v>240129805</v>
      </c>
      <c r="E878" s="16" t="s">
        <v>7579</v>
      </c>
      <c r="F878" s="20" t="s">
        <v>7196</v>
      </c>
      <c r="G878" s="17" t="s">
        <v>7581</v>
      </c>
    </row>
    <row r="879" spans="1:7" x14ac:dyDescent="0.25">
      <c r="A879">
        <f t="shared" si="14"/>
        <v>2401298</v>
      </c>
      <c r="B879" s="15">
        <v>140640113</v>
      </c>
      <c r="C879" s="15">
        <v>290219613</v>
      </c>
      <c r="D879" s="16">
        <v>240129806</v>
      </c>
      <c r="E879" s="16" t="s">
        <v>7579</v>
      </c>
      <c r="F879" s="20" t="s">
        <v>7183</v>
      </c>
      <c r="G879" s="17" t="s">
        <v>7581</v>
      </c>
    </row>
    <row r="880" spans="1:7" x14ac:dyDescent="0.25">
      <c r="A880">
        <f t="shared" si="14"/>
        <v>2401584</v>
      </c>
      <c r="B880" s="15">
        <v>140640113</v>
      </c>
      <c r="C880" s="15">
        <v>290219633</v>
      </c>
      <c r="D880" s="16">
        <v>240158409</v>
      </c>
      <c r="E880" s="16" t="s">
        <v>7579</v>
      </c>
      <c r="F880" s="20" t="s">
        <v>7182</v>
      </c>
      <c r="G880" s="17" t="s">
        <v>7580</v>
      </c>
    </row>
    <row r="881" spans="1:7" x14ac:dyDescent="0.25">
      <c r="A881">
        <f t="shared" si="14"/>
        <v>2401584</v>
      </c>
      <c r="B881" s="15">
        <v>140640113</v>
      </c>
      <c r="C881" s="15">
        <v>290219630</v>
      </c>
      <c r="D881" s="16">
        <v>240158407</v>
      </c>
      <c r="E881" s="16" t="s">
        <v>7579</v>
      </c>
      <c r="F881" s="20" t="s">
        <v>7176</v>
      </c>
      <c r="G881" s="17" t="s">
        <v>7580</v>
      </c>
    </row>
    <row r="882" spans="1:7" x14ac:dyDescent="0.25">
      <c r="A882">
        <f t="shared" si="14"/>
        <v>2401298</v>
      </c>
      <c r="B882" s="15">
        <v>140640113</v>
      </c>
      <c r="C882" s="15">
        <v>290219616</v>
      </c>
      <c r="D882" s="16">
        <v>240129809</v>
      </c>
      <c r="E882" s="16" t="s">
        <v>7579</v>
      </c>
      <c r="F882" s="20" t="s">
        <v>7200</v>
      </c>
      <c r="G882" s="17" t="s">
        <v>7581</v>
      </c>
    </row>
    <row r="883" spans="1:7" x14ac:dyDescent="0.25">
      <c r="A883">
        <f t="shared" si="14"/>
        <v>2401298</v>
      </c>
      <c r="B883" s="15">
        <v>140640113</v>
      </c>
      <c r="C883" s="15">
        <v>290219602</v>
      </c>
      <c r="D883" s="16">
        <v>240129810</v>
      </c>
      <c r="E883" s="16" t="s">
        <v>7579</v>
      </c>
      <c r="F883" s="20" t="s">
        <v>7191</v>
      </c>
      <c r="G883" s="17" t="s">
        <v>7581</v>
      </c>
    </row>
    <row r="884" spans="1:7" x14ac:dyDescent="0.25">
      <c r="A884">
        <f t="shared" si="14"/>
        <v>5101002</v>
      </c>
      <c r="B884" s="15">
        <v>140640102</v>
      </c>
      <c r="C884" s="15">
        <v>290219437</v>
      </c>
      <c r="D884" s="16">
        <v>510100210</v>
      </c>
      <c r="E884" s="16" t="s">
        <v>7582</v>
      </c>
      <c r="F884" s="20" t="s">
        <v>7583</v>
      </c>
      <c r="G884" s="17" t="s">
        <v>7584</v>
      </c>
    </row>
    <row r="885" spans="1:7" x14ac:dyDescent="0.25">
      <c r="A885">
        <f t="shared" si="14"/>
        <v>5101029</v>
      </c>
      <c r="B885" s="15">
        <v>140640102</v>
      </c>
      <c r="C885" s="15">
        <v>290219430</v>
      </c>
      <c r="D885" s="16">
        <v>510102901</v>
      </c>
      <c r="E885" s="16" t="s">
        <v>7582</v>
      </c>
      <c r="F885" s="20" t="s">
        <v>7585</v>
      </c>
      <c r="G885" s="17" t="s">
        <v>7586</v>
      </c>
    </row>
    <row r="886" spans="1:7" x14ac:dyDescent="0.25">
      <c r="A886">
        <f t="shared" si="14"/>
        <v>5101029</v>
      </c>
      <c r="B886" s="15">
        <v>140640102</v>
      </c>
      <c r="C886" s="15">
        <v>290219427</v>
      </c>
      <c r="D886" s="16">
        <v>510102910</v>
      </c>
      <c r="E886" s="16" t="s">
        <v>7582</v>
      </c>
      <c r="F886" s="20" t="s">
        <v>7587</v>
      </c>
      <c r="G886" s="17" t="s">
        <v>7586</v>
      </c>
    </row>
    <row r="887" spans="1:7" x14ac:dyDescent="0.25">
      <c r="A887">
        <f t="shared" si="14"/>
        <v>5101002</v>
      </c>
      <c r="B887" s="15">
        <v>140640102</v>
      </c>
      <c r="C887" s="15">
        <v>290219438</v>
      </c>
      <c r="D887" s="16">
        <v>510100200</v>
      </c>
      <c r="E887" s="16" t="s">
        <v>7582</v>
      </c>
      <c r="F887" s="20" t="s">
        <v>7588</v>
      </c>
      <c r="G887" s="17" t="s">
        <v>7584</v>
      </c>
    </row>
    <row r="888" spans="1:7" x14ac:dyDescent="0.25">
      <c r="A888">
        <f t="shared" si="14"/>
        <v>5101006</v>
      </c>
      <c r="B888" s="15">
        <v>140640102</v>
      </c>
      <c r="C888" s="15">
        <v>290219455</v>
      </c>
      <c r="D888" s="16">
        <v>510100601</v>
      </c>
      <c r="E888" s="16" t="s">
        <v>7582</v>
      </c>
      <c r="F888" s="20" t="s">
        <v>7589</v>
      </c>
      <c r="G888" s="17" t="s">
        <v>7590</v>
      </c>
    </row>
    <row r="889" spans="1:7" x14ac:dyDescent="0.25">
      <c r="A889">
        <f t="shared" si="14"/>
        <v>5101002</v>
      </c>
      <c r="B889" s="15">
        <v>140640102</v>
      </c>
      <c r="C889" s="15">
        <v>290219443</v>
      </c>
      <c r="D889" s="16">
        <v>510100203</v>
      </c>
      <c r="E889" s="16" t="s">
        <v>7582</v>
      </c>
      <c r="F889" s="20" t="s">
        <v>7591</v>
      </c>
      <c r="G889" s="17" t="s">
        <v>7584</v>
      </c>
    </row>
    <row r="890" spans="1:7" x14ac:dyDescent="0.25">
      <c r="A890">
        <f t="shared" si="14"/>
        <v>5101006</v>
      </c>
      <c r="B890" s="15">
        <v>140640102</v>
      </c>
      <c r="C890" s="15">
        <v>290219462</v>
      </c>
      <c r="D890" s="16">
        <v>510100605</v>
      </c>
      <c r="E890" s="16" t="s">
        <v>7582</v>
      </c>
      <c r="F890" s="20" t="s">
        <v>7592</v>
      </c>
      <c r="G890" s="17" t="s">
        <v>7590</v>
      </c>
    </row>
    <row r="891" spans="1:7" x14ac:dyDescent="0.25">
      <c r="A891">
        <f t="shared" si="14"/>
        <v>5101002</v>
      </c>
      <c r="B891" s="15">
        <v>140640102</v>
      </c>
      <c r="C891" s="15">
        <v>290219447</v>
      </c>
      <c r="D891" s="16">
        <v>510100205</v>
      </c>
      <c r="E891" s="16" t="s">
        <v>7582</v>
      </c>
      <c r="F891" s="20" t="s">
        <v>7593</v>
      </c>
      <c r="G891" s="17" t="s">
        <v>7584</v>
      </c>
    </row>
    <row r="892" spans="1:7" x14ac:dyDescent="0.25">
      <c r="A892">
        <f t="shared" si="14"/>
        <v>5101006</v>
      </c>
      <c r="B892" s="15">
        <v>140640102</v>
      </c>
      <c r="C892" s="15">
        <v>290219463</v>
      </c>
      <c r="D892" s="16">
        <v>510100606</v>
      </c>
      <c r="E892" s="16" t="s">
        <v>7582</v>
      </c>
      <c r="F892" s="20" t="s">
        <v>7594</v>
      </c>
      <c r="G892" s="17" t="s">
        <v>7590</v>
      </c>
    </row>
    <row r="893" spans="1:7" x14ac:dyDescent="0.25">
      <c r="A893">
        <f t="shared" si="14"/>
        <v>5101002</v>
      </c>
      <c r="B893" s="15">
        <v>140640102</v>
      </c>
      <c r="C893" s="15">
        <v>290219449</v>
      </c>
      <c r="D893" s="16">
        <v>510100206</v>
      </c>
      <c r="E893" s="16" t="s">
        <v>7582</v>
      </c>
      <c r="F893" s="20" t="s">
        <v>7595</v>
      </c>
      <c r="G893" s="17" t="s">
        <v>7584</v>
      </c>
    </row>
    <row r="894" spans="1:7" x14ac:dyDescent="0.25">
      <c r="A894">
        <f t="shared" si="14"/>
        <v>5101006</v>
      </c>
      <c r="B894" s="15">
        <v>140640102</v>
      </c>
      <c r="C894" s="15">
        <v>290219451</v>
      </c>
      <c r="D894" s="16">
        <v>510100610</v>
      </c>
      <c r="E894" s="16" t="s">
        <v>7582</v>
      </c>
      <c r="F894" s="20" t="s">
        <v>7596</v>
      </c>
      <c r="G894" s="17" t="s">
        <v>7590</v>
      </c>
    </row>
    <row r="895" spans="1:7" x14ac:dyDescent="0.25">
      <c r="A895">
        <f t="shared" ref="A895:A958" si="15">LEFT(D895,7)*1</f>
        <v>5101002</v>
      </c>
      <c r="B895" s="15">
        <v>140640102</v>
      </c>
      <c r="C895" s="15">
        <v>290219445</v>
      </c>
      <c r="D895" s="16">
        <v>510100204</v>
      </c>
      <c r="E895" s="16" t="s">
        <v>7582</v>
      </c>
      <c r="F895" s="20" t="s">
        <v>7597</v>
      </c>
      <c r="G895" s="17" t="s">
        <v>7584</v>
      </c>
    </row>
    <row r="896" spans="1:7" x14ac:dyDescent="0.25">
      <c r="A896">
        <f t="shared" si="15"/>
        <v>5101165</v>
      </c>
      <c r="B896" s="15">
        <v>140640102</v>
      </c>
      <c r="C896" s="15">
        <v>290219465</v>
      </c>
      <c r="D896" s="16">
        <v>510116510</v>
      </c>
      <c r="E896" s="16" t="s">
        <v>7582</v>
      </c>
      <c r="F896" s="20" t="s">
        <v>7598</v>
      </c>
      <c r="G896" s="17" t="s">
        <v>7599</v>
      </c>
    </row>
    <row r="897" spans="1:7" x14ac:dyDescent="0.25">
      <c r="A897">
        <f t="shared" si="15"/>
        <v>5101006</v>
      </c>
      <c r="B897" s="15">
        <v>140640102</v>
      </c>
      <c r="C897" s="15">
        <v>290219454</v>
      </c>
      <c r="D897" s="16">
        <v>510100600</v>
      </c>
      <c r="E897" s="16" t="s">
        <v>7582</v>
      </c>
      <c r="F897" s="20" t="s">
        <v>7600</v>
      </c>
      <c r="G897" s="17" t="s">
        <v>7590</v>
      </c>
    </row>
    <row r="898" spans="1:7" x14ac:dyDescent="0.25">
      <c r="A898">
        <f t="shared" si="15"/>
        <v>5101886</v>
      </c>
      <c r="B898" s="15">
        <v>140640102</v>
      </c>
      <c r="C898" s="15">
        <v>290219481</v>
      </c>
      <c r="D898" s="16">
        <v>510188601</v>
      </c>
      <c r="E898" s="16" t="s">
        <v>7582</v>
      </c>
      <c r="F898" s="20" t="s">
        <v>7601</v>
      </c>
      <c r="G898" s="17" t="s">
        <v>7602</v>
      </c>
    </row>
    <row r="899" spans="1:7" x14ac:dyDescent="0.25">
      <c r="A899">
        <f t="shared" si="15"/>
        <v>5101165</v>
      </c>
      <c r="B899" s="15">
        <v>140640102</v>
      </c>
      <c r="C899" s="15">
        <v>290219478</v>
      </c>
      <c r="D899" s="16">
        <v>510116506</v>
      </c>
      <c r="E899" s="16" t="s">
        <v>7582</v>
      </c>
      <c r="F899" s="20" t="s">
        <v>7603</v>
      </c>
      <c r="G899" s="17" t="s">
        <v>7599</v>
      </c>
    </row>
    <row r="900" spans="1:7" x14ac:dyDescent="0.25">
      <c r="A900">
        <f t="shared" si="15"/>
        <v>5101886</v>
      </c>
      <c r="B900" s="15">
        <v>140640102</v>
      </c>
      <c r="C900" s="15">
        <v>290219484</v>
      </c>
      <c r="D900" s="16">
        <v>510188602</v>
      </c>
      <c r="E900" s="16" t="s">
        <v>7582</v>
      </c>
      <c r="F900" s="20" t="s">
        <v>7604</v>
      </c>
      <c r="G900" s="17" t="s">
        <v>7602</v>
      </c>
    </row>
    <row r="901" spans="1:7" x14ac:dyDescent="0.25">
      <c r="A901">
        <f t="shared" si="15"/>
        <v>5101886</v>
      </c>
      <c r="B901" s="15">
        <v>140640102</v>
      </c>
      <c r="C901" s="15">
        <v>290219480</v>
      </c>
      <c r="D901" s="16">
        <v>510188600</v>
      </c>
      <c r="E901" s="16" t="s">
        <v>7582</v>
      </c>
      <c r="F901" s="20" t="s">
        <v>7605</v>
      </c>
      <c r="G901" s="17" t="s">
        <v>7602</v>
      </c>
    </row>
    <row r="902" spans="1:7" x14ac:dyDescent="0.25">
      <c r="A902">
        <f t="shared" si="15"/>
        <v>5101886</v>
      </c>
      <c r="B902" s="15">
        <v>140640102</v>
      </c>
      <c r="C902" s="15">
        <v>290219485</v>
      </c>
      <c r="D902" s="16">
        <v>510188603</v>
      </c>
      <c r="E902" s="16" t="s">
        <v>7582</v>
      </c>
      <c r="F902" s="20" t="s">
        <v>7606</v>
      </c>
      <c r="G902" s="17" t="s">
        <v>7602</v>
      </c>
    </row>
    <row r="903" spans="1:7" x14ac:dyDescent="0.25">
      <c r="A903">
        <f t="shared" si="15"/>
        <v>5101886</v>
      </c>
      <c r="B903" s="15">
        <v>140640102</v>
      </c>
      <c r="C903" s="15">
        <v>290219479</v>
      </c>
      <c r="D903" s="16">
        <v>510188610</v>
      </c>
      <c r="E903" s="16" t="s">
        <v>7582</v>
      </c>
      <c r="F903" s="20" t="s">
        <v>7607</v>
      </c>
      <c r="G903" s="17" t="s">
        <v>7602</v>
      </c>
    </row>
    <row r="904" spans="1:7" x14ac:dyDescent="0.25">
      <c r="A904">
        <f t="shared" si="15"/>
        <v>5101654</v>
      </c>
      <c r="B904" s="15">
        <v>140640102</v>
      </c>
      <c r="C904" s="15">
        <v>290219534</v>
      </c>
      <c r="D904" s="16">
        <v>510165400</v>
      </c>
      <c r="E904" s="16" t="s">
        <v>7582</v>
      </c>
      <c r="F904" s="20" t="s">
        <v>7608</v>
      </c>
      <c r="G904" s="17" t="s">
        <v>7609</v>
      </c>
    </row>
    <row r="905" spans="1:7" x14ac:dyDescent="0.25">
      <c r="A905">
        <f t="shared" si="15"/>
        <v>5101877</v>
      </c>
      <c r="B905" s="15">
        <v>140640102</v>
      </c>
      <c r="C905" s="15">
        <v>290219522</v>
      </c>
      <c r="D905" s="16">
        <v>510187705</v>
      </c>
      <c r="E905" s="16" t="s">
        <v>7582</v>
      </c>
      <c r="F905" s="20" t="s">
        <v>7610</v>
      </c>
      <c r="G905" s="17" t="s">
        <v>7611</v>
      </c>
    </row>
    <row r="906" spans="1:7" x14ac:dyDescent="0.25">
      <c r="A906">
        <f t="shared" si="15"/>
        <v>5101876</v>
      </c>
      <c r="B906" s="15">
        <v>140640102</v>
      </c>
      <c r="C906" s="15">
        <v>290219574</v>
      </c>
      <c r="D906" s="16">
        <v>510187600</v>
      </c>
      <c r="E906" s="16" t="s">
        <v>7582</v>
      </c>
      <c r="F906" s="20" t="s">
        <v>7612</v>
      </c>
      <c r="G906" s="17" t="s">
        <v>7613</v>
      </c>
    </row>
    <row r="907" spans="1:7" x14ac:dyDescent="0.25">
      <c r="A907">
        <f t="shared" si="15"/>
        <v>5101873</v>
      </c>
      <c r="B907" s="15">
        <v>140640102</v>
      </c>
      <c r="C907" s="15">
        <v>290219491</v>
      </c>
      <c r="D907" s="16">
        <v>510187310</v>
      </c>
      <c r="E907" s="16" t="s">
        <v>7582</v>
      </c>
      <c r="F907" s="20" t="s">
        <v>7614</v>
      </c>
      <c r="G907" s="17" t="s">
        <v>7615</v>
      </c>
    </row>
    <row r="908" spans="1:7" x14ac:dyDescent="0.25">
      <c r="A908">
        <f t="shared" si="15"/>
        <v>5101873</v>
      </c>
      <c r="B908" s="15">
        <v>140640102</v>
      </c>
      <c r="C908" s="15">
        <v>290219504</v>
      </c>
      <c r="D908" s="16">
        <v>510187305</v>
      </c>
      <c r="E908" s="16" t="s">
        <v>7582</v>
      </c>
      <c r="F908" s="20" t="s">
        <v>7616</v>
      </c>
      <c r="G908" s="17" t="s">
        <v>7615</v>
      </c>
    </row>
    <row r="909" spans="1:7" x14ac:dyDescent="0.25">
      <c r="A909">
        <f t="shared" si="15"/>
        <v>5101886</v>
      </c>
      <c r="B909" s="15">
        <v>140640102</v>
      </c>
      <c r="C909" s="15">
        <v>290219488</v>
      </c>
      <c r="D909" s="16">
        <v>510188605</v>
      </c>
      <c r="E909" s="16" t="s">
        <v>7582</v>
      </c>
      <c r="F909" s="20" t="s">
        <v>7617</v>
      </c>
      <c r="G909" s="17" t="s">
        <v>7602</v>
      </c>
    </row>
    <row r="910" spans="1:7" x14ac:dyDescent="0.25">
      <c r="A910">
        <f t="shared" si="15"/>
        <v>5101877</v>
      </c>
      <c r="B910" s="15">
        <v>140640102</v>
      </c>
      <c r="C910" s="15">
        <v>290219516</v>
      </c>
      <c r="D910" s="16">
        <v>510187702</v>
      </c>
      <c r="E910" s="16" t="s">
        <v>7582</v>
      </c>
      <c r="F910" s="20" t="s">
        <v>7618</v>
      </c>
      <c r="G910" s="17" t="s">
        <v>7611</v>
      </c>
    </row>
    <row r="911" spans="1:7" x14ac:dyDescent="0.25">
      <c r="A911">
        <f t="shared" si="15"/>
        <v>5101006</v>
      </c>
      <c r="B911" s="15">
        <v>140640102</v>
      </c>
      <c r="C911" s="15">
        <v>290219458</v>
      </c>
      <c r="D911" s="16">
        <v>510100603</v>
      </c>
      <c r="E911" s="16" t="s">
        <v>7582</v>
      </c>
      <c r="F911" s="20" t="s">
        <v>7619</v>
      </c>
      <c r="G911" s="17" t="s">
        <v>7590</v>
      </c>
    </row>
    <row r="912" spans="1:7" x14ac:dyDescent="0.25">
      <c r="A912">
        <f t="shared" si="15"/>
        <v>5101204</v>
      </c>
      <c r="B912" s="15">
        <v>140640102</v>
      </c>
      <c r="C912" s="15">
        <v>290219569</v>
      </c>
      <c r="D912" s="16">
        <v>510120404</v>
      </c>
      <c r="E912" s="16" t="s">
        <v>7582</v>
      </c>
      <c r="F912" s="20" t="s">
        <v>7620</v>
      </c>
      <c r="G912" s="17" t="s">
        <v>7621</v>
      </c>
    </row>
    <row r="913" spans="1:7" x14ac:dyDescent="0.25">
      <c r="A913">
        <f t="shared" si="15"/>
        <v>5101877</v>
      </c>
      <c r="B913" s="15">
        <v>140640102</v>
      </c>
      <c r="C913" s="15">
        <v>290219520</v>
      </c>
      <c r="D913" s="16">
        <v>510187704</v>
      </c>
      <c r="E913" s="16" t="s">
        <v>7582</v>
      </c>
      <c r="F913" s="20" t="s">
        <v>7622</v>
      </c>
      <c r="G913" s="17" t="s">
        <v>7611</v>
      </c>
    </row>
    <row r="914" spans="1:7" x14ac:dyDescent="0.25">
      <c r="A914">
        <f t="shared" si="15"/>
        <v>5101845</v>
      </c>
      <c r="B914" s="15">
        <v>140640102</v>
      </c>
      <c r="C914" s="15">
        <v>290219426</v>
      </c>
      <c r="D914" s="16">
        <v>510184506</v>
      </c>
      <c r="E914" s="16" t="s">
        <v>7582</v>
      </c>
      <c r="F914" s="20" t="s">
        <v>7623</v>
      </c>
      <c r="G914" s="17" t="s">
        <v>7624</v>
      </c>
    </row>
    <row r="915" spans="1:7" x14ac:dyDescent="0.25">
      <c r="A915">
        <f t="shared" si="15"/>
        <v>5101029</v>
      </c>
      <c r="B915" s="15">
        <v>140640102</v>
      </c>
      <c r="C915" s="15">
        <v>290219429</v>
      </c>
      <c r="D915" s="16">
        <v>510102900</v>
      </c>
      <c r="E915" s="16" t="s">
        <v>7582</v>
      </c>
      <c r="F915" s="20" t="s">
        <v>7625</v>
      </c>
      <c r="G915" s="17" t="s">
        <v>7586</v>
      </c>
    </row>
    <row r="916" spans="1:7" x14ac:dyDescent="0.25">
      <c r="A916">
        <f t="shared" si="15"/>
        <v>5101029</v>
      </c>
      <c r="B916" s="15">
        <v>140640102</v>
      </c>
      <c r="C916" s="15">
        <v>290219431</v>
      </c>
      <c r="D916" s="16">
        <v>510102902</v>
      </c>
      <c r="E916" s="16" t="s">
        <v>7582</v>
      </c>
      <c r="F916" s="20" t="s">
        <v>7626</v>
      </c>
      <c r="G916" s="17" t="s">
        <v>7586</v>
      </c>
    </row>
    <row r="917" spans="1:7" x14ac:dyDescent="0.25">
      <c r="A917">
        <f t="shared" si="15"/>
        <v>5101877</v>
      </c>
      <c r="B917" s="15">
        <v>140640102</v>
      </c>
      <c r="C917" s="15">
        <v>290219519</v>
      </c>
      <c r="D917" s="16">
        <v>510187703</v>
      </c>
      <c r="E917" s="16" t="s">
        <v>7582</v>
      </c>
      <c r="F917" s="20" t="s">
        <v>7627</v>
      </c>
      <c r="G917" s="17" t="s">
        <v>7611</v>
      </c>
    </row>
    <row r="918" spans="1:7" x14ac:dyDescent="0.25">
      <c r="A918">
        <f t="shared" si="15"/>
        <v>5101002</v>
      </c>
      <c r="B918" s="15">
        <v>140640102</v>
      </c>
      <c r="C918" s="15">
        <v>290219441</v>
      </c>
      <c r="D918" s="16">
        <v>510100202</v>
      </c>
      <c r="E918" s="16" t="s">
        <v>7582</v>
      </c>
      <c r="F918" s="20" t="s">
        <v>7628</v>
      </c>
      <c r="G918" s="17" t="s">
        <v>7584</v>
      </c>
    </row>
    <row r="919" spans="1:7" x14ac:dyDescent="0.25">
      <c r="A919">
        <f t="shared" si="15"/>
        <v>5101873</v>
      </c>
      <c r="B919" s="15">
        <v>140640102</v>
      </c>
      <c r="C919" s="15">
        <v>290219493</v>
      </c>
      <c r="D919" s="16">
        <v>510187300</v>
      </c>
      <c r="E919" s="16" t="s">
        <v>7582</v>
      </c>
      <c r="F919" s="20" t="s">
        <v>7629</v>
      </c>
      <c r="G919" s="17" t="s">
        <v>7615</v>
      </c>
    </row>
    <row r="920" spans="1:7" x14ac:dyDescent="0.25">
      <c r="A920">
        <f t="shared" si="15"/>
        <v>5101876</v>
      </c>
      <c r="B920" s="15">
        <v>140640102</v>
      </c>
      <c r="C920" s="15">
        <v>290219584</v>
      </c>
      <c r="D920" s="16">
        <v>510187606</v>
      </c>
      <c r="E920" s="16" t="s">
        <v>7582</v>
      </c>
      <c r="F920" s="20" t="s">
        <v>7630</v>
      </c>
      <c r="G920" s="17" t="s">
        <v>7613</v>
      </c>
    </row>
    <row r="921" spans="1:7" x14ac:dyDescent="0.25">
      <c r="A921">
        <f t="shared" si="15"/>
        <v>5101165</v>
      </c>
      <c r="B921" s="15">
        <v>140640102</v>
      </c>
      <c r="C921" s="15">
        <v>290219471</v>
      </c>
      <c r="D921" s="16">
        <v>510116502</v>
      </c>
      <c r="E921" s="16" t="s">
        <v>7582</v>
      </c>
      <c r="F921" s="20" t="s">
        <v>7631</v>
      </c>
      <c r="G921" s="17" t="s">
        <v>7599</v>
      </c>
    </row>
    <row r="922" spans="1:7" x14ac:dyDescent="0.25">
      <c r="A922">
        <f t="shared" si="15"/>
        <v>5101654</v>
      </c>
      <c r="B922" s="15">
        <v>140640102</v>
      </c>
      <c r="C922" s="15">
        <v>290219546</v>
      </c>
      <c r="D922" s="16">
        <v>510165402</v>
      </c>
      <c r="E922" s="16" t="s">
        <v>7582</v>
      </c>
      <c r="F922" s="20" t="s">
        <v>7632</v>
      </c>
      <c r="G922" s="17" t="s">
        <v>7609</v>
      </c>
    </row>
    <row r="923" spans="1:7" x14ac:dyDescent="0.25">
      <c r="A923">
        <f t="shared" si="15"/>
        <v>5101165</v>
      </c>
      <c r="B923" s="15">
        <v>140640102</v>
      </c>
      <c r="C923" s="15">
        <v>290219473</v>
      </c>
      <c r="D923" s="16">
        <v>510116503</v>
      </c>
      <c r="E923" s="16" t="s">
        <v>7582</v>
      </c>
      <c r="F923" s="20" t="s">
        <v>7633</v>
      </c>
      <c r="G923" s="17" t="s">
        <v>7599</v>
      </c>
    </row>
    <row r="924" spans="1:7" x14ac:dyDescent="0.25">
      <c r="A924">
        <f t="shared" si="15"/>
        <v>5101165</v>
      </c>
      <c r="B924" s="15">
        <v>140640102</v>
      </c>
      <c r="C924" s="15">
        <v>290219469</v>
      </c>
      <c r="D924" s="16">
        <v>510116500</v>
      </c>
      <c r="E924" s="16" t="s">
        <v>7582</v>
      </c>
      <c r="F924" s="20" t="s">
        <v>7634</v>
      </c>
      <c r="G924" s="17" t="s">
        <v>7599</v>
      </c>
    </row>
    <row r="925" spans="1:7" x14ac:dyDescent="0.25">
      <c r="A925">
        <f t="shared" si="15"/>
        <v>5101876</v>
      </c>
      <c r="B925" s="15">
        <v>140640102</v>
      </c>
      <c r="C925" s="15">
        <v>290219581</v>
      </c>
      <c r="D925" s="16">
        <v>510187604</v>
      </c>
      <c r="E925" s="16" t="s">
        <v>7582</v>
      </c>
      <c r="F925" s="20" t="s">
        <v>7635</v>
      </c>
      <c r="G925" s="17" t="s">
        <v>7613</v>
      </c>
    </row>
    <row r="926" spans="1:7" x14ac:dyDescent="0.25">
      <c r="A926">
        <f t="shared" si="15"/>
        <v>5101165</v>
      </c>
      <c r="B926" s="15">
        <v>140640102</v>
      </c>
      <c r="C926" s="15">
        <v>290219476</v>
      </c>
      <c r="D926" s="16">
        <v>510116505</v>
      </c>
      <c r="E926" s="16" t="s">
        <v>7582</v>
      </c>
      <c r="F926" s="20" t="s">
        <v>7636</v>
      </c>
      <c r="G926" s="17" t="s">
        <v>7599</v>
      </c>
    </row>
    <row r="927" spans="1:7" x14ac:dyDescent="0.25">
      <c r="A927">
        <f t="shared" si="15"/>
        <v>5101877</v>
      </c>
      <c r="B927" s="15">
        <v>140640102</v>
      </c>
      <c r="C927" s="15">
        <v>290219513</v>
      </c>
      <c r="D927" s="16">
        <v>510187701</v>
      </c>
      <c r="E927" s="16" t="s">
        <v>7582</v>
      </c>
      <c r="F927" s="20" t="s">
        <v>7637</v>
      </c>
      <c r="G927" s="17" t="s">
        <v>7611</v>
      </c>
    </row>
    <row r="928" spans="1:7" x14ac:dyDescent="0.25">
      <c r="A928">
        <f t="shared" si="15"/>
        <v>5101877</v>
      </c>
      <c r="B928" s="15">
        <v>140640102</v>
      </c>
      <c r="C928" s="15">
        <v>290219509</v>
      </c>
      <c r="D928" s="16">
        <v>510187710</v>
      </c>
      <c r="E928" s="16" t="s">
        <v>7582</v>
      </c>
      <c r="F928" s="20" t="s">
        <v>7638</v>
      </c>
      <c r="G928" s="17" t="s">
        <v>7611</v>
      </c>
    </row>
    <row r="929" spans="1:7" x14ac:dyDescent="0.25">
      <c r="A929">
        <f t="shared" si="15"/>
        <v>5101654</v>
      </c>
      <c r="B929" s="15">
        <v>140640102</v>
      </c>
      <c r="C929" s="15">
        <v>290219554</v>
      </c>
      <c r="D929" s="16">
        <v>510165404</v>
      </c>
      <c r="E929" s="16" t="s">
        <v>7582</v>
      </c>
      <c r="F929" s="20" t="s">
        <v>7639</v>
      </c>
      <c r="G929" s="17" t="s">
        <v>7609</v>
      </c>
    </row>
    <row r="930" spans="1:7" x14ac:dyDescent="0.25">
      <c r="A930">
        <f t="shared" si="15"/>
        <v>5101654</v>
      </c>
      <c r="B930" s="15">
        <v>140640102</v>
      </c>
      <c r="C930" s="15">
        <v>290219557</v>
      </c>
      <c r="D930" s="16">
        <v>510165406</v>
      </c>
      <c r="E930" s="16" t="s">
        <v>7582</v>
      </c>
      <c r="F930" s="20" t="s">
        <v>7640</v>
      </c>
      <c r="G930" s="17" t="s">
        <v>7609</v>
      </c>
    </row>
    <row r="931" spans="1:7" x14ac:dyDescent="0.25">
      <c r="A931">
        <f t="shared" si="15"/>
        <v>5101873</v>
      </c>
      <c r="B931" s="15">
        <v>140640102</v>
      </c>
      <c r="C931" s="15">
        <v>290219501</v>
      </c>
      <c r="D931" s="16">
        <v>510187304</v>
      </c>
      <c r="E931" s="16" t="s">
        <v>7582</v>
      </c>
      <c r="F931" s="20" t="s">
        <v>7641</v>
      </c>
      <c r="G931" s="17" t="s">
        <v>7615</v>
      </c>
    </row>
    <row r="932" spans="1:7" x14ac:dyDescent="0.25">
      <c r="A932">
        <f t="shared" si="15"/>
        <v>5101204</v>
      </c>
      <c r="B932" s="15">
        <v>140640102</v>
      </c>
      <c r="C932" s="15">
        <v>290219570</v>
      </c>
      <c r="D932" s="16">
        <v>510120405</v>
      </c>
      <c r="E932" s="16" t="s">
        <v>7582</v>
      </c>
      <c r="F932" s="20" t="s">
        <v>7642</v>
      </c>
      <c r="G932" s="17" t="s">
        <v>7621</v>
      </c>
    </row>
    <row r="933" spans="1:7" x14ac:dyDescent="0.25">
      <c r="A933">
        <f t="shared" si="15"/>
        <v>5101845</v>
      </c>
      <c r="B933" s="15">
        <v>140640102</v>
      </c>
      <c r="C933" s="15">
        <v>290219415</v>
      </c>
      <c r="D933" s="16">
        <v>510184502</v>
      </c>
      <c r="E933" s="16" t="s">
        <v>7582</v>
      </c>
      <c r="F933" s="20" t="s">
        <v>7643</v>
      </c>
      <c r="G933" s="17" t="s">
        <v>7624</v>
      </c>
    </row>
    <row r="934" spans="1:7" x14ac:dyDescent="0.25">
      <c r="A934">
        <f t="shared" si="15"/>
        <v>5101876</v>
      </c>
      <c r="B934" s="15">
        <v>140640102</v>
      </c>
      <c r="C934" s="15">
        <v>290219571</v>
      </c>
      <c r="D934" s="16">
        <v>510187606</v>
      </c>
      <c r="E934" s="16" t="s">
        <v>7582</v>
      </c>
      <c r="F934" s="20" t="s">
        <v>7644</v>
      </c>
      <c r="G934" s="17" t="s">
        <v>7621</v>
      </c>
    </row>
    <row r="935" spans="1:7" x14ac:dyDescent="0.25">
      <c r="A935">
        <f t="shared" si="15"/>
        <v>5101876</v>
      </c>
      <c r="B935" s="15">
        <v>140640102</v>
      </c>
      <c r="C935" s="15">
        <v>290219578</v>
      </c>
      <c r="D935" s="16">
        <v>510187602</v>
      </c>
      <c r="E935" s="16" t="s">
        <v>7582</v>
      </c>
      <c r="F935" s="20" t="s">
        <v>7645</v>
      </c>
      <c r="G935" s="17" t="s">
        <v>7613</v>
      </c>
    </row>
    <row r="936" spans="1:7" x14ac:dyDescent="0.25">
      <c r="A936">
        <f t="shared" si="15"/>
        <v>5101845</v>
      </c>
      <c r="B936" s="15">
        <v>140640102</v>
      </c>
      <c r="C936" s="15">
        <v>290219424</v>
      </c>
      <c r="D936" s="16">
        <v>510184505</v>
      </c>
      <c r="E936" s="16" t="s">
        <v>7582</v>
      </c>
      <c r="F936" s="20" t="s">
        <v>7646</v>
      </c>
      <c r="G936" s="17" t="s">
        <v>7624</v>
      </c>
    </row>
    <row r="937" spans="1:7" x14ac:dyDescent="0.25">
      <c r="A937">
        <f t="shared" si="15"/>
        <v>5101165</v>
      </c>
      <c r="B937" s="15">
        <v>140640102</v>
      </c>
      <c r="C937" s="15">
        <v>290219475</v>
      </c>
      <c r="D937" s="16">
        <v>510116504</v>
      </c>
      <c r="E937" s="16" t="s">
        <v>7582</v>
      </c>
      <c r="F937" s="20" t="s">
        <v>7647</v>
      </c>
      <c r="G937" s="17" t="s">
        <v>7599</v>
      </c>
    </row>
    <row r="938" spans="1:7" x14ac:dyDescent="0.25">
      <c r="A938">
        <f t="shared" si="15"/>
        <v>5101873</v>
      </c>
      <c r="B938" s="15">
        <v>140640102</v>
      </c>
      <c r="C938" s="15">
        <v>290219499</v>
      </c>
      <c r="D938" s="16">
        <v>510187303</v>
      </c>
      <c r="E938" s="16" t="s">
        <v>7582</v>
      </c>
      <c r="F938" s="20" t="s">
        <v>7648</v>
      </c>
      <c r="G938" s="17" t="s">
        <v>7615</v>
      </c>
    </row>
    <row r="939" spans="1:7" x14ac:dyDescent="0.25">
      <c r="A939">
        <f t="shared" si="15"/>
        <v>5101877</v>
      </c>
      <c r="B939" s="15">
        <v>140640102</v>
      </c>
      <c r="C939" s="15">
        <v>290219524</v>
      </c>
      <c r="D939" s="16">
        <v>510187706</v>
      </c>
      <c r="E939" s="16" t="s">
        <v>7582</v>
      </c>
      <c r="F939" s="20" t="s">
        <v>7649</v>
      </c>
      <c r="G939" s="17" t="s">
        <v>7611</v>
      </c>
    </row>
    <row r="940" spans="1:7" x14ac:dyDescent="0.25">
      <c r="A940">
        <f t="shared" si="15"/>
        <v>5101876</v>
      </c>
      <c r="B940" s="15">
        <v>140640102</v>
      </c>
      <c r="C940" s="15">
        <v>290219583</v>
      </c>
      <c r="D940" s="16">
        <v>510187605</v>
      </c>
      <c r="E940" s="16" t="s">
        <v>7582</v>
      </c>
      <c r="F940" s="20" t="s">
        <v>7650</v>
      </c>
      <c r="G940" s="17" t="s">
        <v>7613</v>
      </c>
    </row>
    <row r="941" spans="1:7" x14ac:dyDescent="0.25">
      <c r="A941">
        <f t="shared" si="15"/>
        <v>5101876</v>
      </c>
      <c r="B941" s="15">
        <v>140640102</v>
      </c>
      <c r="C941" s="15">
        <v>290219575</v>
      </c>
      <c r="D941" s="16">
        <v>510187601</v>
      </c>
      <c r="E941" s="16" t="s">
        <v>7582</v>
      </c>
      <c r="F941" s="20" t="s">
        <v>7651</v>
      </c>
      <c r="G941" s="17" t="s">
        <v>7613</v>
      </c>
    </row>
    <row r="942" spans="1:7" x14ac:dyDescent="0.25">
      <c r="A942">
        <f t="shared" si="15"/>
        <v>5101002</v>
      </c>
      <c r="B942" s="15">
        <v>140640102</v>
      </c>
      <c r="C942" s="15">
        <v>290219439</v>
      </c>
      <c r="D942" s="16">
        <v>510100201</v>
      </c>
      <c r="E942" s="16" t="s">
        <v>7582</v>
      </c>
      <c r="F942" s="20" t="s">
        <v>7652</v>
      </c>
      <c r="G942" s="17" t="s">
        <v>7584</v>
      </c>
    </row>
    <row r="943" spans="1:7" x14ac:dyDescent="0.25">
      <c r="A943">
        <f t="shared" si="15"/>
        <v>5101876</v>
      </c>
      <c r="B943" s="15">
        <v>140640102</v>
      </c>
      <c r="C943" s="15">
        <v>290219579</v>
      </c>
      <c r="D943" s="16">
        <v>510187603</v>
      </c>
      <c r="E943" s="16" t="s">
        <v>7582</v>
      </c>
      <c r="F943" s="20" t="s">
        <v>7653</v>
      </c>
      <c r="G943" s="17" t="s">
        <v>7613</v>
      </c>
    </row>
    <row r="944" spans="1:7" x14ac:dyDescent="0.25">
      <c r="A944">
        <f t="shared" si="15"/>
        <v>5101165</v>
      </c>
      <c r="B944" s="15">
        <v>140640102</v>
      </c>
      <c r="C944" s="15">
        <v>290219470</v>
      </c>
      <c r="D944" s="16">
        <v>510116501</v>
      </c>
      <c r="E944" s="16" t="s">
        <v>7582</v>
      </c>
      <c r="F944" s="20" t="s">
        <v>7654</v>
      </c>
      <c r="G944" s="17" t="s">
        <v>7599</v>
      </c>
    </row>
    <row r="945" spans="1:7" x14ac:dyDescent="0.25">
      <c r="A945">
        <f t="shared" si="15"/>
        <v>5101845</v>
      </c>
      <c r="B945" s="15">
        <v>140640102</v>
      </c>
      <c r="C945" s="15">
        <v>290219420</v>
      </c>
      <c r="D945" s="16">
        <v>510184500</v>
      </c>
      <c r="E945" s="16" t="s">
        <v>7582</v>
      </c>
      <c r="F945" s="20" t="s">
        <v>7655</v>
      </c>
      <c r="G945" s="17" t="s">
        <v>7624</v>
      </c>
    </row>
    <row r="946" spans="1:7" x14ac:dyDescent="0.25">
      <c r="A946">
        <f t="shared" si="15"/>
        <v>5101654</v>
      </c>
      <c r="B946" s="15">
        <v>140640102</v>
      </c>
      <c r="C946" s="15">
        <v>290219541</v>
      </c>
      <c r="D946" s="16">
        <v>510165401</v>
      </c>
      <c r="E946" s="16" t="s">
        <v>7582</v>
      </c>
      <c r="F946" s="20" t="s">
        <v>7656</v>
      </c>
      <c r="G946" s="17" t="s">
        <v>7609</v>
      </c>
    </row>
    <row r="947" spans="1:7" x14ac:dyDescent="0.25">
      <c r="A947">
        <f t="shared" si="15"/>
        <v>5101029</v>
      </c>
      <c r="B947" s="15">
        <v>140640102</v>
      </c>
      <c r="C947" s="15">
        <v>290219434</v>
      </c>
      <c r="D947" s="16">
        <v>510102904</v>
      </c>
      <c r="E947" s="16" t="s">
        <v>7582</v>
      </c>
      <c r="F947" s="20" t="s">
        <v>7657</v>
      </c>
      <c r="G947" s="17" t="s">
        <v>7586</v>
      </c>
    </row>
    <row r="948" spans="1:7" x14ac:dyDescent="0.25">
      <c r="A948">
        <f t="shared" si="15"/>
        <v>5101845</v>
      </c>
      <c r="B948" s="15">
        <v>140640102</v>
      </c>
      <c r="C948" s="15">
        <v>290219418</v>
      </c>
      <c r="D948" s="16">
        <v>510184510</v>
      </c>
      <c r="E948" s="16" t="s">
        <v>7582</v>
      </c>
      <c r="F948" s="20" t="s">
        <v>7658</v>
      </c>
      <c r="G948" s="17" t="s">
        <v>7624</v>
      </c>
    </row>
    <row r="949" spans="1:7" x14ac:dyDescent="0.25">
      <c r="A949">
        <f t="shared" si="15"/>
        <v>5101873</v>
      </c>
      <c r="B949" s="15">
        <v>140640102</v>
      </c>
      <c r="C949" s="15">
        <v>290219495</v>
      </c>
      <c r="D949" s="16">
        <v>510187301</v>
      </c>
      <c r="E949" s="16" t="s">
        <v>7582</v>
      </c>
      <c r="F949" s="20" t="s">
        <v>7659</v>
      </c>
      <c r="G949" s="17" t="s">
        <v>7615</v>
      </c>
    </row>
    <row r="950" spans="1:7" x14ac:dyDescent="0.25">
      <c r="A950">
        <f t="shared" si="15"/>
        <v>5101204</v>
      </c>
      <c r="B950" s="15">
        <v>140640102</v>
      </c>
      <c r="C950" s="15">
        <v>290219564</v>
      </c>
      <c r="D950" s="16">
        <v>510120402</v>
      </c>
      <c r="E950" s="16" t="s">
        <v>7582</v>
      </c>
      <c r="F950" s="20" t="s">
        <v>7660</v>
      </c>
      <c r="G950" s="17" t="s">
        <v>7621</v>
      </c>
    </row>
    <row r="951" spans="1:7" x14ac:dyDescent="0.25">
      <c r="A951">
        <f t="shared" si="15"/>
        <v>5101029</v>
      </c>
      <c r="B951" s="15">
        <v>140640102</v>
      </c>
      <c r="C951" s="15">
        <v>290219432</v>
      </c>
      <c r="D951" s="16">
        <v>510102903</v>
      </c>
      <c r="E951" s="16" t="s">
        <v>7582</v>
      </c>
      <c r="F951" s="20" t="s">
        <v>7661</v>
      </c>
      <c r="G951" s="17" t="s">
        <v>7586</v>
      </c>
    </row>
    <row r="952" spans="1:7" x14ac:dyDescent="0.25">
      <c r="A952">
        <f t="shared" si="15"/>
        <v>5101886</v>
      </c>
      <c r="B952" s="15">
        <v>140640102</v>
      </c>
      <c r="C952" s="15">
        <v>290219490</v>
      </c>
      <c r="D952" s="16">
        <v>510188606</v>
      </c>
      <c r="E952" s="16" t="s">
        <v>7582</v>
      </c>
      <c r="F952" s="20" t="s">
        <v>7662</v>
      </c>
      <c r="G952" s="17" t="s">
        <v>7602</v>
      </c>
    </row>
    <row r="953" spans="1:7" x14ac:dyDescent="0.25">
      <c r="A953">
        <f t="shared" si="15"/>
        <v>5101029</v>
      </c>
      <c r="B953" s="15">
        <v>140640102</v>
      </c>
      <c r="C953" s="15">
        <v>290219436</v>
      </c>
      <c r="D953" s="16">
        <v>510102906</v>
      </c>
      <c r="E953" s="16" t="s">
        <v>7582</v>
      </c>
      <c r="F953" s="20" t="s">
        <v>7663</v>
      </c>
      <c r="G953" s="17" t="s">
        <v>7586</v>
      </c>
    </row>
    <row r="954" spans="1:7" x14ac:dyDescent="0.25">
      <c r="A954">
        <f t="shared" si="15"/>
        <v>5101876</v>
      </c>
      <c r="B954" s="15">
        <v>140640102</v>
      </c>
      <c r="C954" s="15">
        <v>290219573</v>
      </c>
      <c r="D954" s="16">
        <v>510187610</v>
      </c>
      <c r="E954" s="16" t="s">
        <v>7582</v>
      </c>
      <c r="F954" s="20" t="s">
        <v>7664</v>
      </c>
      <c r="G954" s="17" t="s">
        <v>7613</v>
      </c>
    </row>
    <row r="955" spans="1:7" x14ac:dyDescent="0.25">
      <c r="A955">
        <f t="shared" si="15"/>
        <v>5101654</v>
      </c>
      <c r="B955" s="15">
        <v>140640102</v>
      </c>
      <c r="C955" s="15">
        <v>290219556</v>
      </c>
      <c r="D955" s="16">
        <v>510165405</v>
      </c>
      <c r="E955" s="16" t="s">
        <v>7582</v>
      </c>
      <c r="F955" s="20" t="s">
        <v>7665</v>
      </c>
      <c r="G955" s="17" t="s">
        <v>7609</v>
      </c>
    </row>
    <row r="956" spans="1:7" x14ac:dyDescent="0.25">
      <c r="A956">
        <f t="shared" si="15"/>
        <v>5101873</v>
      </c>
      <c r="B956" s="15">
        <v>140640102</v>
      </c>
      <c r="C956" s="15">
        <v>290219497</v>
      </c>
      <c r="D956" s="16">
        <v>510187302</v>
      </c>
      <c r="E956" s="16" t="s">
        <v>7582</v>
      </c>
      <c r="F956" s="20" t="s">
        <v>7666</v>
      </c>
      <c r="G956" s="17" t="s">
        <v>7615</v>
      </c>
    </row>
    <row r="957" spans="1:7" x14ac:dyDescent="0.25">
      <c r="A957">
        <f t="shared" si="15"/>
        <v>5101029</v>
      </c>
      <c r="B957" s="15">
        <v>140640102</v>
      </c>
      <c r="C957" s="15">
        <v>290219435</v>
      </c>
      <c r="D957" s="16">
        <v>510102905</v>
      </c>
      <c r="E957" s="16" t="s">
        <v>7582</v>
      </c>
      <c r="F957" s="20" t="s">
        <v>7667</v>
      </c>
      <c r="G957" s="17" t="s">
        <v>7586</v>
      </c>
    </row>
    <row r="958" spans="1:7" x14ac:dyDescent="0.25">
      <c r="A958">
        <f t="shared" si="15"/>
        <v>5101654</v>
      </c>
      <c r="B958" s="15">
        <v>140640102</v>
      </c>
      <c r="C958" s="15">
        <v>290219551</v>
      </c>
      <c r="D958" s="16">
        <v>510165403</v>
      </c>
      <c r="E958" s="16" t="s">
        <v>7582</v>
      </c>
      <c r="F958" s="20" t="s">
        <v>7668</v>
      </c>
      <c r="G958" s="17" t="s">
        <v>7609</v>
      </c>
    </row>
    <row r="959" spans="1:7" x14ac:dyDescent="0.25">
      <c r="A959">
        <f t="shared" ref="A959:A1022" si="16">LEFT(D959,7)*1</f>
        <v>5101006</v>
      </c>
      <c r="B959" s="15">
        <v>140640102</v>
      </c>
      <c r="C959" s="15">
        <v>290219459</v>
      </c>
      <c r="D959" s="16">
        <v>510100604</v>
      </c>
      <c r="E959" s="16" t="s">
        <v>7582</v>
      </c>
      <c r="F959" s="20" t="s">
        <v>7669</v>
      </c>
      <c r="G959" s="17" t="s">
        <v>7590</v>
      </c>
    </row>
    <row r="960" spans="1:7" x14ac:dyDescent="0.25">
      <c r="A960">
        <f t="shared" si="16"/>
        <v>5101204</v>
      </c>
      <c r="B960" s="15">
        <v>140640102</v>
      </c>
      <c r="C960" s="15">
        <v>290219562</v>
      </c>
      <c r="D960" s="16">
        <v>510120401</v>
      </c>
      <c r="E960" s="16" t="s">
        <v>7582</v>
      </c>
      <c r="F960" s="20" t="s">
        <v>7670</v>
      </c>
      <c r="G960" s="17" t="s">
        <v>7621</v>
      </c>
    </row>
    <row r="961" spans="1:7" x14ac:dyDescent="0.25">
      <c r="A961">
        <f t="shared" si="16"/>
        <v>5101654</v>
      </c>
      <c r="B961" s="15">
        <v>140640102</v>
      </c>
      <c r="C961" s="15">
        <v>290219526</v>
      </c>
      <c r="D961" s="16">
        <v>510165410</v>
      </c>
      <c r="E961" s="16" t="s">
        <v>7582</v>
      </c>
      <c r="F961" s="20" t="s">
        <v>7671</v>
      </c>
      <c r="G961" s="17" t="s">
        <v>7609</v>
      </c>
    </row>
    <row r="962" spans="1:7" x14ac:dyDescent="0.25">
      <c r="A962">
        <f t="shared" si="16"/>
        <v>5101006</v>
      </c>
      <c r="B962" s="15">
        <v>140640102</v>
      </c>
      <c r="C962" s="15">
        <v>290219457</v>
      </c>
      <c r="D962" s="16">
        <v>510100602</v>
      </c>
      <c r="E962" s="16" t="s">
        <v>7582</v>
      </c>
      <c r="F962" s="20" t="s">
        <v>7672</v>
      </c>
      <c r="G962" s="17" t="s">
        <v>7590</v>
      </c>
    </row>
    <row r="963" spans="1:7" x14ac:dyDescent="0.25">
      <c r="A963">
        <f t="shared" si="16"/>
        <v>5101845</v>
      </c>
      <c r="B963" s="15">
        <v>140640102</v>
      </c>
      <c r="C963" s="15">
        <v>290219412</v>
      </c>
      <c r="D963" s="16">
        <v>510184501</v>
      </c>
      <c r="E963" s="16" t="s">
        <v>7582</v>
      </c>
      <c r="F963" s="20" t="s">
        <v>7673</v>
      </c>
      <c r="G963" s="17" t="s">
        <v>7624</v>
      </c>
    </row>
    <row r="964" spans="1:7" x14ac:dyDescent="0.25">
      <c r="A964">
        <f t="shared" si="16"/>
        <v>5101886</v>
      </c>
      <c r="B964" s="15">
        <v>140640102</v>
      </c>
      <c r="C964" s="15">
        <v>290219486</v>
      </c>
      <c r="D964" s="16">
        <v>510188604</v>
      </c>
      <c r="E964" s="16" t="s">
        <v>7582</v>
      </c>
      <c r="F964" s="20" t="s">
        <v>7674</v>
      </c>
      <c r="G964" s="17" t="s">
        <v>7602</v>
      </c>
    </row>
    <row r="965" spans="1:7" x14ac:dyDescent="0.25">
      <c r="A965">
        <f t="shared" si="16"/>
        <v>5101204</v>
      </c>
      <c r="B965" s="15">
        <v>140640102</v>
      </c>
      <c r="C965" s="15">
        <v>290219559</v>
      </c>
      <c r="D965" s="16">
        <v>510120410</v>
      </c>
      <c r="E965" s="16" t="s">
        <v>7582</v>
      </c>
      <c r="F965" s="20" t="s">
        <v>7675</v>
      </c>
      <c r="G965" s="17" t="s">
        <v>7621</v>
      </c>
    </row>
    <row r="966" spans="1:7" x14ac:dyDescent="0.25">
      <c r="A966">
        <f t="shared" si="16"/>
        <v>5101204</v>
      </c>
      <c r="B966" s="15">
        <v>140640102</v>
      </c>
      <c r="C966" s="15">
        <v>290219561</v>
      </c>
      <c r="D966" s="16">
        <v>510120400</v>
      </c>
      <c r="E966" s="16" t="s">
        <v>7582</v>
      </c>
      <c r="F966" s="20" t="s">
        <v>7676</v>
      </c>
      <c r="G966" s="17" t="s">
        <v>7621</v>
      </c>
    </row>
    <row r="967" spans="1:7" x14ac:dyDescent="0.25">
      <c r="A967">
        <f t="shared" si="16"/>
        <v>5101873</v>
      </c>
      <c r="B967" s="15">
        <v>140640102</v>
      </c>
      <c r="C967" s="15">
        <v>290219506</v>
      </c>
      <c r="D967" s="16">
        <v>510187306</v>
      </c>
      <c r="E967" s="16" t="s">
        <v>7582</v>
      </c>
      <c r="F967" s="20" t="s">
        <v>7677</v>
      </c>
      <c r="G967" s="17" t="s">
        <v>7615</v>
      </c>
    </row>
    <row r="968" spans="1:7" x14ac:dyDescent="0.25">
      <c r="A968">
        <f t="shared" si="16"/>
        <v>5101877</v>
      </c>
      <c r="B968" s="15">
        <v>140640102</v>
      </c>
      <c r="C968" s="15">
        <v>290219512</v>
      </c>
      <c r="D968" s="16">
        <v>510187700</v>
      </c>
      <c r="E968" s="16" t="s">
        <v>7582</v>
      </c>
      <c r="F968" s="20" t="s">
        <v>7678</v>
      </c>
      <c r="G968" s="17" t="s">
        <v>7611</v>
      </c>
    </row>
    <row r="969" spans="1:7" x14ac:dyDescent="0.25">
      <c r="A969">
        <f t="shared" si="16"/>
        <v>5101204</v>
      </c>
      <c r="B969" s="15">
        <v>140640102</v>
      </c>
      <c r="C969" s="15">
        <v>290219567</v>
      </c>
      <c r="D969" s="16">
        <v>510120403</v>
      </c>
      <c r="E969" s="16" t="s">
        <v>7582</v>
      </c>
      <c r="F969" s="20" t="s">
        <v>7679</v>
      </c>
      <c r="G969" s="17" t="s">
        <v>7621</v>
      </c>
    </row>
    <row r="970" spans="1:7" x14ac:dyDescent="0.25">
      <c r="A970">
        <f t="shared" si="16"/>
        <v>5101845</v>
      </c>
      <c r="B970" s="15">
        <v>140640102</v>
      </c>
      <c r="C970" s="15">
        <v>290219423</v>
      </c>
      <c r="D970" s="16">
        <v>510184503</v>
      </c>
      <c r="E970" s="16" t="s">
        <v>7582</v>
      </c>
      <c r="F970" s="20" t="s">
        <v>7680</v>
      </c>
      <c r="G970" s="17" t="s">
        <v>7624</v>
      </c>
    </row>
    <row r="971" spans="1:7" x14ac:dyDescent="0.25">
      <c r="A971">
        <f t="shared" si="16"/>
        <v>5101845</v>
      </c>
      <c r="B971" s="15">
        <v>140640102</v>
      </c>
      <c r="C971" s="15">
        <v>290219422</v>
      </c>
      <c r="D971" s="16">
        <v>510184504</v>
      </c>
      <c r="E971" s="16" t="s">
        <v>7582</v>
      </c>
      <c r="F971" s="20" t="s">
        <v>7681</v>
      </c>
      <c r="G971" s="17" t="s">
        <v>7624</v>
      </c>
    </row>
    <row r="972" spans="1:7" x14ac:dyDescent="0.25">
      <c r="A972">
        <f t="shared" si="16"/>
        <v>5101845</v>
      </c>
      <c r="B972" s="15">
        <v>140640114</v>
      </c>
      <c r="C972" s="15">
        <v>290219612</v>
      </c>
      <c r="D972" s="16">
        <v>510184502</v>
      </c>
      <c r="E972" s="16" t="s">
        <v>7682</v>
      </c>
      <c r="F972" s="20" t="s">
        <v>7643</v>
      </c>
      <c r="G972" s="17" t="s">
        <v>7683</v>
      </c>
    </row>
    <row r="973" spans="1:7" x14ac:dyDescent="0.25">
      <c r="A973">
        <f t="shared" si="16"/>
        <v>5101845</v>
      </c>
      <c r="B973" s="15">
        <v>140640114</v>
      </c>
      <c r="C973" s="15">
        <v>290219629</v>
      </c>
      <c r="D973" s="16">
        <v>510184510</v>
      </c>
      <c r="E973" s="16" t="s">
        <v>7682</v>
      </c>
      <c r="F973" s="20" t="s">
        <v>7658</v>
      </c>
      <c r="G973" s="17" t="s">
        <v>7683</v>
      </c>
    </row>
    <row r="974" spans="1:7" x14ac:dyDescent="0.25">
      <c r="A974">
        <f t="shared" si="16"/>
        <v>5101845</v>
      </c>
      <c r="B974" s="15">
        <v>140640114</v>
      </c>
      <c r="C974" s="15">
        <v>290219634</v>
      </c>
      <c r="D974" s="16">
        <v>510184500</v>
      </c>
      <c r="E974" s="16" t="s">
        <v>7682</v>
      </c>
      <c r="F974" s="20" t="s">
        <v>7655</v>
      </c>
      <c r="G974" s="17" t="s">
        <v>7683</v>
      </c>
    </row>
    <row r="975" spans="1:7" x14ac:dyDescent="0.25">
      <c r="A975">
        <f t="shared" si="16"/>
        <v>5101029</v>
      </c>
      <c r="B975" s="15">
        <v>140640114</v>
      </c>
      <c r="C975" s="15">
        <v>290219672</v>
      </c>
      <c r="D975" s="16">
        <v>510102900</v>
      </c>
      <c r="E975" s="16" t="s">
        <v>7682</v>
      </c>
      <c r="F975" s="20" t="s">
        <v>7625</v>
      </c>
      <c r="G975" s="17" t="s">
        <v>7684</v>
      </c>
    </row>
    <row r="976" spans="1:7" x14ac:dyDescent="0.25">
      <c r="A976">
        <f t="shared" si="16"/>
        <v>5101845</v>
      </c>
      <c r="B976" s="15">
        <v>140640114</v>
      </c>
      <c r="C976" s="15">
        <v>290219646</v>
      </c>
      <c r="D976" s="16">
        <v>510184505</v>
      </c>
      <c r="E976" s="16" t="s">
        <v>7682</v>
      </c>
      <c r="F976" s="20" t="s">
        <v>7646</v>
      </c>
      <c r="G976" s="17" t="s">
        <v>7683</v>
      </c>
    </row>
    <row r="977" spans="1:7" x14ac:dyDescent="0.25">
      <c r="A977">
        <f t="shared" si="16"/>
        <v>5101029</v>
      </c>
      <c r="B977" s="15">
        <v>140640114</v>
      </c>
      <c r="C977" s="15">
        <v>290219699</v>
      </c>
      <c r="D977" s="16">
        <v>510102904</v>
      </c>
      <c r="E977" s="16" t="s">
        <v>7682</v>
      </c>
      <c r="F977" s="20" t="s">
        <v>7657</v>
      </c>
      <c r="G977" s="17" t="s">
        <v>7684</v>
      </c>
    </row>
    <row r="978" spans="1:7" x14ac:dyDescent="0.25">
      <c r="A978">
        <f t="shared" si="16"/>
        <v>5101029</v>
      </c>
      <c r="B978" s="15">
        <v>140640114</v>
      </c>
      <c r="C978" s="15">
        <v>290219703</v>
      </c>
      <c r="D978" s="16">
        <v>510102905</v>
      </c>
      <c r="E978" s="16" t="s">
        <v>7682</v>
      </c>
      <c r="F978" s="20" t="s">
        <v>7667</v>
      </c>
      <c r="G978" s="17" t="s">
        <v>7684</v>
      </c>
    </row>
    <row r="979" spans="1:7" x14ac:dyDescent="0.25">
      <c r="A979">
        <f t="shared" si="16"/>
        <v>5101006</v>
      </c>
      <c r="B979" s="15">
        <v>140640114</v>
      </c>
      <c r="C979" s="15">
        <v>290219837</v>
      </c>
      <c r="D979" s="16">
        <v>510100603</v>
      </c>
      <c r="E979" s="16" t="s">
        <v>7682</v>
      </c>
      <c r="F979" s="20" t="s">
        <v>7619</v>
      </c>
      <c r="G979" s="17" t="s">
        <v>7685</v>
      </c>
    </row>
    <row r="980" spans="1:7" x14ac:dyDescent="0.25">
      <c r="A980">
        <f t="shared" si="16"/>
        <v>5101002</v>
      </c>
      <c r="B980" s="15">
        <v>140640114</v>
      </c>
      <c r="C980" s="15">
        <v>290219768</v>
      </c>
      <c r="D980" s="16">
        <v>510100204</v>
      </c>
      <c r="E980" s="16" t="s">
        <v>7682</v>
      </c>
      <c r="F980" s="20" t="s">
        <v>7597</v>
      </c>
      <c r="G980" s="17" t="s">
        <v>7686</v>
      </c>
    </row>
    <row r="981" spans="1:7" x14ac:dyDescent="0.25">
      <c r="A981">
        <f t="shared" si="16"/>
        <v>5101006</v>
      </c>
      <c r="B981" s="15">
        <v>140640114</v>
      </c>
      <c r="C981" s="15">
        <v>290219802</v>
      </c>
      <c r="D981" s="16">
        <v>510100600</v>
      </c>
      <c r="E981" s="16" t="s">
        <v>7682</v>
      </c>
      <c r="F981" s="20" t="s">
        <v>7600</v>
      </c>
      <c r="G981" s="17" t="s">
        <v>7685</v>
      </c>
    </row>
    <row r="982" spans="1:7" x14ac:dyDescent="0.25">
      <c r="A982">
        <f t="shared" si="16"/>
        <v>5101165</v>
      </c>
      <c r="B982" s="15">
        <v>140640114</v>
      </c>
      <c r="C982" s="15">
        <v>290219889</v>
      </c>
      <c r="D982" s="16">
        <v>510116504</v>
      </c>
      <c r="E982" s="16" t="s">
        <v>7682</v>
      </c>
      <c r="F982" s="20" t="s">
        <v>7647</v>
      </c>
      <c r="G982" s="17" t="s">
        <v>7687</v>
      </c>
    </row>
    <row r="983" spans="1:7" x14ac:dyDescent="0.25">
      <c r="A983">
        <f t="shared" si="16"/>
        <v>5101165</v>
      </c>
      <c r="B983" s="15">
        <v>140640114</v>
      </c>
      <c r="C983" s="15">
        <v>290219897</v>
      </c>
      <c r="D983" s="16">
        <v>510116505</v>
      </c>
      <c r="E983" s="16" t="s">
        <v>7682</v>
      </c>
      <c r="F983" s="20" t="s">
        <v>7636</v>
      </c>
      <c r="G983" s="17" t="s">
        <v>7687</v>
      </c>
    </row>
    <row r="984" spans="1:7" x14ac:dyDescent="0.25">
      <c r="A984">
        <f t="shared" si="16"/>
        <v>5101886</v>
      </c>
      <c r="B984" s="15">
        <v>140640114</v>
      </c>
      <c r="C984" s="15">
        <v>290219924</v>
      </c>
      <c r="D984" s="16">
        <v>510188600</v>
      </c>
      <c r="E984" s="16" t="s">
        <v>7682</v>
      </c>
      <c r="F984" s="20" t="s">
        <v>7605</v>
      </c>
      <c r="G984" s="17" t="s">
        <v>7688</v>
      </c>
    </row>
    <row r="985" spans="1:7" x14ac:dyDescent="0.25">
      <c r="A985">
        <f t="shared" si="16"/>
        <v>5101873</v>
      </c>
      <c r="B985" s="15">
        <v>140640114</v>
      </c>
      <c r="C985" s="15">
        <v>290220067</v>
      </c>
      <c r="D985" s="16">
        <v>510187304</v>
      </c>
      <c r="E985" s="16" t="s">
        <v>7682</v>
      </c>
      <c r="F985" s="20" t="s">
        <v>7641</v>
      </c>
      <c r="G985" s="17" t="s">
        <v>7689</v>
      </c>
    </row>
    <row r="986" spans="1:7" x14ac:dyDescent="0.25">
      <c r="A986">
        <f t="shared" si="16"/>
        <v>5101873</v>
      </c>
      <c r="B986" s="15">
        <v>140640114</v>
      </c>
      <c r="C986" s="15">
        <v>290220019</v>
      </c>
      <c r="D986" s="16">
        <v>510187300</v>
      </c>
      <c r="E986" s="16" t="s">
        <v>7682</v>
      </c>
      <c r="F986" s="20" t="s">
        <v>7629</v>
      </c>
      <c r="G986" s="17" t="s">
        <v>7689</v>
      </c>
    </row>
    <row r="987" spans="1:7" x14ac:dyDescent="0.25">
      <c r="A987">
        <f t="shared" si="16"/>
        <v>5101873</v>
      </c>
      <c r="B987" s="15">
        <v>140640114</v>
      </c>
      <c r="C987" s="15">
        <v>290220025</v>
      </c>
      <c r="D987" s="16">
        <v>510187301</v>
      </c>
      <c r="E987" s="16" t="s">
        <v>7682</v>
      </c>
      <c r="F987" s="20" t="s">
        <v>7659</v>
      </c>
      <c r="G987" s="17" t="s">
        <v>7689</v>
      </c>
    </row>
    <row r="988" spans="1:7" x14ac:dyDescent="0.25">
      <c r="A988">
        <f t="shared" si="16"/>
        <v>5101877</v>
      </c>
      <c r="B988" s="15">
        <v>140640114</v>
      </c>
      <c r="C988" s="15">
        <v>290220129</v>
      </c>
      <c r="D988" s="16">
        <v>510187702</v>
      </c>
      <c r="E988" s="16" t="s">
        <v>7682</v>
      </c>
      <c r="F988" s="20" t="s">
        <v>7618</v>
      </c>
      <c r="G988" s="17" t="s">
        <v>7690</v>
      </c>
    </row>
    <row r="989" spans="1:7" x14ac:dyDescent="0.25">
      <c r="A989">
        <f t="shared" si="16"/>
        <v>5101877</v>
      </c>
      <c r="B989" s="15">
        <v>140640114</v>
      </c>
      <c r="C989" s="15">
        <v>290220123</v>
      </c>
      <c r="D989" s="16">
        <v>510187701</v>
      </c>
      <c r="E989" s="16" t="s">
        <v>7682</v>
      </c>
      <c r="F989" s="20" t="s">
        <v>7637</v>
      </c>
      <c r="G989" s="17" t="s">
        <v>7690</v>
      </c>
    </row>
    <row r="990" spans="1:7" x14ac:dyDescent="0.25">
      <c r="A990">
        <f t="shared" si="16"/>
        <v>5101877</v>
      </c>
      <c r="B990" s="15">
        <v>140640114</v>
      </c>
      <c r="C990" s="15">
        <v>290220090</v>
      </c>
      <c r="D990" s="16">
        <v>510187710</v>
      </c>
      <c r="E990" s="16" t="s">
        <v>7682</v>
      </c>
      <c r="F990" s="20" t="s">
        <v>7638</v>
      </c>
      <c r="G990" s="17" t="s">
        <v>7690</v>
      </c>
    </row>
    <row r="991" spans="1:7" x14ac:dyDescent="0.25">
      <c r="A991">
        <f t="shared" si="16"/>
        <v>5101873</v>
      </c>
      <c r="B991" s="15">
        <v>140640114</v>
      </c>
      <c r="C991" s="15">
        <v>290220083</v>
      </c>
      <c r="D991" s="16">
        <v>510187306</v>
      </c>
      <c r="E991" s="16" t="s">
        <v>7682</v>
      </c>
      <c r="F991" s="20" t="s">
        <v>7677</v>
      </c>
      <c r="G991" s="17" t="s">
        <v>7689</v>
      </c>
    </row>
    <row r="992" spans="1:7" x14ac:dyDescent="0.25">
      <c r="A992">
        <f t="shared" si="16"/>
        <v>5101877</v>
      </c>
      <c r="B992" s="15">
        <v>140640114</v>
      </c>
      <c r="C992" s="15">
        <v>290220116</v>
      </c>
      <c r="D992" s="16">
        <v>510187700</v>
      </c>
      <c r="E992" s="16" t="s">
        <v>7682</v>
      </c>
      <c r="F992" s="20" t="s">
        <v>7678</v>
      </c>
      <c r="G992" s="17" t="s">
        <v>7690</v>
      </c>
    </row>
    <row r="993" spans="1:7" x14ac:dyDescent="0.25">
      <c r="A993">
        <f t="shared" si="16"/>
        <v>5101877</v>
      </c>
      <c r="B993" s="15">
        <v>140640114</v>
      </c>
      <c r="C993" s="15">
        <v>290220138</v>
      </c>
      <c r="D993" s="16">
        <v>510187703</v>
      </c>
      <c r="E993" s="16" t="s">
        <v>7682</v>
      </c>
      <c r="F993" s="20" t="s">
        <v>7627</v>
      </c>
      <c r="G993" s="17" t="s">
        <v>7690</v>
      </c>
    </row>
    <row r="994" spans="1:7" x14ac:dyDescent="0.25">
      <c r="A994">
        <f t="shared" si="16"/>
        <v>5101204</v>
      </c>
      <c r="B994" s="15">
        <v>140640114</v>
      </c>
      <c r="C994" s="15">
        <v>290220237</v>
      </c>
      <c r="D994" s="16">
        <v>510120410</v>
      </c>
      <c r="E994" s="16" t="s">
        <v>7682</v>
      </c>
      <c r="F994" s="20" t="s">
        <v>7675</v>
      </c>
      <c r="G994" s="17" t="s">
        <v>7691</v>
      </c>
    </row>
    <row r="995" spans="1:7" x14ac:dyDescent="0.25">
      <c r="A995">
        <f t="shared" si="16"/>
        <v>5101204</v>
      </c>
      <c r="B995" s="15">
        <v>140640114</v>
      </c>
      <c r="C995" s="15">
        <v>290220288</v>
      </c>
      <c r="D995" s="16">
        <v>510120402</v>
      </c>
      <c r="E995" s="16" t="s">
        <v>7682</v>
      </c>
      <c r="F995" s="20" t="s">
        <v>7660</v>
      </c>
      <c r="G995" s="17" t="s">
        <v>7691</v>
      </c>
    </row>
    <row r="996" spans="1:7" x14ac:dyDescent="0.25">
      <c r="A996">
        <f t="shared" si="16"/>
        <v>5101654</v>
      </c>
      <c r="B996" s="15">
        <v>140640114</v>
      </c>
      <c r="C996" s="15">
        <v>290220230</v>
      </c>
      <c r="D996" s="16">
        <v>510165405</v>
      </c>
      <c r="E996" s="16" t="s">
        <v>7682</v>
      </c>
      <c r="F996" s="20" t="s">
        <v>7665</v>
      </c>
      <c r="G996" s="17" t="s">
        <v>7692</v>
      </c>
    </row>
    <row r="997" spans="1:7" x14ac:dyDescent="0.25">
      <c r="A997">
        <f t="shared" si="16"/>
        <v>5101654</v>
      </c>
      <c r="B997" s="15">
        <v>140640114</v>
      </c>
      <c r="C997" s="15">
        <v>290220234</v>
      </c>
      <c r="D997" s="16">
        <v>510165406</v>
      </c>
      <c r="E997" s="16" t="s">
        <v>7682</v>
      </c>
      <c r="F997" s="20" t="s">
        <v>7640</v>
      </c>
      <c r="G997" s="17" t="s">
        <v>7692</v>
      </c>
    </row>
    <row r="998" spans="1:7" x14ac:dyDescent="0.25">
      <c r="A998">
        <f t="shared" si="16"/>
        <v>5101876</v>
      </c>
      <c r="B998" s="15">
        <v>140640114</v>
      </c>
      <c r="C998" s="15">
        <v>290220436</v>
      </c>
      <c r="D998" s="16">
        <v>510187602</v>
      </c>
      <c r="E998" s="16" t="s">
        <v>7682</v>
      </c>
      <c r="F998" s="20" t="s">
        <v>7645</v>
      </c>
      <c r="G998" s="17" t="s">
        <v>7693</v>
      </c>
    </row>
    <row r="999" spans="1:7" x14ac:dyDescent="0.25">
      <c r="A999">
        <f t="shared" si="16"/>
        <v>5101876</v>
      </c>
      <c r="B999" s="15">
        <v>140640114</v>
      </c>
      <c r="C999" s="15">
        <v>290220417</v>
      </c>
      <c r="D999" s="16">
        <v>510187601</v>
      </c>
      <c r="E999" s="16" t="s">
        <v>7682</v>
      </c>
      <c r="F999" s="20" t="s">
        <v>7651</v>
      </c>
      <c r="G999" s="17" t="s">
        <v>7693</v>
      </c>
    </row>
    <row r="1000" spans="1:7" x14ac:dyDescent="0.25">
      <c r="A1000">
        <f t="shared" si="16"/>
        <v>5101876</v>
      </c>
      <c r="B1000" s="15">
        <v>140640114</v>
      </c>
      <c r="C1000" s="15">
        <v>290220478</v>
      </c>
      <c r="D1000" s="16">
        <v>510187605</v>
      </c>
      <c r="E1000" s="16" t="s">
        <v>7682</v>
      </c>
      <c r="F1000" s="20" t="s">
        <v>7650</v>
      </c>
      <c r="G1000" s="17" t="s">
        <v>7693</v>
      </c>
    </row>
    <row r="1001" spans="1:7" x14ac:dyDescent="0.25">
      <c r="A1001">
        <f t="shared" si="16"/>
        <v>5101876</v>
      </c>
      <c r="B1001" s="15">
        <v>140640114</v>
      </c>
      <c r="C1001" s="15">
        <v>290220490</v>
      </c>
      <c r="D1001" s="16">
        <v>510187606</v>
      </c>
      <c r="E1001" s="16" t="s">
        <v>7682</v>
      </c>
      <c r="F1001" s="20" t="s">
        <v>7630</v>
      </c>
      <c r="G1001" s="17" t="s">
        <v>7693</v>
      </c>
    </row>
    <row r="1002" spans="1:7" x14ac:dyDescent="0.25">
      <c r="A1002">
        <f t="shared" si="16"/>
        <v>5101876</v>
      </c>
      <c r="B1002" s="15">
        <v>140640114</v>
      </c>
      <c r="C1002" s="15">
        <v>290220445</v>
      </c>
      <c r="D1002" s="16">
        <v>510187603</v>
      </c>
      <c r="E1002" s="16" t="s">
        <v>7682</v>
      </c>
      <c r="F1002" s="20" t="s">
        <v>7653</v>
      </c>
      <c r="G1002" s="17" t="s">
        <v>7693</v>
      </c>
    </row>
    <row r="1003" spans="1:7" x14ac:dyDescent="0.25">
      <c r="A1003">
        <f t="shared" si="16"/>
        <v>5101876</v>
      </c>
      <c r="B1003" s="15">
        <v>140640114</v>
      </c>
      <c r="C1003" s="15">
        <v>290220460</v>
      </c>
      <c r="D1003" s="16">
        <v>510187604</v>
      </c>
      <c r="E1003" s="16" t="s">
        <v>7682</v>
      </c>
      <c r="F1003" s="20" t="s">
        <v>7635</v>
      </c>
      <c r="G1003" s="17" t="s">
        <v>7693</v>
      </c>
    </row>
    <row r="1004" spans="1:7" x14ac:dyDescent="0.25">
      <c r="A1004">
        <f t="shared" si="16"/>
        <v>5101654</v>
      </c>
      <c r="B1004" s="15">
        <v>140640114</v>
      </c>
      <c r="C1004" s="15">
        <v>290220227</v>
      </c>
      <c r="D1004" s="16">
        <v>510165404</v>
      </c>
      <c r="E1004" s="16" t="s">
        <v>7682</v>
      </c>
      <c r="F1004" s="20" t="s">
        <v>7639</v>
      </c>
      <c r="G1004" s="17" t="s">
        <v>7692</v>
      </c>
    </row>
    <row r="1005" spans="1:7" x14ac:dyDescent="0.25">
      <c r="A1005">
        <f t="shared" si="16"/>
        <v>5101886</v>
      </c>
      <c r="B1005" s="15">
        <v>140640114</v>
      </c>
      <c r="C1005" s="15">
        <v>290219959</v>
      </c>
      <c r="D1005" s="16">
        <v>510188604</v>
      </c>
      <c r="E1005" s="16" t="s">
        <v>7682</v>
      </c>
      <c r="F1005" s="20" t="s">
        <v>7674</v>
      </c>
      <c r="G1005" s="17" t="s">
        <v>7688</v>
      </c>
    </row>
    <row r="1006" spans="1:7" x14ac:dyDescent="0.25">
      <c r="A1006">
        <f t="shared" si="16"/>
        <v>5101029</v>
      </c>
      <c r="B1006" s="15">
        <v>140640114</v>
      </c>
      <c r="C1006" s="15">
        <v>290219694</v>
      </c>
      <c r="D1006" s="16">
        <v>510102903</v>
      </c>
      <c r="E1006" s="16" t="s">
        <v>7682</v>
      </c>
      <c r="F1006" s="20" t="s">
        <v>7661</v>
      </c>
      <c r="G1006" s="17" t="s">
        <v>7684</v>
      </c>
    </row>
    <row r="1007" spans="1:7" x14ac:dyDescent="0.25">
      <c r="A1007">
        <f t="shared" si="16"/>
        <v>5101654</v>
      </c>
      <c r="B1007" s="15">
        <v>140640114</v>
      </c>
      <c r="C1007" s="15">
        <v>290220176</v>
      </c>
      <c r="D1007" s="16">
        <v>510165410</v>
      </c>
      <c r="E1007" s="16" t="s">
        <v>7682</v>
      </c>
      <c r="F1007" s="20" t="s">
        <v>7671</v>
      </c>
      <c r="G1007" s="17" t="s">
        <v>7692</v>
      </c>
    </row>
    <row r="1008" spans="1:7" x14ac:dyDescent="0.25">
      <c r="A1008">
        <f t="shared" si="16"/>
        <v>5101006</v>
      </c>
      <c r="B1008" s="15">
        <v>140640114</v>
      </c>
      <c r="C1008" s="15">
        <v>290219823</v>
      </c>
      <c r="D1008" s="16">
        <v>510100602</v>
      </c>
      <c r="E1008" s="16" t="s">
        <v>7682</v>
      </c>
      <c r="F1008" s="20" t="s">
        <v>7672</v>
      </c>
      <c r="G1008" s="17" t="s">
        <v>7685</v>
      </c>
    </row>
    <row r="1009" spans="1:7" x14ac:dyDescent="0.25">
      <c r="A1009">
        <f t="shared" si="16"/>
        <v>5101873</v>
      </c>
      <c r="B1009" s="15">
        <v>140640114</v>
      </c>
      <c r="C1009" s="15">
        <v>290219986</v>
      </c>
      <c r="D1009" s="16">
        <v>510187310</v>
      </c>
      <c r="E1009" s="16" t="s">
        <v>7682</v>
      </c>
      <c r="F1009" s="20" t="s">
        <v>7614</v>
      </c>
      <c r="G1009" s="17" t="s">
        <v>7689</v>
      </c>
    </row>
    <row r="1010" spans="1:7" x14ac:dyDescent="0.25">
      <c r="A1010">
        <f t="shared" si="16"/>
        <v>5101029</v>
      </c>
      <c r="B1010" s="15">
        <v>140640114</v>
      </c>
      <c r="C1010" s="15">
        <v>290219660</v>
      </c>
      <c r="D1010" s="16">
        <v>510102910</v>
      </c>
      <c r="E1010" s="16" t="s">
        <v>7682</v>
      </c>
      <c r="F1010" s="20" t="s">
        <v>7587</v>
      </c>
      <c r="G1010" s="17" t="s">
        <v>7684</v>
      </c>
    </row>
    <row r="1011" spans="1:7" x14ac:dyDescent="0.25">
      <c r="A1011">
        <f t="shared" si="16"/>
        <v>5101006</v>
      </c>
      <c r="B1011" s="15">
        <v>140640114</v>
      </c>
      <c r="C1011" s="15">
        <v>290219844</v>
      </c>
      <c r="D1011" s="16">
        <v>510100605</v>
      </c>
      <c r="E1011" s="16" t="s">
        <v>7682</v>
      </c>
      <c r="F1011" s="20" t="s">
        <v>7592</v>
      </c>
      <c r="G1011" s="17" t="s">
        <v>7685</v>
      </c>
    </row>
    <row r="1012" spans="1:7" x14ac:dyDescent="0.25">
      <c r="A1012">
        <f t="shared" si="16"/>
        <v>5101002</v>
      </c>
      <c r="B1012" s="15">
        <v>140640114</v>
      </c>
      <c r="C1012" s="15">
        <v>290219793</v>
      </c>
      <c r="D1012" s="16">
        <v>510100206</v>
      </c>
      <c r="E1012" s="16" t="s">
        <v>7682</v>
      </c>
      <c r="F1012" s="20" t="s">
        <v>7595</v>
      </c>
      <c r="G1012" s="17" t="s">
        <v>7686</v>
      </c>
    </row>
    <row r="1013" spans="1:7" x14ac:dyDescent="0.25">
      <c r="A1013">
        <f t="shared" si="16"/>
        <v>5101165</v>
      </c>
      <c r="B1013" s="15">
        <v>140640114</v>
      </c>
      <c r="C1013" s="15">
        <v>290219878</v>
      </c>
      <c r="D1013" s="16">
        <v>510116502</v>
      </c>
      <c r="E1013" s="16" t="s">
        <v>7682</v>
      </c>
      <c r="F1013" s="20" t="s">
        <v>7631</v>
      </c>
      <c r="G1013" s="17" t="s">
        <v>7687</v>
      </c>
    </row>
    <row r="1014" spans="1:7" x14ac:dyDescent="0.25">
      <c r="A1014">
        <f t="shared" si="16"/>
        <v>5101886</v>
      </c>
      <c r="B1014" s="15">
        <v>140640114</v>
      </c>
      <c r="C1014" s="15">
        <v>290219910</v>
      </c>
      <c r="D1014" s="16">
        <v>510188610</v>
      </c>
      <c r="E1014" s="16" t="s">
        <v>7682</v>
      </c>
      <c r="F1014" s="20" t="s">
        <v>7607</v>
      </c>
      <c r="G1014" s="17" t="s">
        <v>7688</v>
      </c>
    </row>
    <row r="1015" spans="1:7" x14ac:dyDescent="0.25">
      <c r="A1015">
        <f t="shared" si="16"/>
        <v>5101204</v>
      </c>
      <c r="B1015" s="15">
        <v>140640114</v>
      </c>
      <c r="C1015" s="15">
        <v>290220257</v>
      </c>
      <c r="D1015" s="16">
        <v>510120400</v>
      </c>
      <c r="E1015" s="16" t="s">
        <v>7682</v>
      </c>
      <c r="F1015" s="20" t="s">
        <v>7676</v>
      </c>
      <c r="G1015" s="17" t="s">
        <v>7691</v>
      </c>
    </row>
    <row r="1016" spans="1:7" x14ac:dyDescent="0.25">
      <c r="A1016">
        <f t="shared" si="16"/>
        <v>5101873</v>
      </c>
      <c r="B1016" s="15">
        <v>140640114</v>
      </c>
      <c r="C1016" s="15">
        <v>290220056</v>
      </c>
      <c r="D1016" s="16">
        <v>510187303</v>
      </c>
      <c r="E1016" s="16" t="s">
        <v>7682</v>
      </c>
      <c r="F1016" s="20" t="s">
        <v>7648</v>
      </c>
      <c r="G1016" s="17" t="s">
        <v>7689</v>
      </c>
    </row>
    <row r="1017" spans="1:7" x14ac:dyDescent="0.25">
      <c r="A1017">
        <f t="shared" si="16"/>
        <v>5101002</v>
      </c>
      <c r="B1017" s="15">
        <v>140640114</v>
      </c>
      <c r="C1017" s="15">
        <v>290219750</v>
      </c>
      <c r="D1017" s="16">
        <v>510100203</v>
      </c>
      <c r="E1017" s="16" t="s">
        <v>7682</v>
      </c>
      <c r="F1017" s="20" t="s">
        <v>7591</v>
      </c>
      <c r="G1017" s="17" t="s">
        <v>7686</v>
      </c>
    </row>
    <row r="1018" spans="1:7" x14ac:dyDescent="0.25">
      <c r="A1018">
        <f t="shared" si="16"/>
        <v>5101204</v>
      </c>
      <c r="B1018" s="15">
        <v>140640114</v>
      </c>
      <c r="C1018" s="15">
        <v>290220310</v>
      </c>
      <c r="D1018" s="16">
        <v>510120405</v>
      </c>
      <c r="E1018" s="16" t="s">
        <v>7682</v>
      </c>
      <c r="F1018" s="20" t="s">
        <v>7642</v>
      </c>
      <c r="G1018" s="17" t="s">
        <v>7691</v>
      </c>
    </row>
    <row r="1019" spans="1:7" x14ac:dyDescent="0.25">
      <c r="A1019">
        <f t="shared" si="16"/>
        <v>5101006</v>
      </c>
      <c r="B1019" s="15">
        <v>140640114</v>
      </c>
      <c r="C1019" s="15">
        <v>290219806</v>
      </c>
      <c r="D1019" s="16">
        <v>510100601</v>
      </c>
      <c r="E1019" s="16" t="s">
        <v>7682</v>
      </c>
      <c r="F1019" s="20" t="s">
        <v>7589</v>
      </c>
      <c r="G1019" s="17" t="s">
        <v>7685</v>
      </c>
    </row>
    <row r="1020" spans="1:7" x14ac:dyDescent="0.25">
      <c r="A1020">
        <f t="shared" si="16"/>
        <v>5101002</v>
      </c>
      <c r="B1020" s="15">
        <v>140640114</v>
      </c>
      <c r="C1020" s="15">
        <v>290219733</v>
      </c>
      <c r="D1020" s="16">
        <v>510100202</v>
      </c>
      <c r="E1020" s="16" t="s">
        <v>7682</v>
      </c>
      <c r="F1020" s="20" t="s">
        <v>7628</v>
      </c>
      <c r="G1020" s="17" t="s">
        <v>7686</v>
      </c>
    </row>
    <row r="1021" spans="1:7" x14ac:dyDescent="0.25">
      <c r="A1021">
        <f t="shared" si="16"/>
        <v>5101877</v>
      </c>
      <c r="B1021" s="15">
        <v>140640114</v>
      </c>
      <c r="C1021" s="15">
        <v>290220152</v>
      </c>
      <c r="D1021" s="16">
        <v>510187706</v>
      </c>
      <c r="E1021" s="16" t="s">
        <v>7682</v>
      </c>
      <c r="F1021" s="20" t="s">
        <v>7649</v>
      </c>
      <c r="G1021" s="17" t="s">
        <v>7690</v>
      </c>
    </row>
    <row r="1022" spans="1:7" x14ac:dyDescent="0.25">
      <c r="A1022">
        <f t="shared" si="16"/>
        <v>5101204</v>
      </c>
      <c r="B1022" s="15">
        <v>140640114</v>
      </c>
      <c r="C1022" s="15">
        <v>290220302</v>
      </c>
      <c r="D1022" s="16">
        <v>510120404</v>
      </c>
      <c r="E1022" s="16" t="s">
        <v>7682</v>
      </c>
      <c r="F1022" s="20" t="s">
        <v>7620</v>
      </c>
      <c r="G1022" s="17" t="s">
        <v>7691</v>
      </c>
    </row>
    <row r="1023" spans="1:7" x14ac:dyDescent="0.25">
      <c r="A1023">
        <f t="shared" ref="A1023:A1086" si="17">LEFT(D1023,7)*1</f>
        <v>5101029</v>
      </c>
      <c r="B1023" s="15">
        <v>140640114</v>
      </c>
      <c r="C1023" s="15">
        <v>290219692</v>
      </c>
      <c r="D1023" s="16">
        <v>510102902</v>
      </c>
      <c r="E1023" s="16" t="s">
        <v>7682</v>
      </c>
      <c r="F1023" s="20" t="s">
        <v>7626</v>
      </c>
      <c r="G1023" s="17" t="s">
        <v>7684</v>
      </c>
    </row>
    <row r="1024" spans="1:7" x14ac:dyDescent="0.25">
      <c r="A1024">
        <f t="shared" si="17"/>
        <v>5101165</v>
      </c>
      <c r="B1024" s="15">
        <v>140640114</v>
      </c>
      <c r="C1024" s="15">
        <v>290219881</v>
      </c>
      <c r="D1024" s="16">
        <v>510116503</v>
      </c>
      <c r="E1024" s="16" t="s">
        <v>7682</v>
      </c>
      <c r="F1024" s="20" t="s">
        <v>7633</v>
      </c>
      <c r="G1024" s="17" t="s">
        <v>7687</v>
      </c>
    </row>
    <row r="1025" spans="1:7" x14ac:dyDescent="0.25">
      <c r="A1025">
        <f t="shared" si="17"/>
        <v>5101876</v>
      </c>
      <c r="B1025" s="15">
        <v>140640114</v>
      </c>
      <c r="C1025" s="15">
        <v>290220381</v>
      </c>
      <c r="D1025" s="16">
        <v>510187600</v>
      </c>
      <c r="E1025" s="16" t="s">
        <v>7682</v>
      </c>
      <c r="F1025" s="20" t="s">
        <v>7612</v>
      </c>
      <c r="G1025" s="17" t="s">
        <v>7693</v>
      </c>
    </row>
    <row r="1026" spans="1:7" x14ac:dyDescent="0.25">
      <c r="A1026">
        <f t="shared" si="17"/>
        <v>5101002</v>
      </c>
      <c r="B1026" s="15">
        <v>140640114</v>
      </c>
      <c r="C1026" s="15">
        <v>290219782</v>
      </c>
      <c r="D1026" s="16">
        <v>510100205</v>
      </c>
      <c r="E1026" s="16" t="s">
        <v>7682</v>
      </c>
      <c r="F1026" s="20" t="s">
        <v>7593</v>
      </c>
      <c r="G1026" s="17" t="s">
        <v>7686</v>
      </c>
    </row>
    <row r="1027" spans="1:7" x14ac:dyDescent="0.25">
      <c r="A1027">
        <f t="shared" si="17"/>
        <v>5101204</v>
      </c>
      <c r="B1027" s="15">
        <v>140640114</v>
      </c>
      <c r="C1027" s="15">
        <v>290220332</v>
      </c>
      <c r="D1027" s="16">
        <v>510120406</v>
      </c>
      <c r="E1027" s="16" t="s">
        <v>7682</v>
      </c>
      <c r="F1027" s="20" t="s">
        <v>7644</v>
      </c>
      <c r="G1027" s="17" t="s">
        <v>7691</v>
      </c>
    </row>
    <row r="1028" spans="1:7" x14ac:dyDescent="0.25">
      <c r="A1028">
        <f t="shared" si="17"/>
        <v>5101165</v>
      </c>
      <c r="B1028" s="15">
        <v>140640114</v>
      </c>
      <c r="C1028" s="15">
        <v>290219876</v>
      </c>
      <c r="D1028" s="16">
        <v>510116501</v>
      </c>
      <c r="E1028" s="16" t="s">
        <v>7682</v>
      </c>
      <c r="F1028" s="20" t="s">
        <v>7654</v>
      </c>
      <c r="G1028" s="17" t="s">
        <v>7687</v>
      </c>
    </row>
    <row r="1029" spans="1:7" x14ac:dyDescent="0.25">
      <c r="A1029">
        <f t="shared" si="17"/>
        <v>5101873</v>
      </c>
      <c r="B1029" s="15">
        <v>140640114</v>
      </c>
      <c r="C1029" s="15">
        <v>290220039</v>
      </c>
      <c r="D1029" s="16">
        <v>510187302</v>
      </c>
      <c r="E1029" s="16" t="s">
        <v>7682</v>
      </c>
      <c r="F1029" s="20" t="s">
        <v>7666</v>
      </c>
      <c r="G1029" s="17" t="s">
        <v>7689</v>
      </c>
    </row>
    <row r="1030" spans="1:7" x14ac:dyDescent="0.25">
      <c r="A1030">
        <f t="shared" si="17"/>
        <v>5101845</v>
      </c>
      <c r="B1030" s="15">
        <v>140640114</v>
      </c>
      <c r="C1030" s="15">
        <v>290219655</v>
      </c>
      <c r="D1030" s="16">
        <v>510184506</v>
      </c>
      <c r="E1030" s="16" t="s">
        <v>7682</v>
      </c>
      <c r="F1030" s="20" t="s">
        <v>7623</v>
      </c>
      <c r="G1030" s="17" t="s">
        <v>7683</v>
      </c>
    </row>
    <row r="1031" spans="1:7" x14ac:dyDescent="0.25">
      <c r="A1031">
        <f t="shared" si="17"/>
        <v>5101654</v>
      </c>
      <c r="B1031" s="15">
        <v>140640114</v>
      </c>
      <c r="C1031" s="15">
        <v>290220207</v>
      </c>
      <c r="D1031" s="16">
        <v>510165402</v>
      </c>
      <c r="E1031" s="16" t="s">
        <v>7682</v>
      </c>
      <c r="F1031" s="20" t="s">
        <v>7632</v>
      </c>
      <c r="G1031" s="17" t="s">
        <v>7692</v>
      </c>
    </row>
    <row r="1032" spans="1:7" x14ac:dyDescent="0.25">
      <c r="A1032">
        <f t="shared" si="17"/>
        <v>5101886</v>
      </c>
      <c r="B1032" s="15">
        <v>140640114</v>
      </c>
      <c r="C1032" s="15">
        <v>290219938</v>
      </c>
      <c r="D1032" s="16">
        <v>510188601</v>
      </c>
      <c r="E1032" s="16" t="s">
        <v>7682</v>
      </c>
      <c r="F1032" s="20" t="s">
        <v>7601</v>
      </c>
      <c r="G1032" s="17" t="s">
        <v>7688</v>
      </c>
    </row>
    <row r="1033" spans="1:7" x14ac:dyDescent="0.25">
      <c r="A1033">
        <f t="shared" si="17"/>
        <v>5101002</v>
      </c>
      <c r="B1033" s="15">
        <v>140640114</v>
      </c>
      <c r="C1033" s="15">
        <v>290219719</v>
      </c>
      <c r="D1033" s="16">
        <v>510100200</v>
      </c>
      <c r="E1033" s="16" t="s">
        <v>7682</v>
      </c>
      <c r="F1033" s="20" t="s">
        <v>7588</v>
      </c>
      <c r="G1033" s="17" t="s">
        <v>7686</v>
      </c>
    </row>
    <row r="1034" spans="1:7" x14ac:dyDescent="0.25">
      <c r="A1034">
        <f t="shared" si="17"/>
        <v>5101654</v>
      </c>
      <c r="B1034" s="15">
        <v>140640114</v>
      </c>
      <c r="C1034" s="15">
        <v>290220221</v>
      </c>
      <c r="D1034" s="16">
        <v>510165403</v>
      </c>
      <c r="E1034" s="16" t="s">
        <v>7682</v>
      </c>
      <c r="F1034" s="20" t="s">
        <v>7668</v>
      </c>
      <c r="G1034" s="17" t="s">
        <v>7692</v>
      </c>
    </row>
    <row r="1035" spans="1:7" x14ac:dyDescent="0.25">
      <c r="A1035">
        <f t="shared" si="17"/>
        <v>5101029</v>
      </c>
      <c r="B1035" s="15">
        <v>140640114</v>
      </c>
      <c r="C1035" s="15">
        <v>290219679</v>
      </c>
      <c r="D1035" s="16">
        <v>510102901</v>
      </c>
      <c r="E1035" s="16" t="s">
        <v>7682</v>
      </c>
      <c r="F1035" s="20" t="s">
        <v>7585</v>
      </c>
      <c r="G1035" s="17" t="s">
        <v>7684</v>
      </c>
    </row>
    <row r="1036" spans="1:7" x14ac:dyDescent="0.25">
      <c r="A1036">
        <f t="shared" si="17"/>
        <v>5101165</v>
      </c>
      <c r="B1036" s="15">
        <v>140640114</v>
      </c>
      <c r="C1036" s="15">
        <v>290219858</v>
      </c>
      <c r="D1036" s="16">
        <v>510116510</v>
      </c>
      <c r="E1036" s="16" t="s">
        <v>7682</v>
      </c>
      <c r="F1036" s="20" t="s">
        <v>7598</v>
      </c>
      <c r="G1036" s="17" t="s">
        <v>7687</v>
      </c>
    </row>
    <row r="1037" spans="1:7" x14ac:dyDescent="0.25">
      <c r="A1037">
        <f t="shared" si="17"/>
        <v>5101029</v>
      </c>
      <c r="B1037" s="15">
        <v>140640114</v>
      </c>
      <c r="C1037" s="15">
        <v>290219706</v>
      </c>
      <c r="D1037" s="16">
        <v>510102906</v>
      </c>
      <c r="E1037" s="16" t="s">
        <v>7682</v>
      </c>
      <c r="F1037" s="20" t="s">
        <v>7663</v>
      </c>
      <c r="G1037" s="17" t="s">
        <v>7684</v>
      </c>
    </row>
    <row r="1038" spans="1:7" x14ac:dyDescent="0.25">
      <c r="A1038">
        <f t="shared" si="17"/>
        <v>5101877</v>
      </c>
      <c r="B1038" s="15">
        <v>140640114</v>
      </c>
      <c r="C1038" s="15">
        <v>290220141</v>
      </c>
      <c r="D1038" s="16">
        <v>510187704</v>
      </c>
      <c r="E1038" s="16" t="s">
        <v>7682</v>
      </c>
      <c r="F1038" s="20" t="s">
        <v>7622</v>
      </c>
      <c r="G1038" s="17" t="s">
        <v>7690</v>
      </c>
    </row>
    <row r="1039" spans="1:7" x14ac:dyDescent="0.25">
      <c r="A1039">
        <f t="shared" si="17"/>
        <v>5101002</v>
      </c>
      <c r="B1039" s="15">
        <v>140640114</v>
      </c>
      <c r="C1039" s="15">
        <v>290219712</v>
      </c>
      <c r="D1039" s="16">
        <v>510100210</v>
      </c>
      <c r="E1039" s="16" t="s">
        <v>7682</v>
      </c>
      <c r="F1039" s="20" t="s">
        <v>7583</v>
      </c>
      <c r="G1039" s="17" t="s">
        <v>7686</v>
      </c>
    </row>
    <row r="1040" spans="1:7" x14ac:dyDescent="0.25">
      <c r="A1040">
        <f t="shared" si="17"/>
        <v>5101006</v>
      </c>
      <c r="B1040" s="15">
        <v>140640114</v>
      </c>
      <c r="C1040" s="15">
        <v>290219841</v>
      </c>
      <c r="D1040" s="16">
        <v>510100604</v>
      </c>
      <c r="E1040" s="16" t="s">
        <v>7682</v>
      </c>
      <c r="F1040" s="20" t="s">
        <v>7669</v>
      </c>
      <c r="G1040" s="17" t="s">
        <v>7685</v>
      </c>
    </row>
    <row r="1041" spans="1:7" x14ac:dyDescent="0.25">
      <c r="A1041">
        <f t="shared" si="17"/>
        <v>5101002</v>
      </c>
      <c r="B1041" s="15">
        <v>140640114</v>
      </c>
      <c r="C1041" s="15">
        <v>290219724</v>
      </c>
      <c r="D1041" s="16">
        <v>510100201</v>
      </c>
      <c r="E1041" s="16" t="s">
        <v>7682</v>
      </c>
      <c r="F1041" s="20" t="s">
        <v>7652</v>
      </c>
      <c r="G1041" s="17" t="s">
        <v>7686</v>
      </c>
    </row>
    <row r="1042" spans="1:7" x14ac:dyDescent="0.25">
      <c r="A1042">
        <f t="shared" si="17"/>
        <v>5101006</v>
      </c>
      <c r="B1042" s="15">
        <v>140640114</v>
      </c>
      <c r="C1042" s="15">
        <v>290219847</v>
      </c>
      <c r="D1042" s="16">
        <v>510100606</v>
      </c>
      <c r="E1042" s="16" t="s">
        <v>7682</v>
      </c>
      <c r="F1042" s="20" t="s">
        <v>7594</v>
      </c>
      <c r="G1042" s="17" t="s">
        <v>7685</v>
      </c>
    </row>
    <row r="1043" spans="1:7" x14ac:dyDescent="0.25">
      <c r="A1043">
        <f t="shared" si="17"/>
        <v>5101006</v>
      </c>
      <c r="B1043" s="15">
        <v>140640114</v>
      </c>
      <c r="C1043" s="15">
        <v>290219799</v>
      </c>
      <c r="D1043" s="16">
        <v>510100610</v>
      </c>
      <c r="E1043" s="16" t="s">
        <v>7682</v>
      </c>
      <c r="F1043" s="20" t="s">
        <v>7596</v>
      </c>
      <c r="G1043" s="17" t="s">
        <v>7685</v>
      </c>
    </row>
    <row r="1044" spans="1:7" x14ac:dyDescent="0.25">
      <c r="A1044">
        <f t="shared" si="17"/>
        <v>5101165</v>
      </c>
      <c r="B1044" s="15">
        <v>140640114</v>
      </c>
      <c r="C1044" s="15">
        <v>290219869</v>
      </c>
      <c r="D1044" s="16">
        <v>510116500</v>
      </c>
      <c r="E1044" s="16" t="s">
        <v>7682</v>
      </c>
      <c r="F1044" s="20" t="s">
        <v>7634</v>
      </c>
      <c r="G1044" s="17" t="s">
        <v>7687</v>
      </c>
    </row>
    <row r="1045" spans="1:7" x14ac:dyDescent="0.25">
      <c r="A1045">
        <f t="shared" si="17"/>
        <v>5101886</v>
      </c>
      <c r="B1045" s="15">
        <v>140640114</v>
      </c>
      <c r="C1045" s="15">
        <v>290219971</v>
      </c>
      <c r="D1045" s="16">
        <v>510188605</v>
      </c>
      <c r="E1045" s="16" t="s">
        <v>7682</v>
      </c>
      <c r="F1045" s="20" t="s">
        <v>7617</v>
      </c>
      <c r="G1045" s="17" t="s">
        <v>7688</v>
      </c>
    </row>
    <row r="1046" spans="1:7" x14ac:dyDescent="0.25">
      <c r="A1046">
        <f t="shared" si="17"/>
        <v>5101886</v>
      </c>
      <c r="B1046" s="15">
        <v>140640114</v>
      </c>
      <c r="C1046" s="15">
        <v>290219946</v>
      </c>
      <c r="D1046" s="16">
        <v>510188602</v>
      </c>
      <c r="E1046" s="16" t="s">
        <v>7682</v>
      </c>
      <c r="F1046" s="20" t="s">
        <v>7604</v>
      </c>
      <c r="G1046" s="16" t="s">
        <v>7688</v>
      </c>
    </row>
    <row r="1047" spans="1:7" x14ac:dyDescent="0.25">
      <c r="A1047">
        <f t="shared" si="17"/>
        <v>5101165</v>
      </c>
      <c r="B1047" s="15">
        <v>140640114</v>
      </c>
      <c r="C1047" s="15">
        <v>290219902</v>
      </c>
      <c r="D1047" s="16">
        <v>510116506</v>
      </c>
      <c r="E1047" s="16" t="s">
        <v>7682</v>
      </c>
      <c r="F1047" s="20" t="s">
        <v>7603</v>
      </c>
      <c r="G1047" s="16" t="s">
        <v>7687</v>
      </c>
    </row>
    <row r="1048" spans="1:7" x14ac:dyDescent="0.25">
      <c r="A1048">
        <f t="shared" si="17"/>
        <v>5101886</v>
      </c>
      <c r="B1048" s="15">
        <v>140640114</v>
      </c>
      <c r="C1048" s="15">
        <v>290219952</v>
      </c>
      <c r="D1048" s="16">
        <v>510188603</v>
      </c>
      <c r="E1048" s="16" t="s">
        <v>7682</v>
      </c>
      <c r="F1048" s="20" t="s">
        <v>7606</v>
      </c>
      <c r="G1048" s="17" t="s">
        <v>7688</v>
      </c>
    </row>
    <row r="1049" spans="1:7" x14ac:dyDescent="0.25">
      <c r="A1049">
        <f t="shared" si="17"/>
        <v>5101654</v>
      </c>
      <c r="B1049" s="15">
        <v>140640114</v>
      </c>
      <c r="C1049" s="15">
        <v>290220187</v>
      </c>
      <c r="D1049" s="16">
        <v>510165400</v>
      </c>
      <c r="E1049" s="16" t="s">
        <v>7682</v>
      </c>
      <c r="F1049" s="20" t="s">
        <v>7608</v>
      </c>
      <c r="G1049" s="17" t="s">
        <v>7692</v>
      </c>
    </row>
    <row r="1050" spans="1:7" x14ac:dyDescent="0.25">
      <c r="A1050">
        <f t="shared" si="17"/>
        <v>5101204</v>
      </c>
      <c r="B1050" s="15">
        <v>140640114</v>
      </c>
      <c r="C1050" s="15">
        <v>290220294</v>
      </c>
      <c r="D1050" s="16">
        <v>510120403</v>
      </c>
      <c r="E1050" s="16" t="s">
        <v>7682</v>
      </c>
      <c r="F1050" s="20" t="s">
        <v>7679</v>
      </c>
      <c r="G1050" s="17" t="s">
        <v>7691</v>
      </c>
    </row>
    <row r="1051" spans="1:7" x14ac:dyDescent="0.25">
      <c r="A1051">
        <f t="shared" si="17"/>
        <v>5101873</v>
      </c>
      <c r="B1051" s="15">
        <v>140640114</v>
      </c>
      <c r="C1051" s="15">
        <v>290220073</v>
      </c>
      <c r="D1051" s="16">
        <v>510187305</v>
      </c>
      <c r="E1051" s="16" t="s">
        <v>7682</v>
      </c>
      <c r="F1051" s="20" t="s">
        <v>7616</v>
      </c>
      <c r="G1051" s="17" t="s">
        <v>7689</v>
      </c>
    </row>
    <row r="1052" spans="1:7" x14ac:dyDescent="0.25">
      <c r="A1052">
        <f t="shared" si="17"/>
        <v>5101877</v>
      </c>
      <c r="B1052" s="15">
        <v>140640114</v>
      </c>
      <c r="C1052" s="15">
        <v>290220144</v>
      </c>
      <c r="D1052" s="16">
        <v>510187705</v>
      </c>
      <c r="E1052" s="16" t="s">
        <v>7682</v>
      </c>
      <c r="F1052" s="20" t="s">
        <v>7610</v>
      </c>
      <c r="G1052" s="17" t="s">
        <v>7690</v>
      </c>
    </row>
    <row r="1053" spans="1:7" x14ac:dyDescent="0.25">
      <c r="A1053">
        <f t="shared" si="17"/>
        <v>5101886</v>
      </c>
      <c r="B1053" s="15">
        <v>140640114</v>
      </c>
      <c r="C1053" s="15">
        <v>290219980</v>
      </c>
      <c r="D1053" s="16">
        <v>510188606</v>
      </c>
      <c r="E1053" s="16" t="s">
        <v>7682</v>
      </c>
      <c r="F1053" s="20" t="s">
        <v>7662</v>
      </c>
      <c r="G1053" s="17" t="s">
        <v>7688</v>
      </c>
    </row>
    <row r="1054" spans="1:7" x14ac:dyDescent="0.25">
      <c r="A1054">
        <f t="shared" si="17"/>
        <v>5101204</v>
      </c>
      <c r="B1054" s="15">
        <v>140640114</v>
      </c>
      <c r="C1054" s="15">
        <v>290220272</v>
      </c>
      <c r="D1054" s="16">
        <v>510120401</v>
      </c>
      <c r="E1054" s="16" t="s">
        <v>7682</v>
      </c>
      <c r="F1054" s="20" t="s">
        <v>7670</v>
      </c>
      <c r="G1054" s="17" t="s">
        <v>7691</v>
      </c>
    </row>
    <row r="1055" spans="1:7" x14ac:dyDescent="0.25">
      <c r="A1055">
        <f t="shared" si="17"/>
        <v>5101876</v>
      </c>
      <c r="B1055" s="15">
        <v>140640114</v>
      </c>
      <c r="C1055" s="15">
        <v>290220358</v>
      </c>
      <c r="D1055" s="16">
        <v>510187610</v>
      </c>
      <c r="E1055" s="16" t="s">
        <v>7682</v>
      </c>
      <c r="F1055" s="20" t="s">
        <v>7664</v>
      </c>
      <c r="G1055" s="17" t="s">
        <v>7693</v>
      </c>
    </row>
    <row r="1056" spans="1:7" x14ac:dyDescent="0.25">
      <c r="A1056">
        <f t="shared" si="17"/>
        <v>5101654</v>
      </c>
      <c r="B1056" s="15">
        <v>140640114</v>
      </c>
      <c r="C1056" s="15">
        <v>290220200</v>
      </c>
      <c r="D1056" s="16">
        <v>510165401</v>
      </c>
      <c r="E1056" s="16" t="s">
        <v>7682</v>
      </c>
      <c r="F1056" s="20" t="s">
        <v>7656</v>
      </c>
      <c r="G1056" s="17" t="s">
        <v>7692</v>
      </c>
    </row>
    <row r="1057" spans="1:7" x14ac:dyDescent="0.25">
      <c r="A1057">
        <f t="shared" si="17"/>
        <v>5101845</v>
      </c>
      <c r="B1057" s="15">
        <v>140640114</v>
      </c>
      <c r="C1057" s="15">
        <v>290219607</v>
      </c>
      <c r="D1057" s="16">
        <v>510184501</v>
      </c>
      <c r="E1057" s="16" t="s">
        <v>7682</v>
      </c>
      <c r="F1057" s="20" t="s">
        <v>7673</v>
      </c>
      <c r="G1057" s="17" t="s">
        <v>7683</v>
      </c>
    </row>
    <row r="1058" spans="1:7" x14ac:dyDescent="0.25">
      <c r="A1058">
        <f t="shared" si="17"/>
        <v>5101845</v>
      </c>
      <c r="B1058" s="15">
        <v>140640114</v>
      </c>
      <c r="C1058" s="15">
        <v>290219639</v>
      </c>
      <c r="D1058" s="16">
        <v>510184504</v>
      </c>
      <c r="E1058" s="16" t="s">
        <v>7682</v>
      </c>
      <c r="F1058" s="20" t="s">
        <v>7681</v>
      </c>
      <c r="G1058" s="17" t="s">
        <v>7683</v>
      </c>
    </row>
    <row r="1059" spans="1:7" x14ac:dyDescent="0.25">
      <c r="A1059">
        <f t="shared" si="17"/>
        <v>5101845</v>
      </c>
      <c r="B1059" s="15">
        <v>140640114</v>
      </c>
      <c r="C1059" s="15">
        <v>290219642</v>
      </c>
      <c r="D1059" s="16">
        <v>510184503</v>
      </c>
      <c r="E1059" s="16" t="s">
        <v>7682</v>
      </c>
      <c r="F1059" s="20" t="s">
        <v>7680</v>
      </c>
      <c r="G1059" s="17" t="s">
        <v>7683</v>
      </c>
    </row>
    <row r="1060" spans="1:7" x14ac:dyDescent="0.25">
      <c r="A1060">
        <f t="shared" si="17"/>
        <v>5101028</v>
      </c>
      <c r="B1060" s="15">
        <v>140640130</v>
      </c>
      <c r="C1060" s="15">
        <v>290219884</v>
      </c>
      <c r="D1060" s="16">
        <v>510102807</v>
      </c>
      <c r="E1060" s="16" t="s">
        <v>7694</v>
      </c>
      <c r="F1060" s="20" t="s">
        <v>7695</v>
      </c>
      <c r="G1060" s="17" t="s">
        <v>7696</v>
      </c>
    </row>
    <row r="1061" spans="1:7" x14ac:dyDescent="0.25">
      <c r="A1061">
        <f t="shared" si="17"/>
        <v>5101846</v>
      </c>
      <c r="B1061" s="15">
        <v>140640130</v>
      </c>
      <c r="C1061" s="15">
        <v>290219893</v>
      </c>
      <c r="D1061" s="16">
        <v>510184607</v>
      </c>
      <c r="E1061" s="16" t="s">
        <v>7694</v>
      </c>
      <c r="F1061" s="20" t="s">
        <v>7697</v>
      </c>
      <c r="G1061" s="17" t="s">
        <v>7698</v>
      </c>
    </row>
    <row r="1062" spans="1:7" x14ac:dyDescent="0.25">
      <c r="A1062">
        <f t="shared" si="17"/>
        <v>5101028</v>
      </c>
      <c r="B1062" s="15">
        <v>140640130</v>
      </c>
      <c r="C1062" s="15">
        <v>290219972</v>
      </c>
      <c r="D1062" s="16">
        <v>510102808</v>
      </c>
      <c r="E1062" s="16" t="s">
        <v>7694</v>
      </c>
      <c r="F1062" s="20" t="s">
        <v>7699</v>
      </c>
      <c r="G1062" s="17" t="s">
        <v>7696</v>
      </c>
    </row>
    <row r="1063" spans="1:7" x14ac:dyDescent="0.25">
      <c r="A1063">
        <f t="shared" si="17"/>
        <v>5101881</v>
      </c>
      <c r="B1063" s="15">
        <v>140640130</v>
      </c>
      <c r="C1063" s="15">
        <v>290220031</v>
      </c>
      <c r="D1063" s="16">
        <v>510188107</v>
      </c>
      <c r="E1063" s="16" t="s">
        <v>7694</v>
      </c>
      <c r="F1063" s="20" t="s">
        <v>7700</v>
      </c>
      <c r="G1063" s="17" t="s">
        <v>7701</v>
      </c>
    </row>
    <row r="1064" spans="1:7" x14ac:dyDescent="0.25">
      <c r="A1064">
        <f t="shared" si="17"/>
        <v>5101028</v>
      </c>
      <c r="B1064" s="15">
        <v>140640130</v>
      </c>
      <c r="C1064" s="15">
        <v>290219982</v>
      </c>
      <c r="D1064" s="16">
        <v>510102809</v>
      </c>
      <c r="E1064" s="16" t="s">
        <v>7694</v>
      </c>
      <c r="F1064" s="20" t="s">
        <v>7702</v>
      </c>
      <c r="G1064" s="17" t="s">
        <v>7696</v>
      </c>
    </row>
    <row r="1065" spans="1:7" x14ac:dyDescent="0.25">
      <c r="A1065">
        <f t="shared" si="17"/>
        <v>5101881</v>
      </c>
      <c r="B1065" s="15">
        <v>140640130</v>
      </c>
      <c r="C1065" s="15">
        <v>290220046</v>
      </c>
      <c r="D1065" s="16">
        <v>510188108</v>
      </c>
      <c r="E1065" s="16" t="s">
        <v>7694</v>
      </c>
      <c r="F1065" s="20" t="s">
        <v>7703</v>
      </c>
      <c r="G1065" s="17" t="s">
        <v>7701</v>
      </c>
    </row>
    <row r="1066" spans="1:7" x14ac:dyDescent="0.25">
      <c r="A1066">
        <f t="shared" si="17"/>
        <v>5101007</v>
      </c>
      <c r="B1066" s="15">
        <v>140640130</v>
      </c>
      <c r="C1066" s="15">
        <v>290220104</v>
      </c>
      <c r="D1066" s="16">
        <v>510100708</v>
      </c>
      <c r="E1066" s="16" t="s">
        <v>7694</v>
      </c>
      <c r="F1066" s="20" t="s">
        <v>7704</v>
      </c>
      <c r="G1066" s="17" t="s">
        <v>7705</v>
      </c>
    </row>
    <row r="1067" spans="1:7" x14ac:dyDescent="0.25">
      <c r="A1067">
        <f t="shared" si="17"/>
        <v>5101166</v>
      </c>
      <c r="B1067" s="15">
        <v>140640130</v>
      </c>
      <c r="C1067" s="15">
        <v>290220136</v>
      </c>
      <c r="D1067" s="16">
        <v>510116607</v>
      </c>
      <c r="E1067" s="16" t="s">
        <v>7694</v>
      </c>
      <c r="F1067" s="20" t="s">
        <v>7706</v>
      </c>
      <c r="G1067" s="17" t="s">
        <v>7707</v>
      </c>
    </row>
    <row r="1068" spans="1:7" x14ac:dyDescent="0.25">
      <c r="A1068">
        <f t="shared" si="17"/>
        <v>5101881</v>
      </c>
      <c r="B1068" s="15">
        <v>140640130</v>
      </c>
      <c r="C1068" s="15">
        <v>290220058</v>
      </c>
      <c r="D1068" s="16">
        <v>510188109</v>
      </c>
      <c r="E1068" s="16" t="s">
        <v>7694</v>
      </c>
      <c r="F1068" s="20" t="s">
        <v>7708</v>
      </c>
      <c r="G1068" s="17" t="s">
        <v>7701</v>
      </c>
    </row>
    <row r="1069" spans="1:7" x14ac:dyDescent="0.25">
      <c r="A1069">
        <f t="shared" si="17"/>
        <v>5101007</v>
      </c>
      <c r="B1069" s="15">
        <v>140640130</v>
      </c>
      <c r="C1069" s="15">
        <v>290220075</v>
      </c>
      <c r="D1069" s="16">
        <v>510100707</v>
      </c>
      <c r="E1069" s="16" t="s">
        <v>7694</v>
      </c>
      <c r="F1069" s="20" t="s">
        <v>7709</v>
      </c>
      <c r="G1069" s="17" t="s">
        <v>7705</v>
      </c>
    </row>
    <row r="1070" spans="1:7" x14ac:dyDescent="0.25">
      <c r="A1070">
        <f t="shared" si="17"/>
        <v>5101007</v>
      </c>
      <c r="B1070" s="15">
        <v>140640130</v>
      </c>
      <c r="C1070" s="15">
        <v>290220124</v>
      </c>
      <c r="D1070" s="16">
        <v>510100709</v>
      </c>
      <c r="E1070" s="16" t="s">
        <v>7694</v>
      </c>
      <c r="F1070" s="20" t="s">
        <v>7710</v>
      </c>
      <c r="G1070" s="17" t="s">
        <v>7705</v>
      </c>
    </row>
    <row r="1071" spans="1:7" x14ac:dyDescent="0.25">
      <c r="A1071">
        <f t="shared" si="17"/>
        <v>5101887</v>
      </c>
      <c r="B1071" s="15">
        <v>140640130</v>
      </c>
      <c r="C1071" s="15">
        <v>290220203</v>
      </c>
      <c r="D1071" s="16">
        <v>510188707</v>
      </c>
      <c r="E1071" s="16" t="s">
        <v>7694</v>
      </c>
      <c r="F1071" s="20" t="s">
        <v>7711</v>
      </c>
      <c r="G1071" s="17" t="s">
        <v>7712</v>
      </c>
    </row>
    <row r="1072" spans="1:7" x14ac:dyDescent="0.25">
      <c r="A1072">
        <f t="shared" si="17"/>
        <v>5101166</v>
      </c>
      <c r="B1072" s="15">
        <v>140640130</v>
      </c>
      <c r="C1072" s="15">
        <v>290220197</v>
      </c>
      <c r="D1072" s="16">
        <v>510116609</v>
      </c>
      <c r="E1072" s="16" t="s">
        <v>7694</v>
      </c>
      <c r="F1072" s="20" t="s">
        <v>7713</v>
      </c>
      <c r="G1072" s="17" t="s">
        <v>7707</v>
      </c>
    </row>
    <row r="1073" spans="1:7" x14ac:dyDescent="0.25">
      <c r="A1073">
        <f t="shared" si="17"/>
        <v>5101887</v>
      </c>
      <c r="B1073" s="15">
        <v>140640130</v>
      </c>
      <c r="C1073" s="15">
        <v>290220209</v>
      </c>
      <c r="D1073" s="16">
        <v>510188708</v>
      </c>
      <c r="E1073" s="16" t="s">
        <v>7694</v>
      </c>
      <c r="F1073" s="20" t="s">
        <v>7714</v>
      </c>
      <c r="G1073" s="17" t="s">
        <v>7712</v>
      </c>
    </row>
    <row r="1074" spans="1:7" x14ac:dyDescent="0.25">
      <c r="A1074">
        <f t="shared" si="17"/>
        <v>5101887</v>
      </c>
      <c r="B1074" s="15">
        <v>140640130</v>
      </c>
      <c r="C1074" s="15">
        <v>290220220</v>
      </c>
      <c r="D1074" s="16">
        <v>510188709</v>
      </c>
      <c r="E1074" s="16" t="s">
        <v>7694</v>
      </c>
      <c r="F1074" s="20" t="s">
        <v>7715</v>
      </c>
      <c r="G1074" s="17" t="s">
        <v>7712</v>
      </c>
    </row>
    <row r="1075" spans="1:7" x14ac:dyDescent="0.25">
      <c r="A1075">
        <f t="shared" si="17"/>
        <v>5101166</v>
      </c>
      <c r="B1075" s="15">
        <v>140640130</v>
      </c>
      <c r="C1075" s="15">
        <v>290220148</v>
      </c>
      <c r="D1075" s="16">
        <v>510116608</v>
      </c>
      <c r="E1075" s="16" t="s">
        <v>7694</v>
      </c>
      <c r="F1075" s="20" t="s">
        <v>7716</v>
      </c>
      <c r="G1075" s="17" t="s">
        <v>7707</v>
      </c>
    </row>
    <row r="1076" spans="1:7" x14ac:dyDescent="0.25">
      <c r="A1076">
        <f t="shared" si="17"/>
        <v>5101883</v>
      </c>
      <c r="B1076" s="15">
        <v>140640130</v>
      </c>
      <c r="C1076" s="15">
        <v>290220360</v>
      </c>
      <c r="D1076" s="16">
        <v>510188309</v>
      </c>
      <c r="E1076" s="16" t="s">
        <v>7694</v>
      </c>
      <c r="F1076" s="20" t="s">
        <v>7717</v>
      </c>
      <c r="G1076" s="17" t="s">
        <v>7718</v>
      </c>
    </row>
    <row r="1077" spans="1:7" x14ac:dyDescent="0.25">
      <c r="A1077">
        <f t="shared" si="17"/>
        <v>5101655</v>
      </c>
      <c r="B1077" s="15">
        <v>140640130</v>
      </c>
      <c r="C1077" s="15">
        <v>290220415</v>
      </c>
      <c r="D1077" s="16">
        <v>510165508</v>
      </c>
      <c r="E1077" s="16" t="s">
        <v>7694</v>
      </c>
      <c r="F1077" s="20" t="s">
        <v>7719</v>
      </c>
      <c r="G1077" s="17" t="s">
        <v>7720</v>
      </c>
    </row>
    <row r="1078" spans="1:7" x14ac:dyDescent="0.25">
      <c r="A1078">
        <f t="shared" si="17"/>
        <v>5101883</v>
      </c>
      <c r="B1078" s="15">
        <v>140640130</v>
      </c>
      <c r="C1078" s="15">
        <v>290220293</v>
      </c>
      <c r="D1078" s="16">
        <v>510188307</v>
      </c>
      <c r="E1078" s="16" t="s">
        <v>7694</v>
      </c>
      <c r="F1078" s="20" t="s">
        <v>7721</v>
      </c>
      <c r="G1078" s="17" t="s">
        <v>7718</v>
      </c>
    </row>
    <row r="1079" spans="1:7" x14ac:dyDescent="0.25">
      <c r="A1079">
        <f t="shared" si="17"/>
        <v>5101874</v>
      </c>
      <c r="B1079" s="15">
        <v>140640130</v>
      </c>
      <c r="C1079" s="15">
        <v>290220259</v>
      </c>
      <c r="D1079" s="16">
        <v>510187409</v>
      </c>
      <c r="E1079" s="16" t="s">
        <v>7694</v>
      </c>
      <c r="F1079" s="20" t="s">
        <v>7722</v>
      </c>
      <c r="G1079" s="17" t="s">
        <v>7723</v>
      </c>
    </row>
    <row r="1080" spans="1:7" x14ac:dyDescent="0.25">
      <c r="A1080">
        <f t="shared" si="17"/>
        <v>5101874</v>
      </c>
      <c r="B1080" s="15">
        <v>140640130</v>
      </c>
      <c r="C1080" s="15">
        <v>290220225</v>
      </c>
      <c r="D1080" s="16">
        <v>510187407</v>
      </c>
      <c r="E1080" s="16" t="s">
        <v>7694</v>
      </c>
      <c r="F1080" s="20" t="s">
        <v>7724</v>
      </c>
      <c r="G1080" s="17" t="s">
        <v>7723</v>
      </c>
    </row>
    <row r="1081" spans="1:7" x14ac:dyDescent="0.25">
      <c r="A1081">
        <f t="shared" si="17"/>
        <v>5101205</v>
      </c>
      <c r="B1081" s="15">
        <v>140640130</v>
      </c>
      <c r="C1081" s="15">
        <v>290220455</v>
      </c>
      <c r="D1081" s="16">
        <v>510120508</v>
      </c>
      <c r="E1081" s="16" t="s">
        <v>7694</v>
      </c>
      <c r="F1081" s="20" t="s">
        <v>7725</v>
      </c>
      <c r="G1081" s="17" t="s">
        <v>7726</v>
      </c>
    </row>
    <row r="1082" spans="1:7" x14ac:dyDescent="0.25">
      <c r="A1082">
        <f t="shared" si="17"/>
        <v>5101205</v>
      </c>
      <c r="B1082" s="15">
        <v>140640130</v>
      </c>
      <c r="C1082" s="15">
        <v>290220443</v>
      </c>
      <c r="D1082" s="16">
        <v>510120507</v>
      </c>
      <c r="E1082" s="16" t="s">
        <v>7694</v>
      </c>
      <c r="F1082" s="20" t="s">
        <v>7727</v>
      </c>
      <c r="G1082" s="17" t="s">
        <v>7726</v>
      </c>
    </row>
    <row r="1083" spans="1:7" x14ac:dyDescent="0.25">
      <c r="A1083">
        <f t="shared" si="17"/>
        <v>5101885</v>
      </c>
      <c r="B1083" s="15">
        <v>140640130</v>
      </c>
      <c r="C1083" s="15">
        <v>290220493</v>
      </c>
      <c r="D1083" s="16">
        <v>510188507</v>
      </c>
      <c r="E1083" s="16" t="s">
        <v>7694</v>
      </c>
      <c r="F1083" s="20" t="s">
        <v>7728</v>
      </c>
      <c r="G1083" s="17" t="s">
        <v>7729</v>
      </c>
    </row>
    <row r="1084" spans="1:7" x14ac:dyDescent="0.25">
      <c r="A1084">
        <f t="shared" si="17"/>
        <v>5101655</v>
      </c>
      <c r="B1084" s="15">
        <v>140640130</v>
      </c>
      <c r="C1084" s="15">
        <v>290220435</v>
      </c>
      <c r="D1084" s="16">
        <v>510165509</v>
      </c>
      <c r="E1084" s="16" t="s">
        <v>7694</v>
      </c>
      <c r="F1084" s="20" t="s">
        <v>7730</v>
      </c>
      <c r="G1084" s="17" t="s">
        <v>7720</v>
      </c>
    </row>
    <row r="1085" spans="1:7" x14ac:dyDescent="0.25">
      <c r="A1085">
        <f t="shared" si="17"/>
        <v>5101205</v>
      </c>
      <c r="B1085" s="15">
        <v>140640130</v>
      </c>
      <c r="C1085" s="15">
        <v>290220475</v>
      </c>
      <c r="D1085" s="16">
        <v>510120509</v>
      </c>
      <c r="E1085" s="16" t="s">
        <v>7694</v>
      </c>
      <c r="F1085" s="20" t="s">
        <v>7731</v>
      </c>
      <c r="G1085" s="17" t="s">
        <v>7726</v>
      </c>
    </row>
    <row r="1086" spans="1:7" x14ac:dyDescent="0.25">
      <c r="A1086">
        <f t="shared" si="17"/>
        <v>5101846</v>
      </c>
      <c r="B1086" s="15">
        <v>140640130</v>
      </c>
      <c r="C1086" s="15">
        <v>290219909</v>
      </c>
      <c r="D1086" s="16">
        <v>510184608</v>
      </c>
      <c r="E1086" s="16" t="s">
        <v>7694</v>
      </c>
      <c r="F1086" s="20" t="s">
        <v>7732</v>
      </c>
      <c r="G1086" s="17" t="s">
        <v>7698</v>
      </c>
    </row>
    <row r="1087" spans="1:7" x14ac:dyDescent="0.25">
      <c r="A1087">
        <f t="shared" ref="A1087:A1150" si="18">LEFT(D1087,7)*1</f>
        <v>5101885</v>
      </c>
      <c r="B1087" s="15">
        <v>140640130</v>
      </c>
      <c r="C1087" s="15">
        <v>290220551</v>
      </c>
      <c r="D1087" s="16">
        <v>510188509</v>
      </c>
      <c r="E1087" s="16" t="s">
        <v>7694</v>
      </c>
      <c r="F1087" s="20" t="s">
        <v>7733</v>
      </c>
      <c r="G1087" s="17" t="s">
        <v>7729</v>
      </c>
    </row>
    <row r="1088" spans="1:7" x14ac:dyDescent="0.25">
      <c r="A1088">
        <f t="shared" si="18"/>
        <v>5101846</v>
      </c>
      <c r="B1088" s="15">
        <v>140640130</v>
      </c>
      <c r="C1088" s="15">
        <v>290219955</v>
      </c>
      <c r="D1088" s="16">
        <v>510184609</v>
      </c>
      <c r="E1088" s="16" t="s">
        <v>7694</v>
      </c>
      <c r="F1088" s="20" t="s">
        <v>7734</v>
      </c>
      <c r="G1088" s="17" t="s">
        <v>7698</v>
      </c>
    </row>
    <row r="1089" spans="1:7" x14ac:dyDescent="0.25">
      <c r="A1089">
        <f t="shared" si="18"/>
        <v>5101883</v>
      </c>
      <c r="B1089" s="15">
        <v>140640130</v>
      </c>
      <c r="C1089" s="15">
        <v>290220317</v>
      </c>
      <c r="D1089" s="16">
        <v>510188308</v>
      </c>
      <c r="E1089" s="16" t="s">
        <v>7694</v>
      </c>
      <c r="F1089" s="20" t="s">
        <v>7735</v>
      </c>
      <c r="G1089" s="17" t="s">
        <v>7718</v>
      </c>
    </row>
    <row r="1090" spans="1:7" x14ac:dyDescent="0.25">
      <c r="A1090">
        <f t="shared" si="18"/>
        <v>5101885</v>
      </c>
      <c r="B1090" s="15">
        <v>140640130</v>
      </c>
      <c r="C1090" s="15">
        <v>290220513</v>
      </c>
      <c r="D1090" s="16">
        <v>510188508</v>
      </c>
      <c r="E1090" s="16" t="s">
        <v>7694</v>
      </c>
      <c r="F1090" s="20" t="s">
        <v>7736</v>
      </c>
      <c r="G1090" s="17" t="s">
        <v>7729</v>
      </c>
    </row>
    <row r="1091" spans="1:7" x14ac:dyDescent="0.25">
      <c r="A1091">
        <f t="shared" si="18"/>
        <v>5101655</v>
      </c>
      <c r="B1091" s="15">
        <v>140640130</v>
      </c>
      <c r="C1091" s="15">
        <v>290220368</v>
      </c>
      <c r="D1091" s="16">
        <v>510165507</v>
      </c>
      <c r="E1091" s="16" t="s">
        <v>7694</v>
      </c>
      <c r="F1091" s="20" t="s">
        <v>7737</v>
      </c>
      <c r="G1091" s="17" t="s">
        <v>7720</v>
      </c>
    </row>
    <row r="1092" spans="1:7" x14ac:dyDescent="0.25">
      <c r="A1092">
        <f t="shared" si="18"/>
        <v>5101874</v>
      </c>
      <c r="B1092" s="15">
        <v>140640130</v>
      </c>
      <c r="C1092" s="15">
        <v>290220232</v>
      </c>
      <c r="D1092" s="16">
        <v>510187408</v>
      </c>
      <c r="E1092" s="16" t="s">
        <v>7694</v>
      </c>
      <c r="F1092" s="20" t="s">
        <v>7738</v>
      </c>
      <c r="G1092" s="17" t="s">
        <v>7723</v>
      </c>
    </row>
    <row r="1093" spans="1:7" x14ac:dyDescent="0.25">
      <c r="A1093">
        <f t="shared" si="18"/>
        <v>5101846</v>
      </c>
      <c r="B1093" s="15">
        <v>140640107</v>
      </c>
      <c r="C1093" s="15">
        <v>290219494</v>
      </c>
      <c r="D1093" s="16">
        <v>510184607</v>
      </c>
      <c r="E1093" s="16" t="s">
        <v>7739</v>
      </c>
      <c r="F1093" s="20" t="s">
        <v>7697</v>
      </c>
      <c r="G1093" s="17" t="s">
        <v>7740</v>
      </c>
    </row>
    <row r="1094" spans="1:7" x14ac:dyDescent="0.25">
      <c r="A1094">
        <f t="shared" si="18"/>
        <v>5101846</v>
      </c>
      <c r="B1094" s="15">
        <v>140640107</v>
      </c>
      <c r="C1094" s="15">
        <v>290219496</v>
      </c>
      <c r="D1094" s="16">
        <v>510184608</v>
      </c>
      <c r="E1094" s="16" t="s">
        <v>7739</v>
      </c>
      <c r="F1094" s="20" t="s">
        <v>7732</v>
      </c>
      <c r="G1094" s="17" t="s">
        <v>7740</v>
      </c>
    </row>
    <row r="1095" spans="1:7" x14ac:dyDescent="0.25">
      <c r="A1095">
        <f t="shared" si="18"/>
        <v>5101028</v>
      </c>
      <c r="B1095" s="15">
        <v>140640107</v>
      </c>
      <c r="C1095" s="15">
        <v>290219492</v>
      </c>
      <c r="D1095" s="16">
        <v>510102807</v>
      </c>
      <c r="E1095" s="16" t="s">
        <v>7739</v>
      </c>
      <c r="F1095" s="20" t="s">
        <v>7695</v>
      </c>
      <c r="G1095" s="17" t="s">
        <v>7741</v>
      </c>
    </row>
    <row r="1096" spans="1:7" x14ac:dyDescent="0.25">
      <c r="A1096">
        <f t="shared" si="18"/>
        <v>5101881</v>
      </c>
      <c r="B1096" s="15">
        <v>140640107</v>
      </c>
      <c r="C1096" s="15">
        <v>290219505</v>
      </c>
      <c r="D1096" s="16">
        <v>510188108</v>
      </c>
      <c r="E1096" s="16" t="s">
        <v>7739</v>
      </c>
      <c r="F1096" s="20" t="s">
        <v>7703</v>
      </c>
      <c r="G1096" s="17" t="s">
        <v>7742</v>
      </c>
    </row>
    <row r="1097" spans="1:7" x14ac:dyDescent="0.25">
      <c r="A1097">
        <f t="shared" si="18"/>
        <v>5101166</v>
      </c>
      <c r="B1097" s="15">
        <v>140640107</v>
      </c>
      <c r="C1097" s="15">
        <v>290219517</v>
      </c>
      <c r="D1097" s="16">
        <v>510116607</v>
      </c>
      <c r="E1097" s="16" t="s">
        <v>7739</v>
      </c>
      <c r="F1097" s="20" t="s">
        <v>7706</v>
      </c>
      <c r="G1097" s="17" t="s">
        <v>7743</v>
      </c>
    </row>
    <row r="1098" spans="1:7" x14ac:dyDescent="0.25">
      <c r="A1098">
        <f t="shared" si="18"/>
        <v>5101874</v>
      </c>
      <c r="B1098" s="15">
        <v>140640107</v>
      </c>
      <c r="C1098" s="15">
        <v>290219531</v>
      </c>
      <c r="D1098" s="16">
        <v>510187408</v>
      </c>
      <c r="E1098" s="16" t="s">
        <v>7739</v>
      </c>
      <c r="F1098" s="20" t="s">
        <v>7738</v>
      </c>
      <c r="G1098" s="17" t="s">
        <v>7744</v>
      </c>
    </row>
    <row r="1099" spans="1:7" x14ac:dyDescent="0.25">
      <c r="A1099">
        <f t="shared" si="18"/>
        <v>5101887</v>
      </c>
      <c r="B1099" s="15">
        <v>140640107</v>
      </c>
      <c r="C1099" s="15">
        <v>290219528</v>
      </c>
      <c r="D1099" s="16">
        <v>510188708</v>
      </c>
      <c r="E1099" s="16" t="s">
        <v>7739</v>
      </c>
      <c r="F1099" s="20" t="s">
        <v>7714</v>
      </c>
      <c r="G1099" s="17" t="s">
        <v>7745</v>
      </c>
    </row>
    <row r="1100" spans="1:7" x14ac:dyDescent="0.25">
      <c r="A1100">
        <f t="shared" si="18"/>
        <v>5101874</v>
      </c>
      <c r="B1100" s="15">
        <v>140640107</v>
      </c>
      <c r="C1100" s="15">
        <v>290219530</v>
      </c>
      <c r="D1100" s="16">
        <v>510187407</v>
      </c>
      <c r="E1100" s="16" t="s">
        <v>7739</v>
      </c>
      <c r="F1100" s="20" t="s">
        <v>7724</v>
      </c>
      <c r="G1100" s="17" t="s">
        <v>7744</v>
      </c>
    </row>
    <row r="1101" spans="1:7" x14ac:dyDescent="0.25">
      <c r="A1101">
        <f t="shared" si="18"/>
        <v>5101205</v>
      </c>
      <c r="B1101" s="15">
        <v>140640107</v>
      </c>
      <c r="C1101" s="15">
        <v>290219540</v>
      </c>
      <c r="D1101" s="16">
        <v>510120507</v>
      </c>
      <c r="E1101" s="16" t="s">
        <v>7739</v>
      </c>
      <c r="F1101" s="20" t="s">
        <v>7727</v>
      </c>
      <c r="G1101" s="17" t="s">
        <v>7746</v>
      </c>
    </row>
    <row r="1102" spans="1:7" x14ac:dyDescent="0.25">
      <c r="A1102">
        <f t="shared" si="18"/>
        <v>5101655</v>
      </c>
      <c r="B1102" s="15">
        <v>140640107</v>
      </c>
      <c r="C1102" s="15">
        <v>290219539</v>
      </c>
      <c r="D1102" s="16">
        <v>510165509</v>
      </c>
      <c r="E1102" s="16" t="s">
        <v>7739</v>
      </c>
      <c r="F1102" s="20" t="s">
        <v>7730</v>
      </c>
      <c r="G1102" s="17" t="s">
        <v>7747</v>
      </c>
    </row>
    <row r="1103" spans="1:7" x14ac:dyDescent="0.25">
      <c r="A1103">
        <f t="shared" si="18"/>
        <v>5101205</v>
      </c>
      <c r="B1103" s="15">
        <v>140640107</v>
      </c>
      <c r="C1103" s="15">
        <v>290219545</v>
      </c>
      <c r="D1103" s="16">
        <v>510120509</v>
      </c>
      <c r="E1103" s="16" t="s">
        <v>7739</v>
      </c>
      <c r="F1103" s="20" t="s">
        <v>7731</v>
      </c>
      <c r="G1103" s="17" t="s">
        <v>7746</v>
      </c>
    </row>
    <row r="1104" spans="1:7" x14ac:dyDescent="0.25">
      <c r="A1104">
        <f t="shared" si="18"/>
        <v>5101205</v>
      </c>
      <c r="B1104" s="15">
        <v>140640107</v>
      </c>
      <c r="C1104" s="15">
        <v>290219544</v>
      </c>
      <c r="D1104" s="16">
        <v>510120508</v>
      </c>
      <c r="E1104" s="16" t="s">
        <v>7739</v>
      </c>
      <c r="F1104" s="20" t="s">
        <v>7725</v>
      </c>
      <c r="G1104" s="17" t="s">
        <v>7746</v>
      </c>
    </row>
    <row r="1105" spans="1:7" x14ac:dyDescent="0.25">
      <c r="A1105">
        <f t="shared" si="18"/>
        <v>5101883</v>
      </c>
      <c r="B1105" s="15">
        <v>140640107</v>
      </c>
      <c r="C1105" s="15">
        <v>290219536</v>
      </c>
      <c r="D1105" s="16">
        <v>510188309</v>
      </c>
      <c r="E1105" s="16" t="s">
        <v>7739</v>
      </c>
      <c r="F1105" s="20" t="s">
        <v>7717</v>
      </c>
      <c r="G1105" s="17" t="s">
        <v>7748</v>
      </c>
    </row>
    <row r="1106" spans="1:7" x14ac:dyDescent="0.25">
      <c r="A1106">
        <f t="shared" si="18"/>
        <v>5101655</v>
      </c>
      <c r="B1106" s="15">
        <v>140640107</v>
      </c>
      <c r="C1106" s="15">
        <v>290219538</v>
      </c>
      <c r="D1106" s="16">
        <v>510165508</v>
      </c>
      <c r="E1106" s="16" t="s">
        <v>7739</v>
      </c>
      <c r="F1106" s="20" t="s">
        <v>7719</v>
      </c>
      <c r="G1106" s="17" t="s">
        <v>7747</v>
      </c>
    </row>
    <row r="1107" spans="1:7" x14ac:dyDescent="0.25">
      <c r="A1107">
        <f t="shared" si="18"/>
        <v>5101655</v>
      </c>
      <c r="B1107" s="15">
        <v>140640107</v>
      </c>
      <c r="C1107" s="15">
        <v>290219537</v>
      </c>
      <c r="D1107" s="16">
        <v>510165507</v>
      </c>
      <c r="E1107" s="16" t="s">
        <v>7739</v>
      </c>
      <c r="F1107" s="20" t="s">
        <v>7737</v>
      </c>
      <c r="G1107" s="17" t="s">
        <v>7747</v>
      </c>
    </row>
    <row r="1108" spans="1:7" x14ac:dyDescent="0.25">
      <c r="A1108">
        <f t="shared" si="18"/>
        <v>5101885</v>
      </c>
      <c r="B1108" s="15">
        <v>140640107</v>
      </c>
      <c r="C1108" s="15">
        <v>290219547</v>
      </c>
      <c r="D1108" s="16">
        <v>510188507</v>
      </c>
      <c r="E1108" s="16" t="s">
        <v>7739</v>
      </c>
      <c r="F1108" s="20" t="s">
        <v>7728</v>
      </c>
      <c r="G1108" s="17" t="s">
        <v>7749</v>
      </c>
    </row>
    <row r="1109" spans="1:7" x14ac:dyDescent="0.25">
      <c r="A1109">
        <f t="shared" si="18"/>
        <v>5101885</v>
      </c>
      <c r="B1109" s="15">
        <v>140640107</v>
      </c>
      <c r="C1109" s="15">
        <v>290219550</v>
      </c>
      <c r="D1109" s="16">
        <v>510188509</v>
      </c>
      <c r="E1109" s="16" t="s">
        <v>7739</v>
      </c>
      <c r="F1109" s="20" t="s">
        <v>7733</v>
      </c>
      <c r="G1109" s="17" t="s">
        <v>7749</v>
      </c>
    </row>
    <row r="1110" spans="1:7" x14ac:dyDescent="0.25">
      <c r="A1110">
        <f t="shared" si="18"/>
        <v>5101885</v>
      </c>
      <c r="B1110" s="15">
        <v>140640107</v>
      </c>
      <c r="C1110" s="15">
        <v>290219549</v>
      </c>
      <c r="D1110" s="16">
        <v>510188508</v>
      </c>
      <c r="E1110" s="16" t="s">
        <v>7739</v>
      </c>
      <c r="F1110" s="20" t="s">
        <v>7736</v>
      </c>
      <c r="G1110" s="17" t="s">
        <v>7749</v>
      </c>
    </row>
    <row r="1111" spans="1:7" x14ac:dyDescent="0.25">
      <c r="A1111">
        <f t="shared" si="18"/>
        <v>5101166</v>
      </c>
      <c r="B1111" s="15">
        <v>140640107</v>
      </c>
      <c r="C1111" s="15">
        <v>290219525</v>
      </c>
      <c r="D1111" s="16">
        <v>510116609</v>
      </c>
      <c r="E1111" s="16" t="s">
        <v>7739</v>
      </c>
      <c r="F1111" s="20" t="s">
        <v>7713</v>
      </c>
      <c r="G1111" s="17" t="s">
        <v>7743</v>
      </c>
    </row>
    <row r="1112" spans="1:7" x14ac:dyDescent="0.25">
      <c r="A1112">
        <f t="shared" si="18"/>
        <v>5101166</v>
      </c>
      <c r="B1112" s="15">
        <v>140640107</v>
      </c>
      <c r="C1112" s="15">
        <v>290219518</v>
      </c>
      <c r="D1112" s="16">
        <v>510116608</v>
      </c>
      <c r="E1112" s="16" t="s">
        <v>7739</v>
      </c>
      <c r="F1112" s="20" t="s">
        <v>7716</v>
      </c>
      <c r="G1112" s="17" t="s">
        <v>7743</v>
      </c>
    </row>
    <row r="1113" spans="1:7" x14ac:dyDescent="0.25">
      <c r="A1113">
        <f t="shared" si="18"/>
        <v>5101007</v>
      </c>
      <c r="B1113" s="15">
        <v>140640107</v>
      </c>
      <c r="C1113" s="15">
        <v>290219511</v>
      </c>
      <c r="D1113" s="16">
        <v>510100707</v>
      </c>
      <c r="E1113" s="16" t="s">
        <v>7739</v>
      </c>
      <c r="F1113" s="20" t="s">
        <v>7709</v>
      </c>
      <c r="G1113" s="17" t="s">
        <v>7750</v>
      </c>
    </row>
    <row r="1114" spans="1:7" x14ac:dyDescent="0.25">
      <c r="A1114">
        <f t="shared" si="18"/>
        <v>5101881</v>
      </c>
      <c r="B1114" s="15">
        <v>140640107</v>
      </c>
      <c r="C1114" s="15">
        <v>290219508</v>
      </c>
      <c r="D1114" s="16">
        <v>510188109</v>
      </c>
      <c r="E1114" s="16" t="s">
        <v>7739</v>
      </c>
      <c r="F1114" s="20" t="s">
        <v>7708</v>
      </c>
      <c r="G1114" s="17" t="s">
        <v>7742</v>
      </c>
    </row>
    <row r="1115" spans="1:7" x14ac:dyDescent="0.25">
      <c r="A1115">
        <f t="shared" si="18"/>
        <v>5101846</v>
      </c>
      <c r="B1115" s="15">
        <v>140640107</v>
      </c>
      <c r="C1115" s="15">
        <v>290219498</v>
      </c>
      <c r="D1115" s="16">
        <v>510184609</v>
      </c>
      <c r="E1115" s="16" t="s">
        <v>7739</v>
      </c>
      <c r="F1115" s="20" t="s">
        <v>7734</v>
      </c>
      <c r="G1115" s="17" t="s">
        <v>7740</v>
      </c>
    </row>
    <row r="1116" spans="1:7" x14ac:dyDescent="0.25">
      <c r="A1116">
        <f t="shared" si="18"/>
        <v>5101007</v>
      </c>
      <c r="B1116" s="15">
        <v>140640107</v>
      </c>
      <c r="C1116" s="15">
        <v>290219514</v>
      </c>
      <c r="D1116" s="16">
        <v>510100708</v>
      </c>
      <c r="E1116" s="16" t="s">
        <v>7739</v>
      </c>
      <c r="F1116" s="20" t="s">
        <v>7704</v>
      </c>
      <c r="G1116" s="17" t="s">
        <v>7750</v>
      </c>
    </row>
    <row r="1117" spans="1:7" x14ac:dyDescent="0.25">
      <c r="A1117">
        <f t="shared" si="18"/>
        <v>5101028</v>
      </c>
      <c r="B1117" s="15">
        <v>140640107</v>
      </c>
      <c r="C1117" s="15">
        <v>290219500</v>
      </c>
      <c r="D1117" s="16">
        <v>510102808</v>
      </c>
      <c r="E1117" s="16" t="s">
        <v>7739</v>
      </c>
      <c r="F1117" s="20" t="s">
        <v>7699</v>
      </c>
      <c r="G1117" s="17" t="s">
        <v>7741</v>
      </c>
    </row>
    <row r="1118" spans="1:7" x14ac:dyDescent="0.25">
      <c r="A1118">
        <f t="shared" si="18"/>
        <v>5101007</v>
      </c>
      <c r="B1118" s="15">
        <v>140640107</v>
      </c>
      <c r="C1118" s="15">
        <v>290219515</v>
      </c>
      <c r="D1118" s="16">
        <v>510100709</v>
      </c>
      <c r="E1118" s="16" t="s">
        <v>7739</v>
      </c>
      <c r="F1118" s="20" t="s">
        <v>7710</v>
      </c>
      <c r="G1118" s="17" t="s">
        <v>7750</v>
      </c>
    </row>
    <row r="1119" spans="1:7" x14ac:dyDescent="0.25">
      <c r="A1119">
        <f t="shared" si="18"/>
        <v>5101883</v>
      </c>
      <c r="B1119" s="15">
        <v>140640107</v>
      </c>
      <c r="C1119" s="15">
        <v>290219533</v>
      </c>
      <c r="D1119" s="16">
        <v>510188307</v>
      </c>
      <c r="E1119" s="16" t="s">
        <v>7739</v>
      </c>
      <c r="F1119" s="20" t="s">
        <v>7721</v>
      </c>
      <c r="G1119" s="17" t="s">
        <v>7748</v>
      </c>
    </row>
    <row r="1120" spans="1:7" x14ac:dyDescent="0.25">
      <c r="A1120">
        <f t="shared" si="18"/>
        <v>5101883</v>
      </c>
      <c r="B1120" s="15">
        <v>140640107</v>
      </c>
      <c r="C1120" s="15">
        <v>290219535</v>
      </c>
      <c r="D1120" s="16">
        <v>510188308</v>
      </c>
      <c r="E1120" s="16" t="s">
        <v>7739</v>
      </c>
      <c r="F1120" s="20" t="s">
        <v>7735</v>
      </c>
      <c r="G1120" s="17" t="s">
        <v>7748</v>
      </c>
    </row>
    <row r="1121" spans="1:7" x14ac:dyDescent="0.25">
      <c r="A1121">
        <f t="shared" si="18"/>
        <v>5101028</v>
      </c>
      <c r="B1121" s="15">
        <v>140640107</v>
      </c>
      <c r="C1121" s="15">
        <v>290219502</v>
      </c>
      <c r="D1121" s="16">
        <v>510102809</v>
      </c>
      <c r="E1121" s="16" t="s">
        <v>7739</v>
      </c>
      <c r="F1121" s="20" t="s">
        <v>7702</v>
      </c>
      <c r="G1121" s="17" t="s">
        <v>7741</v>
      </c>
    </row>
    <row r="1122" spans="1:7" x14ac:dyDescent="0.25">
      <c r="A1122">
        <f t="shared" si="18"/>
        <v>5101874</v>
      </c>
      <c r="B1122" s="15">
        <v>140640107</v>
      </c>
      <c r="C1122" s="15">
        <v>290219532</v>
      </c>
      <c r="D1122" s="16">
        <v>510187409</v>
      </c>
      <c r="E1122" s="16" t="s">
        <v>7739</v>
      </c>
      <c r="F1122" s="20" t="s">
        <v>7722</v>
      </c>
      <c r="G1122" s="17" t="s">
        <v>7744</v>
      </c>
    </row>
    <row r="1123" spans="1:7" x14ac:dyDescent="0.25">
      <c r="A1123">
        <f t="shared" si="18"/>
        <v>5101887</v>
      </c>
      <c r="B1123" s="15">
        <v>140640107</v>
      </c>
      <c r="C1123" s="15">
        <v>290219529</v>
      </c>
      <c r="D1123" s="16">
        <v>510188709</v>
      </c>
      <c r="E1123" s="16" t="s">
        <v>7739</v>
      </c>
      <c r="F1123" s="20" t="s">
        <v>7715</v>
      </c>
      <c r="G1123" s="17" t="s">
        <v>7745</v>
      </c>
    </row>
    <row r="1124" spans="1:7" x14ac:dyDescent="0.25">
      <c r="A1124">
        <f t="shared" si="18"/>
        <v>5101887</v>
      </c>
      <c r="B1124" s="15">
        <v>140640107</v>
      </c>
      <c r="C1124" s="15">
        <v>290219527</v>
      </c>
      <c r="D1124" s="16">
        <v>510188707</v>
      </c>
      <c r="E1124" s="16" t="s">
        <v>7739</v>
      </c>
      <c r="F1124" s="20" t="s">
        <v>7711</v>
      </c>
      <c r="G1124" s="17" t="s">
        <v>7745</v>
      </c>
    </row>
    <row r="1125" spans="1:7" x14ac:dyDescent="0.25">
      <c r="A1125">
        <f t="shared" si="18"/>
        <v>5101881</v>
      </c>
      <c r="B1125" s="15">
        <v>140640107</v>
      </c>
      <c r="C1125" s="15">
        <v>290219503</v>
      </c>
      <c r="D1125" s="16">
        <v>510188107</v>
      </c>
      <c r="E1125" s="16" t="s">
        <v>7739</v>
      </c>
      <c r="F1125" s="20" t="s">
        <v>7700</v>
      </c>
      <c r="G1125" s="17" t="s">
        <v>7742</v>
      </c>
    </row>
    <row r="1126" spans="1:7" x14ac:dyDescent="0.25">
      <c r="A1126">
        <f t="shared" si="18"/>
        <v>5101048</v>
      </c>
      <c r="B1126" s="15">
        <v>140640124</v>
      </c>
      <c r="C1126" s="15">
        <v>290219820</v>
      </c>
      <c r="D1126" s="16">
        <v>510104805</v>
      </c>
      <c r="E1126" s="16" t="s">
        <v>7751</v>
      </c>
      <c r="F1126" s="20" t="s">
        <v>7544</v>
      </c>
      <c r="G1126" s="17" t="s">
        <v>7752</v>
      </c>
    </row>
    <row r="1127" spans="1:7" x14ac:dyDescent="0.25">
      <c r="A1127">
        <f t="shared" si="18"/>
        <v>5101048</v>
      </c>
      <c r="B1127" s="15">
        <v>140640124</v>
      </c>
      <c r="C1127" s="15">
        <v>290219832</v>
      </c>
      <c r="D1127" s="16">
        <v>510104806</v>
      </c>
      <c r="E1127" s="16" t="s">
        <v>7751</v>
      </c>
      <c r="F1127" s="20" t="s">
        <v>7514</v>
      </c>
      <c r="G1127" s="17" t="s">
        <v>7752</v>
      </c>
    </row>
    <row r="1128" spans="1:7" x14ac:dyDescent="0.25">
      <c r="A1128">
        <f t="shared" si="18"/>
        <v>5101052</v>
      </c>
      <c r="B1128" s="15">
        <v>140640124</v>
      </c>
      <c r="C1128" s="15">
        <v>290219836</v>
      </c>
      <c r="D1128" s="16">
        <v>510105210</v>
      </c>
      <c r="E1128" s="16" t="s">
        <v>7751</v>
      </c>
      <c r="F1128" s="20" t="s">
        <v>7542</v>
      </c>
      <c r="G1128" s="17" t="s">
        <v>7753</v>
      </c>
    </row>
    <row r="1129" spans="1:7" x14ac:dyDescent="0.25">
      <c r="A1129">
        <f t="shared" si="18"/>
        <v>5101046</v>
      </c>
      <c r="B1129" s="15">
        <v>140640124</v>
      </c>
      <c r="C1129" s="15">
        <v>290219887</v>
      </c>
      <c r="D1129" s="16">
        <v>510104606</v>
      </c>
      <c r="E1129" s="16" t="s">
        <v>7751</v>
      </c>
      <c r="F1129" s="20" t="s">
        <v>7529</v>
      </c>
      <c r="G1129" s="17" t="s">
        <v>7754</v>
      </c>
    </row>
    <row r="1130" spans="1:7" x14ac:dyDescent="0.25">
      <c r="A1130">
        <f t="shared" si="18"/>
        <v>5101052</v>
      </c>
      <c r="B1130" s="15">
        <v>140640124</v>
      </c>
      <c r="C1130" s="15">
        <v>290219857</v>
      </c>
      <c r="D1130" s="16">
        <v>510105205</v>
      </c>
      <c r="E1130" s="16" t="s">
        <v>7751</v>
      </c>
      <c r="F1130" s="20" t="s">
        <v>7521</v>
      </c>
      <c r="G1130" s="17" t="s">
        <v>7753</v>
      </c>
    </row>
    <row r="1131" spans="1:7" x14ac:dyDescent="0.25">
      <c r="A1131">
        <f t="shared" si="18"/>
        <v>5101052</v>
      </c>
      <c r="B1131" s="15">
        <v>140640124</v>
      </c>
      <c r="C1131" s="15">
        <v>290219839</v>
      </c>
      <c r="D1131" s="16">
        <v>510105200</v>
      </c>
      <c r="E1131" s="16" t="s">
        <v>7751</v>
      </c>
      <c r="F1131" s="20" t="s">
        <v>7531</v>
      </c>
      <c r="G1131" s="17" t="s">
        <v>7753</v>
      </c>
    </row>
    <row r="1132" spans="1:7" x14ac:dyDescent="0.25">
      <c r="A1132">
        <f t="shared" si="18"/>
        <v>5101052</v>
      </c>
      <c r="B1132" s="15">
        <v>140640124</v>
      </c>
      <c r="C1132" s="15">
        <v>290219845</v>
      </c>
      <c r="D1132" s="16">
        <v>510105202</v>
      </c>
      <c r="E1132" s="16" t="s">
        <v>7751</v>
      </c>
      <c r="F1132" s="20" t="s">
        <v>7534</v>
      </c>
      <c r="G1132" s="17" t="s">
        <v>7753</v>
      </c>
    </row>
    <row r="1133" spans="1:7" x14ac:dyDescent="0.25">
      <c r="A1133">
        <f t="shared" si="18"/>
        <v>5101046</v>
      </c>
      <c r="B1133" s="15">
        <v>140640124</v>
      </c>
      <c r="C1133" s="15">
        <v>290219877</v>
      </c>
      <c r="D1133" s="16">
        <v>510104603</v>
      </c>
      <c r="E1133" s="16" t="s">
        <v>7751</v>
      </c>
      <c r="F1133" s="20" t="s">
        <v>7523</v>
      </c>
      <c r="G1133" s="17" t="s">
        <v>7754</v>
      </c>
    </row>
    <row r="1134" spans="1:7" x14ac:dyDescent="0.25">
      <c r="A1134">
        <f t="shared" si="18"/>
        <v>5101048</v>
      </c>
      <c r="B1134" s="15">
        <v>140640124</v>
      </c>
      <c r="C1134" s="15">
        <v>290219796</v>
      </c>
      <c r="D1134" s="16">
        <v>510104810</v>
      </c>
      <c r="E1134" s="16" t="s">
        <v>7751</v>
      </c>
      <c r="F1134" s="20" t="s">
        <v>7513</v>
      </c>
      <c r="G1134" s="17" t="s">
        <v>7752</v>
      </c>
    </row>
    <row r="1135" spans="1:7" x14ac:dyDescent="0.25">
      <c r="A1135">
        <f t="shared" si="18"/>
        <v>5101048</v>
      </c>
      <c r="B1135" s="15">
        <v>140640124</v>
      </c>
      <c r="C1135" s="15">
        <v>290219792</v>
      </c>
      <c r="D1135" s="16">
        <v>510104800</v>
      </c>
      <c r="E1135" s="16" t="s">
        <v>7751</v>
      </c>
      <c r="F1135" s="20" t="s">
        <v>7512</v>
      </c>
      <c r="G1135" s="17" t="s">
        <v>7752</v>
      </c>
    </row>
    <row r="1136" spans="1:7" x14ac:dyDescent="0.25">
      <c r="A1136">
        <f t="shared" si="18"/>
        <v>5101052</v>
      </c>
      <c r="B1136" s="15">
        <v>140640124</v>
      </c>
      <c r="C1136" s="15">
        <v>290219842</v>
      </c>
      <c r="D1136" s="16">
        <v>510105201</v>
      </c>
      <c r="E1136" s="16" t="s">
        <v>7751</v>
      </c>
      <c r="F1136" s="20" t="s">
        <v>7536</v>
      </c>
      <c r="G1136" s="17" t="s">
        <v>7753</v>
      </c>
    </row>
    <row r="1137" spans="1:7" x14ac:dyDescent="0.25">
      <c r="A1137">
        <f t="shared" si="18"/>
        <v>5101046</v>
      </c>
      <c r="B1137" s="15">
        <v>140640124</v>
      </c>
      <c r="C1137" s="15">
        <v>290219882</v>
      </c>
      <c r="D1137" s="16">
        <v>510104605</v>
      </c>
      <c r="E1137" s="16" t="s">
        <v>7751</v>
      </c>
      <c r="F1137" s="20" t="s">
        <v>7526</v>
      </c>
      <c r="G1137" s="17" t="s">
        <v>7754</v>
      </c>
    </row>
    <row r="1138" spans="1:7" x14ac:dyDescent="0.25">
      <c r="A1138">
        <f t="shared" si="18"/>
        <v>5101052</v>
      </c>
      <c r="B1138" s="15">
        <v>140640124</v>
      </c>
      <c r="C1138" s="15">
        <v>290219861</v>
      </c>
      <c r="D1138" s="16">
        <v>510105206</v>
      </c>
      <c r="E1138" s="16" t="s">
        <v>7751</v>
      </c>
      <c r="F1138" s="20" t="s">
        <v>7522</v>
      </c>
      <c r="G1138" s="17" t="s">
        <v>7753</v>
      </c>
    </row>
    <row r="1139" spans="1:7" x14ac:dyDescent="0.25">
      <c r="A1139">
        <f t="shared" si="18"/>
        <v>5101046</v>
      </c>
      <c r="B1139" s="15">
        <v>140640124</v>
      </c>
      <c r="C1139" s="15">
        <v>290219880</v>
      </c>
      <c r="D1139" s="16">
        <v>510104604</v>
      </c>
      <c r="E1139" s="16" t="s">
        <v>7751</v>
      </c>
      <c r="F1139" s="20" t="s">
        <v>7545</v>
      </c>
      <c r="G1139" s="17" t="s">
        <v>7754</v>
      </c>
    </row>
    <row r="1140" spans="1:7" x14ac:dyDescent="0.25">
      <c r="A1140">
        <f t="shared" si="18"/>
        <v>5101048</v>
      </c>
      <c r="B1140" s="15">
        <v>140640124</v>
      </c>
      <c r="C1140" s="15">
        <v>290219800</v>
      </c>
      <c r="D1140" s="16">
        <v>510104802</v>
      </c>
      <c r="E1140" s="16" t="s">
        <v>7751</v>
      </c>
      <c r="F1140" s="20" t="s">
        <v>7537</v>
      </c>
      <c r="G1140" s="17" t="s">
        <v>7752</v>
      </c>
    </row>
    <row r="1141" spans="1:7" x14ac:dyDescent="0.25">
      <c r="A1141">
        <f t="shared" si="18"/>
        <v>5101046</v>
      </c>
      <c r="B1141" s="15">
        <v>140640124</v>
      </c>
      <c r="C1141" s="15">
        <v>290219873</v>
      </c>
      <c r="D1141" s="16">
        <v>510104601</v>
      </c>
      <c r="E1141" s="16" t="s">
        <v>7751</v>
      </c>
      <c r="F1141" s="20" t="s">
        <v>7543</v>
      </c>
      <c r="G1141" s="17" t="s">
        <v>7754</v>
      </c>
    </row>
    <row r="1142" spans="1:7" x14ac:dyDescent="0.25">
      <c r="A1142">
        <f t="shared" si="18"/>
        <v>5101048</v>
      </c>
      <c r="B1142" s="15">
        <v>140640124</v>
      </c>
      <c r="C1142" s="15">
        <v>290219790</v>
      </c>
      <c r="D1142" s="16">
        <v>510104801</v>
      </c>
      <c r="E1142" s="16" t="s">
        <v>7751</v>
      </c>
      <c r="F1142" s="20" t="s">
        <v>7527</v>
      </c>
      <c r="G1142" s="17" t="s">
        <v>7752</v>
      </c>
    </row>
    <row r="1143" spans="1:7" x14ac:dyDescent="0.25">
      <c r="A1143">
        <f t="shared" si="18"/>
        <v>5101046</v>
      </c>
      <c r="B1143" s="15">
        <v>140640124</v>
      </c>
      <c r="C1143" s="15">
        <v>290219875</v>
      </c>
      <c r="D1143" s="16">
        <v>510104602</v>
      </c>
      <c r="E1143" s="16" t="s">
        <v>7751</v>
      </c>
      <c r="F1143" s="20" t="s">
        <v>7539</v>
      </c>
      <c r="G1143" s="17" t="s">
        <v>7754</v>
      </c>
    </row>
    <row r="1144" spans="1:7" x14ac:dyDescent="0.25">
      <c r="A1144">
        <f t="shared" si="18"/>
        <v>5101046</v>
      </c>
      <c r="B1144" s="15">
        <v>140640124</v>
      </c>
      <c r="C1144" s="15">
        <v>290219866</v>
      </c>
      <c r="D1144" s="16">
        <v>510104610</v>
      </c>
      <c r="E1144" s="16" t="s">
        <v>7751</v>
      </c>
      <c r="F1144" s="20" t="s">
        <v>7525</v>
      </c>
      <c r="G1144" s="17" t="s">
        <v>7754</v>
      </c>
    </row>
    <row r="1145" spans="1:7" x14ac:dyDescent="0.25">
      <c r="A1145">
        <f t="shared" si="18"/>
        <v>5101046</v>
      </c>
      <c r="B1145" s="15">
        <v>140640124</v>
      </c>
      <c r="C1145" s="15">
        <v>290219870</v>
      </c>
      <c r="D1145" s="16">
        <v>510104600</v>
      </c>
      <c r="E1145" s="16" t="s">
        <v>7751</v>
      </c>
      <c r="F1145" s="20" t="s">
        <v>7541</v>
      </c>
      <c r="G1145" s="17" t="s">
        <v>7754</v>
      </c>
    </row>
    <row r="1146" spans="1:7" x14ac:dyDescent="0.25">
      <c r="A1146">
        <f t="shared" si="18"/>
        <v>5101052</v>
      </c>
      <c r="B1146" s="15">
        <v>140640124</v>
      </c>
      <c r="C1146" s="15">
        <v>290219849</v>
      </c>
      <c r="D1146" s="16">
        <v>510105203</v>
      </c>
      <c r="E1146" s="16" t="s">
        <v>7751</v>
      </c>
      <c r="F1146" s="20" t="s">
        <v>7532</v>
      </c>
      <c r="G1146" s="17" t="s">
        <v>7753</v>
      </c>
    </row>
    <row r="1147" spans="1:7" x14ac:dyDescent="0.25">
      <c r="A1147">
        <f t="shared" si="18"/>
        <v>5101052</v>
      </c>
      <c r="B1147" s="15">
        <v>140640124</v>
      </c>
      <c r="C1147" s="15">
        <v>290219853</v>
      </c>
      <c r="D1147" s="16">
        <v>510105204</v>
      </c>
      <c r="E1147" s="16" t="s">
        <v>7751</v>
      </c>
      <c r="F1147" s="20" t="s">
        <v>7518</v>
      </c>
      <c r="G1147" s="17" t="s">
        <v>7753</v>
      </c>
    </row>
    <row r="1148" spans="1:7" x14ac:dyDescent="0.25">
      <c r="A1148">
        <f t="shared" si="18"/>
        <v>5101048</v>
      </c>
      <c r="B1148" s="15">
        <v>140640124</v>
      </c>
      <c r="C1148" s="15">
        <v>290219804</v>
      </c>
      <c r="D1148" s="16">
        <v>510104803</v>
      </c>
      <c r="E1148" s="16" t="s">
        <v>7751</v>
      </c>
      <c r="F1148" s="20" t="s">
        <v>7540</v>
      </c>
      <c r="G1148" s="17" t="s">
        <v>7752</v>
      </c>
    </row>
    <row r="1149" spans="1:7" x14ac:dyDescent="0.25">
      <c r="A1149">
        <f t="shared" si="18"/>
        <v>5101048</v>
      </c>
      <c r="B1149" s="15">
        <v>140640124</v>
      </c>
      <c r="C1149" s="15">
        <v>290219809</v>
      </c>
      <c r="D1149" s="16">
        <v>510104804</v>
      </c>
      <c r="E1149" s="16" t="s">
        <v>7751</v>
      </c>
      <c r="F1149" s="20" t="s">
        <v>7510</v>
      </c>
      <c r="G1149" s="17" t="s">
        <v>7752</v>
      </c>
    </row>
    <row r="1150" spans="1:7" x14ac:dyDescent="0.25">
      <c r="A1150">
        <f t="shared" si="18"/>
        <v>5101048</v>
      </c>
      <c r="B1150" s="15">
        <v>140640117</v>
      </c>
      <c r="C1150" s="15">
        <v>290219648</v>
      </c>
      <c r="D1150" s="16">
        <v>510104801</v>
      </c>
      <c r="E1150" s="16" t="s">
        <v>7755</v>
      </c>
      <c r="F1150" s="20" t="s">
        <v>7527</v>
      </c>
      <c r="G1150" s="17" t="s">
        <v>7756</v>
      </c>
    </row>
    <row r="1151" spans="1:7" x14ac:dyDescent="0.25">
      <c r="A1151">
        <f t="shared" ref="A1151:A1214" si="19">LEFT(D1151,7)*1</f>
        <v>5101048</v>
      </c>
      <c r="B1151" s="15">
        <v>140640117</v>
      </c>
      <c r="C1151" s="15">
        <v>290219650</v>
      </c>
      <c r="D1151" s="16">
        <v>510104800</v>
      </c>
      <c r="E1151" s="16" t="s">
        <v>7755</v>
      </c>
      <c r="F1151" s="20" t="s">
        <v>7512</v>
      </c>
      <c r="G1151" s="17" t="s">
        <v>7756</v>
      </c>
    </row>
    <row r="1152" spans="1:7" x14ac:dyDescent="0.25">
      <c r="A1152">
        <f t="shared" si="19"/>
        <v>5101046</v>
      </c>
      <c r="B1152" s="15">
        <v>140640117</v>
      </c>
      <c r="C1152" s="15">
        <v>290219681</v>
      </c>
      <c r="D1152" s="16">
        <v>510104601</v>
      </c>
      <c r="E1152" s="16" t="s">
        <v>7755</v>
      </c>
      <c r="F1152" s="20" t="s">
        <v>7543</v>
      </c>
      <c r="G1152" s="17" t="s">
        <v>7757</v>
      </c>
    </row>
    <row r="1153" spans="1:7" x14ac:dyDescent="0.25">
      <c r="A1153">
        <f t="shared" si="19"/>
        <v>5101046</v>
      </c>
      <c r="B1153" s="15">
        <v>140640117</v>
      </c>
      <c r="C1153" s="15">
        <v>290219685</v>
      </c>
      <c r="D1153" s="16">
        <v>510104604</v>
      </c>
      <c r="E1153" s="16" t="s">
        <v>7755</v>
      </c>
      <c r="F1153" s="20" t="s">
        <v>7545</v>
      </c>
      <c r="G1153" s="17" t="s">
        <v>7757</v>
      </c>
    </row>
    <row r="1154" spans="1:7" x14ac:dyDescent="0.25">
      <c r="A1154">
        <f t="shared" si="19"/>
        <v>5101052</v>
      </c>
      <c r="B1154" s="15">
        <v>140640117</v>
      </c>
      <c r="C1154" s="15">
        <v>290219669</v>
      </c>
      <c r="D1154" s="16">
        <v>510105202</v>
      </c>
      <c r="E1154" s="16" t="s">
        <v>7755</v>
      </c>
      <c r="F1154" s="20" t="s">
        <v>7534</v>
      </c>
      <c r="G1154" s="17" t="s">
        <v>7758</v>
      </c>
    </row>
    <row r="1155" spans="1:7" x14ac:dyDescent="0.25">
      <c r="A1155">
        <f t="shared" si="19"/>
        <v>5101046</v>
      </c>
      <c r="B1155" s="15">
        <v>140640117</v>
      </c>
      <c r="C1155" s="15">
        <v>290219684</v>
      </c>
      <c r="D1155" s="16">
        <v>510104603</v>
      </c>
      <c r="E1155" s="16" t="s">
        <v>7755</v>
      </c>
      <c r="F1155" s="20" t="s">
        <v>7523</v>
      </c>
      <c r="G1155" s="17" t="s">
        <v>7757</v>
      </c>
    </row>
    <row r="1156" spans="1:7" x14ac:dyDescent="0.25">
      <c r="A1156">
        <f t="shared" si="19"/>
        <v>5101052</v>
      </c>
      <c r="B1156" s="15">
        <v>140640117</v>
      </c>
      <c r="C1156" s="15">
        <v>290219670</v>
      </c>
      <c r="D1156" s="16">
        <v>510105203</v>
      </c>
      <c r="E1156" s="16" t="s">
        <v>7755</v>
      </c>
      <c r="F1156" s="20" t="s">
        <v>7532</v>
      </c>
      <c r="G1156" s="17" t="s">
        <v>7758</v>
      </c>
    </row>
    <row r="1157" spans="1:7" x14ac:dyDescent="0.25">
      <c r="A1157">
        <f t="shared" si="19"/>
        <v>5101046</v>
      </c>
      <c r="B1157" s="15">
        <v>140640117</v>
      </c>
      <c r="C1157" s="15">
        <v>290219688</v>
      </c>
      <c r="D1157" s="16">
        <v>510104606</v>
      </c>
      <c r="E1157" s="16" t="s">
        <v>7755</v>
      </c>
      <c r="F1157" s="20" t="s">
        <v>7529</v>
      </c>
      <c r="G1157" s="17" t="s">
        <v>7757</v>
      </c>
    </row>
    <row r="1158" spans="1:7" x14ac:dyDescent="0.25">
      <c r="A1158">
        <f t="shared" si="19"/>
        <v>5101048</v>
      </c>
      <c r="B1158" s="15">
        <v>140640117</v>
      </c>
      <c r="C1158" s="15">
        <v>290219653</v>
      </c>
      <c r="D1158" s="16">
        <v>510104810</v>
      </c>
      <c r="E1158" s="16" t="s">
        <v>7755</v>
      </c>
      <c r="F1158" s="20" t="s">
        <v>7513</v>
      </c>
      <c r="G1158" s="17" t="s">
        <v>7756</v>
      </c>
    </row>
    <row r="1159" spans="1:7" x14ac:dyDescent="0.25">
      <c r="A1159">
        <f t="shared" si="19"/>
        <v>5101052</v>
      </c>
      <c r="B1159" s="15">
        <v>140640117</v>
      </c>
      <c r="C1159" s="15">
        <v>290219673</v>
      </c>
      <c r="D1159" s="16">
        <v>510105205</v>
      </c>
      <c r="E1159" s="16" t="s">
        <v>7755</v>
      </c>
      <c r="F1159" s="20" t="s">
        <v>7521</v>
      </c>
      <c r="G1159" s="17" t="s">
        <v>7758</v>
      </c>
    </row>
    <row r="1160" spans="1:7" x14ac:dyDescent="0.25">
      <c r="A1160">
        <f t="shared" si="19"/>
        <v>5101046</v>
      </c>
      <c r="B1160" s="15">
        <v>140640117</v>
      </c>
      <c r="C1160" s="15">
        <v>290219676</v>
      </c>
      <c r="D1160" s="16">
        <v>510104610</v>
      </c>
      <c r="E1160" s="16" t="s">
        <v>7755</v>
      </c>
      <c r="F1160" s="20" t="s">
        <v>7525</v>
      </c>
      <c r="G1160" s="17" t="s">
        <v>7757</v>
      </c>
    </row>
    <row r="1161" spans="1:7" x14ac:dyDescent="0.25">
      <c r="A1161">
        <f t="shared" si="19"/>
        <v>5101046</v>
      </c>
      <c r="B1161" s="15">
        <v>140640117</v>
      </c>
      <c r="C1161" s="15">
        <v>290219677</v>
      </c>
      <c r="D1161" s="16">
        <v>510104600</v>
      </c>
      <c r="E1161" s="16" t="s">
        <v>7755</v>
      </c>
      <c r="F1161" s="20" t="s">
        <v>7541</v>
      </c>
      <c r="G1161" s="17" t="s">
        <v>7757</v>
      </c>
    </row>
    <row r="1162" spans="1:7" x14ac:dyDescent="0.25">
      <c r="A1162">
        <f t="shared" si="19"/>
        <v>5101046</v>
      </c>
      <c r="B1162" s="15">
        <v>140640117</v>
      </c>
      <c r="C1162" s="15">
        <v>290219682</v>
      </c>
      <c r="D1162" s="16">
        <v>510104602</v>
      </c>
      <c r="E1162" s="16" t="s">
        <v>7755</v>
      </c>
      <c r="F1162" s="20" t="s">
        <v>7539</v>
      </c>
      <c r="G1162" s="17" t="s">
        <v>7757</v>
      </c>
    </row>
    <row r="1163" spans="1:7" x14ac:dyDescent="0.25">
      <c r="A1163">
        <f t="shared" si="19"/>
        <v>5101048</v>
      </c>
      <c r="B1163" s="15">
        <v>140640117</v>
      </c>
      <c r="C1163" s="15">
        <v>290219661</v>
      </c>
      <c r="D1163" s="16">
        <v>510104806</v>
      </c>
      <c r="E1163" s="16" t="s">
        <v>7755</v>
      </c>
      <c r="F1163" s="20" t="s">
        <v>7514</v>
      </c>
      <c r="G1163" s="17" t="s">
        <v>7756</v>
      </c>
    </row>
    <row r="1164" spans="1:7" x14ac:dyDescent="0.25">
      <c r="A1164">
        <f t="shared" si="19"/>
        <v>5101046</v>
      </c>
      <c r="B1164" s="15">
        <v>140640117</v>
      </c>
      <c r="C1164" s="15">
        <v>290219687</v>
      </c>
      <c r="D1164" s="16">
        <v>510104605</v>
      </c>
      <c r="E1164" s="16" t="s">
        <v>7755</v>
      </c>
      <c r="F1164" s="20" t="s">
        <v>7526</v>
      </c>
      <c r="G1164" s="17" t="s">
        <v>7757</v>
      </c>
    </row>
    <row r="1165" spans="1:7" x14ac:dyDescent="0.25">
      <c r="A1165">
        <f t="shared" si="19"/>
        <v>5101048</v>
      </c>
      <c r="B1165" s="15">
        <v>140640117</v>
      </c>
      <c r="C1165" s="15">
        <v>290219656</v>
      </c>
      <c r="D1165" s="16">
        <v>510104803</v>
      </c>
      <c r="E1165" s="16" t="s">
        <v>7755</v>
      </c>
      <c r="F1165" s="20" t="s">
        <v>7540</v>
      </c>
      <c r="G1165" s="17" t="s">
        <v>7756</v>
      </c>
    </row>
    <row r="1166" spans="1:7" x14ac:dyDescent="0.25">
      <c r="A1166">
        <f t="shared" si="19"/>
        <v>5101052</v>
      </c>
      <c r="B1166" s="15">
        <v>140640117</v>
      </c>
      <c r="C1166" s="15">
        <v>290219664</v>
      </c>
      <c r="D1166" s="16">
        <v>510105200</v>
      </c>
      <c r="E1166" s="16" t="s">
        <v>7755</v>
      </c>
      <c r="F1166" s="20" t="s">
        <v>7531</v>
      </c>
      <c r="G1166" s="17" t="s">
        <v>7758</v>
      </c>
    </row>
    <row r="1167" spans="1:7" x14ac:dyDescent="0.25">
      <c r="A1167">
        <f t="shared" si="19"/>
        <v>5101048</v>
      </c>
      <c r="B1167" s="15">
        <v>140640117</v>
      </c>
      <c r="C1167" s="15">
        <v>290219654</v>
      </c>
      <c r="D1167" s="16">
        <v>510104802</v>
      </c>
      <c r="E1167" s="16" t="s">
        <v>7755</v>
      </c>
      <c r="F1167" s="20" t="s">
        <v>7537</v>
      </c>
      <c r="G1167" s="17" t="s">
        <v>7756</v>
      </c>
    </row>
    <row r="1168" spans="1:7" x14ac:dyDescent="0.25">
      <c r="A1168">
        <f t="shared" si="19"/>
        <v>5101052</v>
      </c>
      <c r="B1168" s="15">
        <v>140640117</v>
      </c>
      <c r="C1168" s="15">
        <v>290219662</v>
      </c>
      <c r="D1168" s="16">
        <v>510105210</v>
      </c>
      <c r="E1168" s="16" t="s">
        <v>7755</v>
      </c>
      <c r="F1168" s="20" t="s">
        <v>7542</v>
      </c>
      <c r="G1168" s="17" t="s">
        <v>7758</v>
      </c>
    </row>
    <row r="1169" spans="1:7" x14ac:dyDescent="0.25">
      <c r="A1169">
        <f t="shared" si="19"/>
        <v>5101052</v>
      </c>
      <c r="B1169" s="15">
        <v>140640117</v>
      </c>
      <c r="C1169" s="15">
        <v>290219666</v>
      </c>
      <c r="D1169" s="16">
        <v>510105201</v>
      </c>
      <c r="E1169" s="16" t="s">
        <v>7755</v>
      </c>
      <c r="F1169" s="20" t="s">
        <v>7536</v>
      </c>
      <c r="G1169" s="17" t="s">
        <v>7758</v>
      </c>
    </row>
    <row r="1170" spans="1:7" x14ac:dyDescent="0.25">
      <c r="A1170">
        <f t="shared" si="19"/>
        <v>5101052</v>
      </c>
      <c r="B1170" s="15">
        <v>140640117</v>
      </c>
      <c r="C1170" s="15">
        <v>290219671</v>
      </c>
      <c r="D1170" s="16">
        <v>510105204</v>
      </c>
      <c r="E1170" s="16" t="s">
        <v>7755</v>
      </c>
      <c r="F1170" s="20" t="s">
        <v>7518</v>
      </c>
      <c r="G1170" s="17" t="s">
        <v>7758</v>
      </c>
    </row>
    <row r="1171" spans="1:7" x14ac:dyDescent="0.25">
      <c r="A1171">
        <f t="shared" si="19"/>
        <v>5101048</v>
      </c>
      <c r="B1171" s="15">
        <v>140640117</v>
      </c>
      <c r="C1171" s="15">
        <v>290219658</v>
      </c>
      <c r="D1171" s="16">
        <v>510104804</v>
      </c>
      <c r="E1171" s="16" t="s">
        <v>7755</v>
      </c>
      <c r="F1171" s="20" t="s">
        <v>7510</v>
      </c>
      <c r="G1171" s="17" t="s">
        <v>7756</v>
      </c>
    </row>
    <row r="1172" spans="1:7" x14ac:dyDescent="0.25">
      <c r="A1172">
        <f t="shared" si="19"/>
        <v>5101048</v>
      </c>
      <c r="B1172" s="15">
        <v>140640117</v>
      </c>
      <c r="C1172" s="15">
        <v>290219659</v>
      </c>
      <c r="D1172" s="16">
        <v>510104805</v>
      </c>
      <c r="E1172" s="16" t="s">
        <v>7755</v>
      </c>
      <c r="F1172" s="20" t="s">
        <v>7544</v>
      </c>
      <c r="G1172" s="17" t="s">
        <v>7756</v>
      </c>
    </row>
    <row r="1173" spans="1:7" x14ac:dyDescent="0.25">
      <c r="A1173">
        <f t="shared" si="19"/>
        <v>5101052</v>
      </c>
      <c r="B1173" s="15">
        <v>140640117</v>
      </c>
      <c r="C1173" s="15">
        <v>290219675</v>
      </c>
      <c r="D1173" s="16">
        <v>510105206</v>
      </c>
      <c r="E1173" s="16" t="s">
        <v>7755</v>
      </c>
      <c r="F1173" s="20" t="s">
        <v>7522</v>
      </c>
      <c r="G1173" s="17" t="s">
        <v>7758</v>
      </c>
    </row>
    <row r="1174" spans="1:7" x14ac:dyDescent="0.25">
      <c r="A1174">
        <f t="shared" si="19"/>
        <v>5101047</v>
      </c>
      <c r="B1174" s="15">
        <v>140640100</v>
      </c>
      <c r="C1174" s="15">
        <v>290219510</v>
      </c>
      <c r="D1174" s="16">
        <v>510104707</v>
      </c>
      <c r="E1174" s="16" t="s">
        <v>7759</v>
      </c>
      <c r="F1174" s="20" t="s">
        <v>7533</v>
      </c>
      <c r="G1174" s="17" t="s">
        <v>7760</v>
      </c>
    </row>
    <row r="1175" spans="1:7" x14ac:dyDescent="0.25">
      <c r="A1175">
        <f t="shared" si="19"/>
        <v>5101049</v>
      </c>
      <c r="B1175" s="15">
        <v>140640100</v>
      </c>
      <c r="C1175" s="15">
        <v>290219425</v>
      </c>
      <c r="D1175" s="16">
        <v>510104909</v>
      </c>
      <c r="E1175" s="16" t="s">
        <v>7759</v>
      </c>
      <c r="F1175" s="20" t="s">
        <v>7515</v>
      </c>
      <c r="G1175" s="17" t="s">
        <v>7761</v>
      </c>
    </row>
    <row r="1176" spans="1:7" x14ac:dyDescent="0.25">
      <c r="A1176">
        <f t="shared" si="19"/>
        <v>5101053</v>
      </c>
      <c r="B1176" s="15">
        <v>140640100</v>
      </c>
      <c r="C1176" s="15">
        <v>290219446</v>
      </c>
      <c r="D1176" s="16">
        <v>510105307</v>
      </c>
      <c r="E1176" s="16" t="s">
        <v>7759</v>
      </c>
      <c r="F1176" s="20" t="s">
        <v>7520</v>
      </c>
      <c r="G1176" s="17" t="s">
        <v>7762</v>
      </c>
    </row>
    <row r="1177" spans="1:7" x14ac:dyDescent="0.25">
      <c r="A1177">
        <f t="shared" si="19"/>
        <v>5101053</v>
      </c>
      <c r="B1177" s="15">
        <v>140640100</v>
      </c>
      <c r="C1177" s="15">
        <v>290219483</v>
      </c>
      <c r="D1177" s="16">
        <v>510105309</v>
      </c>
      <c r="E1177" s="16" t="s">
        <v>7759</v>
      </c>
      <c r="F1177" s="20" t="s">
        <v>7516</v>
      </c>
      <c r="G1177" s="17" t="s">
        <v>7762</v>
      </c>
    </row>
    <row r="1178" spans="1:7" x14ac:dyDescent="0.25">
      <c r="A1178">
        <f t="shared" si="19"/>
        <v>5101049</v>
      </c>
      <c r="B1178" s="15">
        <v>140640100</v>
      </c>
      <c r="C1178" s="15">
        <v>290219406</v>
      </c>
      <c r="D1178" s="16">
        <v>510104908</v>
      </c>
      <c r="E1178" s="16" t="s">
        <v>7759</v>
      </c>
      <c r="F1178" s="20" t="s">
        <v>7538</v>
      </c>
      <c r="G1178" s="17" t="s">
        <v>7761</v>
      </c>
    </row>
    <row r="1179" spans="1:7" x14ac:dyDescent="0.25">
      <c r="A1179">
        <f t="shared" si="19"/>
        <v>5101053</v>
      </c>
      <c r="B1179" s="15">
        <v>140640100</v>
      </c>
      <c r="C1179" s="15">
        <v>290219466</v>
      </c>
      <c r="D1179" s="16">
        <v>510105308</v>
      </c>
      <c r="E1179" s="16" t="s">
        <v>7759</v>
      </c>
      <c r="F1179" s="20" t="s">
        <v>7519</v>
      </c>
      <c r="G1179" s="17" t="s">
        <v>7762</v>
      </c>
    </row>
    <row r="1180" spans="1:7" x14ac:dyDescent="0.25">
      <c r="A1180">
        <f t="shared" si="19"/>
        <v>5101047</v>
      </c>
      <c r="B1180" s="15">
        <v>140640100</v>
      </c>
      <c r="C1180" s="15">
        <v>290219548</v>
      </c>
      <c r="D1180" s="16">
        <v>510104708</v>
      </c>
      <c r="E1180" s="16" t="s">
        <v>7759</v>
      </c>
      <c r="F1180" s="20" t="s">
        <v>7530</v>
      </c>
      <c r="G1180" s="17" t="s">
        <v>7760</v>
      </c>
    </row>
    <row r="1181" spans="1:7" x14ac:dyDescent="0.25">
      <c r="A1181">
        <f t="shared" si="19"/>
        <v>5101049</v>
      </c>
      <c r="B1181" s="15">
        <v>140640100</v>
      </c>
      <c r="C1181" s="15">
        <v>290219391</v>
      </c>
      <c r="D1181" s="16">
        <v>510104907</v>
      </c>
      <c r="E1181" s="16" t="s">
        <v>7759</v>
      </c>
      <c r="F1181" s="20" t="s">
        <v>7528</v>
      </c>
      <c r="G1181" s="17" t="s">
        <v>7761</v>
      </c>
    </row>
    <row r="1182" spans="1:7" x14ac:dyDescent="0.25">
      <c r="A1182">
        <f t="shared" si="19"/>
        <v>5101047</v>
      </c>
      <c r="B1182" s="15">
        <v>140640100</v>
      </c>
      <c r="C1182" s="15">
        <v>290219566</v>
      </c>
      <c r="D1182" s="16">
        <v>510104709</v>
      </c>
      <c r="E1182" s="16" t="s">
        <v>7759</v>
      </c>
      <c r="F1182" s="20" t="s">
        <v>7535</v>
      </c>
      <c r="G1182" s="17" t="s">
        <v>7760</v>
      </c>
    </row>
    <row r="1183" spans="1:7" x14ac:dyDescent="0.25">
      <c r="A1183">
        <f t="shared" si="19"/>
        <v>5101047</v>
      </c>
      <c r="B1183" s="15">
        <v>140640110</v>
      </c>
      <c r="C1183" s="15">
        <v>290219695</v>
      </c>
      <c r="D1183" s="16">
        <v>510104708</v>
      </c>
      <c r="E1183" s="16" t="s">
        <v>7763</v>
      </c>
      <c r="F1183" s="20" t="s">
        <v>7530</v>
      </c>
      <c r="G1183" s="17" t="s">
        <v>7764</v>
      </c>
    </row>
    <row r="1184" spans="1:7" x14ac:dyDescent="0.25">
      <c r="A1184">
        <f t="shared" si="19"/>
        <v>5101047</v>
      </c>
      <c r="B1184" s="15">
        <v>140640110</v>
      </c>
      <c r="C1184" s="15">
        <v>290219690</v>
      </c>
      <c r="D1184" s="16">
        <v>510104707</v>
      </c>
      <c r="E1184" s="16" t="s">
        <v>7763</v>
      </c>
      <c r="F1184" s="20" t="s">
        <v>7533</v>
      </c>
      <c r="G1184" s="17" t="s">
        <v>7764</v>
      </c>
    </row>
    <row r="1185" spans="1:7" x14ac:dyDescent="0.25">
      <c r="A1185">
        <f t="shared" si="19"/>
        <v>5101049</v>
      </c>
      <c r="B1185" s="15">
        <v>140640110</v>
      </c>
      <c r="C1185" s="15">
        <v>290219598</v>
      </c>
      <c r="D1185" s="16">
        <v>510104908</v>
      </c>
      <c r="E1185" s="16" t="s">
        <v>7763</v>
      </c>
      <c r="F1185" s="20" t="s">
        <v>7538</v>
      </c>
      <c r="G1185" s="17" t="s">
        <v>7765</v>
      </c>
    </row>
    <row r="1186" spans="1:7" x14ac:dyDescent="0.25">
      <c r="A1186">
        <f t="shared" si="19"/>
        <v>5101049</v>
      </c>
      <c r="B1186" s="15">
        <v>140640110</v>
      </c>
      <c r="C1186" s="15">
        <v>290219585</v>
      </c>
      <c r="D1186" s="16">
        <v>510104907</v>
      </c>
      <c r="E1186" s="16" t="s">
        <v>7763</v>
      </c>
      <c r="F1186" s="20" t="s">
        <v>7528</v>
      </c>
      <c r="G1186" s="17" t="s">
        <v>7765</v>
      </c>
    </row>
    <row r="1187" spans="1:7" x14ac:dyDescent="0.25">
      <c r="A1187">
        <f t="shared" si="19"/>
        <v>5101053</v>
      </c>
      <c r="B1187" s="15">
        <v>140640110</v>
      </c>
      <c r="C1187" s="15">
        <v>290219641</v>
      </c>
      <c r="D1187" s="16">
        <v>510105307</v>
      </c>
      <c r="E1187" s="16" t="s">
        <v>7763</v>
      </c>
      <c r="F1187" s="20" t="s">
        <v>7520</v>
      </c>
      <c r="G1187" s="17" t="s">
        <v>7766</v>
      </c>
    </row>
    <row r="1188" spans="1:7" x14ac:dyDescent="0.25">
      <c r="A1188">
        <f t="shared" si="19"/>
        <v>5101053</v>
      </c>
      <c r="B1188" s="15">
        <v>140640110</v>
      </c>
      <c r="C1188" s="15">
        <v>290219657</v>
      </c>
      <c r="D1188" s="16">
        <v>510105308</v>
      </c>
      <c r="E1188" s="16" t="s">
        <v>7763</v>
      </c>
      <c r="F1188" s="20" t="s">
        <v>7519</v>
      </c>
      <c r="G1188" s="17" t="s">
        <v>7766</v>
      </c>
    </row>
    <row r="1189" spans="1:7" x14ac:dyDescent="0.25">
      <c r="A1189">
        <f t="shared" si="19"/>
        <v>5101053</v>
      </c>
      <c r="B1189" s="15">
        <v>140640110</v>
      </c>
      <c r="C1189" s="15">
        <v>290219678</v>
      </c>
      <c r="D1189" s="16">
        <v>510105309</v>
      </c>
      <c r="E1189" s="16" t="s">
        <v>7763</v>
      </c>
      <c r="F1189" s="20" t="s">
        <v>7516</v>
      </c>
      <c r="G1189" s="17" t="s">
        <v>7766</v>
      </c>
    </row>
    <row r="1190" spans="1:7" x14ac:dyDescent="0.25">
      <c r="A1190">
        <f t="shared" si="19"/>
        <v>5101047</v>
      </c>
      <c r="B1190" s="15">
        <v>140640110</v>
      </c>
      <c r="C1190" s="15">
        <v>290219700</v>
      </c>
      <c r="D1190" s="16">
        <v>510104709</v>
      </c>
      <c r="E1190" s="16" t="s">
        <v>7763</v>
      </c>
      <c r="F1190" s="20" t="s">
        <v>7535</v>
      </c>
      <c r="G1190" s="17" t="s">
        <v>7764</v>
      </c>
    </row>
    <row r="1191" spans="1:7" x14ac:dyDescent="0.25">
      <c r="A1191">
        <f t="shared" si="19"/>
        <v>5101049</v>
      </c>
      <c r="B1191" s="15">
        <v>140640110</v>
      </c>
      <c r="C1191" s="15">
        <v>290219626</v>
      </c>
      <c r="D1191" s="16">
        <v>510104909</v>
      </c>
      <c r="E1191" s="16" t="s">
        <v>7763</v>
      </c>
      <c r="F1191" s="20" t="s">
        <v>7515</v>
      </c>
      <c r="G1191" s="17" t="s">
        <v>7765</v>
      </c>
    </row>
    <row r="1192" spans="1:7" x14ac:dyDescent="0.25">
      <c r="A1192">
        <f t="shared" si="19"/>
        <v>5101140</v>
      </c>
      <c r="B1192" s="15">
        <v>140640328</v>
      </c>
      <c r="C1192" s="15">
        <v>290221316</v>
      </c>
      <c r="D1192" s="16">
        <v>510114005</v>
      </c>
      <c r="E1192" s="16" t="s">
        <v>7767</v>
      </c>
      <c r="F1192" s="20" t="s">
        <v>7768</v>
      </c>
      <c r="G1192" s="17" t="s">
        <v>7769</v>
      </c>
    </row>
    <row r="1193" spans="1:7" x14ac:dyDescent="0.25">
      <c r="A1193">
        <f t="shared" si="19"/>
        <v>5101863</v>
      </c>
      <c r="B1193" s="15">
        <v>140640328</v>
      </c>
      <c r="C1193" s="15">
        <v>290221302</v>
      </c>
      <c r="D1193" s="16">
        <v>510186301</v>
      </c>
      <c r="E1193" s="16" t="s">
        <v>7767</v>
      </c>
      <c r="F1193" s="20" t="s">
        <v>7536</v>
      </c>
      <c r="G1193" s="17" t="s">
        <v>7770</v>
      </c>
    </row>
    <row r="1194" spans="1:7" x14ac:dyDescent="0.25">
      <c r="A1194">
        <f t="shared" si="19"/>
        <v>5101852</v>
      </c>
      <c r="B1194" s="15">
        <v>140640328</v>
      </c>
      <c r="C1194" s="15">
        <v>290221329</v>
      </c>
      <c r="D1194" s="16">
        <v>510185200</v>
      </c>
      <c r="E1194" s="16" t="s">
        <v>7767</v>
      </c>
      <c r="F1194" s="20" t="s">
        <v>7771</v>
      </c>
      <c r="G1194" s="17" t="s">
        <v>7772</v>
      </c>
    </row>
    <row r="1195" spans="1:7" x14ac:dyDescent="0.25">
      <c r="A1195">
        <f t="shared" si="19"/>
        <v>5101140</v>
      </c>
      <c r="B1195" s="15">
        <v>140640328</v>
      </c>
      <c r="C1195" s="15">
        <v>290221337</v>
      </c>
      <c r="D1195" s="16">
        <v>510114006</v>
      </c>
      <c r="E1195" s="16" t="s">
        <v>7767</v>
      </c>
      <c r="F1195" s="20" t="s">
        <v>7773</v>
      </c>
      <c r="G1195" s="17" t="s">
        <v>7769</v>
      </c>
    </row>
    <row r="1196" spans="1:7" x14ac:dyDescent="0.25">
      <c r="A1196">
        <f t="shared" si="19"/>
        <v>5101852</v>
      </c>
      <c r="B1196" s="15">
        <v>140640328</v>
      </c>
      <c r="C1196" s="15">
        <v>290221409</v>
      </c>
      <c r="D1196" s="16">
        <v>510185204</v>
      </c>
      <c r="E1196" s="16" t="s">
        <v>7767</v>
      </c>
      <c r="F1196" s="20" t="s">
        <v>7774</v>
      </c>
      <c r="G1196" s="17" t="s">
        <v>7772</v>
      </c>
    </row>
    <row r="1197" spans="1:7" x14ac:dyDescent="0.25">
      <c r="A1197">
        <f t="shared" si="19"/>
        <v>5101855</v>
      </c>
      <c r="B1197" s="15">
        <v>140640328</v>
      </c>
      <c r="C1197" s="15">
        <v>290221366</v>
      </c>
      <c r="D1197" s="16">
        <v>510185504</v>
      </c>
      <c r="E1197" s="16" t="s">
        <v>7767</v>
      </c>
      <c r="F1197" s="20" t="s">
        <v>7545</v>
      </c>
      <c r="G1197" s="17" t="s">
        <v>7775</v>
      </c>
    </row>
    <row r="1198" spans="1:7" x14ac:dyDescent="0.25">
      <c r="A1198">
        <f t="shared" si="19"/>
        <v>5101140</v>
      </c>
      <c r="B1198" s="15">
        <v>140640328</v>
      </c>
      <c r="C1198" s="15">
        <v>290221422</v>
      </c>
      <c r="D1198" s="16">
        <v>510114010</v>
      </c>
      <c r="E1198" s="16" t="s">
        <v>7767</v>
      </c>
      <c r="F1198" s="20" t="s">
        <v>7776</v>
      </c>
      <c r="G1198" s="17" t="s">
        <v>7769</v>
      </c>
    </row>
    <row r="1199" spans="1:7" x14ac:dyDescent="0.25">
      <c r="A1199">
        <f t="shared" si="19"/>
        <v>5101852</v>
      </c>
      <c r="B1199" s="15">
        <v>140640328</v>
      </c>
      <c r="C1199" s="15">
        <v>290221418</v>
      </c>
      <c r="D1199" s="16">
        <v>510185205</v>
      </c>
      <c r="E1199" s="16" t="s">
        <v>7767</v>
      </c>
      <c r="F1199" s="20" t="s">
        <v>7777</v>
      </c>
      <c r="G1199" s="17" t="s">
        <v>7772</v>
      </c>
    </row>
    <row r="1200" spans="1:7" x14ac:dyDescent="0.25">
      <c r="A1200">
        <f t="shared" si="19"/>
        <v>5101863</v>
      </c>
      <c r="B1200" s="15">
        <v>140640328</v>
      </c>
      <c r="C1200" s="15">
        <v>290221423</v>
      </c>
      <c r="D1200" s="16">
        <v>510186302</v>
      </c>
      <c r="E1200" s="16" t="s">
        <v>7767</v>
      </c>
      <c r="F1200" s="20" t="s">
        <v>7534</v>
      </c>
      <c r="G1200" s="17" t="s">
        <v>7770</v>
      </c>
    </row>
    <row r="1201" spans="1:7" x14ac:dyDescent="0.25">
      <c r="A1201">
        <f t="shared" si="19"/>
        <v>5101852</v>
      </c>
      <c r="B1201" s="15">
        <v>140640328</v>
      </c>
      <c r="C1201" s="15">
        <v>290221424</v>
      </c>
      <c r="D1201" s="16">
        <v>510185210</v>
      </c>
      <c r="E1201" s="16" t="s">
        <v>7767</v>
      </c>
      <c r="F1201" s="20" t="s">
        <v>7778</v>
      </c>
      <c r="G1201" s="17" t="s">
        <v>7772</v>
      </c>
    </row>
    <row r="1202" spans="1:7" x14ac:dyDescent="0.25">
      <c r="A1202">
        <f t="shared" si="19"/>
        <v>5101863</v>
      </c>
      <c r="B1202" s="15">
        <v>140640328</v>
      </c>
      <c r="C1202" s="15">
        <v>290221421</v>
      </c>
      <c r="D1202" s="16">
        <v>510186310</v>
      </c>
      <c r="E1202" s="16" t="s">
        <v>7767</v>
      </c>
      <c r="F1202" s="20" t="s">
        <v>7542</v>
      </c>
      <c r="G1202" s="17" t="s">
        <v>7770</v>
      </c>
    </row>
    <row r="1203" spans="1:7" x14ac:dyDescent="0.25">
      <c r="A1203">
        <f t="shared" si="19"/>
        <v>5101140</v>
      </c>
      <c r="B1203" s="15">
        <v>140640328</v>
      </c>
      <c r="C1203" s="15">
        <v>290221420</v>
      </c>
      <c r="D1203" s="16">
        <v>510114001</v>
      </c>
      <c r="E1203" s="16" t="s">
        <v>7767</v>
      </c>
      <c r="F1203" s="20" t="s">
        <v>7779</v>
      </c>
      <c r="G1203" s="17" t="s">
        <v>7769</v>
      </c>
    </row>
    <row r="1204" spans="1:7" x14ac:dyDescent="0.25">
      <c r="A1204">
        <f t="shared" si="19"/>
        <v>5101140</v>
      </c>
      <c r="B1204" s="15">
        <v>140640328</v>
      </c>
      <c r="C1204" s="15">
        <v>290221432</v>
      </c>
      <c r="D1204" s="16">
        <v>510114002</v>
      </c>
      <c r="E1204" s="16" t="s">
        <v>7767</v>
      </c>
      <c r="F1204" s="20" t="s">
        <v>7780</v>
      </c>
      <c r="G1204" s="17" t="s">
        <v>7769</v>
      </c>
    </row>
    <row r="1205" spans="1:7" x14ac:dyDescent="0.25">
      <c r="A1205">
        <f t="shared" si="19"/>
        <v>5101863</v>
      </c>
      <c r="B1205" s="15">
        <v>140640328</v>
      </c>
      <c r="C1205" s="15">
        <v>290221389</v>
      </c>
      <c r="D1205" s="16">
        <v>510186303</v>
      </c>
      <c r="E1205" s="16" t="s">
        <v>7767</v>
      </c>
      <c r="F1205" s="20" t="s">
        <v>7532</v>
      </c>
      <c r="G1205" s="17" t="s">
        <v>7770</v>
      </c>
    </row>
    <row r="1206" spans="1:7" x14ac:dyDescent="0.25">
      <c r="A1206">
        <f t="shared" si="19"/>
        <v>5101140</v>
      </c>
      <c r="B1206" s="15">
        <v>140640328</v>
      </c>
      <c r="C1206" s="15">
        <v>290221417</v>
      </c>
      <c r="D1206" s="16">
        <v>510114004</v>
      </c>
      <c r="E1206" s="16" t="s">
        <v>7767</v>
      </c>
      <c r="F1206" s="20" t="s">
        <v>7781</v>
      </c>
      <c r="G1206" s="17" t="s">
        <v>7769</v>
      </c>
    </row>
    <row r="1207" spans="1:7" x14ac:dyDescent="0.25">
      <c r="A1207">
        <f t="shared" si="19"/>
        <v>5101140</v>
      </c>
      <c r="B1207" s="15">
        <v>140640328</v>
      </c>
      <c r="C1207" s="15">
        <v>290221393</v>
      </c>
      <c r="D1207" s="16">
        <v>510114000</v>
      </c>
      <c r="E1207" s="16" t="s">
        <v>7767</v>
      </c>
      <c r="F1207" s="20" t="s">
        <v>7782</v>
      </c>
      <c r="G1207" s="17" t="s">
        <v>7769</v>
      </c>
    </row>
    <row r="1208" spans="1:7" x14ac:dyDescent="0.25">
      <c r="A1208">
        <f t="shared" si="19"/>
        <v>5101852</v>
      </c>
      <c r="B1208" s="15">
        <v>140640328</v>
      </c>
      <c r="C1208" s="15">
        <v>290221428</v>
      </c>
      <c r="D1208" s="16">
        <v>510185206</v>
      </c>
      <c r="E1208" s="16" t="s">
        <v>7767</v>
      </c>
      <c r="F1208" s="20" t="s">
        <v>7783</v>
      </c>
      <c r="G1208" s="17" t="s">
        <v>7772</v>
      </c>
    </row>
    <row r="1209" spans="1:7" x14ac:dyDescent="0.25">
      <c r="A1209">
        <f t="shared" si="19"/>
        <v>5101863</v>
      </c>
      <c r="B1209" s="15">
        <v>140640328</v>
      </c>
      <c r="C1209" s="15">
        <v>290221411</v>
      </c>
      <c r="D1209" s="16">
        <v>510186305</v>
      </c>
      <c r="E1209" s="16" t="s">
        <v>7767</v>
      </c>
      <c r="F1209" s="20" t="s">
        <v>7521</v>
      </c>
      <c r="G1209" s="17" t="s">
        <v>7770</v>
      </c>
    </row>
    <row r="1210" spans="1:7" x14ac:dyDescent="0.25">
      <c r="A1210">
        <f t="shared" si="19"/>
        <v>5101855</v>
      </c>
      <c r="B1210" s="15">
        <v>140640328</v>
      </c>
      <c r="C1210" s="15">
        <v>290221396</v>
      </c>
      <c r="D1210" s="16">
        <v>510185501</v>
      </c>
      <c r="E1210" s="16" t="s">
        <v>7767</v>
      </c>
      <c r="F1210" s="20" t="s">
        <v>7543</v>
      </c>
      <c r="G1210" s="17" t="s">
        <v>7775</v>
      </c>
    </row>
    <row r="1211" spans="1:7" x14ac:dyDescent="0.25">
      <c r="A1211">
        <f t="shared" si="19"/>
        <v>5101863</v>
      </c>
      <c r="B1211" s="15">
        <v>140640328</v>
      </c>
      <c r="C1211" s="15">
        <v>290221360</v>
      </c>
      <c r="D1211" s="16">
        <v>510186306</v>
      </c>
      <c r="E1211" s="16" t="s">
        <v>7767</v>
      </c>
      <c r="F1211" s="20" t="s">
        <v>7522</v>
      </c>
      <c r="G1211" s="17" t="s">
        <v>7770</v>
      </c>
    </row>
    <row r="1212" spans="1:7" x14ac:dyDescent="0.25">
      <c r="A1212">
        <f t="shared" si="19"/>
        <v>5101140</v>
      </c>
      <c r="B1212" s="15">
        <v>140640328</v>
      </c>
      <c r="C1212" s="15">
        <v>290221431</v>
      </c>
      <c r="D1212" s="16">
        <v>510114003</v>
      </c>
      <c r="E1212" s="16" t="s">
        <v>7767</v>
      </c>
      <c r="F1212" s="20" t="s">
        <v>7784</v>
      </c>
      <c r="G1212" s="17" t="s">
        <v>7769</v>
      </c>
    </row>
    <row r="1213" spans="1:7" x14ac:dyDescent="0.25">
      <c r="A1213">
        <f t="shared" si="19"/>
        <v>5101855</v>
      </c>
      <c r="B1213" s="15">
        <v>140640328</v>
      </c>
      <c r="C1213" s="15">
        <v>290221427</v>
      </c>
      <c r="D1213" s="16">
        <v>510185506</v>
      </c>
      <c r="E1213" s="16" t="s">
        <v>7767</v>
      </c>
      <c r="F1213" s="20" t="s">
        <v>7529</v>
      </c>
      <c r="G1213" s="17" t="s">
        <v>7775</v>
      </c>
    </row>
    <row r="1214" spans="1:7" x14ac:dyDescent="0.25">
      <c r="A1214">
        <f t="shared" si="19"/>
        <v>5101852</v>
      </c>
      <c r="B1214" s="15">
        <v>140640328</v>
      </c>
      <c r="C1214" s="15">
        <v>290221430</v>
      </c>
      <c r="D1214" s="16">
        <v>510185202</v>
      </c>
      <c r="E1214" s="16" t="s">
        <v>7767</v>
      </c>
      <c r="F1214" s="20" t="s">
        <v>7785</v>
      </c>
      <c r="G1214" s="17" t="s">
        <v>7772</v>
      </c>
    </row>
    <row r="1215" spans="1:7" x14ac:dyDescent="0.25">
      <c r="A1215">
        <f t="shared" ref="A1215:A1278" si="20">LEFT(D1215,7)*1</f>
        <v>5101855</v>
      </c>
      <c r="B1215" s="15">
        <v>140640328</v>
      </c>
      <c r="C1215" s="15">
        <v>290221414</v>
      </c>
      <c r="D1215" s="16">
        <v>510185505</v>
      </c>
      <c r="E1215" s="16" t="s">
        <v>7767</v>
      </c>
      <c r="F1215" s="20" t="s">
        <v>7526</v>
      </c>
      <c r="G1215" s="17" t="s">
        <v>7775</v>
      </c>
    </row>
    <row r="1216" spans="1:7" x14ac:dyDescent="0.25">
      <c r="A1216">
        <f t="shared" si="20"/>
        <v>5101852</v>
      </c>
      <c r="B1216" s="15">
        <v>140640328</v>
      </c>
      <c r="C1216" s="15">
        <v>290221415</v>
      </c>
      <c r="D1216" s="16">
        <v>510185203</v>
      </c>
      <c r="E1216" s="16" t="s">
        <v>7767</v>
      </c>
      <c r="F1216" s="20" t="s">
        <v>7786</v>
      </c>
      <c r="G1216" s="17" t="s">
        <v>7772</v>
      </c>
    </row>
    <row r="1217" spans="1:7" x14ac:dyDescent="0.25">
      <c r="A1217">
        <f t="shared" si="20"/>
        <v>5101863</v>
      </c>
      <c r="B1217" s="15">
        <v>140640328</v>
      </c>
      <c r="C1217" s="15">
        <v>290221426</v>
      </c>
      <c r="D1217" s="16">
        <v>510186304</v>
      </c>
      <c r="E1217" s="16" t="s">
        <v>7767</v>
      </c>
      <c r="F1217" s="20" t="s">
        <v>7518</v>
      </c>
      <c r="G1217" s="17" t="s">
        <v>7770</v>
      </c>
    </row>
    <row r="1218" spans="1:7" x14ac:dyDescent="0.25">
      <c r="A1218">
        <f t="shared" si="20"/>
        <v>5101855</v>
      </c>
      <c r="B1218" s="15">
        <v>140640328</v>
      </c>
      <c r="C1218" s="15">
        <v>290221379</v>
      </c>
      <c r="D1218" s="16">
        <v>510185510</v>
      </c>
      <c r="E1218" s="16" t="s">
        <v>7767</v>
      </c>
      <c r="F1218" s="20" t="s">
        <v>7525</v>
      </c>
      <c r="G1218" s="17" t="s">
        <v>7775</v>
      </c>
    </row>
    <row r="1219" spans="1:7" x14ac:dyDescent="0.25">
      <c r="A1219">
        <f t="shared" si="20"/>
        <v>5101852</v>
      </c>
      <c r="B1219" s="15">
        <v>140640328</v>
      </c>
      <c r="C1219" s="15">
        <v>290221403</v>
      </c>
      <c r="D1219" s="16">
        <v>510185201</v>
      </c>
      <c r="E1219" s="16" t="s">
        <v>7767</v>
      </c>
      <c r="F1219" s="20" t="s">
        <v>7787</v>
      </c>
      <c r="G1219" s="17" t="s">
        <v>7772</v>
      </c>
    </row>
    <row r="1220" spans="1:7" x14ac:dyDescent="0.25">
      <c r="A1220">
        <f t="shared" si="20"/>
        <v>5101855</v>
      </c>
      <c r="B1220" s="15">
        <v>140640328</v>
      </c>
      <c r="C1220" s="15">
        <v>290221370</v>
      </c>
      <c r="D1220" s="16">
        <v>510185500</v>
      </c>
      <c r="E1220" s="16" t="s">
        <v>7767</v>
      </c>
      <c r="F1220" s="20" t="s">
        <v>7541</v>
      </c>
      <c r="G1220" s="17" t="s">
        <v>7775</v>
      </c>
    </row>
    <row r="1221" spans="1:7" x14ac:dyDescent="0.25">
      <c r="A1221">
        <f t="shared" si="20"/>
        <v>5101855</v>
      </c>
      <c r="B1221" s="15">
        <v>140640328</v>
      </c>
      <c r="C1221" s="15">
        <v>290221346</v>
      </c>
      <c r="D1221" s="16">
        <v>510185503</v>
      </c>
      <c r="E1221" s="16" t="s">
        <v>7767</v>
      </c>
      <c r="F1221" s="20" t="s">
        <v>7523</v>
      </c>
      <c r="G1221" s="17" t="s">
        <v>7775</v>
      </c>
    </row>
    <row r="1222" spans="1:7" x14ac:dyDescent="0.25">
      <c r="A1222">
        <f t="shared" si="20"/>
        <v>5101863</v>
      </c>
      <c r="B1222" s="15">
        <v>140640328</v>
      </c>
      <c r="C1222" s="15">
        <v>290221425</v>
      </c>
      <c r="D1222" s="16">
        <v>510186300</v>
      </c>
      <c r="E1222" s="16" t="s">
        <v>7767</v>
      </c>
      <c r="F1222" s="20" t="s">
        <v>7531</v>
      </c>
      <c r="G1222" s="17" t="s">
        <v>7770</v>
      </c>
    </row>
    <row r="1223" spans="1:7" x14ac:dyDescent="0.25">
      <c r="A1223">
        <f t="shared" si="20"/>
        <v>5101855</v>
      </c>
      <c r="B1223" s="15">
        <v>140640328</v>
      </c>
      <c r="C1223" s="15">
        <v>290221386</v>
      </c>
      <c r="D1223" s="16">
        <v>510185502</v>
      </c>
      <c r="E1223" s="16" t="s">
        <v>7767</v>
      </c>
      <c r="F1223" s="20" t="s">
        <v>7539</v>
      </c>
      <c r="G1223" s="17" t="s">
        <v>7775</v>
      </c>
    </row>
    <row r="1224" spans="1:7" x14ac:dyDescent="0.25">
      <c r="A1224">
        <f t="shared" si="20"/>
        <v>5101853</v>
      </c>
      <c r="B1224" s="15">
        <v>140640167</v>
      </c>
      <c r="C1224" s="15">
        <v>290220265</v>
      </c>
      <c r="D1224" s="16">
        <v>510185309</v>
      </c>
      <c r="E1224" s="16" t="s">
        <v>7788</v>
      </c>
      <c r="F1224" s="20" t="s">
        <v>7200</v>
      </c>
      <c r="G1224" s="17" t="s">
        <v>7789</v>
      </c>
    </row>
    <row r="1225" spans="1:7" x14ac:dyDescent="0.25">
      <c r="A1225">
        <f t="shared" si="20"/>
        <v>5101856</v>
      </c>
      <c r="B1225" s="15">
        <v>140640167</v>
      </c>
      <c r="C1225" s="15">
        <v>290220266</v>
      </c>
      <c r="D1225" s="16">
        <v>510185607</v>
      </c>
      <c r="E1225" s="16" t="s">
        <v>7788</v>
      </c>
      <c r="F1225" s="20" t="s">
        <v>7179</v>
      </c>
      <c r="G1225" s="17" t="s">
        <v>7790</v>
      </c>
    </row>
    <row r="1226" spans="1:7" x14ac:dyDescent="0.25">
      <c r="A1226">
        <f t="shared" si="20"/>
        <v>5101141</v>
      </c>
      <c r="B1226" s="15">
        <v>140640167</v>
      </c>
      <c r="C1226" s="15">
        <v>290220269</v>
      </c>
      <c r="D1226" s="16">
        <v>510114107</v>
      </c>
      <c r="E1226" s="16" t="s">
        <v>7788</v>
      </c>
      <c r="F1226" s="20" t="s">
        <v>7320</v>
      </c>
      <c r="G1226" s="17" t="s">
        <v>7791</v>
      </c>
    </row>
    <row r="1227" spans="1:7" x14ac:dyDescent="0.25">
      <c r="A1227">
        <f t="shared" si="20"/>
        <v>5101864</v>
      </c>
      <c r="B1227" s="15">
        <v>140640167</v>
      </c>
      <c r="C1227" s="15">
        <v>290220263</v>
      </c>
      <c r="D1227" s="16">
        <v>510186409</v>
      </c>
      <c r="E1227" s="16" t="s">
        <v>7788</v>
      </c>
      <c r="F1227" s="20" t="s">
        <v>7182</v>
      </c>
      <c r="G1227" s="17" t="s">
        <v>7792</v>
      </c>
    </row>
    <row r="1228" spans="1:7" x14ac:dyDescent="0.25">
      <c r="A1228">
        <f t="shared" si="20"/>
        <v>5101856</v>
      </c>
      <c r="B1228" s="15">
        <v>140640167</v>
      </c>
      <c r="C1228" s="15">
        <v>290220268</v>
      </c>
      <c r="D1228" s="16">
        <v>510185609</v>
      </c>
      <c r="E1228" s="16" t="s">
        <v>7788</v>
      </c>
      <c r="F1228" s="20" t="s">
        <v>7181</v>
      </c>
      <c r="G1228" s="17" t="s">
        <v>7790</v>
      </c>
    </row>
    <row r="1229" spans="1:7" x14ac:dyDescent="0.25">
      <c r="A1229">
        <f t="shared" si="20"/>
        <v>5101856</v>
      </c>
      <c r="B1229" s="15">
        <v>140640167</v>
      </c>
      <c r="C1229" s="15">
        <v>290220267</v>
      </c>
      <c r="D1229" s="16">
        <v>510185608</v>
      </c>
      <c r="E1229" s="16" t="s">
        <v>7788</v>
      </c>
      <c r="F1229" s="20" t="s">
        <v>7180</v>
      </c>
      <c r="G1229" s="17" t="s">
        <v>7790</v>
      </c>
    </row>
    <row r="1230" spans="1:7" x14ac:dyDescent="0.25">
      <c r="A1230">
        <f t="shared" si="20"/>
        <v>5101853</v>
      </c>
      <c r="B1230" s="15">
        <v>140640167</v>
      </c>
      <c r="C1230" s="15">
        <v>290220255</v>
      </c>
      <c r="D1230" s="16">
        <v>510185307</v>
      </c>
      <c r="E1230" s="16" t="s">
        <v>7788</v>
      </c>
      <c r="F1230" s="20" t="s">
        <v>7199</v>
      </c>
      <c r="G1230" s="17" t="s">
        <v>7789</v>
      </c>
    </row>
    <row r="1231" spans="1:7" x14ac:dyDescent="0.25">
      <c r="A1231">
        <f t="shared" si="20"/>
        <v>5101864</v>
      </c>
      <c r="B1231" s="15">
        <v>140640167</v>
      </c>
      <c r="C1231" s="15">
        <v>290220253</v>
      </c>
      <c r="D1231" s="16">
        <v>510186407</v>
      </c>
      <c r="E1231" s="16" t="s">
        <v>7788</v>
      </c>
      <c r="F1231" s="20" t="s">
        <v>7176</v>
      </c>
      <c r="G1231" s="17" t="s">
        <v>7792</v>
      </c>
    </row>
    <row r="1232" spans="1:7" x14ac:dyDescent="0.25">
      <c r="A1232">
        <f t="shared" si="20"/>
        <v>5101864</v>
      </c>
      <c r="B1232" s="15">
        <v>140640167</v>
      </c>
      <c r="C1232" s="15">
        <v>290220258</v>
      </c>
      <c r="D1232" s="16">
        <v>510186408</v>
      </c>
      <c r="E1232" s="16" t="s">
        <v>7788</v>
      </c>
      <c r="F1232" s="20" t="s">
        <v>7177</v>
      </c>
      <c r="G1232" s="17" t="s">
        <v>7792</v>
      </c>
    </row>
    <row r="1233" spans="1:7" x14ac:dyDescent="0.25">
      <c r="A1233">
        <f t="shared" si="20"/>
        <v>5101853</v>
      </c>
      <c r="B1233" s="15">
        <v>140640167</v>
      </c>
      <c r="C1233" s="15">
        <v>290220264</v>
      </c>
      <c r="D1233" s="16">
        <v>510185308</v>
      </c>
      <c r="E1233" s="16" t="s">
        <v>7788</v>
      </c>
      <c r="F1233" s="20" t="s">
        <v>7201</v>
      </c>
      <c r="G1233" s="17" t="s">
        <v>7789</v>
      </c>
    </row>
    <row r="1234" spans="1:7" x14ac:dyDescent="0.25">
      <c r="A1234">
        <f t="shared" si="20"/>
        <v>5101141</v>
      </c>
      <c r="B1234" s="15">
        <v>140640167</v>
      </c>
      <c r="C1234" s="15">
        <v>290220271</v>
      </c>
      <c r="D1234" s="16">
        <v>510114109</v>
      </c>
      <c r="E1234" s="16" t="s">
        <v>7788</v>
      </c>
      <c r="F1234" s="20" t="s">
        <v>7321</v>
      </c>
      <c r="G1234" s="17" t="s">
        <v>7791</v>
      </c>
    </row>
    <row r="1235" spans="1:7" x14ac:dyDescent="0.25">
      <c r="A1235">
        <f t="shared" si="20"/>
        <v>5101141</v>
      </c>
      <c r="B1235" s="15">
        <v>140640167</v>
      </c>
      <c r="C1235" s="15">
        <v>290220270</v>
      </c>
      <c r="D1235" s="16">
        <v>510114108</v>
      </c>
      <c r="E1235" s="16" t="s">
        <v>7788</v>
      </c>
      <c r="F1235" s="20" t="s">
        <v>7319</v>
      </c>
      <c r="G1235" s="17" t="s">
        <v>7791</v>
      </c>
    </row>
    <row r="1236" spans="1:7" x14ac:dyDescent="0.25">
      <c r="A1236">
        <f t="shared" si="20"/>
        <v>5101864</v>
      </c>
      <c r="B1236" s="15">
        <v>140640123</v>
      </c>
      <c r="C1236" s="15">
        <v>290219767</v>
      </c>
      <c r="D1236" s="16">
        <v>510186407</v>
      </c>
      <c r="E1236" s="16" t="s">
        <v>7793</v>
      </c>
      <c r="F1236" s="20" t="s">
        <v>7176</v>
      </c>
      <c r="G1236" s="17" t="s">
        <v>7794</v>
      </c>
    </row>
    <row r="1237" spans="1:7" x14ac:dyDescent="0.25">
      <c r="A1237">
        <f t="shared" si="20"/>
        <v>5101864</v>
      </c>
      <c r="B1237" s="15">
        <v>140640123</v>
      </c>
      <c r="C1237" s="15">
        <v>290219776</v>
      </c>
      <c r="D1237" s="16">
        <v>510186408</v>
      </c>
      <c r="E1237" s="16" t="s">
        <v>7793</v>
      </c>
      <c r="F1237" s="20" t="s">
        <v>7177</v>
      </c>
      <c r="G1237" s="17" t="s">
        <v>7794</v>
      </c>
    </row>
    <row r="1238" spans="1:7" x14ac:dyDescent="0.25">
      <c r="A1238">
        <f t="shared" si="20"/>
        <v>5101853</v>
      </c>
      <c r="B1238" s="15">
        <v>140640123</v>
      </c>
      <c r="C1238" s="15">
        <v>290219755</v>
      </c>
      <c r="D1238" s="16">
        <v>510185307</v>
      </c>
      <c r="E1238" s="16" t="s">
        <v>7793</v>
      </c>
      <c r="F1238" s="20" t="s">
        <v>7199</v>
      </c>
      <c r="G1238" s="17" t="s">
        <v>7795</v>
      </c>
    </row>
    <row r="1239" spans="1:7" x14ac:dyDescent="0.25">
      <c r="A1239">
        <f t="shared" si="20"/>
        <v>5101864</v>
      </c>
      <c r="B1239" s="15">
        <v>140640123</v>
      </c>
      <c r="C1239" s="15">
        <v>290219780</v>
      </c>
      <c r="D1239" s="16">
        <v>510186409</v>
      </c>
      <c r="E1239" s="16" t="s">
        <v>7793</v>
      </c>
      <c r="F1239" s="20" t="s">
        <v>7182</v>
      </c>
      <c r="G1239" s="17" t="s">
        <v>7794</v>
      </c>
    </row>
    <row r="1240" spans="1:7" x14ac:dyDescent="0.25">
      <c r="A1240">
        <f t="shared" si="20"/>
        <v>5101856</v>
      </c>
      <c r="B1240" s="15">
        <v>140640123</v>
      </c>
      <c r="C1240" s="15">
        <v>290219808</v>
      </c>
      <c r="D1240" s="16">
        <v>510185608</v>
      </c>
      <c r="E1240" s="16" t="s">
        <v>7793</v>
      </c>
      <c r="F1240" s="20" t="s">
        <v>7180</v>
      </c>
      <c r="G1240" s="17" t="s">
        <v>7796</v>
      </c>
    </row>
    <row r="1241" spans="1:7" x14ac:dyDescent="0.25">
      <c r="A1241">
        <f t="shared" si="20"/>
        <v>5101141</v>
      </c>
      <c r="B1241" s="15">
        <v>140640123</v>
      </c>
      <c r="C1241" s="15">
        <v>290219843</v>
      </c>
      <c r="D1241" s="16">
        <v>510114108</v>
      </c>
      <c r="E1241" s="16" t="s">
        <v>7793</v>
      </c>
      <c r="F1241" s="20" t="s">
        <v>7319</v>
      </c>
      <c r="G1241" s="17" t="s">
        <v>7797</v>
      </c>
    </row>
    <row r="1242" spans="1:7" x14ac:dyDescent="0.25">
      <c r="A1242">
        <f t="shared" si="20"/>
        <v>5101853</v>
      </c>
      <c r="B1242" s="15">
        <v>140640123</v>
      </c>
      <c r="C1242" s="15">
        <v>290219797</v>
      </c>
      <c r="D1242" s="16">
        <v>510185309</v>
      </c>
      <c r="E1242" s="16" t="s">
        <v>7793</v>
      </c>
      <c r="F1242" s="20" t="s">
        <v>7200</v>
      </c>
      <c r="G1242" s="17" t="s">
        <v>7795</v>
      </c>
    </row>
    <row r="1243" spans="1:7" x14ac:dyDescent="0.25">
      <c r="A1243">
        <f t="shared" si="20"/>
        <v>5101856</v>
      </c>
      <c r="B1243" s="15">
        <v>140640123</v>
      </c>
      <c r="C1243" s="15">
        <v>290219803</v>
      </c>
      <c r="D1243" s="16">
        <v>510185607</v>
      </c>
      <c r="E1243" s="16" t="s">
        <v>7793</v>
      </c>
      <c r="F1243" s="20" t="s">
        <v>7179</v>
      </c>
      <c r="G1243" s="17" t="s">
        <v>7796</v>
      </c>
    </row>
    <row r="1244" spans="1:7" x14ac:dyDescent="0.25">
      <c r="A1244">
        <f t="shared" si="20"/>
        <v>5101141</v>
      </c>
      <c r="B1244" s="15">
        <v>140640123</v>
      </c>
      <c r="C1244" s="15">
        <v>290219833</v>
      </c>
      <c r="D1244" s="16">
        <v>510114107</v>
      </c>
      <c r="E1244" s="16" t="s">
        <v>7793</v>
      </c>
      <c r="F1244" s="20" t="s">
        <v>7320</v>
      </c>
      <c r="G1244" s="17" t="s">
        <v>7797</v>
      </c>
    </row>
    <row r="1245" spans="1:7" x14ac:dyDescent="0.25">
      <c r="A1245">
        <f t="shared" si="20"/>
        <v>5101856</v>
      </c>
      <c r="B1245" s="15">
        <v>140640123</v>
      </c>
      <c r="C1245" s="15">
        <v>290219818</v>
      </c>
      <c r="D1245" s="16">
        <v>510185609</v>
      </c>
      <c r="E1245" s="16" t="s">
        <v>7793</v>
      </c>
      <c r="F1245" s="20" t="s">
        <v>7181</v>
      </c>
      <c r="G1245" s="17" t="s">
        <v>7796</v>
      </c>
    </row>
    <row r="1246" spans="1:7" x14ac:dyDescent="0.25">
      <c r="A1246">
        <f t="shared" si="20"/>
        <v>5101853</v>
      </c>
      <c r="B1246" s="15">
        <v>140640123</v>
      </c>
      <c r="C1246" s="15">
        <v>290219791</v>
      </c>
      <c r="D1246" s="16">
        <v>510185308</v>
      </c>
      <c r="E1246" s="16" t="s">
        <v>7793</v>
      </c>
      <c r="F1246" s="20" t="s">
        <v>7201</v>
      </c>
      <c r="G1246" s="17" t="s">
        <v>7795</v>
      </c>
    </row>
    <row r="1247" spans="1:7" x14ac:dyDescent="0.25">
      <c r="A1247">
        <f t="shared" si="20"/>
        <v>5101141</v>
      </c>
      <c r="B1247" s="15">
        <v>140640123</v>
      </c>
      <c r="C1247" s="15">
        <v>290219852</v>
      </c>
      <c r="D1247" s="16">
        <v>510114109</v>
      </c>
      <c r="E1247" s="16" t="s">
        <v>7793</v>
      </c>
      <c r="F1247" s="20" t="s">
        <v>7321</v>
      </c>
      <c r="G1247" s="17" t="s">
        <v>7797</v>
      </c>
    </row>
    <row r="1248" spans="1:7" x14ac:dyDescent="0.25">
      <c r="A1248">
        <f t="shared" si="20"/>
        <v>2103068</v>
      </c>
      <c r="B1248" s="15">
        <v>140640276</v>
      </c>
      <c r="C1248" s="15">
        <v>290220940</v>
      </c>
      <c r="D1248" s="16">
        <v>210306810</v>
      </c>
      <c r="E1248" s="16" t="s">
        <v>7798</v>
      </c>
      <c r="F1248" s="20" t="s">
        <v>7191</v>
      </c>
      <c r="G1248" s="17" t="s">
        <v>7799</v>
      </c>
    </row>
    <row r="1249" spans="1:7" x14ac:dyDescent="0.25">
      <c r="A1249">
        <f t="shared" si="20"/>
        <v>2103068</v>
      </c>
      <c r="B1249" s="15">
        <v>140640276</v>
      </c>
      <c r="C1249" s="15">
        <v>290220990</v>
      </c>
      <c r="D1249" s="16">
        <v>210306804</v>
      </c>
      <c r="E1249" s="16" t="s">
        <v>7798</v>
      </c>
      <c r="F1249" s="20" t="s">
        <v>7193</v>
      </c>
      <c r="G1249" s="17" t="s">
        <v>7799</v>
      </c>
    </row>
    <row r="1250" spans="1:7" x14ac:dyDescent="0.25">
      <c r="A1250">
        <f t="shared" si="20"/>
        <v>2103068</v>
      </c>
      <c r="B1250" s="15">
        <v>140640276</v>
      </c>
      <c r="C1250" s="15">
        <v>290220985</v>
      </c>
      <c r="D1250" s="16">
        <v>210306802</v>
      </c>
      <c r="E1250" s="16" t="s">
        <v>7798</v>
      </c>
      <c r="F1250" s="20" t="s">
        <v>7198</v>
      </c>
      <c r="G1250" s="17" t="s">
        <v>7799</v>
      </c>
    </row>
    <row r="1251" spans="1:7" x14ac:dyDescent="0.25">
      <c r="A1251">
        <f t="shared" si="20"/>
        <v>2103068</v>
      </c>
      <c r="B1251" s="15">
        <v>140640276</v>
      </c>
      <c r="C1251" s="15">
        <v>290221006</v>
      </c>
      <c r="D1251" s="16">
        <v>210306803</v>
      </c>
      <c r="E1251" s="16" t="s">
        <v>7798</v>
      </c>
      <c r="F1251" s="20" t="s">
        <v>7194</v>
      </c>
      <c r="G1251" s="17" t="s">
        <v>7799</v>
      </c>
    </row>
    <row r="1252" spans="1:7" x14ac:dyDescent="0.25">
      <c r="A1252">
        <f t="shared" si="20"/>
        <v>2101202</v>
      </c>
      <c r="B1252" s="15">
        <v>140640276</v>
      </c>
      <c r="C1252" s="15">
        <v>290220980</v>
      </c>
      <c r="D1252" s="16">
        <v>210120203</v>
      </c>
      <c r="E1252" s="16" t="s">
        <v>7798</v>
      </c>
      <c r="F1252" s="20" t="s">
        <v>7314</v>
      </c>
      <c r="G1252" s="17" t="s">
        <v>7800</v>
      </c>
    </row>
    <row r="1253" spans="1:7" x14ac:dyDescent="0.25">
      <c r="A1253">
        <f t="shared" si="20"/>
        <v>2103068</v>
      </c>
      <c r="B1253" s="15">
        <v>140640276</v>
      </c>
      <c r="C1253" s="15">
        <v>290221016</v>
      </c>
      <c r="D1253" s="16">
        <v>210306806</v>
      </c>
      <c r="E1253" s="16" t="s">
        <v>7798</v>
      </c>
      <c r="F1253" s="20" t="s">
        <v>7183</v>
      </c>
      <c r="G1253" s="17" t="s">
        <v>7799</v>
      </c>
    </row>
    <row r="1254" spans="1:7" x14ac:dyDescent="0.25">
      <c r="A1254">
        <f t="shared" si="20"/>
        <v>2103069</v>
      </c>
      <c r="B1254" s="15">
        <v>140640276</v>
      </c>
      <c r="C1254" s="15">
        <v>290220937</v>
      </c>
      <c r="D1254" s="16">
        <v>210306906</v>
      </c>
      <c r="E1254" s="16" t="s">
        <v>7798</v>
      </c>
      <c r="F1254" s="20" t="s">
        <v>7178</v>
      </c>
      <c r="G1254" s="17" t="s">
        <v>7801</v>
      </c>
    </row>
    <row r="1255" spans="1:7" x14ac:dyDescent="0.25">
      <c r="A1255">
        <f t="shared" si="20"/>
        <v>2103068</v>
      </c>
      <c r="B1255" s="15">
        <v>140640276</v>
      </c>
      <c r="C1255" s="15">
        <v>290220997</v>
      </c>
      <c r="D1255" s="16">
        <v>210306805</v>
      </c>
      <c r="E1255" s="16" t="s">
        <v>7798</v>
      </c>
      <c r="F1255" s="20" t="s">
        <v>7196</v>
      </c>
      <c r="G1255" s="17" t="s">
        <v>7799</v>
      </c>
    </row>
    <row r="1256" spans="1:7" x14ac:dyDescent="0.25">
      <c r="A1256">
        <f t="shared" si="20"/>
        <v>2103068</v>
      </c>
      <c r="B1256" s="15">
        <v>140640276</v>
      </c>
      <c r="C1256" s="15">
        <v>290220960</v>
      </c>
      <c r="D1256" s="16">
        <v>210306801</v>
      </c>
      <c r="E1256" s="16" t="s">
        <v>7798</v>
      </c>
      <c r="F1256" s="20" t="s">
        <v>7197</v>
      </c>
      <c r="G1256" s="17" t="s">
        <v>7799</v>
      </c>
    </row>
    <row r="1257" spans="1:7" x14ac:dyDescent="0.25">
      <c r="A1257">
        <f t="shared" si="20"/>
        <v>2103068</v>
      </c>
      <c r="B1257" s="15">
        <v>140640276</v>
      </c>
      <c r="C1257" s="15">
        <v>290220947</v>
      </c>
      <c r="D1257" s="16">
        <v>210306800</v>
      </c>
      <c r="E1257" s="16" t="s">
        <v>7798</v>
      </c>
      <c r="F1257" s="20" t="s">
        <v>7195</v>
      </c>
      <c r="G1257" s="17" t="s">
        <v>7799</v>
      </c>
    </row>
    <row r="1258" spans="1:7" x14ac:dyDescent="0.25">
      <c r="A1258">
        <f t="shared" si="20"/>
        <v>2101000</v>
      </c>
      <c r="B1258" s="15">
        <v>140640276</v>
      </c>
      <c r="C1258" s="15">
        <v>290221002</v>
      </c>
      <c r="D1258" s="16">
        <v>210100000</v>
      </c>
      <c r="E1258" s="16" t="s">
        <v>7798</v>
      </c>
      <c r="F1258" s="20" t="s">
        <v>7188</v>
      </c>
      <c r="G1258" s="17" t="s">
        <v>7802</v>
      </c>
    </row>
    <row r="1259" spans="1:7" x14ac:dyDescent="0.25">
      <c r="A1259">
        <f t="shared" si="20"/>
        <v>2101202</v>
      </c>
      <c r="B1259" s="15">
        <v>140640276</v>
      </c>
      <c r="C1259" s="15">
        <v>290221061</v>
      </c>
      <c r="D1259" s="16">
        <v>210120200</v>
      </c>
      <c r="E1259" s="16" t="s">
        <v>7798</v>
      </c>
      <c r="F1259" s="20" t="s">
        <v>7311</v>
      </c>
      <c r="G1259" s="17" t="s">
        <v>7800</v>
      </c>
    </row>
    <row r="1260" spans="1:7" x14ac:dyDescent="0.25">
      <c r="A1260">
        <f t="shared" si="20"/>
        <v>2101202</v>
      </c>
      <c r="B1260" s="15">
        <v>140640276</v>
      </c>
      <c r="C1260" s="15">
        <v>290221024</v>
      </c>
      <c r="D1260" s="16">
        <v>210120204</v>
      </c>
      <c r="E1260" s="16" t="s">
        <v>7798</v>
      </c>
      <c r="F1260" s="20" t="s">
        <v>7315</v>
      </c>
      <c r="G1260" s="17" t="s">
        <v>7800</v>
      </c>
    </row>
    <row r="1261" spans="1:7" x14ac:dyDescent="0.25">
      <c r="A1261">
        <f t="shared" si="20"/>
        <v>2101000</v>
      </c>
      <c r="B1261" s="15">
        <v>140640276</v>
      </c>
      <c r="C1261" s="15">
        <v>290221038</v>
      </c>
      <c r="D1261" s="16">
        <v>210100010</v>
      </c>
      <c r="E1261" s="16" t="s">
        <v>7798</v>
      </c>
      <c r="F1261" s="20" t="s">
        <v>7190</v>
      </c>
      <c r="G1261" s="17" t="s">
        <v>7802</v>
      </c>
    </row>
    <row r="1262" spans="1:7" x14ac:dyDescent="0.25">
      <c r="A1262">
        <f t="shared" si="20"/>
        <v>2101000</v>
      </c>
      <c r="B1262" s="15">
        <v>140640276</v>
      </c>
      <c r="C1262" s="15">
        <v>290221032</v>
      </c>
      <c r="D1262" s="16">
        <v>210100001</v>
      </c>
      <c r="E1262" s="16" t="s">
        <v>7798</v>
      </c>
      <c r="F1262" s="20" t="s">
        <v>7108</v>
      </c>
      <c r="G1262" s="17" t="s">
        <v>7802</v>
      </c>
    </row>
    <row r="1263" spans="1:7" x14ac:dyDescent="0.25">
      <c r="A1263">
        <f t="shared" si="20"/>
        <v>2101000</v>
      </c>
      <c r="B1263" s="15">
        <v>140640276</v>
      </c>
      <c r="C1263" s="15">
        <v>290221043</v>
      </c>
      <c r="D1263" s="16">
        <v>210100006</v>
      </c>
      <c r="E1263" s="16" t="s">
        <v>7798</v>
      </c>
      <c r="F1263" s="20" t="s">
        <v>7113</v>
      </c>
      <c r="G1263" s="17" t="s">
        <v>7802</v>
      </c>
    </row>
    <row r="1264" spans="1:7" x14ac:dyDescent="0.25">
      <c r="A1264">
        <f t="shared" si="20"/>
        <v>2101202</v>
      </c>
      <c r="B1264" s="15">
        <v>140640276</v>
      </c>
      <c r="C1264" s="15">
        <v>290221048</v>
      </c>
      <c r="D1264" s="16">
        <v>210120206</v>
      </c>
      <c r="E1264" s="16" t="s">
        <v>7798</v>
      </c>
      <c r="F1264" s="20" t="s">
        <v>7317</v>
      </c>
      <c r="G1264" s="17" t="s">
        <v>7800</v>
      </c>
    </row>
    <row r="1265" spans="1:7" x14ac:dyDescent="0.25">
      <c r="A1265">
        <f t="shared" si="20"/>
        <v>2103069</v>
      </c>
      <c r="B1265" s="15">
        <v>140640276</v>
      </c>
      <c r="C1265" s="15">
        <v>290221059</v>
      </c>
      <c r="D1265" s="16">
        <v>210306904</v>
      </c>
      <c r="E1265" s="16" t="s">
        <v>7798</v>
      </c>
      <c r="F1265" s="20" t="s">
        <v>7189</v>
      </c>
      <c r="G1265" s="17" t="s">
        <v>7801</v>
      </c>
    </row>
    <row r="1266" spans="1:7" x14ac:dyDescent="0.25">
      <c r="A1266">
        <f t="shared" si="20"/>
        <v>2101000</v>
      </c>
      <c r="B1266" s="15">
        <v>140640276</v>
      </c>
      <c r="C1266" s="15">
        <v>290221056</v>
      </c>
      <c r="D1266" s="16">
        <v>210100002</v>
      </c>
      <c r="E1266" s="16" t="s">
        <v>7798</v>
      </c>
      <c r="F1266" s="20" t="s">
        <v>7109</v>
      </c>
      <c r="G1266" s="17" t="s">
        <v>7802</v>
      </c>
    </row>
    <row r="1267" spans="1:7" x14ac:dyDescent="0.25">
      <c r="A1267">
        <f t="shared" si="20"/>
        <v>2101202</v>
      </c>
      <c r="B1267" s="15">
        <v>140640276</v>
      </c>
      <c r="C1267" s="15">
        <v>290221099</v>
      </c>
      <c r="D1267" s="16">
        <v>210120205</v>
      </c>
      <c r="E1267" s="16" t="s">
        <v>7798</v>
      </c>
      <c r="F1267" s="20" t="s">
        <v>7316</v>
      </c>
      <c r="G1267" s="17" t="s">
        <v>7800</v>
      </c>
    </row>
    <row r="1268" spans="1:7" x14ac:dyDescent="0.25">
      <c r="A1268">
        <f t="shared" si="20"/>
        <v>2103069</v>
      </c>
      <c r="B1268" s="15">
        <v>140640276</v>
      </c>
      <c r="C1268" s="15">
        <v>290221105</v>
      </c>
      <c r="D1268" s="16">
        <v>210306903</v>
      </c>
      <c r="E1268" s="16" t="s">
        <v>7798</v>
      </c>
      <c r="F1268" s="20" t="s">
        <v>7187</v>
      </c>
      <c r="G1268" s="17" t="s">
        <v>7801</v>
      </c>
    </row>
    <row r="1269" spans="1:7" x14ac:dyDescent="0.25">
      <c r="A1269">
        <f t="shared" si="20"/>
        <v>2103069</v>
      </c>
      <c r="B1269" s="15">
        <v>140640276</v>
      </c>
      <c r="C1269" s="15">
        <v>290221083</v>
      </c>
      <c r="D1269" s="16">
        <v>210306910</v>
      </c>
      <c r="E1269" s="16" t="s">
        <v>7798</v>
      </c>
      <c r="F1269" s="20" t="s">
        <v>7192</v>
      </c>
      <c r="G1269" s="17" t="s">
        <v>7801</v>
      </c>
    </row>
    <row r="1270" spans="1:7" x14ac:dyDescent="0.25">
      <c r="A1270">
        <f t="shared" si="20"/>
        <v>2101202</v>
      </c>
      <c r="B1270" s="15">
        <v>140640276</v>
      </c>
      <c r="C1270" s="15">
        <v>290221074</v>
      </c>
      <c r="D1270" s="16">
        <v>210120202</v>
      </c>
      <c r="E1270" s="16" t="s">
        <v>7798</v>
      </c>
      <c r="F1270" s="20" t="s">
        <v>7313</v>
      </c>
      <c r="G1270" s="17" t="s">
        <v>7800</v>
      </c>
    </row>
    <row r="1271" spans="1:7" x14ac:dyDescent="0.25">
      <c r="A1271">
        <f t="shared" si="20"/>
        <v>2103069</v>
      </c>
      <c r="B1271" s="15">
        <v>140640276</v>
      </c>
      <c r="C1271" s="15">
        <v>290221065</v>
      </c>
      <c r="D1271" s="16">
        <v>210306901</v>
      </c>
      <c r="E1271" s="16" t="s">
        <v>7798</v>
      </c>
      <c r="F1271" s="20" t="s">
        <v>7186</v>
      </c>
      <c r="G1271" s="17" t="s">
        <v>7801</v>
      </c>
    </row>
    <row r="1272" spans="1:7" x14ac:dyDescent="0.25">
      <c r="A1272">
        <f t="shared" si="20"/>
        <v>2103069</v>
      </c>
      <c r="B1272" s="15">
        <v>140640276</v>
      </c>
      <c r="C1272" s="15">
        <v>290221132</v>
      </c>
      <c r="D1272" s="16">
        <v>210306900</v>
      </c>
      <c r="E1272" s="16" t="s">
        <v>7798</v>
      </c>
      <c r="F1272" s="20" t="s">
        <v>7202</v>
      </c>
      <c r="G1272" s="17" t="s">
        <v>7801</v>
      </c>
    </row>
    <row r="1273" spans="1:7" x14ac:dyDescent="0.25">
      <c r="A1273">
        <f t="shared" si="20"/>
        <v>2101000</v>
      </c>
      <c r="B1273" s="15">
        <v>140640276</v>
      </c>
      <c r="C1273" s="15">
        <v>290221124</v>
      </c>
      <c r="D1273" s="16">
        <v>210100003</v>
      </c>
      <c r="E1273" s="16" t="s">
        <v>7798</v>
      </c>
      <c r="F1273" s="20" t="s">
        <v>7110</v>
      </c>
      <c r="G1273" s="17" t="s">
        <v>7802</v>
      </c>
    </row>
    <row r="1274" spans="1:7" x14ac:dyDescent="0.25">
      <c r="A1274">
        <f t="shared" si="20"/>
        <v>2101202</v>
      </c>
      <c r="B1274" s="15">
        <v>140640276</v>
      </c>
      <c r="C1274" s="15">
        <v>290221064</v>
      </c>
      <c r="D1274" s="16">
        <v>210120201</v>
      </c>
      <c r="E1274" s="16" t="s">
        <v>7798</v>
      </c>
      <c r="F1274" s="20" t="s">
        <v>7312</v>
      </c>
      <c r="G1274" s="17" t="s">
        <v>7800</v>
      </c>
    </row>
    <row r="1275" spans="1:7" x14ac:dyDescent="0.25">
      <c r="A1275">
        <f t="shared" si="20"/>
        <v>2103069</v>
      </c>
      <c r="B1275" s="15">
        <v>140640276</v>
      </c>
      <c r="C1275" s="15">
        <v>290221148</v>
      </c>
      <c r="D1275" s="16">
        <v>210306902</v>
      </c>
      <c r="E1275" s="16" t="s">
        <v>7798</v>
      </c>
      <c r="F1275" s="20" t="s">
        <v>7185</v>
      </c>
      <c r="G1275" s="17" t="s">
        <v>7801</v>
      </c>
    </row>
    <row r="1276" spans="1:7" x14ac:dyDescent="0.25">
      <c r="A1276">
        <f t="shared" si="20"/>
        <v>2101000</v>
      </c>
      <c r="B1276" s="15">
        <v>140640276</v>
      </c>
      <c r="C1276" s="15">
        <v>290221154</v>
      </c>
      <c r="D1276" s="16">
        <v>210100004</v>
      </c>
      <c r="E1276" s="16" t="s">
        <v>7798</v>
      </c>
      <c r="F1276" s="20" t="s">
        <v>7111</v>
      </c>
      <c r="G1276" s="17" t="s">
        <v>7802</v>
      </c>
    </row>
    <row r="1277" spans="1:7" x14ac:dyDescent="0.25">
      <c r="A1277">
        <f t="shared" si="20"/>
        <v>2101000</v>
      </c>
      <c r="B1277" s="15">
        <v>140640276</v>
      </c>
      <c r="C1277" s="15">
        <v>290221163</v>
      </c>
      <c r="D1277" s="16">
        <v>210100005</v>
      </c>
      <c r="E1277" s="16" t="s">
        <v>7798</v>
      </c>
      <c r="F1277" s="20" t="s">
        <v>7112</v>
      </c>
      <c r="G1277" s="17" t="s">
        <v>7802</v>
      </c>
    </row>
    <row r="1278" spans="1:7" x14ac:dyDescent="0.25">
      <c r="A1278">
        <f t="shared" si="20"/>
        <v>2103069</v>
      </c>
      <c r="B1278" s="15">
        <v>140640276</v>
      </c>
      <c r="C1278" s="15">
        <v>290221158</v>
      </c>
      <c r="D1278" s="16">
        <v>210306905</v>
      </c>
      <c r="E1278" s="16" t="s">
        <v>7798</v>
      </c>
      <c r="F1278" s="20" t="s">
        <v>7184</v>
      </c>
      <c r="G1278" s="17" t="s">
        <v>7801</v>
      </c>
    </row>
    <row r="1279" spans="1:7" x14ac:dyDescent="0.25">
      <c r="A1279">
        <f t="shared" ref="A1279:A1307" si="21">LEFT(D1279,7)*1</f>
        <v>2101202</v>
      </c>
      <c r="B1279" s="15">
        <v>140640276</v>
      </c>
      <c r="C1279" s="15">
        <v>290221137</v>
      </c>
      <c r="D1279" s="16">
        <v>210120210</v>
      </c>
      <c r="E1279" s="16" t="s">
        <v>7798</v>
      </c>
      <c r="F1279" s="20" t="s">
        <v>7803</v>
      </c>
      <c r="G1279" s="17" t="s">
        <v>7800</v>
      </c>
    </row>
    <row r="1280" spans="1:7" x14ac:dyDescent="0.25">
      <c r="A1280">
        <f t="shared" si="21"/>
        <v>2101111</v>
      </c>
      <c r="B1280" s="15">
        <v>140640282</v>
      </c>
      <c r="C1280" s="15">
        <v>290221062</v>
      </c>
      <c r="D1280" s="16">
        <v>210111108</v>
      </c>
      <c r="E1280" s="16" t="s">
        <v>7804</v>
      </c>
      <c r="F1280" s="20" t="s">
        <v>7177</v>
      </c>
      <c r="G1280" s="17" t="s">
        <v>7802</v>
      </c>
    </row>
    <row r="1281" spans="1:7" x14ac:dyDescent="0.25">
      <c r="A1281">
        <f t="shared" si="21"/>
        <v>2101111</v>
      </c>
      <c r="B1281" s="15">
        <v>140640282</v>
      </c>
      <c r="C1281" s="15">
        <v>290220994</v>
      </c>
      <c r="D1281" s="16">
        <v>210111107</v>
      </c>
      <c r="E1281" s="16" t="s">
        <v>7804</v>
      </c>
      <c r="F1281" s="20" t="s">
        <v>7176</v>
      </c>
      <c r="G1281" s="17" t="s">
        <v>7802</v>
      </c>
    </row>
    <row r="1282" spans="1:7" x14ac:dyDescent="0.25">
      <c r="A1282">
        <f t="shared" si="21"/>
        <v>2101203</v>
      </c>
      <c r="B1282" s="15">
        <v>140640282</v>
      </c>
      <c r="C1282" s="15">
        <v>290221306</v>
      </c>
      <c r="D1282" s="16">
        <v>210120307</v>
      </c>
      <c r="E1282" s="16" t="s">
        <v>7804</v>
      </c>
      <c r="F1282" s="20" t="s">
        <v>7805</v>
      </c>
      <c r="G1282" s="17" t="s">
        <v>7800</v>
      </c>
    </row>
    <row r="1283" spans="1:7" x14ac:dyDescent="0.25">
      <c r="A1283">
        <f t="shared" si="21"/>
        <v>2103067</v>
      </c>
      <c r="B1283" s="15">
        <v>140640282</v>
      </c>
      <c r="C1283" s="15">
        <v>290221392</v>
      </c>
      <c r="D1283" s="16">
        <v>210306708</v>
      </c>
      <c r="E1283" s="16" t="s">
        <v>7804</v>
      </c>
      <c r="F1283" s="20" t="s">
        <v>7180</v>
      </c>
      <c r="G1283" s="17" t="s">
        <v>7801</v>
      </c>
    </row>
    <row r="1284" spans="1:7" x14ac:dyDescent="0.25">
      <c r="A1284">
        <f t="shared" si="21"/>
        <v>2103067</v>
      </c>
      <c r="B1284" s="15">
        <v>140640282</v>
      </c>
      <c r="C1284" s="15">
        <v>290221122</v>
      </c>
      <c r="D1284" s="16">
        <v>210306709</v>
      </c>
      <c r="E1284" s="16" t="s">
        <v>7804</v>
      </c>
      <c r="F1284" s="20" t="s">
        <v>7181</v>
      </c>
      <c r="G1284" s="17" t="s">
        <v>7801</v>
      </c>
    </row>
    <row r="1285" spans="1:7" x14ac:dyDescent="0.25">
      <c r="A1285">
        <f t="shared" si="21"/>
        <v>2103067</v>
      </c>
      <c r="B1285" s="15">
        <v>140640282</v>
      </c>
      <c r="C1285" s="15">
        <v>290221352</v>
      </c>
      <c r="D1285" s="16">
        <v>210306707</v>
      </c>
      <c r="E1285" s="16" t="s">
        <v>7804</v>
      </c>
      <c r="F1285" s="20" t="s">
        <v>7179</v>
      </c>
      <c r="G1285" s="17" t="s">
        <v>7801</v>
      </c>
    </row>
    <row r="1286" spans="1:7" x14ac:dyDescent="0.25">
      <c r="A1286">
        <f t="shared" si="21"/>
        <v>2101888</v>
      </c>
      <c r="B1286" s="15">
        <v>140640282</v>
      </c>
      <c r="C1286" s="15">
        <v>290221151</v>
      </c>
      <c r="D1286" s="16">
        <v>210188807</v>
      </c>
      <c r="E1286" s="16" t="s">
        <v>7804</v>
      </c>
      <c r="F1286" s="20" t="s">
        <v>7199</v>
      </c>
      <c r="G1286" s="17" t="s">
        <v>7799</v>
      </c>
    </row>
    <row r="1287" spans="1:7" x14ac:dyDescent="0.25">
      <c r="A1287">
        <f t="shared" si="21"/>
        <v>2101888</v>
      </c>
      <c r="B1287" s="15">
        <v>140640282</v>
      </c>
      <c r="C1287" s="15">
        <v>290221402</v>
      </c>
      <c r="D1287" s="16">
        <v>210188808</v>
      </c>
      <c r="E1287" s="16" t="s">
        <v>7804</v>
      </c>
      <c r="F1287" s="20" t="s">
        <v>7201</v>
      </c>
      <c r="G1287" s="17" t="s">
        <v>7799</v>
      </c>
    </row>
    <row r="1288" spans="1:7" x14ac:dyDescent="0.25">
      <c r="A1288">
        <f t="shared" si="21"/>
        <v>2101203</v>
      </c>
      <c r="B1288" s="15">
        <v>140640282</v>
      </c>
      <c r="C1288" s="15">
        <v>290221407</v>
      </c>
      <c r="D1288" s="16">
        <v>210120308</v>
      </c>
      <c r="E1288" s="16" t="s">
        <v>7804</v>
      </c>
      <c r="F1288" s="20" t="s">
        <v>7806</v>
      </c>
      <c r="G1288" s="17" t="s">
        <v>7800</v>
      </c>
    </row>
    <row r="1289" spans="1:7" x14ac:dyDescent="0.25">
      <c r="A1289">
        <f t="shared" si="21"/>
        <v>2101888</v>
      </c>
      <c r="B1289" s="15">
        <v>140640282</v>
      </c>
      <c r="C1289" s="15">
        <v>290221257</v>
      </c>
      <c r="D1289" s="16">
        <v>210188809</v>
      </c>
      <c r="E1289" s="16" t="s">
        <v>7804</v>
      </c>
      <c r="F1289" s="20" t="s">
        <v>7200</v>
      </c>
      <c r="G1289" s="17" t="s">
        <v>7799</v>
      </c>
    </row>
    <row r="1290" spans="1:7" x14ac:dyDescent="0.25">
      <c r="A1290">
        <f t="shared" si="21"/>
        <v>2101203</v>
      </c>
      <c r="B1290" s="15">
        <v>140640282</v>
      </c>
      <c r="C1290" s="15">
        <v>290221087</v>
      </c>
      <c r="D1290" s="16">
        <v>210120309</v>
      </c>
      <c r="E1290" s="16" t="s">
        <v>7804</v>
      </c>
      <c r="F1290" s="20" t="s">
        <v>7807</v>
      </c>
      <c r="G1290" s="17" t="s">
        <v>7800</v>
      </c>
    </row>
    <row r="1291" spans="1:7" x14ac:dyDescent="0.25">
      <c r="A1291">
        <f t="shared" si="21"/>
        <v>2101111</v>
      </c>
      <c r="B1291" s="15">
        <v>140640282</v>
      </c>
      <c r="C1291" s="15">
        <v>290221375</v>
      </c>
      <c r="D1291" s="16">
        <v>210111109</v>
      </c>
      <c r="E1291" s="16" t="s">
        <v>7804</v>
      </c>
      <c r="F1291" s="20" t="s">
        <v>7182</v>
      </c>
      <c r="G1291" s="17" t="s">
        <v>7802</v>
      </c>
    </row>
    <row r="1292" spans="1:7" x14ac:dyDescent="0.25">
      <c r="A1292">
        <f t="shared" si="21"/>
        <v>8701542</v>
      </c>
      <c r="B1292" s="15">
        <v>140640213</v>
      </c>
      <c r="C1292" s="15">
        <v>290220504</v>
      </c>
      <c r="D1292" s="16">
        <v>8701542</v>
      </c>
      <c r="E1292" s="16" t="s">
        <v>7808</v>
      </c>
      <c r="F1292" s="20" t="s">
        <v>7036</v>
      </c>
      <c r="G1292" s="17" t="s">
        <v>7809</v>
      </c>
    </row>
    <row r="1293" spans="1:7" x14ac:dyDescent="0.25">
      <c r="A1293">
        <f t="shared" si="21"/>
        <v>8701576</v>
      </c>
      <c r="B1293" s="15">
        <v>140008337</v>
      </c>
      <c r="C1293" s="15">
        <v>289558887</v>
      </c>
      <c r="D1293" s="16">
        <v>870157609</v>
      </c>
      <c r="E1293" s="16" t="s">
        <v>5634</v>
      </c>
      <c r="F1293" s="20" t="s">
        <v>7036</v>
      </c>
      <c r="G1293" s="17" t="s">
        <v>7810</v>
      </c>
    </row>
    <row r="1294" spans="1:7" x14ac:dyDescent="0.25">
      <c r="A1294">
        <f t="shared" si="21"/>
        <v>8701576</v>
      </c>
      <c r="B1294" s="15">
        <v>140008337</v>
      </c>
      <c r="C1294" s="15">
        <v>289558888</v>
      </c>
      <c r="D1294" s="16">
        <v>870157606</v>
      </c>
      <c r="E1294" s="16" t="s">
        <v>5634</v>
      </c>
      <c r="F1294" s="20" t="s">
        <v>7211</v>
      </c>
      <c r="G1294" s="17" t="s">
        <v>7811</v>
      </c>
    </row>
    <row r="1295" spans="1:7" x14ac:dyDescent="0.25">
      <c r="A1295">
        <f t="shared" si="21"/>
        <v>8701576</v>
      </c>
      <c r="B1295" s="15">
        <v>140008337</v>
      </c>
      <c r="C1295" s="15">
        <v>289558890</v>
      </c>
      <c r="D1295" s="16">
        <v>870157603</v>
      </c>
      <c r="E1295" s="16" t="s">
        <v>5634</v>
      </c>
      <c r="F1295" s="20" t="s">
        <v>7212</v>
      </c>
      <c r="G1295" s="17" t="s">
        <v>7812</v>
      </c>
    </row>
    <row r="1296" spans="1:7" x14ac:dyDescent="0.25">
      <c r="A1296">
        <f t="shared" si="21"/>
        <v>8701576</v>
      </c>
      <c r="B1296" s="15">
        <v>140148132</v>
      </c>
      <c r="C1296" s="15">
        <v>289705757</v>
      </c>
      <c r="D1296" s="16">
        <v>870157609</v>
      </c>
      <c r="E1296" s="16" t="s">
        <v>7813</v>
      </c>
      <c r="F1296" s="20" t="s">
        <v>7036</v>
      </c>
      <c r="G1296" s="17" t="s">
        <v>7814</v>
      </c>
    </row>
    <row r="1297" spans="1:7" x14ac:dyDescent="0.25">
      <c r="A1297">
        <f t="shared" si="21"/>
        <v>8701576</v>
      </c>
      <c r="B1297" s="15">
        <v>140148132</v>
      </c>
      <c r="C1297" s="15">
        <v>289705759</v>
      </c>
      <c r="D1297" s="16">
        <v>870157606</v>
      </c>
      <c r="E1297" s="16" t="s">
        <v>7813</v>
      </c>
      <c r="F1297" s="20" t="s">
        <v>7211</v>
      </c>
      <c r="G1297" s="17" t="s">
        <v>7815</v>
      </c>
    </row>
    <row r="1298" spans="1:7" x14ac:dyDescent="0.25">
      <c r="A1298">
        <f t="shared" si="21"/>
        <v>8701576</v>
      </c>
      <c r="B1298" s="15">
        <v>140148132</v>
      </c>
      <c r="C1298" s="15">
        <v>289705761</v>
      </c>
      <c r="D1298" s="16">
        <v>870157603</v>
      </c>
      <c r="E1298" s="16" t="s">
        <v>7813</v>
      </c>
      <c r="F1298" s="20" t="s">
        <v>7212</v>
      </c>
      <c r="G1298" s="17" t="s">
        <v>7816</v>
      </c>
    </row>
    <row r="1299" spans="1:7" x14ac:dyDescent="0.25">
      <c r="A1299">
        <f t="shared" si="21"/>
        <v>8701575</v>
      </c>
      <c r="B1299" s="15">
        <v>140640249</v>
      </c>
      <c r="C1299" s="15">
        <v>290220749</v>
      </c>
      <c r="D1299" s="16">
        <v>8701575</v>
      </c>
      <c r="E1299" s="16" t="s">
        <v>7213</v>
      </c>
      <c r="F1299" s="20" t="s">
        <v>7036</v>
      </c>
      <c r="G1299" s="17" t="s">
        <v>7817</v>
      </c>
    </row>
    <row r="1300" spans="1:7" x14ac:dyDescent="0.25">
      <c r="A1300">
        <f t="shared" si="21"/>
        <v>8701038</v>
      </c>
      <c r="B1300" s="15">
        <v>140640227</v>
      </c>
      <c r="C1300" s="15">
        <v>290220622</v>
      </c>
      <c r="D1300" s="16">
        <v>870103809</v>
      </c>
      <c r="E1300" s="16" t="s">
        <v>7818</v>
      </c>
      <c r="F1300" s="20" t="s">
        <v>7036</v>
      </c>
      <c r="G1300" s="17" t="s">
        <v>7819</v>
      </c>
    </row>
    <row r="1301" spans="1:7" x14ac:dyDescent="0.25">
      <c r="A1301">
        <f t="shared" si="21"/>
        <v>8701038</v>
      </c>
      <c r="B1301" s="15">
        <v>140640227</v>
      </c>
      <c r="C1301" s="15">
        <v>290220628</v>
      </c>
      <c r="D1301" s="16">
        <v>870103806</v>
      </c>
      <c r="E1301" s="16" t="s">
        <v>7818</v>
      </c>
      <c r="F1301" s="20" t="s">
        <v>7211</v>
      </c>
      <c r="G1301" s="17" t="s">
        <v>7820</v>
      </c>
    </row>
    <row r="1302" spans="1:7" x14ac:dyDescent="0.25">
      <c r="A1302">
        <f t="shared" si="21"/>
        <v>8701495</v>
      </c>
      <c r="B1302" s="15">
        <v>140603642</v>
      </c>
      <c r="C1302" s="15">
        <v>290180510</v>
      </c>
      <c r="D1302" s="16">
        <v>8701495</v>
      </c>
      <c r="E1302" s="16" t="s">
        <v>7214</v>
      </c>
      <c r="F1302" s="20" t="s">
        <v>7322</v>
      </c>
      <c r="G1302" s="17" t="s">
        <v>7821</v>
      </c>
    </row>
    <row r="1303" spans="1:7" x14ac:dyDescent="0.25">
      <c r="A1303">
        <f t="shared" si="21"/>
        <v>8701494</v>
      </c>
      <c r="B1303" s="15">
        <v>140498172</v>
      </c>
      <c r="C1303" s="15">
        <v>290070310</v>
      </c>
      <c r="D1303" s="16">
        <v>8701494</v>
      </c>
      <c r="E1303" s="16" t="s">
        <v>7215</v>
      </c>
      <c r="F1303" s="20" t="s">
        <v>7322</v>
      </c>
      <c r="G1303" s="17" t="s">
        <v>7822</v>
      </c>
    </row>
    <row r="1304" spans="1:7" x14ac:dyDescent="0.25">
      <c r="A1304">
        <f t="shared" si="21"/>
        <v>8703615</v>
      </c>
      <c r="B1304" s="15">
        <v>140640199</v>
      </c>
      <c r="C1304" s="15">
        <v>290220382</v>
      </c>
      <c r="D1304" s="16">
        <v>8703615</v>
      </c>
      <c r="E1304" s="16" t="s">
        <v>7823</v>
      </c>
      <c r="F1304" s="20"/>
      <c r="G1304" s="17" t="s">
        <v>7824</v>
      </c>
    </row>
    <row r="1305" spans="1:7" x14ac:dyDescent="0.25">
      <c r="A1305">
        <f t="shared" si="21"/>
        <v>8703619</v>
      </c>
      <c r="B1305" s="15">
        <v>140640207</v>
      </c>
      <c r="C1305" s="15">
        <v>290220461</v>
      </c>
      <c r="D1305" s="16">
        <v>8703619</v>
      </c>
      <c r="E1305" s="16" t="s">
        <v>7825</v>
      </c>
      <c r="F1305" s="20"/>
      <c r="G1305" s="17" t="s">
        <v>7826</v>
      </c>
    </row>
    <row r="1306" spans="1:7" x14ac:dyDescent="0.25">
      <c r="A1306">
        <f t="shared" si="21"/>
        <v>8503012</v>
      </c>
      <c r="B1306" s="15">
        <v>140640302</v>
      </c>
      <c r="C1306" s="15">
        <v>290221153</v>
      </c>
      <c r="D1306" s="16">
        <v>8503012</v>
      </c>
      <c r="E1306" s="16" t="s">
        <v>1251</v>
      </c>
      <c r="F1306" s="20" t="s">
        <v>7216</v>
      </c>
      <c r="G1306" s="17" t="s">
        <v>7827</v>
      </c>
    </row>
    <row r="1307" spans="1:7" x14ac:dyDescent="0.25">
      <c r="A1307">
        <f t="shared" si="21"/>
        <v>7707522</v>
      </c>
      <c r="B1307" s="15">
        <v>140640154</v>
      </c>
      <c r="C1307" s="15">
        <v>290220198</v>
      </c>
      <c r="D1307" s="16">
        <v>7707522</v>
      </c>
      <c r="E1307" s="16" t="s">
        <v>7828</v>
      </c>
      <c r="F1307" s="20"/>
      <c r="G1307" s="17" t="s">
        <v>7829</v>
      </c>
    </row>
    <row r="1308" spans="1:7" x14ac:dyDescent="0.25">
      <c r="A1308">
        <f t="shared" ref="A1308:A1350" si="22">LEFT(D1308,7)*1</f>
        <v>8703500</v>
      </c>
      <c r="B1308" s="15">
        <v>140640181</v>
      </c>
      <c r="C1308" s="15">
        <v>290220305</v>
      </c>
      <c r="D1308" s="16">
        <v>8703500</v>
      </c>
      <c r="E1308" s="16" t="s">
        <v>7830</v>
      </c>
      <c r="F1308" s="20"/>
      <c r="G1308" s="17" t="s">
        <v>7831</v>
      </c>
    </row>
    <row r="1309" spans="1:7" x14ac:dyDescent="0.25">
      <c r="A1309">
        <f t="shared" si="22"/>
        <v>7707570</v>
      </c>
      <c r="B1309" s="15">
        <v>140640131</v>
      </c>
      <c r="C1309" s="15">
        <v>290219883</v>
      </c>
      <c r="D1309" s="16">
        <v>7707570</v>
      </c>
      <c r="E1309" s="16" t="s">
        <v>7832</v>
      </c>
      <c r="F1309" s="20"/>
      <c r="G1309" s="17" t="s">
        <v>7833</v>
      </c>
    </row>
    <row r="1310" spans="1:7" x14ac:dyDescent="0.25">
      <c r="A1310">
        <f t="shared" si="22"/>
        <v>5101863</v>
      </c>
      <c r="B1310" s="15">
        <v>140172551</v>
      </c>
      <c r="C1310" s="15">
        <v>289730545</v>
      </c>
      <c r="D1310" s="16">
        <v>510186301</v>
      </c>
      <c r="E1310" s="16" t="s">
        <v>7834</v>
      </c>
      <c r="F1310" s="20" t="s">
        <v>7536</v>
      </c>
      <c r="G1310" s="17" t="s">
        <v>7770</v>
      </c>
    </row>
    <row r="1311" spans="1:7" x14ac:dyDescent="0.25">
      <c r="A1311">
        <f t="shared" si="22"/>
        <v>5101140</v>
      </c>
      <c r="B1311" s="15">
        <v>140172551</v>
      </c>
      <c r="C1311" s="15">
        <v>289730544</v>
      </c>
      <c r="D1311" s="16">
        <v>510114006</v>
      </c>
      <c r="E1311" s="16" t="s">
        <v>7834</v>
      </c>
      <c r="F1311" s="20" t="s">
        <v>7773</v>
      </c>
      <c r="G1311" s="17" t="s">
        <v>7769</v>
      </c>
    </row>
    <row r="1312" spans="1:7" x14ac:dyDescent="0.25">
      <c r="A1312">
        <f t="shared" si="22"/>
        <v>5101863</v>
      </c>
      <c r="B1312" s="15">
        <v>140172551</v>
      </c>
      <c r="C1312" s="15">
        <v>289730568</v>
      </c>
      <c r="D1312" s="16">
        <v>510186303</v>
      </c>
      <c r="E1312" s="16" t="s">
        <v>7834</v>
      </c>
      <c r="F1312" s="20" t="s">
        <v>7532</v>
      </c>
      <c r="G1312" s="17" t="s">
        <v>7770</v>
      </c>
    </row>
    <row r="1313" spans="1:7" x14ac:dyDescent="0.25">
      <c r="A1313">
        <f t="shared" si="22"/>
        <v>5101863</v>
      </c>
      <c r="B1313" s="15">
        <v>140172551</v>
      </c>
      <c r="C1313" s="15">
        <v>289730577</v>
      </c>
      <c r="D1313" s="16">
        <v>510186300</v>
      </c>
      <c r="E1313" s="16" t="s">
        <v>7834</v>
      </c>
      <c r="F1313" s="20" t="s">
        <v>7531</v>
      </c>
      <c r="G1313" s="17" t="s">
        <v>7770</v>
      </c>
    </row>
    <row r="1314" spans="1:7" x14ac:dyDescent="0.25">
      <c r="A1314">
        <f t="shared" si="22"/>
        <v>5101863</v>
      </c>
      <c r="B1314" s="15">
        <v>140172551</v>
      </c>
      <c r="C1314" s="15">
        <v>289730574</v>
      </c>
      <c r="D1314" s="16">
        <v>510186310</v>
      </c>
      <c r="E1314" s="16" t="s">
        <v>7834</v>
      </c>
      <c r="F1314" s="20" t="s">
        <v>7542</v>
      </c>
      <c r="G1314" s="17" t="s">
        <v>7770</v>
      </c>
    </row>
    <row r="1315" spans="1:7" x14ac:dyDescent="0.25">
      <c r="A1315">
        <f t="shared" si="22"/>
        <v>5101863</v>
      </c>
      <c r="B1315" s="15">
        <v>140172551</v>
      </c>
      <c r="C1315" s="15">
        <v>289730558</v>
      </c>
      <c r="D1315" s="16">
        <v>510186306</v>
      </c>
      <c r="E1315" s="16" t="s">
        <v>7834</v>
      </c>
      <c r="F1315" s="20" t="s">
        <v>7522</v>
      </c>
      <c r="G1315" s="17" t="s">
        <v>7770</v>
      </c>
    </row>
    <row r="1316" spans="1:7" x14ac:dyDescent="0.25">
      <c r="A1316">
        <f t="shared" si="22"/>
        <v>5101852</v>
      </c>
      <c r="B1316" s="15">
        <v>140172551</v>
      </c>
      <c r="C1316" s="15">
        <v>289730588</v>
      </c>
      <c r="D1316" s="16">
        <v>510185205</v>
      </c>
      <c r="E1316" s="16" t="s">
        <v>7834</v>
      </c>
      <c r="F1316" s="20" t="s">
        <v>7544</v>
      </c>
      <c r="G1316" s="17" t="s">
        <v>7772</v>
      </c>
    </row>
    <row r="1317" spans="1:7" x14ac:dyDescent="0.25">
      <c r="A1317">
        <f t="shared" si="22"/>
        <v>5101140</v>
      </c>
      <c r="B1317" s="15">
        <v>140172551</v>
      </c>
      <c r="C1317" s="15">
        <v>289730603</v>
      </c>
      <c r="D1317" s="16">
        <v>510114010</v>
      </c>
      <c r="E1317" s="16" t="s">
        <v>7834</v>
      </c>
      <c r="F1317" s="20" t="s">
        <v>7776</v>
      </c>
      <c r="G1317" s="17" t="s">
        <v>7769</v>
      </c>
    </row>
    <row r="1318" spans="1:7" x14ac:dyDescent="0.25">
      <c r="A1318">
        <f t="shared" si="22"/>
        <v>5101855</v>
      </c>
      <c r="B1318" s="15">
        <v>140172551</v>
      </c>
      <c r="C1318" s="15">
        <v>289730611</v>
      </c>
      <c r="D1318" s="16">
        <v>510185500</v>
      </c>
      <c r="E1318" s="16" t="s">
        <v>7834</v>
      </c>
      <c r="F1318" s="20" t="s">
        <v>7541</v>
      </c>
      <c r="G1318" s="17" t="s">
        <v>7775</v>
      </c>
    </row>
    <row r="1319" spans="1:7" x14ac:dyDescent="0.25">
      <c r="A1319">
        <f t="shared" si="22"/>
        <v>5101140</v>
      </c>
      <c r="B1319" s="15">
        <v>140172551</v>
      </c>
      <c r="C1319" s="15">
        <v>289730607</v>
      </c>
      <c r="D1319" s="16">
        <v>510114002</v>
      </c>
      <c r="E1319" s="16" t="s">
        <v>7834</v>
      </c>
      <c r="F1319" s="20" t="s">
        <v>7780</v>
      </c>
      <c r="G1319" s="17" t="s">
        <v>7769</v>
      </c>
    </row>
    <row r="1320" spans="1:7" x14ac:dyDescent="0.25">
      <c r="A1320">
        <f t="shared" si="22"/>
        <v>5101855</v>
      </c>
      <c r="B1320" s="15">
        <v>140172551</v>
      </c>
      <c r="C1320" s="15">
        <v>289730609</v>
      </c>
      <c r="D1320" s="16">
        <v>510185503</v>
      </c>
      <c r="E1320" s="16" t="s">
        <v>7834</v>
      </c>
      <c r="F1320" s="20" t="s">
        <v>7523</v>
      </c>
      <c r="G1320" s="17" t="s">
        <v>7775</v>
      </c>
    </row>
    <row r="1321" spans="1:7" x14ac:dyDescent="0.25">
      <c r="A1321">
        <f t="shared" si="22"/>
        <v>5101855</v>
      </c>
      <c r="B1321" s="15">
        <v>140172551</v>
      </c>
      <c r="C1321" s="15">
        <v>289730610</v>
      </c>
      <c r="D1321" s="16">
        <v>510185504</v>
      </c>
      <c r="E1321" s="16" t="s">
        <v>7834</v>
      </c>
      <c r="F1321" s="20" t="s">
        <v>7545</v>
      </c>
      <c r="G1321" s="17" t="s">
        <v>7775</v>
      </c>
    </row>
    <row r="1322" spans="1:7" x14ac:dyDescent="0.25">
      <c r="A1322">
        <f t="shared" si="22"/>
        <v>5101140</v>
      </c>
      <c r="B1322" s="15">
        <v>140172551</v>
      </c>
      <c r="C1322" s="15">
        <v>289730605</v>
      </c>
      <c r="D1322" s="16">
        <v>510114003</v>
      </c>
      <c r="E1322" s="16" t="s">
        <v>7834</v>
      </c>
      <c r="F1322" s="20" t="s">
        <v>7784</v>
      </c>
      <c r="G1322" s="17" t="s">
        <v>7769</v>
      </c>
    </row>
    <row r="1323" spans="1:7" x14ac:dyDescent="0.25">
      <c r="A1323">
        <f t="shared" si="22"/>
        <v>5101855</v>
      </c>
      <c r="B1323" s="15">
        <v>140172551</v>
      </c>
      <c r="C1323" s="15">
        <v>289730616</v>
      </c>
      <c r="D1323" s="16">
        <v>510185501</v>
      </c>
      <c r="E1323" s="16" t="s">
        <v>7834</v>
      </c>
      <c r="F1323" s="20" t="s">
        <v>7543</v>
      </c>
      <c r="G1323" s="17" t="s">
        <v>7775</v>
      </c>
    </row>
    <row r="1324" spans="1:7" x14ac:dyDescent="0.25">
      <c r="A1324">
        <f t="shared" si="22"/>
        <v>5101855</v>
      </c>
      <c r="B1324" s="15">
        <v>140172551</v>
      </c>
      <c r="C1324" s="15">
        <v>289730614</v>
      </c>
      <c r="D1324" s="16">
        <v>510185502</v>
      </c>
      <c r="E1324" s="16" t="s">
        <v>7834</v>
      </c>
      <c r="F1324" s="20" t="s">
        <v>7539</v>
      </c>
      <c r="G1324" s="17" t="s">
        <v>7775</v>
      </c>
    </row>
    <row r="1325" spans="1:7" x14ac:dyDescent="0.25">
      <c r="A1325">
        <f t="shared" si="22"/>
        <v>5101855</v>
      </c>
      <c r="B1325" s="15">
        <v>140172551</v>
      </c>
      <c r="C1325" s="15">
        <v>289730613</v>
      </c>
      <c r="D1325" s="16">
        <v>510185510</v>
      </c>
      <c r="E1325" s="16" t="s">
        <v>7834</v>
      </c>
      <c r="F1325" s="20" t="s">
        <v>7525</v>
      </c>
      <c r="G1325" s="17" t="s">
        <v>7775</v>
      </c>
    </row>
    <row r="1326" spans="1:7" x14ac:dyDescent="0.25">
      <c r="A1326">
        <f t="shared" si="22"/>
        <v>5101855</v>
      </c>
      <c r="B1326" s="15">
        <v>140172551</v>
      </c>
      <c r="C1326" s="15">
        <v>289730619</v>
      </c>
      <c r="D1326" s="16">
        <v>510185506</v>
      </c>
      <c r="E1326" s="16" t="s">
        <v>7834</v>
      </c>
      <c r="F1326" s="20" t="s">
        <v>7529</v>
      </c>
      <c r="G1326" s="17" t="s">
        <v>7775</v>
      </c>
    </row>
    <row r="1327" spans="1:7" x14ac:dyDescent="0.25">
      <c r="A1327">
        <f t="shared" si="22"/>
        <v>5101855</v>
      </c>
      <c r="B1327" s="15">
        <v>140172551</v>
      </c>
      <c r="C1327" s="15">
        <v>289730617</v>
      </c>
      <c r="D1327" s="16">
        <v>510185505</v>
      </c>
      <c r="E1327" s="16" t="s">
        <v>7834</v>
      </c>
      <c r="F1327" s="20" t="s">
        <v>7526</v>
      </c>
      <c r="G1327" s="17" t="s">
        <v>7775</v>
      </c>
    </row>
    <row r="1328" spans="1:7" x14ac:dyDescent="0.25">
      <c r="A1328">
        <f t="shared" si="22"/>
        <v>5101863</v>
      </c>
      <c r="B1328" s="15">
        <v>140172551</v>
      </c>
      <c r="C1328" s="15">
        <v>289730579</v>
      </c>
      <c r="D1328" s="16">
        <v>510186304</v>
      </c>
      <c r="E1328" s="16" t="s">
        <v>7834</v>
      </c>
      <c r="F1328" s="20" t="s">
        <v>7518</v>
      </c>
      <c r="G1328" s="17" t="s">
        <v>7770</v>
      </c>
    </row>
    <row r="1329" spans="1:7" x14ac:dyDescent="0.25">
      <c r="A1329">
        <f t="shared" si="22"/>
        <v>5101140</v>
      </c>
      <c r="B1329" s="15">
        <v>140172551</v>
      </c>
      <c r="C1329" s="15">
        <v>289730601</v>
      </c>
      <c r="D1329" s="16">
        <v>510114001</v>
      </c>
      <c r="E1329" s="16" t="s">
        <v>7834</v>
      </c>
      <c r="F1329" s="20" t="s">
        <v>7779</v>
      </c>
      <c r="G1329" s="17" t="s">
        <v>7769</v>
      </c>
    </row>
    <row r="1330" spans="1:7" x14ac:dyDescent="0.25">
      <c r="A1330">
        <f t="shared" si="22"/>
        <v>5101852</v>
      </c>
      <c r="B1330" s="15">
        <v>140172551</v>
      </c>
      <c r="C1330" s="15">
        <v>289730585</v>
      </c>
      <c r="D1330" s="16">
        <v>510185204</v>
      </c>
      <c r="E1330" s="16" t="s">
        <v>7834</v>
      </c>
      <c r="F1330" s="20" t="s">
        <v>7510</v>
      </c>
      <c r="G1330" s="17" t="s">
        <v>7772</v>
      </c>
    </row>
    <row r="1331" spans="1:7" x14ac:dyDescent="0.25">
      <c r="A1331">
        <f t="shared" si="22"/>
        <v>5101852</v>
      </c>
      <c r="B1331" s="15">
        <v>140172551</v>
      </c>
      <c r="C1331" s="15">
        <v>289730580</v>
      </c>
      <c r="D1331" s="16">
        <v>510185200</v>
      </c>
      <c r="E1331" s="16" t="s">
        <v>7834</v>
      </c>
      <c r="F1331" s="20" t="s">
        <v>7512</v>
      </c>
      <c r="G1331" s="17" t="s">
        <v>7772</v>
      </c>
    </row>
    <row r="1332" spans="1:7" x14ac:dyDescent="0.25">
      <c r="A1332">
        <f t="shared" si="22"/>
        <v>5101852</v>
      </c>
      <c r="B1332" s="15">
        <v>140172551</v>
      </c>
      <c r="C1332" s="15">
        <v>289730589</v>
      </c>
      <c r="D1332" s="16">
        <v>510185210</v>
      </c>
      <c r="E1332" s="16" t="s">
        <v>7834</v>
      </c>
      <c r="F1332" s="20" t="s">
        <v>7513</v>
      </c>
      <c r="G1332" s="17" t="s">
        <v>7772</v>
      </c>
    </row>
    <row r="1333" spans="1:7" x14ac:dyDescent="0.25">
      <c r="A1333">
        <f t="shared" si="22"/>
        <v>5101852</v>
      </c>
      <c r="B1333" s="15">
        <v>140172551</v>
      </c>
      <c r="C1333" s="15">
        <v>289730591</v>
      </c>
      <c r="D1333" s="16">
        <v>510185206</v>
      </c>
      <c r="E1333" s="16" t="s">
        <v>7834</v>
      </c>
      <c r="F1333" s="20" t="s">
        <v>7514</v>
      </c>
      <c r="G1333" s="17" t="s">
        <v>7772</v>
      </c>
    </row>
    <row r="1334" spans="1:7" x14ac:dyDescent="0.25">
      <c r="A1334">
        <f t="shared" si="22"/>
        <v>5101140</v>
      </c>
      <c r="B1334" s="15">
        <v>140172551</v>
      </c>
      <c r="C1334" s="15">
        <v>289730599</v>
      </c>
      <c r="D1334" s="16">
        <v>510114005</v>
      </c>
      <c r="E1334" s="16" t="s">
        <v>7834</v>
      </c>
      <c r="F1334" s="20" t="s">
        <v>7768</v>
      </c>
      <c r="G1334" s="17" t="s">
        <v>7769</v>
      </c>
    </row>
    <row r="1335" spans="1:7" x14ac:dyDescent="0.25">
      <c r="A1335">
        <f t="shared" si="22"/>
        <v>5101852</v>
      </c>
      <c r="B1335" s="15">
        <v>140172551</v>
      </c>
      <c r="C1335" s="15">
        <v>289730582</v>
      </c>
      <c r="D1335" s="16">
        <v>510185201</v>
      </c>
      <c r="E1335" s="16" t="s">
        <v>7834</v>
      </c>
      <c r="F1335" s="20" t="s">
        <v>7527</v>
      </c>
      <c r="G1335" s="17" t="s">
        <v>7772</v>
      </c>
    </row>
    <row r="1336" spans="1:7" x14ac:dyDescent="0.25">
      <c r="A1336">
        <f t="shared" si="22"/>
        <v>5101140</v>
      </c>
      <c r="B1336" s="15">
        <v>140172551</v>
      </c>
      <c r="C1336" s="15">
        <v>289730597</v>
      </c>
      <c r="D1336" s="16">
        <v>510114004</v>
      </c>
      <c r="E1336" s="16" t="s">
        <v>7834</v>
      </c>
      <c r="F1336" s="20" t="s">
        <v>7781</v>
      </c>
      <c r="G1336" s="17" t="s">
        <v>7769</v>
      </c>
    </row>
    <row r="1337" spans="1:7" x14ac:dyDescent="0.25">
      <c r="A1337">
        <f t="shared" si="22"/>
        <v>5101863</v>
      </c>
      <c r="B1337" s="15">
        <v>140172551</v>
      </c>
      <c r="C1337" s="15">
        <v>289730569</v>
      </c>
      <c r="D1337" s="16">
        <v>510186305</v>
      </c>
      <c r="E1337" s="16" t="s">
        <v>7834</v>
      </c>
      <c r="F1337" s="20" t="s">
        <v>7521</v>
      </c>
      <c r="G1337" s="17" t="s">
        <v>7770</v>
      </c>
    </row>
    <row r="1338" spans="1:7" x14ac:dyDescent="0.25">
      <c r="A1338">
        <f t="shared" si="22"/>
        <v>5101140</v>
      </c>
      <c r="B1338" s="15">
        <v>140172551</v>
      </c>
      <c r="C1338" s="15">
        <v>289730595</v>
      </c>
      <c r="D1338" s="16">
        <v>510114000</v>
      </c>
      <c r="E1338" s="16" t="s">
        <v>7834</v>
      </c>
      <c r="F1338" s="20" t="s">
        <v>7782</v>
      </c>
      <c r="G1338" s="17" t="s">
        <v>7769</v>
      </c>
    </row>
    <row r="1339" spans="1:7" x14ac:dyDescent="0.25">
      <c r="A1339">
        <f t="shared" si="22"/>
        <v>5101863</v>
      </c>
      <c r="B1339" s="15">
        <v>140172551</v>
      </c>
      <c r="C1339" s="15">
        <v>289730575</v>
      </c>
      <c r="D1339" s="16">
        <v>510186302</v>
      </c>
      <c r="E1339" s="16" t="s">
        <v>7834</v>
      </c>
      <c r="F1339" s="20" t="s">
        <v>7534</v>
      </c>
      <c r="G1339" s="17" t="s">
        <v>7770</v>
      </c>
    </row>
    <row r="1340" spans="1:7" x14ac:dyDescent="0.25">
      <c r="A1340">
        <f t="shared" si="22"/>
        <v>5101852</v>
      </c>
      <c r="B1340" s="15">
        <v>140172551</v>
      </c>
      <c r="C1340" s="15">
        <v>289730593</v>
      </c>
      <c r="D1340" s="16">
        <v>510185202</v>
      </c>
      <c r="E1340" s="16" t="s">
        <v>7834</v>
      </c>
      <c r="F1340" s="20" t="s">
        <v>7537</v>
      </c>
      <c r="G1340" s="17" t="s">
        <v>7772</v>
      </c>
    </row>
    <row r="1341" spans="1:7" x14ac:dyDescent="0.25">
      <c r="A1341">
        <f t="shared" si="22"/>
        <v>5101852</v>
      </c>
      <c r="B1341" s="15">
        <v>140172551</v>
      </c>
      <c r="C1341" s="15">
        <v>289730586</v>
      </c>
      <c r="D1341" s="16">
        <v>510185203</v>
      </c>
      <c r="E1341" s="16" t="s">
        <v>7834</v>
      </c>
      <c r="F1341" s="20" t="s">
        <v>7540</v>
      </c>
      <c r="G1341" s="17" t="s">
        <v>7772</v>
      </c>
    </row>
    <row r="1342" spans="1:7" x14ac:dyDescent="0.25">
      <c r="A1342">
        <f t="shared" si="22"/>
        <v>8400119</v>
      </c>
      <c r="B1342" s="15">
        <v>140232853</v>
      </c>
      <c r="C1342" s="15">
        <v>289793799</v>
      </c>
      <c r="D1342" s="16">
        <v>8400119</v>
      </c>
      <c r="E1342" s="16" t="s">
        <v>7835</v>
      </c>
      <c r="F1342" s="20" t="s">
        <v>7036</v>
      </c>
      <c r="G1342" s="17" t="s">
        <v>7836</v>
      </c>
    </row>
    <row r="1343" spans="1:7" x14ac:dyDescent="0.25">
      <c r="A1343">
        <f t="shared" si="22"/>
        <v>8400689</v>
      </c>
      <c r="B1343" s="15">
        <v>140640228</v>
      </c>
      <c r="C1343" s="15">
        <v>290220632</v>
      </c>
      <c r="D1343" s="16">
        <v>8400689</v>
      </c>
      <c r="E1343" s="16" t="s">
        <v>7837</v>
      </c>
      <c r="F1343" s="20" t="s">
        <v>7036</v>
      </c>
      <c r="G1343" s="17" t="s">
        <v>7838</v>
      </c>
    </row>
    <row r="1344" spans="1:7" x14ac:dyDescent="0.25">
      <c r="A1344">
        <f t="shared" si="22"/>
        <v>8400010</v>
      </c>
      <c r="B1344" s="15">
        <v>140640228</v>
      </c>
      <c r="C1344" s="15">
        <v>290220630</v>
      </c>
      <c r="D1344" s="16">
        <v>8400010</v>
      </c>
      <c r="E1344" s="16" t="s">
        <v>7837</v>
      </c>
      <c r="F1344" s="20" t="s">
        <v>7839</v>
      </c>
      <c r="G1344" s="17" t="s">
        <v>7840</v>
      </c>
    </row>
    <row r="1345" spans="1:7" x14ac:dyDescent="0.25">
      <c r="A1345">
        <f t="shared" si="22"/>
        <v>8400128</v>
      </c>
      <c r="B1345" s="15">
        <v>140640228</v>
      </c>
      <c r="C1345" s="15">
        <v>290220631</v>
      </c>
      <c r="D1345" s="16">
        <v>8400128</v>
      </c>
      <c r="E1345" s="16" t="s">
        <v>7837</v>
      </c>
      <c r="F1345" s="20" t="s">
        <v>7841</v>
      </c>
      <c r="G1345" s="17" t="s">
        <v>7842</v>
      </c>
    </row>
    <row r="1346" spans="1:7" x14ac:dyDescent="0.25">
      <c r="A1346">
        <f t="shared" si="22"/>
        <v>8400689</v>
      </c>
      <c r="B1346" s="15">
        <v>140498170</v>
      </c>
      <c r="C1346" s="15">
        <v>290070308</v>
      </c>
      <c r="D1346" s="16">
        <v>8400689</v>
      </c>
      <c r="E1346" s="16" t="s">
        <v>7843</v>
      </c>
      <c r="F1346" s="20" t="s">
        <v>7036</v>
      </c>
      <c r="G1346" s="17" t="s">
        <v>7844</v>
      </c>
    </row>
    <row r="1347" spans="1:7" x14ac:dyDescent="0.25">
      <c r="A1347">
        <f t="shared" si="22"/>
        <v>8306101</v>
      </c>
      <c r="B1347" s="15">
        <v>140640290</v>
      </c>
      <c r="C1347" s="15">
        <v>290221075</v>
      </c>
      <c r="D1347" s="16">
        <v>8306101</v>
      </c>
      <c r="E1347" s="16" t="s">
        <v>7218</v>
      </c>
      <c r="F1347" s="20" t="s">
        <v>7036</v>
      </c>
      <c r="G1347" s="17" t="s">
        <v>7845</v>
      </c>
    </row>
    <row r="1348" spans="1:7" x14ac:dyDescent="0.25">
      <c r="A1348">
        <f t="shared" si="22"/>
        <v>8306100</v>
      </c>
      <c r="B1348" s="15">
        <v>140640291</v>
      </c>
      <c r="C1348" s="15">
        <v>290221078</v>
      </c>
      <c r="D1348" s="16">
        <v>8306100</v>
      </c>
      <c r="E1348" s="16" t="s">
        <v>7846</v>
      </c>
      <c r="F1348" s="20" t="s">
        <v>7036</v>
      </c>
      <c r="G1348" s="17" t="s">
        <v>7847</v>
      </c>
    </row>
    <row r="1349" spans="1:7" x14ac:dyDescent="0.25">
      <c r="A1349">
        <f t="shared" si="22"/>
        <v>8517905</v>
      </c>
      <c r="B1349" s="15">
        <v>140640099</v>
      </c>
      <c r="C1349" s="15">
        <v>290219396</v>
      </c>
      <c r="D1349" s="16">
        <v>851790505</v>
      </c>
      <c r="E1349" s="16" t="s">
        <v>7848</v>
      </c>
      <c r="F1349" s="20" t="s">
        <v>7219</v>
      </c>
      <c r="G1349" s="17" t="s">
        <v>7849</v>
      </c>
    </row>
    <row r="1350" spans="1:7" x14ac:dyDescent="0.25">
      <c r="A1350">
        <f t="shared" si="22"/>
        <v>8517905</v>
      </c>
      <c r="B1350" s="15">
        <v>140640099</v>
      </c>
      <c r="C1350" s="15">
        <v>290219383</v>
      </c>
      <c r="D1350" s="16">
        <v>851790504</v>
      </c>
      <c r="E1350" s="16" t="s">
        <v>7848</v>
      </c>
      <c r="F1350" s="20" t="s">
        <v>7205</v>
      </c>
      <c r="G1350" s="17" t="s">
        <v>7849</v>
      </c>
    </row>
    <row r="1351" spans="1:7" x14ac:dyDescent="0.25">
      <c r="A1351">
        <f t="shared" ref="A1351:A1414" si="23">LEFT(D1351,7)*1</f>
        <v>8717033</v>
      </c>
      <c r="B1351" s="15">
        <v>140498173</v>
      </c>
      <c r="C1351" s="15">
        <v>290070311</v>
      </c>
      <c r="D1351" s="16">
        <v>871703305</v>
      </c>
      <c r="E1351" s="16" t="s">
        <v>7850</v>
      </c>
      <c r="F1351" s="20"/>
      <c r="G1351" s="17" t="s">
        <v>7851</v>
      </c>
    </row>
    <row r="1352" spans="1:7" x14ac:dyDescent="0.25">
      <c r="A1352">
        <f t="shared" si="23"/>
        <v>8517000</v>
      </c>
      <c r="B1352" s="15">
        <v>140640216</v>
      </c>
      <c r="C1352" s="15">
        <v>290220544</v>
      </c>
      <c r="D1352" s="16">
        <v>851700008</v>
      </c>
      <c r="E1352" s="16" t="s">
        <v>7852</v>
      </c>
      <c r="F1352" s="20">
        <v>8</v>
      </c>
      <c r="G1352" s="17" t="s">
        <v>7853</v>
      </c>
    </row>
    <row r="1353" spans="1:7" x14ac:dyDescent="0.25">
      <c r="A1353">
        <f t="shared" si="23"/>
        <v>8517000</v>
      </c>
      <c r="B1353" s="15">
        <v>140640216</v>
      </c>
      <c r="C1353" s="15">
        <v>290220522</v>
      </c>
      <c r="D1353" s="16">
        <v>851700009</v>
      </c>
      <c r="E1353" s="16" t="s">
        <v>7852</v>
      </c>
      <c r="F1353" s="20">
        <v>9</v>
      </c>
      <c r="G1353" s="17" t="s">
        <v>7853</v>
      </c>
    </row>
    <row r="1354" spans="1:7" x14ac:dyDescent="0.25">
      <c r="A1354">
        <f t="shared" si="23"/>
        <v>8517000</v>
      </c>
      <c r="B1354" s="15">
        <v>140640216</v>
      </c>
      <c r="C1354" s="15">
        <v>290220537</v>
      </c>
      <c r="D1354" s="16">
        <v>851700007</v>
      </c>
      <c r="E1354" s="16" t="s">
        <v>7852</v>
      </c>
      <c r="F1354" s="20">
        <v>7</v>
      </c>
      <c r="G1354" s="17" t="s">
        <v>7853</v>
      </c>
    </row>
    <row r="1355" spans="1:7" x14ac:dyDescent="0.25">
      <c r="A1355">
        <f t="shared" si="23"/>
        <v>8517000</v>
      </c>
      <c r="B1355" s="15">
        <v>140640216</v>
      </c>
      <c r="C1355" s="15">
        <v>290220553</v>
      </c>
      <c r="D1355" s="16">
        <v>851700010</v>
      </c>
      <c r="E1355" s="16" t="s">
        <v>7852</v>
      </c>
      <c r="F1355" s="20">
        <v>10</v>
      </c>
      <c r="G1355" s="17" t="s">
        <v>7853</v>
      </c>
    </row>
    <row r="1356" spans="1:7" x14ac:dyDescent="0.25">
      <c r="A1356">
        <f t="shared" si="23"/>
        <v>8517000</v>
      </c>
      <c r="B1356" s="15">
        <v>140640216</v>
      </c>
      <c r="C1356" s="15">
        <v>290220557</v>
      </c>
      <c r="D1356" s="16">
        <v>851700011</v>
      </c>
      <c r="E1356" s="16" t="s">
        <v>7852</v>
      </c>
      <c r="F1356" s="20">
        <v>11</v>
      </c>
      <c r="G1356" s="17" t="s">
        <v>7853</v>
      </c>
    </row>
    <row r="1357" spans="1:7" x14ac:dyDescent="0.25">
      <c r="A1357">
        <f t="shared" si="23"/>
        <v>8517000</v>
      </c>
      <c r="B1357" s="15">
        <v>140640216</v>
      </c>
      <c r="C1357" s="15">
        <v>290220564</v>
      </c>
      <c r="D1357" s="16">
        <v>851700012</v>
      </c>
      <c r="E1357" s="16" t="s">
        <v>7852</v>
      </c>
      <c r="F1357" s="20">
        <v>12</v>
      </c>
      <c r="G1357" s="17" t="s">
        <v>7853</v>
      </c>
    </row>
    <row r="1358" spans="1:7" x14ac:dyDescent="0.25">
      <c r="A1358">
        <f t="shared" si="23"/>
        <v>8520007</v>
      </c>
      <c r="B1358" s="15">
        <v>140640319</v>
      </c>
      <c r="C1358" s="15">
        <v>319901281</v>
      </c>
      <c r="D1358" s="16">
        <v>852000713</v>
      </c>
      <c r="E1358" s="16" t="s">
        <v>7854</v>
      </c>
      <c r="F1358" s="20" t="s">
        <v>7217</v>
      </c>
      <c r="G1358" s="17" t="s">
        <v>7855</v>
      </c>
    </row>
    <row r="1359" spans="1:7" x14ac:dyDescent="0.25">
      <c r="A1359">
        <f t="shared" si="23"/>
        <v>8520007</v>
      </c>
      <c r="B1359" s="15">
        <v>140640319</v>
      </c>
      <c r="C1359" s="15">
        <v>290221250</v>
      </c>
      <c r="D1359" s="16">
        <v>852000709</v>
      </c>
      <c r="E1359" s="16" t="s">
        <v>7854</v>
      </c>
      <c r="F1359" s="20" t="s">
        <v>7035</v>
      </c>
      <c r="G1359" s="17" t="s">
        <v>7856</v>
      </c>
    </row>
    <row r="1360" spans="1:7" x14ac:dyDescent="0.25">
      <c r="A1360">
        <f t="shared" si="23"/>
        <v>8520265</v>
      </c>
      <c r="B1360" s="15">
        <v>140640158</v>
      </c>
      <c r="C1360" s="15">
        <v>290220208</v>
      </c>
      <c r="D1360" s="16">
        <v>8520265</v>
      </c>
      <c r="E1360" s="16" t="s">
        <v>7857</v>
      </c>
      <c r="F1360" s="20" t="s">
        <v>7220</v>
      </c>
      <c r="G1360" s="17" t="s">
        <v>7858</v>
      </c>
    </row>
    <row r="1361" spans="1:7" x14ac:dyDescent="0.25">
      <c r="A1361">
        <f t="shared" si="23"/>
        <v>8520014</v>
      </c>
      <c r="B1361" s="15">
        <v>140640159</v>
      </c>
      <c r="C1361" s="15">
        <v>290220211</v>
      </c>
      <c r="D1361" s="16">
        <v>8520014</v>
      </c>
      <c r="E1361" s="16" t="s">
        <v>5942</v>
      </c>
      <c r="F1361" s="20" t="s">
        <v>7220</v>
      </c>
      <c r="G1361" s="17" t="s">
        <v>7859</v>
      </c>
    </row>
    <row r="1362" spans="1:7" x14ac:dyDescent="0.25">
      <c r="A1362">
        <f t="shared" si="23"/>
        <v>8708104</v>
      </c>
      <c r="B1362" s="15">
        <v>140640222</v>
      </c>
      <c r="C1362" s="15">
        <v>290220584</v>
      </c>
      <c r="D1362" s="16">
        <v>8708104</v>
      </c>
      <c r="E1362" s="16" t="s">
        <v>7860</v>
      </c>
      <c r="F1362" s="20" t="s">
        <v>7035</v>
      </c>
      <c r="G1362" s="17" t="s">
        <v>7861</v>
      </c>
    </row>
    <row r="1363" spans="1:7" x14ac:dyDescent="0.25">
      <c r="A1363">
        <f t="shared" si="23"/>
        <v>8708628</v>
      </c>
      <c r="B1363" s="15">
        <v>140640251</v>
      </c>
      <c r="C1363" s="15">
        <v>290220767</v>
      </c>
      <c r="D1363" s="16">
        <v>870862807</v>
      </c>
      <c r="E1363" s="16" t="s">
        <v>7862</v>
      </c>
      <c r="F1363" s="20" t="s">
        <v>7863</v>
      </c>
      <c r="G1363" s="17" t="s">
        <v>7864</v>
      </c>
    </row>
    <row r="1364" spans="1:7" x14ac:dyDescent="0.25">
      <c r="A1364">
        <f t="shared" si="23"/>
        <v>8708628</v>
      </c>
      <c r="B1364" s="15">
        <v>140640251</v>
      </c>
      <c r="C1364" s="15">
        <v>290220770</v>
      </c>
      <c r="D1364" s="16">
        <v>870862806</v>
      </c>
      <c r="E1364" s="16" t="s">
        <v>7862</v>
      </c>
      <c r="F1364" s="20" t="s">
        <v>7865</v>
      </c>
      <c r="G1364" s="17" t="s">
        <v>7866</v>
      </c>
    </row>
    <row r="1365" spans="1:7" x14ac:dyDescent="0.25">
      <c r="A1365">
        <f t="shared" si="23"/>
        <v>8708625</v>
      </c>
      <c r="B1365" s="15">
        <v>140640226</v>
      </c>
      <c r="C1365" s="15">
        <v>290220641</v>
      </c>
      <c r="D1365" s="16">
        <v>870862509</v>
      </c>
      <c r="E1365" s="16" t="s">
        <v>7867</v>
      </c>
      <c r="F1365" s="20" t="s">
        <v>7318</v>
      </c>
      <c r="G1365" s="17" t="s">
        <v>7868</v>
      </c>
    </row>
    <row r="1366" spans="1:7" x14ac:dyDescent="0.25">
      <c r="A1366">
        <f t="shared" si="23"/>
        <v>8708625</v>
      </c>
      <c r="B1366" s="15">
        <v>140640226</v>
      </c>
      <c r="C1366" s="15">
        <v>290220624</v>
      </c>
      <c r="D1366" s="16">
        <v>870862506</v>
      </c>
      <c r="E1366" s="16" t="s">
        <v>7867</v>
      </c>
      <c r="F1366" s="20" t="s">
        <v>7865</v>
      </c>
      <c r="G1366" s="17" t="s">
        <v>7869</v>
      </c>
    </row>
    <row r="1367" spans="1:7" x14ac:dyDescent="0.25">
      <c r="A1367">
        <f t="shared" si="23"/>
        <v>8708625</v>
      </c>
      <c r="B1367" s="15">
        <v>140640226</v>
      </c>
      <c r="C1367" s="15">
        <v>290220639</v>
      </c>
      <c r="D1367" s="16">
        <v>870862507</v>
      </c>
      <c r="E1367" s="16" t="s">
        <v>7867</v>
      </c>
      <c r="F1367" s="20" t="s">
        <v>7863</v>
      </c>
      <c r="G1367" s="17" t="s">
        <v>7870</v>
      </c>
    </row>
    <row r="1368" spans="1:7" x14ac:dyDescent="0.25">
      <c r="A1368">
        <f t="shared" si="23"/>
        <v>8708625</v>
      </c>
      <c r="B1368" s="15">
        <v>140640226</v>
      </c>
      <c r="C1368" s="15">
        <v>290220635</v>
      </c>
      <c r="D1368" s="16">
        <v>870862508</v>
      </c>
      <c r="E1368" s="16" t="s">
        <v>7867</v>
      </c>
      <c r="F1368" s="20" t="s">
        <v>7871</v>
      </c>
      <c r="G1368" s="17" t="s">
        <v>7872</v>
      </c>
    </row>
    <row r="1369" spans="1:7" x14ac:dyDescent="0.25">
      <c r="A1369">
        <f t="shared" si="23"/>
        <v>8708625</v>
      </c>
      <c r="B1369" s="15">
        <v>140640226</v>
      </c>
      <c r="C1369" s="15">
        <v>290220644</v>
      </c>
      <c r="D1369" s="16">
        <v>870862503</v>
      </c>
      <c r="E1369" s="16" t="s">
        <v>7867</v>
      </c>
      <c r="F1369" s="20" t="s">
        <v>7873</v>
      </c>
      <c r="G1369" s="17" t="s">
        <v>7874</v>
      </c>
    </row>
    <row r="1370" spans="1:7" x14ac:dyDescent="0.25">
      <c r="A1370">
        <f t="shared" si="23"/>
        <v>8708618</v>
      </c>
      <c r="B1370" s="15">
        <v>140640233</v>
      </c>
      <c r="C1370" s="15">
        <v>290220657</v>
      </c>
      <c r="D1370" s="16">
        <v>870861805</v>
      </c>
      <c r="E1370" s="16" t="s">
        <v>7875</v>
      </c>
      <c r="F1370" s="20" t="s">
        <v>7050</v>
      </c>
      <c r="G1370" s="17" t="s">
        <v>7876</v>
      </c>
    </row>
    <row r="1371" spans="1:7" x14ac:dyDescent="0.25">
      <c r="A1371">
        <f t="shared" si="23"/>
        <v>8708618</v>
      </c>
      <c r="B1371" s="15">
        <v>140640233</v>
      </c>
      <c r="C1371" s="15">
        <v>290220651</v>
      </c>
      <c r="D1371" s="16">
        <v>870861811</v>
      </c>
      <c r="E1371" s="16" t="s">
        <v>7875</v>
      </c>
      <c r="F1371" s="20" t="s">
        <v>7053</v>
      </c>
      <c r="G1371" s="17" t="s">
        <v>7877</v>
      </c>
    </row>
    <row r="1372" spans="1:7" x14ac:dyDescent="0.25">
      <c r="A1372">
        <f t="shared" si="23"/>
        <v>8708618</v>
      </c>
      <c r="B1372" s="15">
        <v>140640233</v>
      </c>
      <c r="C1372" s="15">
        <v>290220673</v>
      </c>
      <c r="D1372" s="16">
        <v>870861809</v>
      </c>
      <c r="E1372" s="16" t="s">
        <v>7875</v>
      </c>
      <c r="F1372" s="20" t="s">
        <v>7035</v>
      </c>
      <c r="G1372" s="17" t="s">
        <v>7878</v>
      </c>
    </row>
    <row r="1373" spans="1:7" x14ac:dyDescent="0.25">
      <c r="A1373">
        <f t="shared" si="23"/>
        <v>8708618</v>
      </c>
      <c r="B1373" s="15">
        <v>140640233</v>
      </c>
      <c r="C1373" s="15">
        <v>290220669</v>
      </c>
      <c r="D1373" s="16">
        <v>870861808</v>
      </c>
      <c r="E1373" s="16" t="s">
        <v>7875</v>
      </c>
      <c r="F1373" s="20" t="s">
        <v>7052</v>
      </c>
      <c r="G1373" s="17" t="s">
        <v>7879</v>
      </c>
    </row>
    <row r="1374" spans="1:7" x14ac:dyDescent="0.25">
      <c r="A1374">
        <f t="shared" si="23"/>
        <v>8708618</v>
      </c>
      <c r="B1374" s="15">
        <v>140640233</v>
      </c>
      <c r="C1374" s="15">
        <v>290220654</v>
      </c>
      <c r="D1374" s="16">
        <v>870861804</v>
      </c>
      <c r="E1374" s="16" t="s">
        <v>7875</v>
      </c>
      <c r="F1374" s="20" t="s">
        <v>7049</v>
      </c>
      <c r="G1374" s="17" t="s">
        <v>7880</v>
      </c>
    </row>
    <row r="1375" spans="1:7" x14ac:dyDescent="0.25">
      <c r="A1375">
        <f t="shared" si="23"/>
        <v>8708618</v>
      </c>
      <c r="B1375" s="15">
        <v>140640233</v>
      </c>
      <c r="C1375" s="15">
        <v>290220663</v>
      </c>
      <c r="D1375" s="16">
        <v>870861806</v>
      </c>
      <c r="E1375" s="16" t="s">
        <v>7875</v>
      </c>
      <c r="F1375" s="20" t="s">
        <v>7033</v>
      </c>
      <c r="G1375" s="17" t="s">
        <v>7881</v>
      </c>
    </row>
    <row r="1376" spans="1:7" x14ac:dyDescent="0.25">
      <c r="A1376">
        <f t="shared" si="23"/>
        <v>8708618</v>
      </c>
      <c r="B1376" s="15">
        <v>140640233</v>
      </c>
      <c r="C1376" s="15">
        <v>290220667</v>
      </c>
      <c r="D1376" s="16">
        <v>870861807</v>
      </c>
      <c r="E1376" s="16" t="s">
        <v>7875</v>
      </c>
      <c r="F1376" s="20" t="s">
        <v>7051</v>
      </c>
      <c r="G1376" s="17" t="s">
        <v>7882</v>
      </c>
    </row>
    <row r="1377" spans="1:7" x14ac:dyDescent="0.25">
      <c r="A1377">
        <f t="shared" si="23"/>
        <v>8708618</v>
      </c>
      <c r="B1377" s="15">
        <v>140640233</v>
      </c>
      <c r="C1377" s="15">
        <v>290220685</v>
      </c>
      <c r="D1377" s="16">
        <v>870861803</v>
      </c>
      <c r="E1377" s="16" t="s">
        <v>7875</v>
      </c>
      <c r="F1377" s="20" t="s">
        <v>7034</v>
      </c>
      <c r="G1377" s="17" t="s">
        <v>7883</v>
      </c>
    </row>
    <row r="1378" spans="1:7" x14ac:dyDescent="0.25">
      <c r="A1378">
        <f t="shared" si="23"/>
        <v>8708618</v>
      </c>
      <c r="B1378" s="15">
        <v>140640233</v>
      </c>
      <c r="C1378" s="15">
        <v>290220692</v>
      </c>
      <c r="D1378" s="16">
        <v>870861810</v>
      </c>
      <c r="E1378" s="16" t="s">
        <v>7875</v>
      </c>
      <c r="F1378" s="20" t="s">
        <v>7221</v>
      </c>
      <c r="G1378" s="17" t="s">
        <v>7884</v>
      </c>
    </row>
    <row r="1379" spans="1:7" x14ac:dyDescent="0.25">
      <c r="A1379">
        <f t="shared" si="23"/>
        <v>8708601</v>
      </c>
      <c r="B1379" s="15">
        <v>140640073</v>
      </c>
      <c r="C1379" s="15">
        <v>290219068</v>
      </c>
      <c r="D1379" s="16">
        <v>870860115</v>
      </c>
      <c r="E1379" s="16" t="s">
        <v>7222</v>
      </c>
      <c r="F1379" s="20" t="s">
        <v>7885</v>
      </c>
      <c r="G1379" s="17" t="s">
        <v>7886</v>
      </c>
    </row>
    <row r="1380" spans="1:7" x14ac:dyDescent="0.25">
      <c r="A1380">
        <f t="shared" si="23"/>
        <v>8708601</v>
      </c>
      <c r="B1380" s="15">
        <v>140640073</v>
      </c>
      <c r="C1380" s="15">
        <v>290219073</v>
      </c>
      <c r="D1380" s="16">
        <v>870860101</v>
      </c>
      <c r="E1380" s="16" t="s">
        <v>7222</v>
      </c>
      <c r="F1380" s="20" t="s">
        <v>7887</v>
      </c>
      <c r="G1380" s="17" t="s">
        <v>7888</v>
      </c>
    </row>
    <row r="1381" spans="1:7" x14ac:dyDescent="0.25">
      <c r="A1381">
        <f t="shared" si="23"/>
        <v>8708601</v>
      </c>
      <c r="B1381" s="15">
        <v>140640073</v>
      </c>
      <c r="C1381" s="15">
        <v>290219071</v>
      </c>
      <c r="D1381" s="16">
        <v>870860102</v>
      </c>
      <c r="E1381" s="16" t="s">
        <v>7222</v>
      </c>
      <c r="F1381" s="20" t="s">
        <v>7889</v>
      </c>
      <c r="G1381" s="17" t="s">
        <v>7890</v>
      </c>
    </row>
    <row r="1382" spans="1:7" x14ac:dyDescent="0.25">
      <c r="A1382">
        <f t="shared" si="23"/>
        <v>8708601</v>
      </c>
      <c r="B1382" s="15">
        <v>140640073</v>
      </c>
      <c r="C1382" s="15">
        <v>290219094</v>
      </c>
      <c r="D1382" s="16">
        <v>870860113</v>
      </c>
      <c r="E1382" s="16" t="s">
        <v>7222</v>
      </c>
      <c r="F1382" s="20" t="s">
        <v>7891</v>
      </c>
      <c r="G1382" s="17" t="s">
        <v>7892</v>
      </c>
    </row>
    <row r="1383" spans="1:7" x14ac:dyDescent="0.25">
      <c r="A1383">
        <f t="shared" si="23"/>
        <v>8708601</v>
      </c>
      <c r="B1383" s="15">
        <v>140640073</v>
      </c>
      <c r="C1383" s="15">
        <v>290219093</v>
      </c>
      <c r="D1383" s="16">
        <v>870860112</v>
      </c>
      <c r="E1383" s="16" t="s">
        <v>7222</v>
      </c>
      <c r="F1383" s="20" t="s">
        <v>7893</v>
      </c>
      <c r="G1383" s="17" t="s">
        <v>7894</v>
      </c>
    </row>
    <row r="1384" spans="1:7" x14ac:dyDescent="0.25">
      <c r="A1384">
        <f t="shared" si="23"/>
        <v>8708601</v>
      </c>
      <c r="B1384" s="15">
        <v>140640073</v>
      </c>
      <c r="C1384" s="15">
        <v>290219095</v>
      </c>
      <c r="D1384" s="16">
        <v>870860114</v>
      </c>
      <c r="E1384" s="16" t="s">
        <v>7222</v>
      </c>
      <c r="F1384" s="20" t="s">
        <v>7895</v>
      </c>
      <c r="G1384" s="17" t="s">
        <v>7896</v>
      </c>
    </row>
    <row r="1385" spans="1:7" x14ac:dyDescent="0.25">
      <c r="A1385">
        <f t="shared" si="23"/>
        <v>8708601</v>
      </c>
      <c r="B1385" s="15">
        <v>140640073</v>
      </c>
      <c r="C1385" s="15">
        <v>290219089</v>
      </c>
      <c r="D1385" s="16">
        <v>870860111</v>
      </c>
      <c r="E1385" s="16" t="s">
        <v>7222</v>
      </c>
      <c r="F1385" s="20" t="s">
        <v>7897</v>
      </c>
      <c r="G1385" s="17" t="s">
        <v>7898</v>
      </c>
    </row>
    <row r="1386" spans="1:7" x14ac:dyDescent="0.25">
      <c r="A1386">
        <f t="shared" si="23"/>
        <v>8708601</v>
      </c>
      <c r="B1386" s="15">
        <v>140640073</v>
      </c>
      <c r="C1386" s="15">
        <v>290219098</v>
      </c>
      <c r="D1386" s="16">
        <v>870860116</v>
      </c>
      <c r="E1386" s="16" t="s">
        <v>7222</v>
      </c>
      <c r="F1386" s="20" t="s">
        <v>7899</v>
      </c>
      <c r="G1386" s="17" t="s">
        <v>7900</v>
      </c>
    </row>
    <row r="1387" spans="1:7" x14ac:dyDescent="0.25">
      <c r="A1387">
        <f t="shared" si="23"/>
        <v>8708601</v>
      </c>
      <c r="B1387" s="15">
        <v>140640073</v>
      </c>
      <c r="C1387" s="15">
        <v>290219084</v>
      </c>
      <c r="D1387" s="16">
        <v>870860109</v>
      </c>
      <c r="E1387" s="16" t="s">
        <v>7222</v>
      </c>
      <c r="F1387" s="20" t="s">
        <v>7901</v>
      </c>
      <c r="G1387" s="17" t="s">
        <v>7902</v>
      </c>
    </row>
    <row r="1388" spans="1:7" x14ac:dyDescent="0.25">
      <c r="A1388">
        <f t="shared" si="23"/>
        <v>8708601</v>
      </c>
      <c r="B1388" s="15">
        <v>140640073</v>
      </c>
      <c r="C1388" s="15">
        <v>290219081</v>
      </c>
      <c r="D1388" s="16">
        <v>870860106</v>
      </c>
      <c r="E1388" s="16" t="s">
        <v>7222</v>
      </c>
      <c r="F1388" s="20" t="s">
        <v>7903</v>
      </c>
      <c r="G1388" s="17" t="s">
        <v>7904</v>
      </c>
    </row>
    <row r="1389" spans="1:7" x14ac:dyDescent="0.25">
      <c r="A1389">
        <f t="shared" si="23"/>
        <v>8708601</v>
      </c>
      <c r="B1389" s="15">
        <v>140640073</v>
      </c>
      <c r="C1389" s="15">
        <v>290219099</v>
      </c>
      <c r="D1389" s="16">
        <v>870860117</v>
      </c>
      <c r="E1389" s="16" t="s">
        <v>7222</v>
      </c>
      <c r="F1389" s="20" t="s">
        <v>7905</v>
      </c>
      <c r="G1389" s="17" t="s">
        <v>7906</v>
      </c>
    </row>
    <row r="1390" spans="1:7" x14ac:dyDescent="0.25">
      <c r="A1390">
        <f t="shared" si="23"/>
        <v>8708601</v>
      </c>
      <c r="B1390" s="15">
        <v>140640073</v>
      </c>
      <c r="C1390" s="15">
        <v>290219079</v>
      </c>
      <c r="D1390" s="16">
        <v>870860104</v>
      </c>
      <c r="E1390" s="16" t="s">
        <v>7222</v>
      </c>
      <c r="F1390" s="20" t="s">
        <v>7907</v>
      </c>
      <c r="G1390" s="17" t="s">
        <v>7908</v>
      </c>
    </row>
    <row r="1391" spans="1:7" x14ac:dyDescent="0.25">
      <c r="A1391">
        <f t="shared" si="23"/>
        <v>8708601</v>
      </c>
      <c r="B1391" s="15">
        <v>140640073</v>
      </c>
      <c r="C1391" s="15">
        <v>290219080</v>
      </c>
      <c r="D1391" s="16">
        <v>870860105</v>
      </c>
      <c r="E1391" s="16" t="s">
        <v>7222</v>
      </c>
      <c r="F1391" s="20" t="s">
        <v>7909</v>
      </c>
      <c r="G1391" s="17" t="s">
        <v>7910</v>
      </c>
    </row>
    <row r="1392" spans="1:7" x14ac:dyDescent="0.25">
      <c r="A1392">
        <f t="shared" si="23"/>
        <v>8708601</v>
      </c>
      <c r="B1392" s="15">
        <v>140640073</v>
      </c>
      <c r="C1392" s="15">
        <v>290219075</v>
      </c>
      <c r="D1392" s="16">
        <v>870860103</v>
      </c>
      <c r="E1392" s="16" t="s">
        <v>7222</v>
      </c>
      <c r="F1392" s="20" t="s">
        <v>7911</v>
      </c>
      <c r="G1392" s="17" t="s">
        <v>7912</v>
      </c>
    </row>
    <row r="1393" spans="1:7" x14ac:dyDescent="0.25">
      <c r="A1393">
        <f t="shared" si="23"/>
        <v>8708601</v>
      </c>
      <c r="B1393" s="15">
        <v>140640073</v>
      </c>
      <c r="C1393" s="15">
        <v>290219082</v>
      </c>
      <c r="D1393" s="16">
        <v>870860107</v>
      </c>
      <c r="E1393" s="16" t="s">
        <v>7222</v>
      </c>
      <c r="F1393" s="20" t="s">
        <v>7913</v>
      </c>
      <c r="G1393" s="17" t="s">
        <v>7914</v>
      </c>
    </row>
    <row r="1394" spans="1:7" x14ac:dyDescent="0.25">
      <c r="A1394">
        <f t="shared" si="23"/>
        <v>8708601</v>
      </c>
      <c r="B1394" s="15">
        <v>140640073</v>
      </c>
      <c r="C1394" s="15">
        <v>290219083</v>
      </c>
      <c r="D1394" s="16">
        <v>870860108</v>
      </c>
      <c r="E1394" s="16" t="s">
        <v>7222</v>
      </c>
      <c r="F1394" s="20" t="s">
        <v>7915</v>
      </c>
      <c r="G1394" s="17" t="s">
        <v>7916</v>
      </c>
    </row>
    <row r="1395" spans="1:7" x14ac:dyDescent="0.25">
      <c r="A1395">
        <f t="shared" si="23"/>
        <v>8708601</v>
      </c>
      <c r="B1395" s="15">
        <v>140640073</v>
      </c>
      <c r="C1395" s="15">
        <v>290219087</v>
      </c>
      <c r="D1395" s="16">
        <v>870860110</v>
      </c>
      <c r="E1395" s="16" t="s">
        <v>7222</v>
      </c>
      <c r="F1395" s="20" t="s">
        <v>7917</v>
      </c>
      <c r="G1395" s="17" t="s">
        <v>7918</v>
      </c>
    </row>
    <row r="1396" spans="1:7" x14ac:dyDescent="0.25">
      <c r="A1396">
        <f t="shared" si="23"/>
        <v>8708643</v>
      </c>
      <c r="B1396" s="15">
        <v>140009522</v>
      </c>
      <c r="C1396" s="15">
        <v>289560621</v>
      </c>
      <c r="D1396" s="16">
        <v>870864303</v>
      </c>
      <c r="E1396" s="16" t="s">
        <v>5834</v>
      </c>
      <c r="F1396" s="20" t="s">
        <v>7911</v>
      </c>
      <c r="G1396" s="17" t="s">
        <v>7919</v>
      </c>
    </row>
    <row r="1397" spans="1:7" x14ac:dyDescent="0.25">
      <c r="A1397">
        <f t="shared" si="23"/>
        <v>8708643</v>
      </c>
      <c r="B1397" s="15">
        <v>140009522</v>
      </c>
      <c r="C1397" s="15">
        <v>289560624</v>
      </c>
      <c r="D1397" s="16">
        <v>870864306</v>
      </c>
      <c r="E1397" s="16" t="s">
        <v>5834</v>
      </c>
      <c r="F1397" s="20" t="s">
        <v>7903</v>
      </c>
      <c r="G1397" s="17" t="s">
        <v>7920</v>
      </c>
    </row>
    <row r="1398" spans="1:7" x14ac:dyDescent="0.25">
      <c r="A1398">
        <f t="shared" si="23"/>
        <v>8708643</v>
      </c>
      <c r="B1398" s="15">
        <v>140009522</v>
      </c>
      <c r="C1398" s="15">
        <v>289560626</v>
      </c>
      <c r="D1398" s="16">
        <v>870864307</v>
      </c>
      <c r="E1398" s="16" t="s">
        <v>5834</v>
      </c>
      <c r="F1398" s="20" t="s">
        <v>7913</v>
      </c>
      <c r="G1398" s="17" t="s">
        <v>7921</v>
      </c>
    </row>
    <row r="1399" spans="1:7" x14ac:dyDescent="0.25">
      <c r="A1399">
        <f t="shared" si="23"/>
        <v>8708643</v>
      </c>
      <c r="B1399" s="15">
        <v>140009522</v>
      </c>
      <c r="C1399" s="15">
        <v>289560627</v>
      </c>
      <c r="D1399" s="16">
        <v>870864309</v>
      </c>
      <c r="E1399" s="16" t="s">
        <v>5834</v>
      </c>
      <c r="F1399" s="20" t="s">
        <v>7901</v>
      </c>
      <c r="G1399" s="17" t="s">
        <v>7922</v>
      </c>
    </row>
    <row r="1400" spans="1:7" x14ac:dyDescent="0.25">
      <c r="A1400">
        <f t="shared" si="23"/>
        <v>8708899</v>
      </c>
      <c r="B1400" s="15">
        <v>140640235</v>
      </c>
      <c r="C1400" s="15">
        <v>290220658</v>
      </c>
      <c r="D1400" s="16">
        <v>870889903</v>
      </c>
      <c r="E1400" s="16" t="s">
        <v>7223</v>
      </c>
      <c r="F1400" s="20" t="s">
        <v>7873</v>
      </c>
      <c r="G1400" s="17" t="s">
        <v>7923</v>
      </c>
    </row>
    <row r="1401" spans="1:7" x14ac:dyDescent="0.25">
      <c r="A1401">
        <f t="shared" si="23"/>
        <v>8708899</v>
      </c>
      <c r="B1401" s="15">
        <v>140640235</v>
      </c>
      <c r="C1401" s="15">
        <v>290220664</v>
      </c>
      <c r="D1401" s="16">
        <v>870889909</v>
      </c>
      <c r="E1401" s="16" t="s">
        <v>7223</v>
      </c>
      <c r="F1401" s="20" t="s">
        <v>7318</v>
      </c>
      <c r="G1401" s="17" t="s">
        <v>7924</v>
      </c>
    </row>
    <row r="1402" spans="1:7" x14ac:dyDescent="0.25">
      <c r="A1402">
        <f t="shared" si="23"/>
        <v>8708899</v>
      </c>
      <c r="B1402" s="15">
        <v>140640235</v>
      </c>
      <c r="C1402" s="15">
        <v>290220662</v>
      </c>
      <c r="D1402" s="16">
        <v>870889907</v>
      </c>
      <c r="E1402" s="16" t="s">
        <v>7223</v>
      </c>
      <c r="F1402" s="20" t="s">
        <v>7863</v>
      </c>
      <c r="G1402" s="17" t="s">
        <v>7925</v>
      </c>
    </row>
    <row r="1403" spans="1:7" x14ac:dyDescent="0.25">
      <c r="A1403">
        <f t="shared" si="23"/>
        <v>8708899</v>
      </c>
      <c r="B1403" s="15">
        <v>140640235</v>
      </c>
      <c r="C1403" s="15">
        <v>290220661</v>
      </c>
      <c r="D1403" s="16">
        <v>870889906</v>
      </c>
      <c r="E1403" s="16" t="s">
        <v>7223</v>
      </c>
      <c r="F1403" s="20" t="s">
        <v>7865</v>
      </c>
      <c r="G1403" s="17" t="s">
        <v>7926</v>
      </c>
    </row>
    <row r="1404" spans="1:7" x14ac:dyDescent="0.25">
      <c r="A1404">
        <f t="shared" si="23"/>
        <v>8708100</v>
      </c>
      <c r="B1404" s="15">
        <v>140640241</v>
      </c>
      <c r="C1404" s="15">
        <v>290220680</v>
      </c>
      <c r="D1404" s="16">
        <v>870810006</v>
      </c>
      <c r="E1404" s="16" t="s">
        <v>7224</v>
      </c>
      <c r="F1404" s="20" t="s">
        <v>7865</v>
      </c>
      <c r="G1404" s="17" t="s">
        <v>7927</v>
      </c>
    </row>
    <row r="1405" spans="1:7" x14ac:dyDescent="0.25">
      <c r="A1405">
        <f t="shared" si="23"/>
        <v>8708100</v>
      </c>
      <c r="B1405" s="15">
        <v>140640241</v>
      </c>
      <c r="C1405" s="15">
        <v>290220687</v>
      </c>
      <c r="D1405" s="16">
        <v>870810009</v>
      </c>
      <c r="E1405" s="16" t="s">
        <v>7224</v>
      </c>
      <c r="F1405" s="20" t="s">
        <v>7318</v>
      </c>
      <c r="G1405" s="17" t="s">
        <v>7928</v>
      </c>
    </row>
    <row r="1406" spans="1:7" x14ac:dyDescent="0.25">
      <c r="A1406">
        <f t="shared" si="23"/>
        <v>8708100</v>
      </c>
      <c r="B1406" s="15">
        <v>140640241</v>
      </c>
      <c r="C1406" s="15">
        <v>290220694</v>
      </c>
      <c r="D1406" s="16">
        <v>870810021</v>
      </c>
      <c r="E1406" s="16" t="s">
        <v>7224</v>
      </c>
      <c r="F1406" s="20" t="s">
        <v>7929</v>
      </c>
      <c r="G1406" s="17" t="s">
        <v>7930</v>
      </c>
    </row>
    <row r="1407" spans="1:7" x14ac:dyDescent="0.25">
      <c r="A1407">
        <f t="shared" si="23"/>
        <v>8708100</v>
      </c>
      <c r="B1407" s="15">
        <v>140640241</v>
      </c>
      <c r="C1407" s="15">
        <v>290220677</v>
      </c>
      <c r="D1407" s="16">
        <v>870810004</v>
      </c>
      <c r="E1407" s="16" t="s">
        <v>7224</v>
      </c>
      <c r="F1407" s="20" t="s">
        <v>7931</v>
      </c>
      <c r="G1407" s="17" t="s">
        <v>7932</v>
      </c>
    </row>
    <row r="1408" spans="1:7" x14ac:dyDescent="0.25">
      <c r="A1408">
        <f t="shared" si="23"/>
        <v>8708610</v>
      </c>
      <c r="B1408" s="15">
        <v>139989410</v>
      </c>
      <c r="C1408" s="15">
        <v>289539112</v>
      </c>
      <c r="D1408" s="16">
        <v>870861008</v>
      </c>
      <c r="E1408" s="16" t="s">
        <v>7933</v>
      </c>
      <c r="F1408" s="20" t="s">
        <v>7915</v>
      </c>
      <c r="G1408" s="17" t="s">
        <v>7934</v>
      </c>
    </row>
    <row r="1409" spans="1:7" x14ac:dyDescent="0.25">
      <c r="A1409">
        <f t="shared" si="23"/>
        <v>8708610</v>
      </c>
      <c r="B1409" s="15">
        <v>139989410</v>
      </c>
      <c r="C1409" s="15">
        <v>289539111</v>
      </c>
      <c r="D1409" s="16">
        <v>870861007</v>
      </c>
      <c r="E1409" s="16" t="s">
        <v>7933</v>
      </c>
      <c r="F1409" s="20" t="s">
        <v>7913</v>
      </c>
      <c r="G1409" s="17" t="s">
        <v>7935</v>
      </c>
    </row>
    <row r="1410" spans="1:7" x14ac:dyDescent="0.25">
      <c r="A1410">
        <f t="shared" si="23"/>
        <v>8708610</v>
      </c>
      <c r="B1410" s="15">
        <v>139989410</v>
      </c>
      <c r="C1410" s="15">
        <v>289539108</v>
      </c>
      <c r="D1410" s="16">
        <v>870861004</v>
      </c>
      <c r="E1410" s="16" t="s">
        <v>7933</v>
      </c>
      <c r="F1410" s="20" t="s">
        <v>7907</v>
      </c>
      <c r="G1410" s="17" t="s">
        <v>7936</v>
      </c>
    </row>
    <row r="1411" spans="1:7" x14ac:dyDescent="0.25">
      <c r="A1411">
        <f t="shared" si="23"/>
        <v>8708610</v>
      </c>
      <c r="B1411" s="15">
        <v>139989410</v>
      </c>
      <c r="C1411" s="15">
        <v>289539109</v>
      </c>
      <c r="D1411" s="16">
        <v>870861005</v>
      </c>
      <c r="E1411" s="16" t="s">
        <v>7933</v>
      </c>
      <c r="F1411" s="20" t="s">
        <v>7909</v>
      </c>
      <c r="G1411" s="17" t="s">
        <v>7937</v>
      </c>
    </row>
    <row r="1412" spans="1:7" x14ac:dyDescent="0.25">
      <c r="A1412">
        <f t="shared" si="23"/>
        <v>8708610</v>
      </c>
      <c r="B1412" s="15">
        <v>139989410</v>
      </c>
      <c r="C1412" s="15">
        <v>289539114</v>
      </c>
      <c r="D1412" s="16">
        <v>870861009</v>
      </c>
      <c r="E1412" s="16" t="s">
        <v>7933</v>
      </c>
      <c r="F1412" s="20" t="s">
        <v>7901</v>
      </c>
      <c r="G1412" s="17" t="s">
        <v>7938</v>
      </c>
    </row>
    <row r="1413" spans="1:7" x14ac:dyDescent="0.25">
      <c r="A1413">
        <f t="shared" si="23"/>
        <v>8708610</v>
      </c>
      <c r="B1413" s="15">
        <v>139989410</v>
      </c>
      <c r="C1413" s="15">
        <v>289539107</v>
      </c>
      <c r="D1413" s="16">
        <v>870861003</v>
      </c>
      <c r="E1413" s="16" t="s">
        <v>7933</v>
      </c>
      <c r="F1413" s="20" t="s">
        <v>7911</v>
      </c>
      <c r="G1413" s="17" t="s">
        <v>7939</v>
      </c>
    </row>
    <row r="1414" spans="1:7" x14ac:dyDescent="0.25">
      <c r="A1414">
        <f t="shared" si="23"/>
        <v>8708610</v>
      </c>
      <c r="B1414" s="15">
        <v>139989410</v>
      </c>
      <c r="C1414" s="15">
        <v>289539116</v>
      </c>
      <c r="D1414" s="16">
        <v>870861011</v>
      </c>
      <c r="E1414" s="16" t="s">
        <v>7933</v>
      </c>
      <c r="F1414" s="20" t="s">
        <v>7897</v>
      </c>
      <c r="G1414" s="17" t="s">
        <v>7940</v>
      </c>
    </row>
    <row r="1415" spans="1:7" x14ac:dyDescent="0.25">
      <c r="A1415">
        <f t="shared" ref="A1415:A1478" si="24">LEFT(D1415,7)*1</f>
        <v>8708610</v>
      </c>
      <c r="B1415" s="15">
        <v>139989410</v>
      </c>
      <c r="C1415" s="15">
        <v>289539110</v>
      </c>
      <c r="D1415" s="16">
        <v>870861006</v>
      </c>
      <c r="E1415" s="16" t="s">
        <v>7933</v>
      </c>
      <c r="F1415" s="20" t="s">
        <v>7903</v>
      </c>
      <c r="G1415" s="17" t="s">
        <v>7941</v>
      </c>
    </row>
    <row r="1416" spans="1:7" x14ac:dyDescent="0.25">
      <c r="A1416">
        <f t="shared" si="24"/>
        <v>8708610</v>
      </c>
      <c r="B1416" s="15">
        <v>139989410</v>
      </c>
      <c r="C1416" s="15">
        <v>289539115</v>
      </c>
      <c r="D1416" s="16">
        <v>870861010</v>
      </c>
      <c r="E1416" s="16" t="s">
        <v>7933</v>
      </c>
      <c r="F1416" s="20" t="s">
        <v>7917</v>
      </c>
      <c r="G1416" s="17" t="s">
        <v>7942</v>
      </c>
    </row>
    <row r="1417" spans="1:7" x14ac:dyDescent="0.25">
      <c r="A1417">
        <f t="shared" si="24"/>
        <v>8708609</v>
      </c>
      <c r="B1417" s="15">
        <v>140640288</v>
      </c>
      <c r="C1417" s="15">
        <v>290221066</v>
      </c>
      <c r="D1417" s="16">
        <v>870860903</v>
      </c>
      <c r="E1417" s="16" t="s">
        <v>7225</v>
      </c>
      <c r="F1417" s="20" t="s">
        <v>7911</v>
      </c>
      <c r="G1417" s="17" t="s">
        <v>7943</v>
      </c>
    </row>
    <row r="1418" spans="1:7" x14ac:dyDescent="0.25">
      <c r="A1418">
        <f t="shared" si="24"/>
        <v>8708609</v>
      </c>
      <c r="B1418" s="15">
        <v>140640288</v>
      </c>
      <c r="C1418" s="15">
        <v>290221070</v>
      </c>
      <c r="D1418" s="16">
        <v>870860905</v>
      </c>
      <c r="E1418" s="16" t="s">
        <v>7225</v>
      </c>
      <c r="F1418" s="20" t="s">
        <v>7909</v>
      </c>
      <c r="G1418" s="17" t="s">
        <v>7944</v>
      </c>
    </row>
    <row r="1419" spans="1:7" x14ac:dyDescent="0.25">
      <c r="A1419">
        <f t="shared" si="24"/>
        <v>8708609</v>
      </c>
      <c r="B1419" s="15">
        <v>140640288</v>
      </c>
      <c r="C1419" s="15">
        <v>290221071</v>
      </c>
      <c r="D1419" s="16">
        <v>870860907</v>
      </c>
      <c r="E1419" s="16" t="s">
        <v>7225</v>
      </c>
      <c r="F1419" s="20" t="s">
        <v>7913</v>
      </c>
      <c r="G1419" s="17" t="s">
        <v>7945</v>
      </c>
    </row>
    <row r="1420" spans="1:7" x14ac:dyDescent="0.25">
      <c r="A1420">
        <f t="shared" si="24"/>
        <v>8708609</v>
      </c>
      <c r="B1420" s="15">
        <v>140640288</v>
      </c>
      <c r="C1420" s="15">
        <v>290221077</v>
      </c>
      <c r="D1420" s="16">
        <v>870860908</v>
      </c>
      <c r="E1420" s="16" t="s">
        <v>7225</v>
      </c>
      <c r="F1420" s="20" t="s">
        <v>7915</v>
      </c>
      <c r="G1420" s="17" t="s">
        <v>7946</v>
      </c>
    </row>
    <row r="1421" spans="1:7" x14ac:dyDescent="0.25">
      <c r="A1421">
        <f t="shared" si="24"/>
        <v>8708609</v>
      </c>
      <c r="B1421" s="15">
        <v>140640288</v>
      </c>
      <c r="C1421" s="15">
        <v>290221079</v>
      </c>
      <c r="D1421" s="16">
        <v>870860910</v>
      </c>
      <c r="E1421" s="16" t="s">
        <v>7225</v>
      </c>
      <c r="F1421" s="20" t="s">
        <v>7917</v>
      </c>
      <c r="G1421" s="17" t="s">
        <v>7947</v>
      </c>
    </row>
    <row r="1422" spans="1:7" x14ac:dyDescent="0.25">
      <c r="A1422">
        <f t="shared" si="24"/>
        <v>8708609</v>
      </c>
      <c r="B1422" s="15">
        <v>140640288</v>
      </c>
      <c r="C1422" s="15">
        <v>290221082</v>
      </c>
      <c r="D1422" s="16">
        <v>870860911</v>
      </c>
      <c r="E1422" s="16" t="s">
        <v>7225</v>
      </c>
      <c r="F1422" s="20" t="s">
        <v>7897</v>
      </c>
      <c r="G1422" s="17" t="s">
        <v>7948</v>
      </c>
    </row>
    <row r="1423" spans="1:7" x14ac:dyDescent="0.25">
      <c r="A1423">
        <f t="shared" si="24"/>
        <v>8708608</v>
      </c>
      <c r="B1423" s="15">
        <v>140219449</v>
      </c>
      <c r="C1423" s="15">
        <v>289779776</v>
      </c>
      <c r="D1423" s="16">
        <v>870860801</v>
      </c>
      <c r="E1423" s="16" t="s">
        <v>7226</v>
      </c>
      <c r="F1423" s="20" t="s">
        <v>7887</v>
      </c>
      <c r="G1423" s="17" t="s">
        <v>7949</v>
      </c>
    </row>
    <row r="1424" spans="1:7" x14ac:dyDescent="0.25">
      <c r="A1424">
        <f t="shared" si="24"/>
        <v>8708608</v>
      </c>
      <c r="B1424" s="15">
        <v>140219449</v>
      </c>
      <c r="C1424" s="15">
        <v>289779788</v>
      </c>
      <c r="D1424" s="16">
        <v>870860811</v>
      </c>
      <c r="E1424" s="16" t="s">
        <v>7226</v>
      </c>
      <c r="F1424" s="20" t="s">
        <v>7897</v>
      </c>
      <c r="G1424" s="17" t="s">
        <v>7950</v>
      </c>
    </row>
    <row r="1425" spans="1:7" x14ac:dyDescent="0.25">
      <c r="A1425">
        <f t="shared" si="24"/>
        <v>8708608</v>
      </c>
      <c r="B1425" s="15">
        <v>140219449</v>
      </c>
      <c r="C1425" s="15">
        <v>289779781</v>
      </c>
      <c r="D1425" s="16">
        <v>870860806</v>
      </c>
      <c r="E1425" s="16" t="s">
        <v>7226</v>
      </c>
      <c r="F1425" s="20" t="s">
        <v>7903</v>
      </c>
      <c r="G1425" s="17" t="s">
        <v>7951</v>
      </c>
    </row>
    <row r="1426" spans="1:7" x14ac:dyDescent="0.25">
      <c r="A1426">
        <f t="shared" si="24"/>
        <v>8708608</v>
      </c>
      <c r="B1426" s="15">
        <v>140219449</v>
      </c>
      <c r="C1426" s="15">
        <v>289779778</v>
      </c>
      <c r="D1426" s="16">
        <v>870860803</v>
      </c>
      <c r="E1426" s="16" t="s">
        <v>7226</v>
      </c>
      <c r="F1426" s="20" t="s">
        <v>7911</v>
      </c>
      <c r="G1426" s="17" t="s">
        <v>7952</v>
      </c>
    </row>
    <row r="1427" spans="1:7" x14ac:dyDescent="0.25">
      <c r="A1427">
        <f t="shared" si="24"/>
        <v>8708608</v>
      </c>
      <c r="B1427" s="15">
        <v>140219449</v>
      </c>
      <c r="C1427" s="15">
        <v>289779777</v>
      </c>
      <c r="D1427" s="16">
        <v>870860802</v>
      </c>
      <c r="E1427" s="16" t="s">
        <v>7226</v>
      </c>
      <c r="F1427" s="20" t="s">
        <v>7889</v>
      </c>
      <c r="G1427" s="17" t="s">
        <v>7953</v>
      </c>
    </row>
    <row r="1428" spans="1:7" x14ac:dyDescent="0.25">
      <c r="A1428">
        <f t="shared" si="24"/>
        <v>8708608</v>
      </c>
      <c r="B1428" s="15">
        <v>140219449</v>
      </c>
      <c r="C1428" s="15">
        <v>289779779</v>
      </c>
      <c r="D1428" s="16">
        <v>870860804</v>
      </c>
      <c r="E1428" s="16" t="s">
        <v>7226</v>
      </c>
      <c r="F1428" s="20" t="s">
        <v>7907</v>
      </c>
      <c r="G1428" s="17" t="s">
        <v>7954</v>
      </c>
    </row>
    <row r="1429" spans="1:7" x14ac:dyDescent="0.25">
      <c r="A1429">
        <f t="shared" si="24"/>
        <v>8708608</v>
      </c>
      <c r="B1429" s="15">
        <v>140219449</v>
      </c>
      <c r="C1429" s="15">
        <v>289779790</v>
      </c>
      <c r="D1429" s="16">
        <v>870860812</v>
      </c>
      <c r="E1429" s="16" t="s">
        <v>7226</v>
      </c>
      <c r="F1429" s="20" t="s">
        <v>7893</v>
      </c>
      <c r="G1429" s="17" t="s">
        <v>7955</v>
      </c>
    </row>
    <row r="1430" spans="1:7" x14ac:dyDescent="0.25">
      <c r="A1430">
        <f t="shared" si="24"/>
        <v>8708608</v>
      </c>
      <c r="B1430" s="15">
        <v>140219449</v>
      </c>
      <c r="C1430" s="15">
        <v>289779784</v>
      </c>
      <c r="D1430" s="16">
        <v>870860808</v>
      </c>
      <c r="E1430" s="16" t="s">
        <v>7226</v>
      </c>
      <c r="F1430" s="20" t="s">
        <v>7915</v>
      </c>
      <c r="G1430" s="17" t="s">
        <v>7956</v>
      </c>
    </row>
    <row r="1431" spans="1:7" x14ac:dyDescent="0.25">
      <c r="A1431">
        <f t="shared" si="24"/>
        <v>8708608</v>
      </c>
      <c r="B1431" s="15">
        <v>140219449</v>
      </c>
      <c r="C1431" s="15">
        <v>289779780</v>
      </c>
      <c r="D1431" s="16">
        <v>870860805</v>
      </c>
      <c r="E1431" s="16" t="s">
        <v>7226</v>
      </c>
      <c r="F1431" s="20" t="s">
        <v>7909</v>
      </c>
      <c r="G1431" s="17" t="s">
        <v>7957</v>
      </c>
    </row>
    <row r="1432" spans="1:7" x14ac:dyDescent="0.25">
      <c r="A1432">
        <f t="shared" si="24"/>
        <v>8708608</v>
      </c>
      <c r="B1432" s="15">
        <v>140219449</v>
      </c>
      <c r="C1432" s="15">
        <v>289779783</v>
      </c>
      <c r="D1432" s="16">
        <v>870860807</v>
      </c>
      <c r="E1432" s="16" t="s">
        <v>7226</v>
      </c>
      <c r="F1432" s="20" t="s">
        <v>7913</v>
      </c>
      <c r="G1432" s="17" t="s">
        <v>7958</v>
      </c>
    </row>
    <row r="1433" spans="1:7" x14ac:dyDescent="0.25">
      <c r="A1433">
        <f t="shared" si="24"/>
        <v>8708608</v>
      </c>
      <c r="B1433" s="15">
        <v>140219449</v>
      </c>
      <c r="C1433" s="15">
        <v>289779785</v>
      </c>
      <c r="D1433" s="16">
        <v>870860809</v>
      </c>
      <c r="E1433" s="16" t="s">
        <v>7226</v>
      </c>
      <c r="F1433" s="20" t="s">
        <v>7901</v>
      </c>
      <c r="G1433" s="17" t="s">
        <v>7959</v>
      </c>
    </row>
    <row r="1434" spans="1:7" x14ac:dyDescent="0.25">
      <c r="A1434">
        <f t="shared" si="24"/>
        <v>8708608</v>
      </c>
      <c r="B1434" s="15">
        <v>140219449</v>
      </c>
      <c r="C1434" s="15">
        <v>289779791</v>
      </c>
      <c r="D1434" s="16">
        <v>870860814</v>
      </c>
      <c r="E1434" s="16" t="s">
        <v>7226</v>
      </c>
      <c r="F1434" s="20" t="s">
        <v>7895</v>
      </c>
      <c r="G1434" s="17" t="s">
        <v>7960</v>
      </c>
    </row>
    <row r="1435" spans="1:7" x14ac:dyDescent="0.25">
      <c r="A1435">
        <f t="shared" si="24"/>
        <v>8708608</v>
      </c>
      <c r="B1435" s="15">
        <v>140219449</v>
      </c>
      <c r="C1435" s="15">
        <v>289779787</v>
      </c>
      <c r="D1435" s="16">
        <v>870860810</v>
      </c>
      <c r="E1435" s="16" t="s">
        <v>7226</v>
      </c>
      <c r="F1435" s="20" t="s">
        <v>7917</v>
      </c>
      <c r="G1435" s="17" t="s">
        <v>7961</v>
      </c>
    </row>
    <row r="1436" spans="1:7" x14ac:dyDescent="0.25">
      <c r="A1436">
        <f t="shared" si="24"/>
        <v>8708602</v>
      </c>
      <c r="B1436" s="15">
        <v>140640074</v>
      </c>
      <c r="C1436" s="15">
        <v>290219072</v>
      </c>
      <c r="D1436" s="16">
        <v>870860203</v>
      </c>
      <c r="E1436" s="16" t="s">
        <v>7962</v>
      </c>
      <c r="F1436" s="20" t="s">
        <v>7911</v>
      </c>
      <c r="G1436" s="17" t="s">
        <v>7963</v>
      </c>
    </row>
    <row r="1437" spans="1:7" x14ac:dyDescent="0.25">
      <c r="A1437">
        <f t="shared" si="24"/>
        <v>8708602</v>
      </c>
      <c r="B1437" s="15">
        <v>140640074</v>
      </c>
      <c r="C1437" s="15">
        <v>290219088</v>
      </c>
      <c r="D1437" s="16">
        <v>870860201</v>
      </c>
      <c r="E1437" s="16" t="s">
        <v>7962</v>
      </c>
      <c r="F1437" s="20" t="s">
        <v>7887</v>
      </c>
      <c r="G1437" s="17" t="s">
        <v>7964</v>
      </c>
    </row>
    <row r="1438" spans="1:7" x14ac:dyDescent="0.25">
      <c r="A1438">
        <f t="shared" si="24"/>
        <v>8708602</v>
      </c>
      <c r="B1438" s="15">
        <v>140640074</v>
      </c>
      <c r="C1438" s="15">
        <v>290219104</v>
      </c>
      <c r="D1438" s="16">
        <v>870860204</v>
      </c>
      <c r="E1438" s="16" t="s">
        <v>7962</v>
      </c>
      <c r="F1438" s="20" t="s">
        <v>7907</v>
      </c>
      <c r="G1438" s="17" t="s">
        <v>7965</v>
      </c>
    </row>
    <row r="1439" spans="1:7" x14ac:dyDescent="0.25">
      <c r="A1439">
        <f t="shared" si="24"/>
        <v>8708602</v>
      </c>
      <c r="B1439" s="15">
        <v>140640074</v>
      </c>
      <c r="C1439" s="15">
        <v>290219159</v>
      </c>
      <c r="D1439" s="16">
        <v>870860211</v>
      </c>
      <c r="E1439" s="16" t="s">
        <v>7962</v>
      </c>
      <c r="F1439" s="20" t="s">
        <v>7897</v>
      </c>
      <c r="G1439" s="17" t="s">
        <v>7966</v>
      </c>
    </row>
    <row r="1440" spans="1:7" x14ac:dyDescent="0.25">
      <c r="A1440">
        <f t="shared" si="24"/>
        <v>8708602</v>
      </c>
      <c r="B1440" s="15">
        <v>140640074</v>
      </c>
      <c r="C1440" s="15">
        <v>290219118</v>
      </c>
      <c r="D1440" s="16">
        <v>870860205</v>
      </c>
      <c r="E1440" s="16" t="s">
        <v>7962</v>
      </c>
      <c r="F1440" s="20" t="s">
        <v>7909</v>
      </c>
      <c r="G1440" s="17" t="s">
        <v>7967</v>
      </c>
    </row>
    <row r="1441" spans="1:7" x14ac:dyDescent="0.25">
      <c r="A1441">
        <f t="shared" si="24"/>
        <v>8708602</v>
      </c>
      <c r="B1441" s="15">
        <v>140640074</v>
      </c>
      <c r="C1441" s="15">
        <v>290219112</v>
      </c>
      <c r="D1441" s="16">
        <v>870860202</v>
      </c>
      <c r="E1441" s="16" t="s">
        <v>7962</v>
      </c>
      <c r="F1441" s="20" t="s">
        <v>7889</v>
      </c>
      <c r="G1441" s="17" t="s">
        <v>7968</v>
      </c>
    </row>
    <row r="1442" spans="1:7" x14ac:dyDescent="0.25">
      <c r="A1442">
        <f t="shared" si="24"/>
        <v>8708602</v>
      </c>
      <c r="B1442" s="15">
        <v>140640074</v>
      </c>
      <c r="C1442" s="15">
        <v>290219133</v>
      </c>
      <c r="D1442" s="16">
        <v>870860207</v>
      </c>
      <c r="E1442" s="16" t="s">
        <v>7962</v>
      </c>
      <c r="F1442" s="20" t="s">
        <v>7913</v>
      </c>
      <c r="G1442" s="17" t="s">
        <v>7969</v>
      </c>
    </row>
    <row r="1443" spans="1:7" x14ac:dyDescent="0.25">
      <c r="A1443">
        <f t="shared" si="24"/>
        <v>8708602</v>
      </c>
      <c r="B1443" s="15">
        <v>140640074</v>
      </c>
      <c r="C1443" s="15">
        <v>290219145</v>
      </c>
      <c r="D1443" s="16">
        <v>870860209</v>
      </c>
      <c r="E1443" s="16" t="s">
        <v>7962</v>
      </c>
      <c r="F1443" s="20" t="s">
        <v>7901</v>
      </c>
      <c r="G1443" s="17" t="s">
        <v>7970</v>
      </c>
    </row>
    <row r="1444" spans="1:7" x14ac:dyDescent="0.25">
      <c r="A1444">
        <f t="shared" si="24"/>
        <v>8708602</v>
      </c>
      <c r="B1444" s="15">
        <v>140640074</v>
      </c>
      <c r="C1444" s="15">
        <v>290219125</v>
      </c>
      <c r="D1444" s="16">
        <v>870860206</v>
      </c>
      <c r="E1444" s="16" t="s">
        <v>7962</v>
      </c>
      <c r="F1444" s="20" t="s">
        <v>7903</v>
      </c>
      <c r="G1444" s="17" t="s">
        <v>7971</v>
      </c>
    </row>
    <row r="1445" spans="1:7" x14ac:dyDescent="0.25">
      <c r="A1445">
        <f t="shared" si="24"/>
        <v>8708602</v>
      </c>
      <c r="B1445" s="15">
        <v>140640074</v>
      </c>
      <c r="C1445" s="15">
        <v>290219166</v>
      </c>
      <c r="D1445" s="16">
        <v>870860214</v>
      </c>
      <c r="E1445" s="16" t="s">
        <v>7962</v>
      </c>
      <c r="F1445" s="20" t="s">
        <v>7895</v>
      </c>
      <c r="G1445" s="17" t="s">
        <v>7972</v>
      </c>
    </row>
    <row r="1446" spans="1:7" x14ac:dyDescent="0.25">
      <c r="A1446">
        <f t="shared" si="24"/>
        <v>8708602</v>
      </c>
      <c r="B1446" s="15">
        <v>140640074</v>
      </c>
      <c r="C1446" s="15">
        <v>290219153</v>
      </c>
      <c r="D1446" s="16">
        <v>870860210</v>
      </c>
      <c r="E1446" s="16" t="s">
        <v>7962</v>
      </c>
      <c r="F1446" s="20" t="s">
        <v>7917</v>
      </c>
      <c r="G1446" s="17" t="s">
        <v>7973</v>
      </c>
    </row>
    <row r="1447" spans="1:7" x14ac:dyDescent="0.25">
      <c r="A1447">
        <f t="shared" si="24"/>
        <v>8708602</v>
      </c>
      <c r="B1447" s="15">
        <v>140640074</v>
      </c>
      <c r="C1447" s="15">
        <v>290219139</v>
      </c>
      <c r="D1447" s="16">
        <v>870860208</v>
      </c>
      <c r="E1447" s="16" t="s">
        <v>7962</v>
      </c>
      <c r="F1447" s="20" t="s">
        <v>7915</v>
      </c>
      <c r="G1447" s="17" t="s">
        <v>7974</v>
      </c>
    </row>
    <row r="1448" spans="1:7" x14ac:dyDescent="0.25">
      <c r="A1448">
        <f t="shared" si="24"/>
        <v>8708550</v>
      </c>
      <c r="B1448" s="15">
        <v>140640295</v>
      </c>
      <c r="C1448" s="15">
        <v>290221108</v>
      </c>
      <c r="D1448" s="16">
        <v>870855006</v>
      </c>
      <c r="E1448" s="16" t="s">
        <v>5844</v>
      </c>
      <c r="F1448" s="20" t="s">
        <v>7033</v>
      </c>
      <c r="G1448" s="17" t="s">
        <v>7975</v>
      </c>
    </row>
    <row r="1449" spans="1:7" x14ac:dyDescent="0.25">
      <c r="A1449">
        <f t="shared" si="24"/>
        <v>8708550</v>
      </c>
      <c r="B1449" s="15">
        <v>140640295</v>
      </c>
      <c r="C1449" s="15">
        <v>290221112</v>
      </c>
      <c r="D1449" s="16">
        <v>870855004</v>
      </c>
      <c r="E1449" s="16" t="s">
        <v>5844</v>
      </c>
      <c r="F1449" s="20" t="s">
        <v>7049</v>
      </c>
      <c r="G1449" s="17" t="s">
        <v>7976</v>
      </c>
    </row>
    <row r="1450" spans="1:7" x14ac:dyDescent="0.25">
      <c r="A1450">
        <f t="shared" si="24"/>
        <v>8708550</v>
      </c>
      <c r="B1450" s="15">
        <v>140640295</v>
      </c>
      <c r="C1450" s="15">
        <v>290221111</v>
      </c>
      <c r="D1450" s="16">
        <v>870855009</v>
      </c>
      <c r="E1450" s="16" t="s">
        <v>5844</v>
      </c>
      <c r="F1450" s="20" t="s">
        <v>7035</v>
      </c>
      <c r="G1450" s="17" t="s">
        <v>7977</v>
      </c>
    </row>
    <row r="1451" spans="1:7" x14ac:dyDescent="0.25">
      <c r="A1451">
        <f t="shared" si="24"/>
        <v>8708550</v>
      </c>
      <c r="B1451" s="15">
        <v>140640295</v>
      </c>
      <c r="C1451" s="15">
        <v>290221109</v>
      </c>
      <c r="D1451" s="16">
        <v>870855007</v>
      </c>
      <c r="E1451" s="16" t="s">
        <v>5844</v>
      </c>
      <c r="F1451" s="20" t="s">
        <v>7051</v>
      </c>
      <c r="G1451" s="17" t="s">
        <v>7978</v>
      </c>
    </row>
    <row r="1452" spans="1:7" x14ac:dyDescent="0.25">
      <c r="A1452">
        <f t="shared" si="24"/>
        <v>8708550</v>
      </c>
      <c r="B1452" s="15">
        <v>140640295</v>
      </c>
      <c r="C1452" s="15">
        <v>290221110</v>
      </c>
      <c r="D1452" s="16">
        <v>870855008</v>
      </c>
      <c r="E1452" s="16" t="s">
        <v>5844</v>
      </c>
      <c r="F1452" s="20" t="s">
        <v>7052</v>
      </c>
      <c r="G1452" s="17" t="s">
        <v>7979</v>
      </c>
    </row>
    <row r="1453" spans="1:7" x14ac:dyDescent="0.25">
      <c r="A1453">
        <f t="shared" si="24"/>
        <v>8708550</v>
      </c>
      <c r="B1453" s="15">
        <v>140640295</v>
      </c>
      <c r="C1453" s="15">
        <v>290221106</v>
      </c>
      <c r="D1453" s="16">
        <v>870855010</v>
      </c>
      <c r="E1453" s="16" t="s">
        <v>5844</v>
      </c>
      <c r="F1453" s="20" t="s">
        <v>7221</v>
      </c>
      <c r="G1453" s="17" t="s">
        <v>7980</v>
      </c>
    </row>
    <row r="1454" spans="1:7" x14ac:dyDescent="0.25">
      <c r="A1454">
        <f t="shared" si="24"/>
        <v>8708550</v>
      </c>
      <c r="B1454" s="15">
        <v>140640295</v>
      </c>
      <c r="C1454" s="15">
        <v>290221107</v>
      </c>
      <c r="D1454" s="16">
        <v>870855003</v>
      </c>
      <c r="E1454" s="16" t="s">
        <v>5844</v>
      </c>
      <c r="F1454" s="20" t="s">
        <v>7034</v>
      </c>
      <c r="G1454" s="17" t="s">
        <v>7981</v>
      </c>
    </row>
    <row r="1455" spans="1:7" x14ac:dyDescent="0.25">
      <c r="A1455">
        <f t="shared" si="24"/>
        <v>8706002</v>
      </c>
      <c r="B1455" s="15">
        <v>140603370</v>
      </c>
      <c r="C1455" s="15">
        <v>290180121</v>
      </c>
      <c r="D1455" s="16">
        <v>8706002</v>
      </c>
      <c r="E1455" s="16" t="s">
        <v>7982</v>
      </c>
      <c r="F1455" s="20" t="s">
        <v>7983</v>
      </c>
      <c r="G1455" s="17" t="s">
        <v>7984</v>
      </c>
    </row>
    <row r="1456" spans="1:7" x14ac:dyDescent="0.25">
      <c r="A1456">
        <f t="shared" si="24"/>
        <v>8703665</v>
      </c>
      <c r="B1456" s="15">
        <v>140640209</v>
      </c>
      <c r="C1456" s="15">
        <v>290220474</v>
      </c>
      <c r="D1456" s="16">
        <v>8703665</v>
      </c>
      <c r="E1456" s="16" t="s">
        <v>7985</v>
      </c>
      <c r="F1456" s="20"/>
      <c r="G1456" s="17" t="s">
        <v>7986</v>
      </c>
    </row>
    <row r="1457" spans="1:7" x14ac:dyDescent="0.25">
      <c r="A1457">
        <f t="shared" si="24"/>
        <v>8703110</v>
      </c>
      <c r="B1457" s="15">
        <v>140640176</v>
      </c>
      <c r="C1457" s="15">
        <v>290220298</v>
      </c>
      <c r="D1457" s="16">
        <v>8703110</v>
      </c>
      <c r="E1457" s="16" t="s">
        <v>7987</v>
      </c>
      <c r="F1457" s="20"/>
      <c r="G1457" s="17" t="s">
        <v>7988</v>
      </c>
    </row>
    <row r="1458" spans="1:7" x14ac:dyDescent="0.25">
      <c r="A1458">
        <f t="shared" si="24"/>
        <v>8708196</v>
      </c>
      <c r="B1458" s="15">
        <v>140640211</v>
      </c>
      <c r="C1458" s="15">
        <v>290220496</v>
      </c>
      <c r="D1458" s="16">
        <v>8708196</v>
      </c>
      <c r="E1458" s="16" t="s">
        <v>7989</v>
      </c>
      <c r="F1458" s="20"/>
      <c r="G1458" s="17" t="s">
        <v>7990</v>
      </c>
    </row>
    <row r="1459" spans="1:7" x14ac:dyDescent="0.25">
      <c r="A1459">
        <f t="shared" si="24"/>
        <v>8703162</v>
      </c>
      <c r="B1459" s="15">
        <v>140640122</v>
      </c>
      <c r="C1459" s="15">
        <v>290219739</v>
      </c>
      <c r="D1459" s="16">
        <v>8703162</v>
      </c>
      <c r="E1459" s="16" t="s">
        <v>7991</v>
      </c>
      <c r="F1459" s="20"/>
      <c r="G1459" s="17" t="s">
        <v>7992</v>
      </c>
    </row>
    <row r="1460" spans="1:7" x14ac:dyDescent="0.25">
      <c r="A1460">
        <f t="shared" si="24"/>
        <v>8505075</v>
      </c>
      <c r="B1460" s="15">
        <v>140640128</v>
      </c>
      <c r="C1460" s="15">
        <v>290219867</v>
      </c>
      <c r="D1460" s="16">
        <v>8505075</v>
      </c>
      <c r="E1460" s="16" t="s">
        <v>7993</v>
      </c>
      <c r="F1460" s="20"/>
      <c r="G1460" s="17" t="s">
        <v>7994</v>
      </c>
    </row>
    <row r="1461" spans="1:7" x14ac:dyDescent="0.25">
      <c r="A1461">
        <f t="shared" si="24"/>
        <v>1120428</v>
      </c>
      <c r="B1461" s="15">
        <v>140640085</v>
      </c>
      <c r="C1461" s="15">
        <v>290219218</v>
      </c>
      <c r="D1461" s="16">
        <v>112042840</v>
      </c>
      <c r="E1461" s="16" t="s">
        <v>7995</v>
      </c>
      <c r="F1461" s="20" t="s">
        <v>7284</v>
      </c>
      <c r="G1461" s="17" t="s">
        <v>7996</v>
      </c>
    </row>
    <row r="1462" spans="1:7" x14ac:dyDescent="0.25">
      <c r="A1462">
        <f t="shared" si="24"/>
        <v>1120450</v>
      </c>
      <c r="B1462" s="15">
        <v>140640085</v>
      </c>
      <c r="C1462" s="15">
        <v>290219252</v>
      </c>
      <c r="D1462" s="16">
        <v>112045048</v>
      </c>
      <c r="E1462" s="16" t="s">
        <v>7995</v>
      </c>
      <c r="F1462" s="20" t="s">
        <v>7279</v>
      </c>
      <c r="G1462" s="17" t="s">
        <v>7997</v>
      </c>
    </row>
    <row r="1463" spans="1:7" x14ac:dyDescent="0.25">
      <c r="A1463">
        <f t="shared" si="24"/>
        <v>1120428</v>
      </c>
      <c r="B1463" s="15">
        <v>140640085</v>
      </c>
      <c r="C1463" s="15">
        <v>290219224</v>
      </c>
      <c r="D1463" s="16">
        <v>112042838</v>
      </c>
      <c r="E1463" s="16" t="s">
        <v>7995</v>
      </c>
      <c r="F1463" s="20" t="s">
        <v>7286</v>
      </c>
      <c r="G1463" s="17" t="s">
        <v>7996</v>
      </c>
    </row>
    <row r="1464" spans="1:7" x14ac:dyDescent="0.25">
      <c r="A1464">
        <f t="shared" si="24"/>
        <v>1120428</v>
      </c>
      <c r="B1464" s="15">
        <v>140640085</v>
      </c>
      <c r="C1464" s="15">
        <v>290219227</v>
      </c>
      <c r="D1464" s="16">
        <v>112042842</v>
      </c>
      <c r="E1464" s="16" t="s">
        <v>7995</v>
      </c>
      <c r="F1464" s="20" t="s">
        <v>7289</v>
      </c>
      <c r="G1464" s="17" t="s">
        <v>7996</v>
      </c>
    </row>
    <row r="1465" spans="1:7" x14ac:dyDescent="0.25">
      <c r="A1465">
        <f t="shared" si="24"/>
        <v>1120450</v>
      </c>
      <c r="B1465" s="15">
        <v>140640085</v>
      </c>
      <c r="C1465" s="15">
        <v>290219250</v>
      </c>
      <c r="D1465" s="16">
        <v>112045046</v>
      </c>
      <c r="E1465" s="16" t="s">
        <v>7995</v>
      </c>
      <c r="F1465" s="20" t="s">
        <v>7059</v>
      </c>
      <c r="G1465" s="17" t="s">
        <v>7997</v>
      </c>
    </row>
    <row r="1466" spans="1:7" x14ac:dyDescent="0.25">
      <c r="A1466">
        <f t="shared" si="24"/>
        <v>1120450</v>
      </c>
      <c r="B1466" s="15">
        <v>140640085</v>
      </c>
      <c r="C1466" s="15">
        <v>290219233</v>
      </c>
      <c r="D1466" s="16">
        <v>112045034</v>
      </c>
      <c r="E1466" s="16" t="s">
        <v>7995</v>
      </c>
      <c r="F1466" s="20" t="s">
        <v>7280</v>
      </c>
      <c r="G1466" s="17" t="s">
        <v>7997</v>
      </c>
    </row>
    <row r="1467" spans="1:7" x14ac:dyDescent="0.25">
      <c r="A1467">
        <f t="shared" si="24"/>
        <v>1120450</v>
      </c>
      <c r="B1467" s="15">
        <v>140640085</v>
      </c>
      <c r="C1467" s="15">
        <v>290219247</v>
      </c>
      <c r="D1467" s="16">
        <v>112045044</v>
      </c>
      <c r="E1467" s="16" t="s">
        <v>7995</v>
      </c>
      <c r="F1467" s="20" t="s">
        <v>7058</v>
      </c>
      <c r="G1467" s="17" t="s">
        <v>7997</v>
      </c>
    </row>
    <row r="1468" spans="1:7" x14ac:dyDescent="0.25">
      <c r="A1468">
        <f t="shared" si="24"/>
        <v>1120450</v>
      </c>
      <c r="B1468" s="15">
        <v>140640085</v>
      </c>
      <c r="C1468" s="15">
        <v>290219239</v>
      </c>
      <c r="D1468" s="16">
        <v>112045038</v>
      </c>
      <c r="E1468" s="16" t="s">
        <v>7995</v>
      </c>
      <c r="F1468" s="20" t="s">
        <v>7055</v>
      </c>
      <c r="G1468" s="17" t="s">
        <v>7997</v>
      </c>
    </row>
    <row r="1469" spans="1:7" x14ac:dyDescent="0.25">
      <c r="A1469">
        <f t="shared" si="24"/>
        <v>1120428</v>
      </c>
      <c r="B1469" s="15">
        <v>140640085</v>
      </c>
      <c r="C1469" s="15">
        <v>290219229</v>
      </c>
      <c r="D1469" s="16">
        <v>112042846</v>
      </c>
      <c r="E1469" s="16" t="s">
        <v>7995</v>
      </c>
      <c r="F1469" s="20" t="s">
        <v>7291</v>
      </c>
      <c r="G1469" s="17" t="s">
        <v>7996</v>
      </c>
    </row>
    <row r="1470" spans="1:7" x14ac:dyDescent="0.25">
      <c r="A1470">
        <f t="shared" si="24"/>
        <v>1120428</v>
      </c>
      <c r="B1470" s="15">
        <v>140640085</v>
      </c>
      <c r="C1470" s="15">
        <v>290219235</v>
      </c>
      <c r="D1470" s="16">
        <v>112042844</v>
      </c>
      <c r="E1470" s="16" t="s">
        <v>7995</v>
      </c>
      <c r="F1470" s="20" t="s">
        <v>7288</v>
      </c>
      <c r="G1470" s="17" t="s">
        <v>7996</v>
      </c>
    </row>
    <row r="1471" spans="1:7" x14ac:dyDescent="0.25">
      <c r="A1471">
        <f t="shared" si="24"/>
        <v>1120428</v>
      </c>
      <c r="B1471" s="15">
        <v>140640085</v>
      </c>
      <c r="C1471" s="15">
        <v>290219219</v>
      </c>
      <c r="D1471" s="16">
        <v>112042836</v>
      </c>
      <c r="E1471" s="16" t="s">
        <v>7995</v>
      </c>
      <c r="F1471" s="20" t="s">
        <v>7287</v>
      </c>
      <c r="G1471" s="17" t="s">
        <v>7996</v>
      </c>
    </row>
    <row r="1472" spans="1:7" x14ac:dyDescent="0.25">
      <c r="A1472">
        <f t="shared" si="24"/>
        <v>1120428</v>
      </c>
      <c r="B1472" s="15">
        <v>140640085</v>
      </c>
      <c r="C1472" s="15">
        <v>290219244</v>
      </c>
      <c r="D1472" s="16">
        <v>112042848</v>
      </c>
      <c r="E1472" s="16" t="s">
        <v>7995</v>
      </c>
      <c r="F1472" s="20" t="s">
        <v>7285</v>
      </c>
      <c r="G1472" s="17" t="s">
        <v>7996</v>
      </c>
    </row>
    <row r="1473" spans="1:7" x14ac:dyDescent="0.25">
      <c r="A1473">
        <f t="shared" si="24"/>
        <v>1120428</v>
      </c>
      <c r="B1473" s="15">
        <v>140640085</v>
      </c>
      <c r="C1473" s="15">
        <v>290219220</v>
      </c>
      <c r="D1473" s="16">
        <v>112042834</v>
      </c>
      <c r="E1473" s="16" t="s">
        <v>7995</v>
      </c>
      <c r="F1473" s="20" t="s">
        <v>7290</v>
      </c>
      <c r="G1473" s="17" t="s">
        <v>7996</v>
      </c>
    </row>
    <row r="1474" spans="1:7" x14ac:dyDescent="0.25">
      <c r="A1474">
        <f t="shared" si="24"/>
        <v>1120450</v>
      </c>
      <c r="B1474" s="15">
        <v>140640085</v>
      </c>
      <c r="C1474" s="15">
        <v>290219225</v>
      </c>
      <c r="D1474" s="16">
        <v>112045040</v>
      </c>
      <c r="E1474" s="16" t="s">
        <v>7995</v>
      </c>
      <c r="F1474" s="20" t="s">
        <v>7056</v>
      </c>
      <c r="G1474" s="17" t="s">
        <v>7997</v>
      </c>
    </row>
    <row r="1475" spans="1:7" x14ac:dyDescent="0.25">
      <c r="A1475">
        <f t="shared" si="24"/>
        <v>1120450</v>
      </c>
      <c r="B1475" s="15">
        <v>140640085</v>
      </c>
      <c r="C1475" s="15">
        <v>290219241</v>
      </c>
      <c r="D1475" s="16">
        <v>112045042</v>
      </c>
      <c r="E1475" s="16" t="s">
        <v>7995</v>
      </c>
      <c r="F1475" s="20" t="s">
        <v>7057</v>
      </c>
      <c r="G1475" s="17" t="s">
        <v>7997</v>
      </c>
    </row>
    <row r="1476" spans="1:7" x14ac:dyDescent="0.25">
      <c r="A1476">
        <f t="shared" si="24"/>
        <v>1120450</v>
      </c>
      <c r="B1476" s="15">
        <v>140640085</v>
      </c>
      <c r="C1476" s="15">
        <v>290219230</v>
      </c>
      <c r="D1476" s="16">
        <v>112045036</v>
      </c>
      <c r="E1476" s="16" t="s">
        <v>7995</v>
      </c>
      <c r="F1476" s="20" t="s">
        <v>7054</v>
      </c>
      <c r="G1476" s="17" t="s">
        <v>7997</v>
      </c>
    </row>
    <row r="1477" spans="1:7" x14ac:dyDescent="0.25">
      <c r="A1477">
        <f t="shared" si="24"/>
        <v>1120450</v>
      </c>
      <c r="B1477" s="15">
        <v>140640115</v>
      </c>
      <c r="C1477" s="15">
        <v>290219726</v>
      </c>
      <c r="D1477" s="16">
        <v>112045038</v>
      </c>
      <c r="E1477" s="16" t="s">
        <v>7998</v>
      </c>
      <c r="F1477" s="20" t="s">
        <v>7055</v>
      </c>
      <c r="G1477" s="17" t="s">
        <v>7999</v>
      </c>
    </row>
    <row r="1478" spans="1:7" x14ac:dyDescent="0.25">
      <c r="A1478">
        <f t="shared" si="24"/>
        <v>1120450</v>
      </c>
      <c r="B1478" s="15">
        <v>140640115</v>
      </c>
      <c r="C1478" s="15">
        <v>290219766</v>
      </c>
      <c r="D1478" s="16">
        <v>112045046</v>
      </c>
      <c r="E1478" s="16" t="s">
        <v>7998</v>
      </c>
      <c r="F1478" s="20" t="s">
        <v>7059</v>
      </c>
      <c r="G1478" s="17" t="s">
        <v>7999</v>
      </c>
    </row>
    <row r="1479" spans="1:7" x14ac:dyDescent="0.25">
      <c r="A1479">
        <f t="shared" ref="A1479:A1542" si="25">LEFT(D1479,7)*1</f>
        <v>1120450</v>
      </c>
      <c r="B1479" s="15">
        <v>140640115</v>
      </c>
      <c r="C1479" s="15">
        <v>290219749</v>
      </c>
      <c r="D1479" s="16">
        <v>112045042</v>
      </c>
      <c r="E1479" s="16" t="s">
        <v>7998</v>
      </c>
      <c r="F1479" s="20" t="s">
        <v>7057</v>
      </c>
      <c r="G1479" s="17" t="s">
        <v>7999</v>
      </c>
    </row>
    <row r="1480" spans="1:7" x14ac:dyDescent="0.25">
      <c r="A1480">
        <f t="shared" si="25"/>
        <v>1120450</v>
      </c>
      <c r="B1480" s="15">
        <v>140640115</v>
      </c>
      <c r="C1480" s="15">
        <v>290219757</v>
      </c>
      <c r="D1480" s="16">
        <v>112045044</v>
      </c>
      <c r="E1480" s="16" t="s">
        <v>7998</v>
      </c>
      <c r="F1480" s="20" t="s">
        <v>7058</v>
      </c>
      <c r="G1480" s="17" t="s">
        <v>7999</v>
      </c>
    </row>
    <row r="1481" spans="1:7" x14ac:dyDescent="0.25">
      <c r="A1481">
        <f t="shared" si="25"/>
        <v>1120450</v>
      </c>
      <c r="B1481" s="15">
        <v>140640115</v>
      </c>
      <c r="C1481" s="15">
        <v>290219731</v>
      </c>
      <c r="D1481" s="16">
        <v>112045040</v>
      </c>
      <c r="E1481" s="16" t="s">
        <v>7998</v>
      </c>
      <c r="F1481" s="20" t="s">
        <v>7056</v>
      </c>
      <c r="G1481" s="17" t="s">
        <v>7999</v>
      </c>
    </row>
    <row r="1482" spans="1:7" x14ac:dyDescent="0.25">
      <c r="A1482">
        <f t="shared" si="25"/>
        <v>1120450</v>
      </c>
      <c r="B1482" s="15">
        <v>140640115</v>
      </c>
      <c r="C1482" s="15">
        <v>290219722</v>
      </c>
      <c r="D1482" s="16">
        <v>112045036</v>
      </c>
      <c r="E1482" s="16" t="s">
        <v>7998</v>
      </c>
      <c r="F1482" s="20" t="s">
        <v>7054</v>
      </c>
      <c r="G1482" s="17" t="s">
        <v>7999</v>
      </c>
    </row>
    <row r="1483" spans="1:7" x14ac:dyDescent="0.25">
      <c r="A1483">
        <f t="shared" si="25"/>
        <v>1120450</v>
      </c>
      <c r="B1483" s="15">
        <v>140640115</v>
      </c>
      <c r="C1483" s="15">
        <v>290219770</v>
      </c>
      <c r="D1483" s="16">
        <v>112045048</v>
      </c>
      <c r="E1483" s="16" t="s">
        <v>7998</v>
      </c>
      <c r="F1483" s="20" t="s">
        <v>7279</v>
      </c>
      <c r="G1483" s="17" t="s">
        <v>7999</v>
      </c>
    </row>
    <row r="1484" spans="1:7" x14ac:dyDescent="0.25">
      <c r="A1484">
        <f t="shared" si="25"/>
        <v>1120428</v>
      </c>
      <c r="B1484" s="15">
        <v>140640115</v>
      </c>
      <c r="C1484" s="15">
        <v>290219674</v>
      </c>
      <c r="D1484" s="16">
        <v>112042838</v>
      </c>
      <c r="E1484" s="16" t="s">
        <v>7998</v>
      </c>
      <c r="F1484" s="20" t="s">
        <v>7286</v>
      </c>
      <c r="G1484" s="17" t="s">
        <v>8000</v>
      </c>
    </row>
    <row r="1485" spans="1:7" x14ac:dyDescent="0.25">
      <c r="A1485">
        <f t="shared" si="25"/>
        <v>1120428</v>
      </c>
      <c r="B1485" s="15">
        <v>140640115</v>
      </c>
      <c r="C1485" s="15">
        <v>290219665</v>
      </c>
      <c r="D1485" s="16">
        <v>112042836</v>
      </c>
      <c r="E1485" s="16" t="s">
        <v>7998</v>
      </c>
      <c r="F1485" s="20" t="s">
        <v>7287</v>
      </c>
      <c r="G1485" s="17" t="s">
        <v>8000</v>
      </c>
    </row>
    <row r="1486" spans="1:7" x14ac:dyDescent="0.25">
      <c r="A1486">
        <f t="shared" si="25"/>
        <v>1120428</v>
      </c>
      <c r="B1486" s="15">
        <v>140640115</v>
      </c>
      <c r="C1486" s="15">
        <v>290219696</v>
      </c>
      <c r="D1486" s="16">
        <v>112042842</v>
      </c>
      <c r="E1486" s="16" t="s">
        <v>7998</v>
      </c>
      <c r="F1486" s="20" t="s">
        <v>7289</v>
      </c>
      <c r="G1486" s="17" t="s">
        <v>8000</v>
      </c>
    </row>
    <row r="1487" spans="1:7" x14ac:dyDescent="0.25">
      <c r="A1487">
        <f t="shared" si="25"/>
        <v>1120428</v>
      </c>
      <c r="B1487" s="15">
        <v>140640115</v>
      </c>
      <c r="C1487" s="15">
        <v>290219652</v>
      </c>
      <c r="D1487" s="16">
        <v>112042834</v>
      </c>
      <c r="E1487" s="16" t="s">
        <v>7998</v>
      </c>
      <c r="F1487" s="20" t="s">
        <v>7290</v>
      </c>
      <c r="G1487" s="17" t="s">
        <v>8000</v>
      </c>
    </row>
    <row r="1488" spans="1:7" x14ac:dyDescent="0.25">
      <c r="A1488">
        <f t="shared" si="25"/>
        <v>1120450</v>
      </c>
      <c r="B1488" s="15">
        <v>140640115</v>
      </c>
      <c r="C1488" s="15">
        <v>290219710</v>
      </c>
      <c r="D1488" s="16">
        <v>112045034</v>
      </c>
      <c r="E1488" s="16" t="s">
        <v>7998</v>
      </c>
      <c r="F1488" s="20" t="s">
        <v>7280</v>
      </c>
      <c r="G1488" s="17" t="s">
        <v>7999</v>
      </c>
    </row>
    <row r="1489" spans="1:7" x14ac:dyDescent="0.25">
      <c r="A1489">
        <f t="shared" si="25"/>
        <v>1120428</v>
      </c>
      <c r="B1489" s="15">
        <v>140640115</v>
      </c>
      <c r="C1489" s="15">
        <v>290219704</v>
      </c>
      <c r="D1489" s="16">
        <v>112042844</v>
      </c>
      <c r="E1489" s="16" t="s">
        <v>7998</v>
      </c>
      <c r="F1489" s="20" t="s">
        <v>7288</v>
      </c>
      <c r="G1489" s="17" t="s">
        <v>8000</v>
      </c>
    </row>
    <row r="1490" spans="1:7" x14ac:dyDescent="0.25">
      <c r="A1490">
        <f t="shared" si="25"/>
        <v>1120428</v>
      </c>
      <c r="B1490" s="15">
        <v>140640115</v>
      </c>
      <c r="C1490" s="15">
        <v>290219637</v>
      </c>
      <c r="D1490" s="16">
        <v>112042840</v>
      </c>
      <c r="E1490" s="16" t="s">
        <v>7998</v>
      </c>
      <c r="F1490" s="20" t="s">
        <v>7284</v>
      </c>
      <c r="G1490" s="17" t="s">
        <v>8000</v>
      </c>
    </row>
    <row r="1491" spans="1:7" x14ac:dyDescent="0.25">
      <c r="A1491">
        <f t="shared" si="25"/>
        <v>1120428</v>
      </c>
      <c r="B1491" s="15">
        <v>140640115</v>
      </c>
      <c r="C1491" s="15">
        <v>290219643</v>
      </c>
      <c r="D1491" s="16">
        <v>112042848</v>
      </c>
      <c r="E1491" s="16" t="s">
        <v>7998</v>
      </c>
      <c r="F1491" s="20" t="s">
        <v>7285</v>
      </c>
      <c r="G1491" s="17" t="s">
        <v>8000</v>
      </c>
    </row>
    <row r="1492" spans="1:7" x14ac:dyDescent="0.25">
      <c r="A1492">
        <f t="shared" si="25"/>
        <v>1120428</v>
      </c>
      <c r="B1492" s="15">
        <v>140640115</v>
      </c>
      <c r="C1492" s="15">
        <v>290219686</v>
      </c>
      <c r="D1492" s="16">
        <v>112042846</v>
      </c>
      <c r="E1492" s="16" t="s">
        <v>7998</v>
      </c>
      <c r="F1492" s="20" t="s">
        <v>7291</v>
      </c>
      <c r="G1492" s="17" t="s">
        <v>8000</v>
      </c>
    </row>
    <row r="1493" spans="1:7" x14ac:dyDescent="0.25">
      <c r="A1493">
        <f t="shared" si="25"/>
        <v>1120429</v>
      </c>
      <c r="B1493" s="15">
        <v>140640101</v>
      </c>
      <c r="C1493" s="15">
        <v>290219405</v>
      </c>
      <c r="D1493" s="16">
        <v>112042954</v>
      </c>
      <c r="E1493" s="16" t="s">
        <v>8001</v>
      </c>
      <c r="F1493" s="20" t="s">
        <v>7294</v>
      </c>
      <c r="G1493" s="17" t="s">
        <v>8002</v>
      </c>
    </row>
    <row r="1494" spans="1:7" x14ac:dyDescent="0.25">
      <c r="A1494">
        <f t="shared" si="25"/>
        <v>1120449</v>
      </c>
      <c r="B1494" s="15">
        <v>140640101</v>
      </c>
      <c r="C1494" s="15">
        <v>290219416</v>
      </c>
      <c r="D1494" s="16">
        <v>112044954</v>
      </c>
      <c r="E1494" s="16" t="s">
        <v>8001</v>
      </c>
      <c r="F1494" s="20" t="s">
        <v>7283</v>
      </c>
      <c r="G1494" s="17" t="s">
        <v>8003</v>
      </c>
    </row>
    <row r="1495" spans="1:7" x14ac:dyDescent="0.25">
      <c r="A1495">
        <f t="shared" si="25"/>
        <v>1120429</v>
      </c>
      <c r="B1495" s="15">
        <v>140640101</v>
      </c>
      <c r="C1495" s="15">
        <v>290219404</v>
      </c>
      <c r="D1495" s="16">
        <v>112042952</v>
      </c>
      <c r="E1495" s="16" t="s">
        <v>8001</v>
      </c>
      <c r="F1495" s="20" t="s">
        <v>7293</v>
      </c>
      <c r="G1495" s="17" t="s">
        <v>8002</v>
      </c>
    </row>
    <row r="1496" spans="1:7" x14ac:dyDescent="0.25">
      <c r="A1496">
        <f t="shared" si="25"/>
        <v>1120449</v>
      </c>
      <c r="B1496" s="15">
        <v>140640101</v>
      </c>
      <c r="C1496" s="15">
        <v>290219413</v>
      </c>
      <c r="D1496" s="16">
        <v>112044952</v>
      </c>
      <c r="E1496" s="16" t="s">
        <v>8001</v>
      </c>
      <c r="F1496" s="20" t="s">
        <v>7282</v>
      </c>
      <c r="G1496" s="17" t="s">
        <v>8003</v>
      </c>
    </row>
    <row r="1497" spans="1:7" x14ac:dyDescent="0.25">
      <c r="A1497">
        <f t="shared" si="25"/>
        <v>1120429</v>
      </c>
      <c r="B1497" s="15">
        <v>140640101</v>
      </c>
      <c r="C1497" s="15">
        <v>290219403</v>
      </c>
      <c r="D1497" s="16">
        <v>112042950</v>
      </c>
      <c r="E1497" s="16" t="s">
        <v>8001</v>
      </c>
      <c r="F1497" s="20" t="s">
        <v>7292</v>
      </c>
      <c r="G1497" s="17" t="s">
        <v>8002</v>
      </c>
    </row>
    <row r="1498" spans="1:7" x14ac:dyDescent="0.25">
      <c r="A1498">
        <f t="shared" si="25"/>
        <v>1120449</v>
      </c>
      <c r="B1498" s="15">
        <v>140640101</v>
      </c>
      <c r="C1498" s="15">
        <v>290219408</v>
      </c>
      <c r="D1498" s="16">
        <v>112044950</v>
      </c>
      <c r="E1498" s="16" t="s">
        <v>8001</v>
      </c>
      <c r="F1498" s="20" t="s">
        <v>7281</v>
      </c>
      <c r="G1498" s="17" t="s">
        <v>8003</v>
      </c>
    </row>
    <row r="1499" spans="1:7" x14ac:dyDescent="0.25">
      <c r="A1499">
        <f t="shared" si="25"/>
        <v>1120429</v>
      </c>
      <c r="B1499" s="15">
        <v>140640104</v>
      </c>
      <c r="C1499" s="15">
        <v>290219453</v>
      </c>
      <c r="D1499" s="16">
        <v>112042954</v>
      </c>
      <c r="E1499" s="16" t="s">
        <v>8004</v>
      </c>
      <c r="F1499" s="20" t="s">
        <v>7294</v>
      </c>
      <c r="G1499" s="17" t="s">
        <v>8005</v>
      </c>
    </row>
    <row r="1500" spans="1:7" x14ac:dyDescent="0.25">
      <c r="A1500">
        <f t="shared" si="25"/>
        <v>1120429</v>
      </c>
      <c r="B1500" s="15">
        <v>140640104</v>
      </c>
      <c r="C1500" s="15">
        <v>290219440</v>
      </c>
      <c r="D1500" s="16">
        <v>112042950</v>
      </c>
      <c r="E1500" s="16" t="s">
        <v>8004</v>
      </c>
      <c r="F1500" s="20" t="s">
        <v>7292</v>
      </c>
      <c r="G1500" s="17" t="s">
        <v>8005</v>
      </c>
    </row>
    <row r="1501" spans="1:7" x14ac:dyDescent="0.25">
      <c r="A1501">
        <f t="shared" si="25"/>
        <v>1120449</v>
      </c>
      <c r="B1501" s="15">
        <v>140640104</v>
      </c>
      <c r="C1501" s="15">
        <v>290219472</v>
      </c>
      <c r="D1501" s="16">
        <v>112044954</v>
      </c>
      <c r="E1501" s="16" t="s">
        <v>8004</v>
      </c>
      <c r="F1501" s="20" t="s">
        <v>7283</v>
      </c>
      <c r="G1501" s="17" t="s">
        <v>8006</v>
      </c>
    </row>
    <row r="1502" spans="1:7" x14ac:dyDescent="0.25">
      <c r="A1502">
        <f t="shared" si="25"/>
        <v>1120449</v>
      </c>
      <c r="B1502" s="15">
        <v>140640104</v>
      </c>
      <c r="C1502" s="15">
        <v>290219460</v>
      </c>
      <c r="D1502" s="16">
        <v>112044950</v>
      </c>
      <c r="E1502" s="16" t="s">
        <v>8004</v>
      </c>
      <c r="F1502" s="20" t="s">
        <v>7281</v>
      </c>
      <c r="G1502" s="17" t="s">
        <v>8006</v>
      </c>
    </row>
    <row r="1503" spans="1:7" x14ac:dyDescent="0.25">
      <c r="A1503">
        <f t="shared" si="25"/>
        <v>1120429</v>
      </c>
      <c r="B1503" s="15">
        <v>140640104</v>
      </c>
      <c r="C1503" s="15">
        <v>290219442</v>
      </c>
      <c r="D1503" s="16">
        <v>112042952</v>
      </c>
      <c r="E1503" s="16" t="s">
        <v>8004</v>
      </c>
      <c r="F1503" s="20" t="s">
        <v>7293</v>
      </c>
      <c r="G1503" s="17" t="s">
        <v>8005</v>
      </c>
    </row>
    <row r="1504" spans="1:7" x14ac:dyDescent="0.25">
      <c r="A1504">
        <f t="shared" si="25"/>
        <v>1120449</v>
      </c>
      <c r="B1504" s="15">
        <v>140640104</v>
      </c>
      <c r="C1504" s="15">
        <v>290219467</v>
      </c>
      <c r="D1504" s="16">
        <v>112044952</v>
      </c>
      <c r="E1504" s="16" t="s">
        <v>8004</v>
      </c>
      <c r="F1504" s="20" t="s">
        <v>7282</v>
      </c>
      <c r="G1504" s="17" t="s">
        <v>8006</v>
      </c>
    </row>
    <row r="1505" spans="1:7" x14ac:dyDescent="0.25">
      <c r="A1505">
        <f t="shared" si="25"/>
        <v>1120330</v>
      </c>
      <c r="B1505" s="15">
        <v>140640094</v>
      </c>
      <c r="C1505" s="15">
        <v>290219328</v>
      </c>
      <c r="D1505" s="16">
        <v>112033036</v>
      </c>
      <c r="E1505" s="16" t="s">
        <v>8007</v>
      </c>
      <c r="F1505" s="20" t="s">
        <v>8008</v>
      </c>
      <c r="G1505" s="17" t="s">
        <v>8009</v>
      </c>
    </row>
    <row r="1506" spans="1:7" x14ac:dyDescent="0.25">
      <c r="A1506">
        <f t="shared" si="25"/>
        <v>1120330</v>
      </c>
      <c r="B1506" s="15">
        <v>140640094</v>
      </c>
      <c r="C1506" s="15">
        <v>290219332</v>
      </c>
      <c r="D1506" s="16">
        <v>112033040</v>
      </c>
      <c r="E1506" s="16" t="s">
        <v>8007</v>
      </c>
      <c r="F1506" s="20" t="s">
        <v>8010</v>
      </c>
      <c r="G1506" s="17" t="s">
        <v>8009</v>
      </c>
    </row>
    <row r="1507" spans="1:7" x14ac:dyDescent="0.25">
      <c r="A1507">
        <f t="shared" si="25"/>
        <v>1120330</v>
      </c>
      <c r="B1507" s="15">
        <v>140640094</v>
      </c>
      <c r="C1507" s="15">
        <v>290219324</v>
      </c>
      <c r="D1507" s="16">
        <v>112033042</v>
      </c>
      <c r="E1507" s="16" t="s">
        <v>8007</v>
      </c>
      <c r="F1507" s="20" t="s">
        <v>8011</v>
      </c>
      <c r="G1507" s="17" t="s">
        <v>8009</v>
      </c>
    </row>
    <row r="1508" spans="1:7" x14ac:dyDescent="0.25">
      <c r="A1508">
        <f t="shared" si="25"/>
        <v>1120330</v>
      </c>
      <c r="B1508" s="15">
        <v>140640094</v>
      </c>
      <c r="C1508" s="15">
        <v>290219325</v>
      </c>
      <c r="D1508" s="16">
        <v>112033038</v>
      </c>
      <c r="E1508" s="16" t="s">
        <v>8007</v>
      </c>
      <c r="F1508" s="20" t="s">
        <v>8012</v>
      </c>
      <c r="G1508" s="17" t="s">
        <v>8009</v>
      </c>
    </row>
    <row r="1509" spans="1:7" x14ac:dyDescent="0.25">
      <c r="A1509">
        <f t="shared" si="25"/>
        <v>1120330</v>
      </c>
      <c r="B1509" s="15">
        <v>140640094</v>
      </c>
      <c r="C1509" s="15">
        <v>290219335</v>
      </c>
      <c r="D1509" s="16">
        <v>112033048</v>
      </c>
      <c r="E1509" s="16" t="s">
        <v>8007</v>
      </c>
      <c r="F1509" s="20" t="s">
        <v>8013</v>
      </c>
      <c r="G1509" s="17" t="s">
        <v>8009</v>
      </c>
    </row>
    <row r="1510" spans="1:7" x14ac:dyDescent="0.25">
      <c r="A1510">
        <f t="shared" si="25"/>
        <v>1120330</v>
      </c>
      <c r="B1510" s="15">
        <v>140640094</v>
      </c>
      <c r="C1510" s="15">
        <v>290219336</v>
      </c>
      <c r="D1510" s="16">
        <v>112033044</v>
      </c>
      <c r="E1510" s="16" t="s">
        <v>8007</v>
      </c>
      <c r="F1510" s="20" t="s">
        <v>8014</v>
      </c>
      <c r="G1510" s="17" t="s">
        <v>8009</v>
      </c>
    </row>
    <row r="1511" spans="1:7" x14ac:dyDescent="0.25">
      <c r="A1511">
        <f t="shared" si="25"/>
        <v>1120330</v>
      </c>
      <c r="B1511" s="15">
        <v>140640094</v>
      </c>
      <c r="C1511" s="15">
        <v>290219331</v>
      </c>
      <c r="D1511" s="16">
        <v>112033046</v>
      </c>
      <c r="E1511" s="16" t="s">
        <v>8007</v>
      </c>
      <c r="F1511" s="20" t="s">
        <v>8015</v>
      </c>
      <c r="G1511" s="17" t="s">
        <v>8009</v>
      </c>
    </row>
    <row r="1512" spans="1:7" x14ac:dyDescent="0.25">
      <c r="A1512">
        <f t="shared" si="25"/>
        <v>1120330</v>
      </c>
      <c r="B1512" s="15">
        <v>140640094</v>
      </c>
      <c r="C1512" s="15">
        <v>290219329</v>
      </c>
      <c r="D1512" s="16">
        <v>112033034</v>
      </c>
      <c r="E1512" s="16" t="s">
        <v>8007</v>
      </c>
      <c r="F1512" s="20" t="s">
        <v>8016</v>
      </c>
      <c r="G1512" s="17" t="s">
        <v>8009</v>
      </c>
    </row>
    <row r="1513" spans="1:7" x14ac:dyDescent="0.25">
      <c r="A1513">
        <f t="shared" si="25"/>
        <v>1120331</v>
      </c>
      <c r="B1513" s="15">
        <v>140640088</v>
      </c>
      <c r="C1513" s="15">
        <v>290219292</v>
      </c>
      <c r="D1513" s="16">
        <v>112033154</v>
      </c>
      <c r="E1513" s="16" t="s">
        <v>8017</v>
      </c>
      <c r="F1513" s="20" t="s">
        <v>8018</v>
      </c>
      <c r="G1513" s="17" t="s">
        <v>8019</v>
      </c>
    </row>
    <row r="1514" spans="1:7" x14ac:dyDescent="0.25">
      <c r="A1514">
        <f t="shared" si="25"/>
        <v>1120331</v>
      </c>
      <c r="B1514" s="15">
        <v>140640088</v>
      </c>
      <c r="C1514" s="15">
        <v>290219273</v>
      </c>
      <c r="D1514" s="16">
        <v>112033152</v>
      </c>
      <c r="E1514" s="16" t="s">
        <v>8017</v>
      </c>
      <c r="F1514" s="20" t="s">
        <v>8020</v>
      </c>
      <c r="G1514" s="17" t="s">
        <v>8019</v>
      </c>
    </row>
    <row r="1515" spans="1:7" x14ac:dyDescent="0.25">
      <c r="A1515">
        <f t="shared" si="25"/>
        <v>1120331</v>
      </c>
      <c r="B1515" s="15">
        <v>140640088</v>
      </c>
      <c r="C1515" s="15">
        <v>290219309</v>
      </c>
      <c r="D1515" s="16">
        <v>112033150</v>
      </c>
      <c r="E1515" s="16" t="s">
        <v>8017</v>
      </c>
      <c r="F1515" s="20" t="s">
        <v>8021</v>
      </c>
      <c r="G1515" s="17" t="s">
        <v>8019</v>
      </c>
    </row>
    <row r="1516" spans="1:7" x14ac:dyDescent="0.25">
      <c r="A1516">
        <f t="shared" si="25"/>
        <v>1120206</v>
      </c>
      <c r="B1516" s="15">
        <v>140640134</v>
      </c>
      <c r="C1516" s="15">
        <v>290219941</v>
      </c>
      <c r="D1516" s="16">
        <v>112020638</v>
      </c>
      <c r="E1516" s="16" t="s">
        <v>8022</v>
      </c>
      <c r="F1516" s="20" t="s">
        <v>7055</v>
      </c>
      <c r="G1516" s="17" t="s">
        <v>8023</v>
      </c>
    </row>
    <row r="1517" spans="1:7" x14ac:dyDescent="0.25">
      <c r="A1517">
        <f t="shared" si="25"/>
        <v>1120206</v>
      </c>
      <c r="B1517" s="15">
        <v>140640134</v>
      </c>
      <c r="C1517" s="15">
        <v>290219908</v>
      </c>
      <c r="D1517" s="16">
        <v>112020646</v>
      </c>
      <c r="E1517" s="16" t="s">
        <v>8022</v>
      </c>
      <c r="F1517" s="20" t="s">
        <v>7057</v>
      </c>
      <c r="G1517" s="17" t="s">
        <v>8023</v>
      </c>
    </row>
    <row r="1518" spans="1:7" x14ac:dyDescent="0.25">
      <c r="A1518">
        <f t="shared" si="25"/>
        <v>1120106</v>
      </c>
      <c r="B1518" s="15">
        <v>140640134</v>
      </c>
      <c r="C1518" s="15">
        <v>290219919</v>
      </c>
      <c r="D1518" s="16">
        <v>112010640</v>
      </c>
      <c r="E1518" s="16" t="s">
        <v>8022</v>
      </c>
      <c r="F1518" s="20" t="s">
        <v>7295</v>
      </c>
      <c r="G1518" s="17" t="s">
        <v>8024</v>
      </c>
    </row>
    <row r="1519" spans="1:7" x14ac:dyDescent="0.25">
      <c r="A1519">
        <f t="shared" si="25"/>
        <v>1120003</v>
      </c>
      <c r="B1519" s="15">
        <v>140640134</v>
      </c>
      <c r="C1519" s="15">
        <v>290219944</v>
      </c>
      <c r="D1519" s="16">
        <v>112000348</v>
      </c>
      <c r="E1519" s="16" t="s">
        <v>8022</v>
      </c>
      <c r="F1519" s="20" t="s">
        <v>7285</v>
      </c>
      <c r="G1519" s="17" t="s">
        <v>8025</v>
      </c>
    </row>
    <row r="1520" spans="1:7" x14ac:dyDescent="0.25">
      <c r="A1520">
        <f t="shared" si="25"/>
        <v>1120003</v>
      </c>
      <c r="B1520" s="15">
        <v>140640134</v>
      </c>
      <c r="C1520" s="15">
        <v>290219932</v>
      </c>
      <c r="D1520" s="16">
        <v>112000336</v>
      </c>
      <c r="E1520" s="16" t="s">
        <v>8022</v>
      </c>
      <c r="F1520" s="20" t="s">
        <v>7287</v>
      </c>
      <c r="G1520" s="17" t="s">
        <v>8025</v>
      </c>
    </row>
    <row r="1521" spans="1:7" x14ac:dyDescent="0.25">
      <c r="A1521">
        <f t="shared" si="25"/>
        <v>1120206</v>
      </c>
      <c r="B1521" s="15">
        <v>140640134</v>
      </c>
      <c r="C1521" s="15">
        <v>290219967</v>
      </c>
      <c r="D1521" s="16">
        <v>112020648</v>
      </c>
      <c r="E1521" s="16" t="s">
        <v>8022</v>
      </c>
      <c r="F1521" s="20" t="s">
        <v>7279</v>
      </c>
      <c r="G1521" s="17" t="s">
        <v>8023</v>
      </c>
    </row>
    <row r="1522" spans="1:7" x14ac:dyDescent="0.25">
      <c r="A1522">
        <f t="shared" si="25"/>
        <v>1120003</v>
      </c>
      <c r="B1522" s="15">
        <v>140640134</v>
      </c>
      <c r="C1522" s="15">
        <v>290219956</v>
      </c>
      <c r="D1522" s="16">
        <v>112000346</v>
      </c>
      <c r="E1522" s="16" t="s">
        <v>8022</v>
      </c>
      <c r="F1522" s="20" t="s">
        <v>7291</v>
      </c>
      <c r="G1522" s="17" t="s">
        <v>8025</v>
      </c>
    </row>
    <row r="1523" spans="1:7" x14ac:dyDescent="0.25">
      <c r="A1523">
        <f t="shared" si="25"/>
        <v>1120106</v>
      </c>
      <c r="B1523" s="15">
        <v>140640134</v>
      </c>
      <c r="C1523" s="15">
        <v>290219966</v>
      </c>
      <c r="D1523" s="16">
        <v>112010636</v>
      </c>
      <c r="E1523" s="16" t="s">
        <v>8022</v>
      </c>
      <c r="F1523" s="20" t="s">
        <v>7298</v>
      </c>
      <c r="G1523" s="17" t="s">
        <v>8024</v>
      </c>
    </row>
    <row r="1524" spans="1:7" x14ac:dyDescent="0.25">
      <c r="A1524">
        <f t="shared" si="25"/>
        <v>1120003</v>
      </c>
      <c r="B1524" s="15">
        <v>140640134</v>
      </c>
      <c r="C1524" s="15">
        <v>290219960</v>
      </c>
      <c r="D1524" s="16">
        <v>112000342</v>
      </c>
      <c r="E1524" s="16" t="s">
        <v>8022</v>
      </c>
      <c r="F1524" s="20" t="s">
        <v>7289</v>
      </c>
      <c r="G1524" s="17" t="s">
        <v>8025</v>
      </c>
    </row>
    <row r="1525" spans="1:7" x14ac:dyDescent="0.25">
      <c r="A1525">
        <f t="shared" si="25"/>
        <v>1120206</v>
      </c>
      <c r="B1525" s="15">
        <v>140640134</v>
      </c>
      <c r="C1525" s="15">
        <v>290220035</v>
      </c>
      <c r="D1525" s="16">
        <v>112020644</v>
      </c>
      <c r="E1525" s="16" t="s">
        <v>8022</v>
      </c>
      <c r="F1525" s="20" t="s">
        <v>7058</v>
      </c>
      <c r="G1525" s="17" t="s">
        <v>8023</v>
      </c>
    </row>
    <row r="1526" spans="1:7" x14ac:dyDescent="0.25">
      <c r="A1526">
        <f t="shared" si="25"/>
        <v>1120206</v>
      </c>
      <c r="B1526" s="15">
        <v>140640134</v>
      </c>
      <c r="C1526" s="15">
        <v>290219964</v>
      </c>
      <c r="D1526" s="16">
        <v>112020640</v>
      </c>
      <c r="E1526" s="16" t="s">
        <v>8022</v>
      </c>
      <c r="F1526" s="20" t="s">
        <v>7056</v>
      </c>
      <c r="G1526" s="17" t="s">
        <v>8023</v>
      </c>
    </row>
    <row r="1527" spans="1:7" x14ac:dyDescent="0.25">
      <c r="A1527">
        <f t="shared" si="25"/>
        <v>1120106</v>
      </c>
      <c r="B1527" s="15">
        <v>140640134</v>
      </c>
      <c r="C1527" s="15">
        <v>290220027</v>
      </c>
      <c r="D1527" s="16">
        <v>112010642</v>
      </c>
      <c r="E1527" s="16" t="s">
        <v>8022</v>
      </c>
      <c r="F1527" s="20" t="s">
        <v>7300</v>
      </c>
      <c r="G1527" s="17" t="s">
        <v>8024</v>
      </c>
    </row>
    <row r="1528" spans="1:7" x14ac:dyDescent="0.25">
      <c r="A1528">
        <f t="shared" si="25"/>
        <v>1120003</v>
      </c>
      <c r="B1528" s="15">
        <v>140640134</v>
      </c>
      <c r="C1528" s="15">
        <v>290220005</v>
      </c>
      <c r="D1528" s="16">
        <v>112000334</v>
      </c>
      <c r="E1528" s="16" t="s">
        <v>8022</v>
      </c>
      <c r="F1528" s="20" t="s">
        <v>7290</v>
      </c>
      <c r="G1528" s="17" t="s">
        <v>8025</v>
      </c>
    </row>
    <row r="1529" spans="1:7" x14ac:dyDescent="0.25">
      <c r="A1529">
        <f t="shared" si="25"/>
        <v>1120106</v>
      </c>
      <c r="B1529" s="15">
        <v>140640134</v>
      </c>
      <c r="C1529" s="15">
        <v>290219991</v>
      </c>
      <c r="D1529" s="16">
        <v>112010634</v>
      </c>
      <c r="E1529" s="16" t="s">
        <v>8022</v>
      </c>
      <c r="F1529" s="20" t="s">
        <v>7301</v>
      </c>
      <c r="G1529" s="17" t="s">
        <v>8024</v>
      </c>
    </row>
    <row r="1530" spans="1:7" x14ac:dyDescent="0.25">
      <c r="A1530">
        <f t="shared" si="25"/>
        <v>1120206</v>
      </c>
      <c r="B1530" s="15">
        <v>140640134</v>
      </c>
      <c r="C1530" s="15">
        <v>290219947</v>
      </c>
      <c r="D1530" s="16">
        <v>112020634</v>
      </c>
      <c r="E1530" s="16" t="s">
        <v>8022</v>
      </c>
      <c r="F1530" s="20" t="s">
        <v>7280</v>
      </c>
      <c r="G1530" s="17" t="s">
        <v>8023</v>
      </c>
    </row>
    <row r="1531" spans="1:7" x14ac:dyDescent="0.25">
      <c r="A1531">
        <f t="shared" si="25"/>
        <v>1120106</v>
      </c>
      <c r="B1531" s="15">
        <v>140640134</v>
      </c>
      <c r="C1531" s="15">
        <v>290220030</v>
      </c>
      <c r="D1531" s="16">
        <v>112010638</v>
      </c>
      <c r="E1531" s="16" t="s">
        <v>8022</v>
      </c>
      <c r="F1531" s="20" t="s">
        <v>7297</v>
      </c>
      <c r="G1531" s="17" t="s">
        <v>8024</v>
      </c>
    </row>
    <row r="1532" spans="1:7" x14ac:dyDescent="0.25">
      <c r="A1532">
        <f t="shared" si="25"/>
        <v>1120206</v>
      </c>
      <c r="B1532" s="15">
        <v>140640134</v>
      </c>
      <c r="C1532" s="15">
        <v>290219949</v>
      </c>
      <c r="D1532" s="16">
        <v>112020636</v>
      </c>
      <c r="E1532" s="16" t="s">
        <v>8022</v>
      </c>
      <c r="F1532" s="20" t="s">
        <v>7054</v>
      </c>
      <c r="G1532" s="17" t="s">
        <v>8023</v>
      </c>
    </row>
    <row r="1533" spans="1:7" x14ac:dyDescent="0.25">
      <c r="A1533">
        <f t="shared" si="25"/>
        <v>1120003</v>
      </c>
      <c r="B1533" s="15">
        <v>140640134</v>
      </c>
      <c r="C1533" s="15">
        <v>290219981</v>
      </c>
      <c r="D1533" s="16">
        <v>112000344</v>
      </c>
      <c r="E1533" s="16" t="s">
        <v>8022</v>
      </c>
      <c r="F1533" s="20" t="s">
        <v>7288</v>
      </c>
      <c r="G1533" s="17" t="s">
        <v>8025</v>
      </c>
    </row>
    <row r="1534" spans="1:7" x14ac:dyDescent="0.25">
      <c r="A1534">
        <f t="shared" si="25"/>
        <v>1120003</v>
      </c>
      <c r="B1534" s="15">
        <v>140640134</v>
      </c>
      <c r="C1534" s="15">
        <v>290219973</v>
      </c>
      <c r="D1534" s="16">
        <v>112000338</v>
      </c>
      <c r="E1534" s="16" t="s">
        <v>8022</v>
      </c>
      <c r="F1534" s="20" t="s">
        <v>7286</v>
      </c>
      <c r="G1534" s="17" t="s">
        <v>8025</v>
      </c>
    </row>
    <row r="1535" spans="1:7" x14ac:dyDescent="0.25">
      <c r="A1535">
        <f t="shared" si="25"/>
        <v>1120106</v>
      </c>
      <c r="B1535" s="15">
        <v>140640134</v>
      </c>
      <c r="C1535" s="15">
        <v>290219976</v>
      </c>
      <c r="D1535" s="16">
        <v>112010648</v>
      </c>
      <c r="E1535" s="16" t="s">
        <v>8022</v>
      </c>
      <c r="F1535" s="20" t="s">
        <v>7296</v>
      </c>
      <c r="G1535" s="17" t="s">
        <v>8024</v>
      </c>
    </row>
    <row r="1536" spans="1:7" x14ac:dyDescent="0.25">
      <c r="A1536">
        <f t="shared" si="25"/>
        <v>1120106</v>
      </c>
      <c r="B1536" s="15">
        <v>140640134</v>
      </c>
      <c r="C1536" s="15">
        <v>290220033</v>
      </c>
      <c r="D1536" s="16">
        <v>112010644</v>
      </c>
      <c r="E1536" s="16" t="s">
        <v>8022</v>
      </c>
      <c r="F1536" s="20" t="s">
        <v>7299</v>
      </c>
      <c r="G1536" s="17" t="s">
        <v>8024</v>
      </c>
    </row>
    <row r="1537" spans="1:7" x14ac:dyDescent="0.25">
      <c r="A1537">
        <f t="shared" si="25"/>
        <v>1120106</v>
      </c>
      <c r="B1537" s="15">
        <v>140640134</v>
      </c>
      <c r="C1537" s="15">
        <v>290220023</v>
      </c>
      <c r="D1537" s="16">
        <v>112010646</v>
      </c>
      <c r="E1537" s="16" t="s">
        <v>8022</v>
      </c>
      <c r="F1537" s="20" t="s">
        <v>7302</v>
      </c>
      <c r="G1537" s="17" t="s">
        <v>8024</v>
      </c>
    </row>
    <row r="1538" spans="1:7" x14ac:dyDescent="0.25">
      <c r="A1538">
        <f t="shared" si="25"/>
        <v>1120003</v>
      </c>
      <c r="B1538" s="15">
        <v>140640134</v>
      </c>
      <c r="C1538" s="15">
        <v>290219912</v>
      </c>
      <c r="D1538" s="16">
        <v>112000340</v>
      </c>
      <c r="E1538" s="16" t="s">
        <v>8022</v>
      </c>
      <c r="F1538" s="20" t="s">
        <v>7284</v>
      </c>
      <c r="G1538" s="17" t="s">
        <v>8025</v>
      </c>
    </row>
    <row r="1539" spans="1:7" x14ac:dyDescent="0.25">
      <c r="A1539">
        <f t="shared" si="25"/>
        <v>1120206</v>
      </c>
      <c r="B1539" s="15">
        <v>140640134</v>
      </c>
      <c r="C1539" s="15">
        <v>290219903</v>
      </c>
      <c r="D1539" s="16">
        <v>112020640</v>
      </c>
      <c r="E1539" s="16" t="s">
        <v>8022</v>
      </c>
      <c r="F1539" s="20" t="s">
        <v>7059</v>
      </c>
      <c r="G1539" s="17" t="s">
        <v>8023</v>
      </c>
    </row>
    <row r="1540" spans="1:7" x14ac:dyDescent="0.25">
      <c r="A1540">
        <f t="shared" si="25"/>
        <v>1120856</v>
      </c>
      <c r="B1540" s="15">
        <v>140640151</v>
      </c>
      <c r="C1540" s="15">
        <v>290220149</v>
      </c>
      <c r="D1540" s="16">
        <v>112085634</v>
      </c>
      <c r="E1540" s="16" t="s">
        <v>8026</v>
      </c>
      <c r="F1540" s="20" t="s">
        <v>7290</v>
      </c>
      <c r="G1540" s="17" t="s">
        <v>8027</v>
      </c>
    </row>
    <row r="1541" spans="1:7" x14ac:dyDescent="0.25">
      <c r="A1541">
        <f t="shared" si="25"/>
        <v>1120858</v>
      </c>
      <c r="B1541" s="15">
        <v>140640151</v>
      </c>
      <c r="C1541" s="15">
        <v>290220165</v>
      </c>
      <c r="D1541" s="16">
        <v>112085844</v>
      </c>
      <c r="E1541" s="16" t="s">
        <v>8026</v>
      </c>
      <c r="F1541" s="20" t="s">
        <v>7058</v>
      </c>
      <c r="G1541" s="17" t="s">
        <v>8028</v>
      </c>
    </row>
    <row r="1542" spans="1:7" x14ac:dyDescent="0.25">
      <c r="A1542">
        <f t="shared" si="25"/>
        <v>1120858</v>
      </c>
      <c r="B1542" s="15">
        <v>140640151</v>
      </c>
      <c r="C1542" s="15">
        <v>290220168</v>
      </c>
      <c r="D1542" s="16">
        <v>112085838</v>
      </c>
      <c r="E1542" s="16" t="s">
        <v>8026</v>
      </c>
      <c r="F1542" s="20" t="s">
        <v>7055</v>
      </c>
      <c r="G1542" s="17" t="s">
        <v>8028</v>
      </c>
    </row>
    <row r="1543" spans="1:7" x14ac:dyDescent="0.25">
      <c r="A1543">
        <f t="shared" ref="A1543:A1606" si="26">LEFT(D1543,7)*1</f>
        <v>1120445</v>
      </c>
      <c r="B1543" s="15">
        <v>140640151</v>
      </c>
      <c r="C1543" s="15">
        <v>290220166</v>
      </c>
      <c r="D1543" s="16">
        <v>112044536</v>
      </c>
      <c r="E1543" s="16" t="s">
        <v>8026</v>
      </c>
      <c r="F1543" s="20" t="s">
        <v>8029</v>
      </c>
      <c r="G1543" s="17" t="s">
        <v>8030</v>
      </c>
    </row>
    <row r="1544" spans="1:7" x14ac:dyDescent="0.25">
      <c r="A1544">
        <f t="shared" si="26"/>
        <v>1120623</v>
      </c>
      <c r="B1544" s="15">
        <v>140640151</v>
      </c>
      <c r="C1544" s="15">
        <v>290220163</v>
      </c>
      <c r="D1544" s="16">
        <v>112062340</v>
      </c>
      <c r="E1544" s="16" t="s">
        <v>8026</v>
      </c>
      <c r="F1544" s="20" t="s">
        <v>7295</v>
      </c>
      <c r="G1544" s="17" t="s">
        <v>8031</v>
      </c>
    </row>
    <row r="1545" spans="1:7" x14ac:dyDescent="0.25">
      <c r="A1545">
        <f t="shared" si="26"/>
        <v>1120445</v>
      </c>
      <c r="B1545" s="15">
        <v>140640151</v>
      </c>
      <c r="C1545" s="15">
        <v>290220155</v>
      </c>
      <c r="D1545" s="16">
        <v>112044538</v>
      </c>
      <c r="E1545" s="16" t="s">
        <v>8026</v>
      </c>
      <c r="F1545" s="20" t="s">
        <v>8032</v>
      </c>
      <c r="G1545" s="17" t="s">
        <v>8030</v>
      </c>
    </row>
    <row r="1546" spans="1:7" x14ac:dyDescent="0.25">
      <c r="A1546">
        <f t="shared" si="26"/>
        <v>1120445</v>
      </c>
      <c r="B1546" s="15">
        <v>140640151</v>
      </c>
      <c r="C1546" s="15">
        <v>290220169</v>
      </c>
      <c r="D1546" s="16">
        <v>112044540</v>
      </c>
      <c r="E1546" s="16" t="s">
        <v>8026</v>
      </c>
      <c r="F1546" s="20" t="s">
        <v>8033</v>
      </c>
      <c r="G1546" s="17" t="s">
        <v>8030</v>
      </c>
    </row>
    <row r="1547" spans="1:7" x14ac:dyDescent="0.25">
      <c r="A1547">
        <f t="shared" si="26"/>
        <v>1120623</v>
      </c>
      <c r="B1547" s="15">
        <v>140640151</v>
      </c>
      <c r="C1547" s="15">
        <v>290220153</v>
      </c>
      <c r="D1547" s="16">
        <v>112062348</v>
      </c>
      <c r="E1547" s="16" t="s">
        <v>8026</v>
      </c>
      <c r="F1547" s="20" t="s">
        <v>7296</v>
      </c>
      <c r="G1547" s="17" t="s">
        <v>8031</v>
      </c>
    </row>
    <row r="1548" spans="1:7" x14ac:dyDescent="0.25">
      <c r="A1548">
        <f t="shared" si="26"/>
        <v>1120856</v>
      </c>
      <c r="B1548" s="15">
        <v>140640151</v>
      </c>
      <c r="C1548" s="15">
        <v>290220150</v>
      </c>
      <c r="D1548" s="16">
        <v>112085648</v>
      </c>
      <c r="E1548" s="16" t="s">
        <v>8026</v>
      </c>
      <c r="F1548" s="20" t="s">
        <v>7285</v>
      </c>
      <c r="G1548" s="17" t="s">
        <v>8027</v>
      </c>
    </row>
    <row r="1549" spans="1:7" x14ac:dyDescent="0.25">
      <c r="A1549">
        <f t="shared" si="26"/>
        <v>1120858</v>
      </c>
      <c r="B1549" s="15">
        <v>140640151</v>
      </c>
      <c r="C1549" s="15">
        <v>290220183</v>
      </c>
      <c r="D1549" s="16">
        <v>112085834</v>
      </c>
      <c r="E1549" s="16" t="s">
        <v>8026</v>
      </c>
      <c r="F1549" s="20" t="s">
        <v>7280</v>
      </c>
      <c r="G1549" s="17" t="s">
        <v>8028</v>
      </c>
    </row>
    <row r="1550" spans="1:7" x14ac:dyDescent="0.25">
      <c r="A1550">
        <f t="shared" si="26"/>
        <v>1120856</v>
      </c>
      <c r="B1550" s="15">
        <v>140640151</v>
      </c>
      <c r="C1550" s="15">
        <v>290220185</v>
      </c>
      <c r="D1550" s="16">
        <v>112085642</v>
      </c>
      <c r="E1550" s="16" t="s">
        <v>8026</v>
      </c>
      <c r="F1550" s="20" t="s">
        <v>7289</v>
      </c>
      <c r="G1550" s="17" t="s">
        <v>8027</v>
      </c>
    </row>
    <row r="1551" spans="1:7" x14ac:dyDescent="0.25">
      <c r="A1551">
        <f t="shared" si="26"/>
        <v>1120858</v>
      </c>
      <c r="B1551" s="15">
        <v>140640151</v>
      </c>
      <c r="C1551" s="15">
        <v>290220175</v>
      </c>
      <c r="D1551" s="16">
        <v>112085848</v>
      </c>
      <c r="E1551" s="16" t="s">
        <v>8026</v>
      </c>
      <c r="F1551" s="20" t="s">
        <v>7279</v>
      </c>
      <c r="G1551" s="17" t="s">
        <v>8028</v>
      </c>
    </row>
    <row r="1552" spans="1:7" x14ac:dyDescent="0.25">
      <c r="A1552">
        <f t="shared" si="26"/>
        <v>1120856</v>
      </c>
      <c r="B1552" s="15">
        <v>140640151</v>
      </c>
      <c r="C1552" s="15">
        <v>290220194</v>
      </c>
      <c r="D1552" s="16">
        <v>112085640</v>
      </c>
      <c r="E1552" s="16" t="s">
        <v>8026</v>
      </c>
      <c r="F1552" s="20" t="s">
        <v>7284</v>
      </c>
      <c r="G1552" s="17" t="s">
        <v>8027</v>
      </c>
    </row>
    <row r="1553" spans="1:7" x14ac:dyDescent="0.25">
      <c r="A1553">
        <f t="shared" si="26"/>
        <v>1120623</v>
      </c>
      <c r="B1553" s="15">
        <v>140640151</v>
      </c>
      <c r="C1553" s="15">
        <v>290220188</v>
      </c>
      <c r="D1553" s="16">
        <v>112062346</v>
      </c>
      <c r="E1553" s="16" t="s">
        <v>8026</v>
      </c>
      <c r="F1553" s="20" t="s">
        <v>7302</v>
      </c>
      <c r="G1553" s="17" t="s">
        <v>8031</v>
      </c>
    </row>
    <row r="1554" spans="1:7" x14ac:dyDescent="0.25">
      <c r="A1554">
        <f t="shared" si="26"/>
        <v>1120858</v>
      </c>
      <c r="B1554" s="15">
        <v>140640151</v>
      </c>
      <c r="C1554" s="15">
        <v>290220192</v>
      </c>
      <c r="D1554" s="16">
        <v>112085836</v>
      </c>
      <c r="E1554" s="16" t="s">
        <v>8026</v>
      </c>
      <c r="F1554" s="20" t="s">
        <v>7054</v>
      </c>
      <c r="G1554" s="17" t="s">
        <v>8028</v>
      </c>
    </row>
    <row r="1555" spans="1:7" x14ac:dyDescent="0.25">
      <c r="A1555">
        <f t="shared" si="26"/>
        <v>1120858</v>
      </c>
      <c r="B1555" s="15">
        <v>140640151</v>
      </c>
      <c r="C1555" s="15">
        <v>290220180</v>
      </c>
      <c r="D1555" s="16">
        <v>112085840</v>
      </c>
      <c r="E1555" s="16" t="s">
        <v>8026</v>
      </c>
      <c r="F1555" s="20" t="s">
        <v>7056</v>
      </c>
      <c r="G1555" s="17" t="s">
        <v>8028</v>
      </c>
    </row>
    <row r="1556" spans="1:7" x14ac:dyDescent="0.25">
      <c r="A1556">
        <f t="shared" si="26"/>
        <v>1120445</v>
      </c>
      <c r="B1556" s="15">
        <v>140640151</v>
      </c>
      <c r="C1556" s="15">
        <v>290220157</v>
      </c>
      <c r="D1556" s="16">
        <v>112044542</v>
      </c>
      <c r="E1556" s="16" t="s">
        <v>8026</v>
      </c>
      <c r="F1556" s="20" t="s">
        <v>8034</v>
      </c>
      <c r="G1556" s="17" t="s">
        <v>8030</v>
      </c>
    </row>
    <row r="1557" spans="1:7" x14ac:dyDescent="0.25">
      <c r="A1557">
        <f t="shared" si="26"/>
        <v>1120445</v>
      </c>
      <c r="B1557" s="15">
        <v>140640151</v>
      </c>
      <c r="C1557" s="15">
        <v>290220162</v>
      </c>
      <c r="D1557" s="16">
        <v>112044548</v>
      </c>
      <c r="E1557" s="16" t="s">
        <v>8026</v>
      </c>
      <c r="F1557" s="20" t="s">
        <v>8035</v>
      </c>
      <c r="G1557" s="17" t="s">
        <v>8030</v>
      </c>
    </row>
    <row r="1558" spans="1:7" x14ac:dyDescent="0.25">
      <c r="A1558">
        <f t="shared" si="26"/>
        <v>1120623</v>
      </c>
      <c r="B1558" s="15">
        <v>140640151</v>
      </c>
      <c r="C1558" s="15">
        <v>290220191</v>
      </c>
      <c r="D1558" s="16">
        <v>112062342</v>
      </c>
      <c r="E1558" s="16" t="s">
        <v>8026</v>
      </c>
      <c r="F1558" s="20" t="s">
        <v>7300</v>
      </c>
      <c r="G1558" s="17" t="s">
        <v>8031</v>
      </c>
    </row>
    <row r="1559" spans="1:7" x14ac:dyDescent="0.25">
      <c r="A1559">
        <f t="shared" si="26"/>
        <v>1120856</v>
      </c>
      <c r="B1559" s="15">
        <v>140640151</v>
      </c>
      <c r="C1559" s="15">
        <v>290220171</v>
      </c>
      <c r="D1559" s="16">
        <v>112085646</v>
      </c>
      <c r="E1559" s="16" t="s">
        <v>8026</v>
      </c>
      <c r="F1559" s="20" t="s">
        <v>7291</v>
      </c>
      <c r="G1559" s="17" t="s">
        <v>8027</v>
      </c>
    </row>
    <row r="1560" spans="1:7" x14ac:dyDescent="0.25">
      <c r="A1560">
        <f t="shared" si="26"/>
        <v>1120445</v>
      </c>
      <c r="B1560" s="15">
        <v>140640151</v>
      </c>
      <c r="C1560" s="15">
        <v>290220173</v>
      </c>
      <c r="D1560" s="16">
        <v>112044544</v>
      </c>
      <c r="E1560" s="16" t="s">
        <v>8026</v>
      </c>
      <c r="F1560" s="20" t="s">
        <v>8036</v>
      </c>
      <c r="G1560" s="17" t="s">
        <v>8030</v>
      </c>
    </row>
    <row r="1561" spans="1:7" x14ac:dyDescent="0.25">
      <c r="A1561">
        <f t="shared" si="26"/>
        <v>1120445</v>
      </c>
      <c r="B1561" s="15">
        <v>140640151</v>
      </c>
      <c r="C1561" s="15">
        <v>290220161</v>
      </c>
      <c r="D1561" s="16">
        <v>112044534</v>
      </c>
      <c r="E1561" s="16" t="s">
        <v>8026</v>
      </c>
      <c r="F1561" s="20" t="s">
        <v>8037</v>
      </c>
      <c r="G1561" s="17" t="s">
        <v>8030</v>
      </c>
    </row>
    <row r="1562" spans="1:7" x14ac:dyDescent="0.25">
      <c r="A1562">
        <f t="shared" si="26"/>
        <v>1120623</v>
      </c>
      <c r="B1562" s="15">
        <v>140640151</v>
      </c>
      <c r="C1562" s="15">
        <v>290220184</v>
      </c>
      <c r="D1562" s="16">
        <v>112062338</v>
      </c>
      <c r="E1562" s="16" t="s">
        <v>8026</v>
      </c>
      <c r="F1562" s="20" t="s">
        <v>7297</v>
      </c>
      <c r="G1562" s="17" t="s">
        <v>8031</v>
      </c>
    </row>
    <row r="1563" spans="1:7" x14ac:dyDescent="0.25">
      <c r="A1563">
        <f t="shared" si="26"/>
        <v>1120445</v>
      </c>
      <c r="B1563" s="15">
        <v>140640151</v>
      </c>
      <c r="C1563" s="15">
        <v>290220177</v>
      </c>
      <c r="D1563" s="16">
        <v>112044546</v>
      </c>
      <c r="E1563" s="16" t="s">
        <v>8026</v>
      </c>
      <c r="F1563" s="20" t="s">
        <v>8038</v>
      </c>
      <c r="G1563" s="17" t="s">
        <v>8030</v>
      </c>
    </row>
    <row r="1564" spans="1:7" x14ac:dyDescent="0.25">
      <c r="A1564">
        <f t="shared" si="26"/>
        <v>1120858</v>
      </c>
      <c r="B1564" s="15">
        <v>140640151</v>
      </c>
      <c r="C1564" s="15">
        <v>290220186</v>
      </c>
      <c r="D1564" s="16">
        <v>112085846</v>
      </c>
      <c r="E1564" s="16" t="s">
        <v>8026</v>
      </c>
      <c r="F1564" s="20" t="s">
        <v>7059</v>
      </c>
      <c r="G1564" s="17" t="s">
        <v>8028</v>
      </c>
    </row>
    <row r="1565" spans="1:7" x14ac:dyDescent="0.25">
      <c r="A1565">
        <f t="shared" si="26"/>
        <v>1120858</v>
      </c>
      <c r="B1565" s="15">
        <v>140640151</v>
      </c>
      <c r="C1565" s="15">
        <v>290220172</v>
      </c>
      <c r="D1565" s="16">
        <v>112085842</v>
      </c>
      <c r="E1565" s="16" t="s">
        <v>8026</v>
      </c>
      <c r="F1565" s="20" t="s">
        <v>7057</v>
      </c>
      <c r="G1565" s="17" t="s">
        <v>8028</v>
      </c>
    </row>
    <row r="1566" spans="1:7" x14ac:dyDescent="0.25">
      <c r="A1566">
        <f t="shared" si="26"/>
        <v>1120623</v>
      </c>
      <c r="B1566" s="15">
        <v>140640151</v>
      </c>
      <c r="C1566" s="15">
        <v>290220167</v>
      </c>
      <c r="D1566" s="16">
        <v>112062334</v>
      </c>
      <c r="E1566" s="16" t="s">
        <v>8026</v>
      </c>
      <c r="F1566" s="20" t="s">
        <v>7301</v>
      </c>
      <c r="G1566" s="17" t="s">
        <v>8031</v>
      </c>
    </row>
    <row r="1567" spans="1:7" x14ac:dyDescent="0.25">
      <c r="A1567">
        <f t="shared" si="26"/>
        <v>1120856</v>
      </c>
      <c r="B1567" s="15">
        <v>140640151</v>
      </c>
      <c r="C1567" s="15">
        <v>290220170</v>
      </c>
      <c r="D1567" s="16">
        <v>112085638</v>
      </c>
      <c r="E1567" s="16" t="s">
        <v>8026</v>
      </c>
      <c r="F1567" s="20" t="s">
        <v>7286</v>
      </c>
      <c r="G1567" s="17" t="s">
        <v>8027</v>
      </c>
    </row>
    <row r="1568" spans="1:7" x14ac:dyDescent="0.25">
      <c r="A1568">
        <f t="shared" si="26"/>
        <v>1120623</v>
      </c>
      <c r="B1568" s="15">
        <v>140640151</v>
      </c>
      <c r="C1568" s="15">
        <v>290220154</v>
      </c>
      <c r="D1568" s="16">
        <v>112062336</v>
      </c>
      <c r="E1568" s="16" t="s">
        <v>8026</v>
      </c>
      <c r="F1568" s="20" t="s">
        <v>7298</v>
      </c>
      <c r="G1568" s="17" t="s">
        <v>8031</v>
      </c>
    </row>
    <row r="1569" spans="1:7" x14ac:dyDescent="0.25">
      <c r="A1569">
        <f t="shared" si="26"/>
        <v>1120623</v>
      </c>
      <c r="B1569" s="15">
        <v>140640151</v>
      </c>
      <c r="C1569" s="15">
        <v>290220182</v>
      </c>
      <c r="D1569" s="16">
        <v>112062344</v>
      </c>
      <c r="E1569" s="16" t="s">
        <v>8026</v>
      </c>
      <c r="F1569" s="20" t="s">
        <v>7299</v>
      </c>
      <c r="G1569" s="17" t="s">
        <v>8031</v>
      </c>
    </row>
    <row r="1570" spans="1:7" x14ac:dyDescent="0.25">
      <c r="A1570">
        <f t="shared" si="26"/>
        <v>1120856</v>
      </c>
      <c r="B1570" s="15">
        <v>140640151</v>
      </c>
      <c r="C1570" s="15">
        <v>290220158</v>
      </c>
      <c r="D1570" s="16">
        <v>112085636</v>
      </c>
      <c r="E1570" s="16" t="s">
        <v>8026</v>
      </c>
      <c r="F1570" s="20" t="s">
        <v>7287</v>
      </c>
      <c r="G1570" s="17" t="s">
        <v>8027</v>
      </c>
    </row>
    <row r="1571" spans="1:7" x14ac:dyDescent="0.25">
      <c r="A1571">
        <f t="shared" si="26"/>
        <v>1120856</v>
      </c>
      <c r="B1571" s="15">
        <v>140640151</v>
      </c>
      <c r="C1571" s="15">
        <v>290220190</v>
      </c>
      <c r="D1571" s="16">
        <v>112085644</v>
      </c>
      <c r="E1571" s="16" t="s">
        <v>8026</v>
      </c>
      <c r="F1571" s="20" t="s">
        <v>7288</v>
      </c>
      <c r="G1571" s="17" t="s">
        <v>8027</v>
      </c>
    </row>
    <row r="1572" spans="1:7" x14ac:dyDescent="0.25">
      <c r="A1572">
        <f t="shared" si="26"/>
        <v>1120857</v>
      </c>
      <c r="B1572" s="15">
        <v>140640129</v>
      </c>
      <c r="C1572" s="15">
        <v>290220241</v>
      </c>
      <c r="D1572" s="16">
        <v>112085752</v>
      </c>
      <c r="E1572" s="16" t="s">
        <v>8039</v>
      </c>
      <c r="F1572" s="20" t="s">
        <v>7293</v>
      </c>
      <c r="G1572" s="17" t="s">
        <v>8040</v>
      </c>
    </row>
    <row r="1573" spans="1:7" x14ac:dyDescent="0.25">
      <c r="A1573">
        <f t="shared" si="26"/>
        <v>1120446</v>
      </c>
      <c r="B1573" s="15">
        <v>140640129</v>
      </c>
      <c r="C1573" s="15">
        <v>290220323</v>
      </c>
      <c r="D1573" s="16">
        <v>112044652</v>
      </c>
      <c r="E1573" s="16" t="s">
        <v>8039</v>
      </c>
      <c r="F1573" s="20" t="s">
        <v>8041</v>
      </c>
      <c r="G1573" s="17" t="s">
        <v>8042</v>
      </c>
    </row>
    <row r="1574" spans="1:7" x14ac:dyDescent="0.25">
      <c r="A1574">
        <f t="shared" si="26"/>
        <v>1120446</v>
      </c>
      <c r="B1574" s="15">
        <v>140640129</v>
      </c>
      <c r="C1574" s="15">
        <v>290220412</v>
      </c>
      <c r="D1574" s="16">
        <v>112044654</v>
      </c>
      <c r="E1574" s="16" t="s">
        <v>8039</v>
      </c>
      <c r="F1574" s="20" t="s">
        <v>8043</v>
      </c>
      <c r="G1574" s="17" t="s">
        <v>8042</v>
      </c>
    </row>
    <row r="1575" spans="1:7" x14ac:dyDescent="0.25">
      <c r="A1575">
        <f t="shared" si="26"/>
        <v>1120859</v>
      </c>
      <c r="B1575" s="15">
        <v>140640129</v>
      </c>
      <c r="C1575" s="15">
        <v>290220048</v>
      </c>
      <c r="D1575" s="16">
        <v>112085952</v>
      </c>
      <c r="E1575" s="16" t="s">
        <v>8039</v>
      </c>
      <c r="F1575" s="20" t="s">
        <v>7282</v>
      </c>
      <c r="G1575" s="17" t="s">
        <v>8044</v>
      </c>
    </row>
    <row r="1576" spans="1:7" x14ac:dyDescent="0.25">
      <c r="A1576">
        <f t="shared" si="26"/>
        <v>1120859</v>
      </c>
      <c r="B1576" s="15">
        <v>140640129</v>
      </c>
      <c r="C1576" s="15">
        <v>290220089</v>
      </c>
      <c r="D1576" s="16">
        <v>112085954</v>
      </c>
      <c r="E1576" s="16" t="s">
        <v>8039</v>
      </c>
      <c r="F1576" s="20" t="s">
        <v>7283</v>
      </c>
      <c r="G1576" s="17" t="s">
        <v>8044</v>
      </c>
    </row>
    <row r="1577" spans="1:7" x14ac:dyDescent="0.25">
      <c r="A1577">
        <f t="shared" si="26"/>
        <v>1120857</v>
      </c>
      <c r="B1577" s="15">
        <v>140640129</v>
      </c>
      <c r="C1577" s="15">
        <v>290220217</v>
      </c>
      <c r="D1577" s="16">
        <v>112085750</v>
      </c>
      <c r="E1577" s="16" t="s">
        <v>8039</v>
      </c>
      <c r="F1577" s="20" t="s">
        <v>7292</v>
      </c>
      <c r="G1577" s="17" t="s">
        <v>8040</v>
      </c>
    </row>
    <row r="1578" spans="1:7" x14ac:dyDescent="0.25">
      <c r="A1578">
        <f t="shared" si="26"/>
        <v>1120624</v>
      </c>
      <c r="B1578" s="15">
        <v>140640129</v>
      </c>
      <c r="C1578" s="15">
        <v>290219995</v>
      </c>
      <c r="D1578" s="16">
        <v>112062452</v>
      </c>
      <c r="E1578" s="16" t="s">
        <v>8039</v>
      </c>
      <c r="F1578" s="20" t="s">
        <v>7304</v>
      </c>
      <c r="G1578" s="17" t="s">
        <v>8045</v>
      </c>
    </row>
    <row r="1579" spans="1:7" x14ac:dyDescent="0.25">
      <c r="A1579">
        <f t="shared" si="26"/>
        <v>1120859</v>
      </c>
      <c r="B1579" s="15">
        <v>140640129</v>
      </c>
      <c r="C1579" s="15">
        <v>290219916</v>
      </c>
      <c r="D1579" s="16">
        <v>112085950</v>
      </c>
      <c r="E1579" s="16" t="s">
        <v>8039</v>
      </c>
      <c r="F1579" s="20" t="s">
        <v>8046</v>
      </c>
      <c r="G1579" s="17" t="s">
        <v>8042</v>
      </c>
    </row>
    <row r="1580" spans="1:7" x14ac:dyDescent="0.25">
      <c r="A1580">
        <f t="shared" si="26"/>
        <v>1120446</v>
      </c>
      <c r="B1580" s="15">
        <v>140640129</v>
      </c>
      <c r="C1580" s="15">
        <v>290219940</v>
      </c>
      <c r="D1580" s="16">
        <v>112044650</v>
      </c>
      <c r="E1580" s="16" t="s">
        <v>8039</v>
      </c>
      <c r="F1580" s="20" t="s">
        <v>7281</v>
      </c>
      <c r="G1580" s="17" t="s">
        <v>8044</v>
      </c>
    </row>
    <row r="1581" spans="1:7" x14ac:dyDescent="0.25">
      <c r="A1581">
        <f t="shared" si="26"/>
        <v>1120857</v>
      </c>
      <c r="B1581" s="15">
        <v>140640129</v>
      </c>
      <c r="C1581" s="15">
        <v>290219871</v>
      </c>
      <c r="D1581" s="16">
        <v>112085754</v>
      </c>
      <c r="E1581" s="16" t="s">
        <v>8039</v>
      </c>
      <c r="F1581" s="20" t="s">
        <v>7294</v>
      </c>
      <c r="G1581" s="17" t="s">
        <v>8040</v>
      </c>
    </row>
    <row r="1582" spans="1:7" x14ac:dyDescent="0.25">
      <c r="A1582">
        <f t="shared" si="26"/>
        <v>1120624</v>
      </c>
      <c r="B1582" s="15">
        <v>140640129</v>
      </c>
      <c r="C1582" s="15">
        <v>290220156</v>
      </c>
      <c r="D1582" s="16">
        <v>112062454</v>
      </c>
      <c r="E1582" s="16" t="s">
        <v>8039</v>
      </c>
      <c r="F1582" s="20" t="s">
        <v>7305</v>
      </c>
      <c r="G1582" s="17" t="s">
        <v>8045</v>
      </c>
    </row>
    <row r="1583" spans="1:7" x14ac:dyDescent="0.25">
      <c r="A1583">
        <f t="shared" si="26"/>
        <v>1120624</v>
      </c>
      <c r="B1583" s="15">
        <v>140640129</v>
      </c>
      <c r="C1583" s="15">
        <v>290219954</v>
      </c>
      <c r="D1583" s="16">
        <v>112062450</v>
      </c>
      <c r="E1583" s="16" t="s">
        <v>8039</v>
      </c>
      <c r="F1583" s="20" t="s">
        <v>7303</v>
      </c>
      <c r="G1583" s="17" t="s">
        <v>8045</v>
      </c>
    </row>
    <row r="1584" spans="1:7" x14ac:dyDescent="0.25">
      <c r="A1584">
        <f t="shared" si="26"/>
        <v>1200001</v>
      </c>
      <c r="B1584" s="15">
        <v>140640106</v>
      </c>
      <c r="C1584" s="15">
        <v>290219482</v>
      </c>
      <c r="D1584" s="16">
        <v>120000138</v>
      </c>
      <c r="E1584" s="16" t="s">
        <v>8047</v>
      </c>
      <c r="F1584" s="20" t="s">
        <v>7286</v>
      </c>
      <c r="G1584" s="17" t="s">
        <v>8048</v>
      </c>
    </row>
    <row r="1585" spans="1:7" x14ac:dyDescent="0.25">
      <c r="A1585">
        <f t="shared" si="26"/>
        <v>1200001</v>
      </c>
      <c r="B1585" s="15">
        <v>140640106</v>
      </c>
      <c r="C1585" s="15">
        <v>290219542</v>
      </c>
      <c r="D1585" s="16">
        <v>120000146</v>
      </c>
      <c r="E1585" s="16" t="s">
        <v>8047</v>
      </c>
      <c r="F1585" s="20" t="s">
        <v>7291</v>
      </c>
      <c r="G1585" s="17" t="s">
        <v>8048</v>
      </c>
    </row>
    <row r="1586" spans="1:7" x14ac:dyDescent="0.25">
      <c r="A1586">
        <f t="shared" si="26"/>
        <v>1200001</v>
      </c>
      <c r="B1586" s="15">
        <v>140640106</v>
      </c>
      <c r="C1586" s="15">
        <v>290219523</v>
      </c>
      <c r="D1586" s="16">
        <v>120000144</v>
      </c>
      <c r="E1586" s="16" t="s">
        <v>8047</v>
      </c>
      <c r="F1586" s="20" t="s">
        <v>7288</v>
      </c>
      <c r="G1586" s="17" t="s">
        <v>8048</v>
      </c>
    </row>
    <row r="1587" spans="1:7" x14ac:dyDescent="0.25">
      <c r="A1587">
        <f t="shared" si="26"/>
        <v>1200900</v>
      </c>
      <c r="B1587" s="15">
        <v>140640106</v>
      </c>
      <c r="C1587" s="15">
        <v>290219580</v>
      </c>
      <c r="D1587" s="16">
        <v>120090036</v>
      </c>
      <c r="E1587" s="16" t="s">
        <v>8047</v>
      </c>
      <c r="F1587" s="20" t="s">
        <v>7054</v>
      </c>
      <c r="G1587" s="17" t="s">
        <v>8049</v>
      </c>
    </row>
    <row r="1588" spans="1:7" x14ac:dyDescent="0.25">
      <c r="A1588">
        <f t="shared" si="26"/>
        <v>1200001</v>
      </c>
      <c r="B1588" s="15">
        <v>140640106</v>
      </c>
      <c r="C1588" s="15">
        <v>290219594</v>
      </c>
      <c r="D1588" s="16">
        <v>120000136</v>
      </c>
      <c r="E1588" s="16" t="s">
        <v>8047</v>
      </c>
      <c r="F1588" s="20" t="s">
        <v>7287</v>
      </c>
      <c r="G1588" s="17" t="s">
        <v>8048</v>
      </c>
    </row>
    <row r="1589" spans="1:7" x14ac:dyDescent="0.25">
      <c r="A1589">
        <f t="shared" si="26"/>
        <v>1200900</v>
      </c>
      <c r="B1589" s="15">
        <v>140640106</v>
      </c>
      <c r="C1589" s="15">
        <v>290219568</v>
      </c>
      <c r="D1589" s="16">
        <v>120090046</v>
      </c>
      <c r="E1589" s="16" t="s">
        <v>8047</v>
      </c>
      <c r="F1589" s="20" t="s">
        <v>7059</v>
      </c>
      <c r="G1589" s="17" t="s">
        <v>8049</v>
      </c>
    </row>
    <row r="1590" spans="1:7" x14ac:dyDescent="0.25">
      <c r="A1590">
        <f t="shared" si="26"/>
        <v>1200001</v>
      </c>
      <c r="B1590" s="15">
        <v>140640106</v>
      </c>
      <c r="C1590" s="15">
        <v>290219558</v>
      </c>
      <c r="D1590" s="16">
        <v>120000140</v>
      </c>
      <c r="E1590" s="16" t="s">
        <v>8047</v>
      </c>
      <c r="F1590" s="20" t="s">
        <v>7284</v>
      </c>
      <c r="G1590" s="17" t="s">
        <v>8048</v>
      </c>
    </row>
    <row r="1591" spans="1:7" x14ac:dyDescent="0.25">
      <c r="A1591">
        <f t="shared" si="26"/>
        <v>1200900</v>
      </c>
      <c r="B1591" s="15">
        <v>140640106</v>
      </c>
      <c r="C1591" s="15">
        <v>290219596</v>
      </c>
      <c r="D1591" s="16">
        <v>120090038</v>
      </c>
      <c r="E1591" s="16" t="s">
        <v>8047</v>
      </c>
      <c r="F1591" s="20" t="s">
        <v>7055</v>
      </c>
      <c r="G1591" s="17" t="s">
        <v>8049</v>
      </c>
    </row>
    <row r="1592" spans="1:7" x14ac:dyDescent="0.25">
      <c r="A1592">
        <f t="shared" si="26"/>
        <v>1200900</v>
      </c>
      <c r="B1592" s="15">
        <v>140640106</v>
      </c>
      <c r="C1592" s="15">
        <v>290219644</v>
      </c>
      <c r="D1592" s="16">
        <v>120090048</v>
      </c>
      <c r="E1592" s="16" t="s">
        <v>8047</v>
      </c>
      <c r="F1592" s="20" t="s">
        <v>7279</v>
      </c>
      <c r="G1592" s="17" t="s">
        <v>8049</v>
      </c>
    </row>
    <row r="1593" spans="1:7" x14ac:dyDescent="0.25">
      <c r="A1593">
        <f t="shared" si="26"/>
        <v>1200900</v>
      </c>
      <c r="B1593" s="15">
        <v>140640106</v>
      </c>
      <c r="C1593" s="15">
        <v>290219604</v>
      </c>
      <c r="D1593" s="16">
        <v>120090040</v>
      </c>
      <c r="E1593" s="16" t="s">
        <v>8047</v>
      </c>
      <c r="F1593" s="20" t="s">
        <v>7056</v>
      </c>
      <c r="G1593" s="17" t="s">
        <v>8049</v>
      </c>
    </row>
    <row r="1594" spans="1:7" x14ac:dyDescent="0.25">
      <c r="A1594">
        <f t="shared" si="26"/>
        <v>1200001</v>
      </c>
      <c r="B1594" s="15">
        <v>140640106</v>
      </c>
      <c r="C1594" s="15">
        <v>290219635</v>
      </c>
      <c r="D1594" s="16">
        <v>120000148</v>
      </c>
      <c r="E1594" s="16" t="s">
        <v>8047</v>
      </c>
      <c r="F1594" s="20" t="s">
        <v>7285</v>
      </c>
      <c r="G1594" s="17" t="s">
        <v>8048</v>
      </c>
    </row>
    <row r="1595" spans="1:7" x14ac:dyDescent="0.25">
      <c r="A1595">
        <f t="shared" si="26"/>
        <v>1200900</v>
      </c>
      <c r="B1595" s="15">
        <v>140640106</v>
      </c>
      <c r="C1595" s="15">
        <v>290219649</v>
      </c>
      <c r="D1595" s="16">
        <v>120090044</v>
      </c>
      <c r="E1595" s="16" t="s">
        <v>8047</v>
      </c>
      <c r="F1595" s="20" t="s">
        <v>7058</v>
      </c>
      <c r="G1595" s="17" t="s">
        <v>8049</v>
      </c>
    </row>
    <row r="1596" spans="1:7" x14ac:dyDescent="0.25">
      <c r="A1596">
        <f t="shared" si="26"/>
        <v>1200900</v>
      </c>
      <c r="B1596" s="15">
        <v>140640106</v>
      </c>
      <c r="C1596" s="15">
        <v>290219624</v>
      </c>
      <c r="D1596" s="16">
        <v>120090042</v>
      </c>
      <c r="E1596" s="16" t="s">
        <v>8047</v>
      </c>
      <c r="F1596" s="20" t="s">
        <v>7057</v>
      </c>
      <c r="G1596" s="17" t="s">
        <v>8049</v>
      </c>
    </row>
    <row r="1597" spans="1:7" x14ac:dyDescent="0.25">
      <c r="A1597">
        <f t="shared" si="26"/>
        <v>1200900</v>
      </c>
      <c r="B1597" s="15">
        <v>140640106</v>
      </c>
      <c r="C1597" s="15">
        <v>290219663</v>
      </c>
      <c r="D1597" s="16">
        <v>120090034</v>
      </c>
      <c r="E1597" s="16" t="s">
        <v>8047</v>
      </c>
      <c r="F1597" s="20" t="s">
        <v>7280</v>
      </c>
      <c r="G1597" s="17" t="s">
        <v>8049</v>
      </c>
    </row>
    <row r="1598" spans="1:7" x14ac:dyDescent="0.25">
      <c r="A1598">
        <f t="shared" si="26"/>
        <v>1200001</v>
      </c>
      <c r="B1598" s="15">
        <v>140640106</v>
      </c>
      <c r="C1598" s="15">
        <v>290219507</v>
      </c>
      <c r="D1598" s="16">
        <v>120000134</v>
      </c>
      <c r="E1598" s="16" t="s">
        <v>8047</v>
      </c>
      <c r="F1598" s="20" t="s">
        <v>7290</v>
      </c>
      <c r="G1598" s="17" t="s">
        <v>8048</v>
      </c>
    </row>
    <row r="1599" spans="1:7" x14ac:dyDescent="0.25">
      <c r="A1599">
        <f t="shared" si="26"/>
        <v>1200001</v>
      </c>
      <c r="B1599" s="15">
        <v>140640106</v>
      </c>
      <c r="C1599" s="15">
        <v>290219489</v>
      </c>
      <c r="D1599" s="16">
        <v>120000142</v>
      </c>
      <c r="E1599" s="16" t="s">
        <v>8047</v>
      </c>
      <c r="F1599" s="20" t="s">
        <v>7289</v>
      </c>
      <c r="G1599" s="17" t="s">
        <v>8048</v>
      </c>
    </row>
    <row r="1600" spans="1:7" x14ac:dyDescent="0.25">
      <c r="A1600">
        <f t="shared" si="26"/>
        <v>1200900</v>
      </c>
      <c r="B1600" s="15">
        <v>140640116</v>
      </c>
      <c r="C1600" s="15">
        <v>290219640</v>
      </c>
      <c r="D1600" s="16">
        <v>120090046</v>
      </c>
      <c r="E1600" s="16" t="s">
        <v>8050</v>
      </c>
      <c r="F1600" s="20" t="s">
        <v>7059</v>
      </c>
      <c r="G1600" s="17" t="s">
        <v>8049</v>
      </c>
    </row>
    <row r="1601" spans="1:7" x14ac:dyDescent="0.25">
      <c r="A1601">
        <f t="shared" si="26"/>
        <v>1200900</v>
      </c>
      <c r="B1601" s="15">
        <v>140640116</v>
      </c>
      <c r="C1601" s="15">
        <v>290219764</v>
      </c>
      <c r="D1601" s="16">
        <v>120090042</v>
      </c>
      <c r="E1601" s="16" t="s">
        <v>8050</v>
      </c>
      <c r="F1601" s="20" t="s">
        <v>7057</v>
      </c>
      <c r="G1601" s="17" t="s">
        <v>8049</v>
      </c>
    </row>
    <row r="1602" spans="1:7" x14ac:dyDescent="0.25">
      <c r="A1602">
        <f t="shared" si="26"/>
        <v>1200001</v>
      </c>
      <c r="B1602" s="15">
        <v>140640116</v>
      </c>
      <c r="C1602" s="15">
        <v>290219705</v>
      </c>
      <c r="D1602" s="16">
        <v>120000148</v>
      </c>
      <c r="E1602" s="16" t="s">
        <v>8050</v>
      </c>
      <c r="F1602" s="20" t="s">
        <v>7285</v>
      </c>
      <c r="G1602" s="17" t="s">
        <v>8048</v>
      </c>
    </row>
    <row r="1603" spans="1:7" x14ac:dyDescent="0.25">
      <c r="A1603">
        <f t="shared" si="26"/>
        <v>1200001</v>
      </c>
      <c r="B1603" s="15">
        <v>140640116</v>
      </c>
      <c r="C1603" s="15">
        <v>290219801</v>
      </c>
      <c r="D1603" s="16">
        <v>120000146</v>
      </c>
      <c r="E1603" s="16" t="s">
        <v>8050</v>
      </c>
      <c r="F1603" s="20" t="s">
        <v>7291</v>
      </c>
      <c r="G1603" s="17" t="s">
        <v>8048</v>
      </c>
    </row>
    <row r="1604" spans="1:7" x14ac:dyDescent="0.25">
      <c r="A1604">
        <f t="shared" si="26"/>
        <v>1200001</v>
      </c>
      <c r="B1604" s="15">
        <v>140640116</v>
      </c>
      <c r="C1604" s="15">
        <v>290219759</v>
      </c>
      <c r="D1604" s="16">
        <v>120000144</v>
      </c>
      <c r="E1604" s="16" t="s">
        <v>8050</v>
      </c>
      <c r="F1604" s="20" t="s">
        <v>7288</v>
      </c>
      <c r="G1604" s="17" t="s">
        <v>8048</v>
      </c>
    </row>
    <row r="1605" spans="1:7" x14ac:dyDescent="0.25">
      <c r="A1605">
        <f t="shared" si="26"/>
        <v>1200900</v>
      </c>
      <c r="B1605" s="15">
        <v>140640116</v>
      </c>
      <c r="C1605" s="15">
        <v>290219697</v>
      </c>
      <c r="D1605" s="16">
        <v>120090036</v>
      </c>
      <c r="E1605" s="16" t="s">
        <v>8050</v>
      </c>
      <c r="F1605" s="20" t="s">
        <v>7054</v>
      </c>
      <c r="G1605" s="17" t="s">
        <v>8049</v>
      </c>
    </row>
    <row r="1606" spans="1:7" x14ac:dyDescent="0.25">
      <c r="A1606">
        <f t="shared" si="26"/>
        <v>1200900</v>
      </c>
      <c r="B1606" s="15">
        <v>140640116</v>
      </c>
      <c r="C1606" s="15">
        <v>290219811</v>
      </c>
      <c r="D1606" s="16">
        <v>120090048</v>
      </c>
      <c r="E1606" s="16" t="s">
        <v>8050</v>
      </c>
      <c r="F1606" s="20" t="s">
        <v>7279</v>
      </c>
      <c r="G1606" s="17" t="s">
        <v>8049</v>
      </c>
    </row>
    <row r="1607" spans="1:7" x14ac:dyDescent="0.25">
      <c r="A1607">
        <f t="shared" ref="A1607:A1670" si="27">LEFT(D1607,7)*1</f>
        <v>1200001</v>
      </c>
      <c r="B1607" s="15">
        <v>140640116</v>
      </c>
      <c r="C1607" s="15">
        <v>290219727</v>
      </c>
      <c r="D1607" s="16">
        <v>120000136</v>
      </c>
      <c r="E1607" s="16" t="s">
        <v>8050</v>
      </c>
      <c r="F1607" s="20" t="s">
        <v>7287</v>
      </c>
      <c r="G1607" s="17" t="s">
        <v>8048</v>
      </c>
    </row>
    <row r="1608" spans="1:7" x14ac:dyDescent="0.25">
      <c r="A1608">
        <f t="shared" si="27"/>
        <v>1200900</v>
      </c>
      <c r="B1608" s="15">
        <v>140640116</v>
      </c>
      <c r="C1608" s="15">
        <v>290219794</v>
      </c>
      <c r="D1608" s="16">
        <v>120090044</v>
      </c>
      <c r="E1608" s="16" t="s">
        <v>8050</v>
      </c>
      <c r="F1608" s="20" t="s">
        <v>7058</v>
      </c>
      <c r="G1608" s="17" t="s">
        <v>8049</v>
      </c>
    </row>
    <row r="1609" spans="1:7" x14ac:dyDescent="0.25">
      <c r="A1609">
        <f t="shared" si="27"/>
        <v>1200001</v>
      </c>
      <c r="B1609" s="15">
        <v>140640116</v>
      </c>
      <c r="C1609" s="15">
        <v>290219747</v>
      </c>
      <c r="D1609" s="16">
        <v>120000138</v>
      </c>
      <c r="E1609" s="16" t="s">
        <v>8050</v>
      </c>
      <c r="F1609" s="20" t="s">
        <v>7286</v>
      </c>
      <c r="G1609" s="17" t="s">
        <v>8048</v>
      </c>
    </row>
    <row r="1610" spans="1:7" x14ac:dyDescent="0.25">
      <c r="A1610">
        <f t="shared" si="27"/>
        <v>1200001</v>
      </c>
      <c r="B1610" s="15">
        <v>140640116</v>
      </c>
      <c r="C1610" s="15">
        <v>290219787</v>
      </c>
      <c r="D1610" s="16">
        <v>120000140</v>
      </c>
      <c r="E1610" s="16" t="s">
        <v>8050</v>
      </c>
      <c r="F1610" s="20" t="s">
        <v>7284</v>
      </c>
      <c r="G1610" s="17" t="s">
        <v>8048</v>
      </c>
    </row>
    <row r="1611" spans="1:7" x14ac:dyDescent="0.25">
      <c r="A1611">
        <f t="shared" si="27"/>
        <v>1200900</v>
      </c>
      <c r="B1611" s="15">
        <v>140640116</v>
      </c>
      <c r="C1611" s="15">
        <v>290219691</v>
      </c>
      <c r="D1611" s="16">
        <v>120090038</v>
      </c>
      <c r="E1611" s="16" t="s">
        <v>8050</v>
      </c>
      <c r="F1611" s="20" t="s">
        <v>7055</v>
      </c>
      <c r="G1611" s="17" t="s">
        <v>8049</v>
      </c>
    </row>
    <row r="1612" spans="1:7" x14ac:dyDescent="0.25">
      <c r="A1612">
        <f t="shared" si="27"/>
        <v>1200900</v>
      </c>
      <c r="B1612" s="15">
        <v>140640116</v>
      </c>
      <c r="C1612" s="15">
        <v>290219714</v>
      </c>
      <c r="D1612" s="16">
        <v>120090034</v>
      </c>
      <c r="E1612" s="16" t="s">
        <v>8050</v>
      </c>
      <c r="F1612" s="20" t="s">
        <v>7280</v>
      </c>
      <c r="G1612" s="17" t="s">
        <v>8049</v>
      </c>
    </row>
    <row r="1613" spans="1:7" x14ac:dyDescent="0.25">
      <c r="A1613">
        <f t="shared" si="27"/>
        <v>1200001</v>
      </c>
      <c r="B1613" s="15">
        <v>140640116</v>
      </c>
      <c r="C1613" s="15">
        <v>290219667</v>
      </c>
      <c r="D1613" s="16">
        <v>120000142</v>
      </c>
      <c r="E1613" s="16" t="s">
        <v>8050</v>
      </c>
      <c r="F1613" s="20" t="s">
        <v>7289</v>
      </c>
      <c r="G1613" s="17" t="s">
        <v>8048</v>
      </c>
    </row>
    <row r="1614" spans="1:7" x14ac:dyDescent="0.25">
      <c r="A1614">
        <f t="shared" si="27"/>
        <v>1200900</v>
      </c>
      <c r="B1614" s="15">
        <v>140640116</v>
      </c>
      <c r="C1614" s="15">
        <v>290219683</v>
      </c>
      <c r="D1614" s="16">
        <v>120090040</v>
      </c>
      <c r="E1614" s="16" t="s">
        <v>8050</v>
      </c>
      <c r="F1614" s="20" t="s">
        <v>7056</v>
      </c>
      <c r="G1614" s="17" t="s">
        <v>8049</v>
      </c>
    </row>
    <row r="1615" spans="1:7" x14ac:dyDescent="0.25">
      <c r="A1615">
        <f t="shared" si="27"/>
        <v>1200001</v>
      </c>
      <c r="B1615" s="15">
        <v>140640116</v>
      </c>
      <c r="C1615" s="15">
        <v>290219647</v>
      </c>
      <c r="D1615" s="16">
        <v>120000134</v>
      </c>
      <c r="E1615" s="16" t="s">
        <v>8050</v>
      </c>
      <c r="F1615" s="20" t="s">
        <v>7290</v>
      </c>
      <c r="G1615" s="17" t="s">
        <v>8048</v>
      </c>
    </row>
    <row r="1616" spans="1:7" x14ac:dyDescent="0.25">
      <c r="A1616">
        <f t="shared" si="27"/>
        <v>1200901</v>
      </c>
      <c r="B1616" s="15">
        <v>140640109</v>
      </c>
      <c r="C1616" s="15">
        <v>290219553</v>
      </c>
      <c r="D1616" s="16">
        <v>120090150</v>
      </c>
      <c r="E1616" s="16" t="s">
        <v>8051</v>
      </c>
      <c r="F1616" s="20" t="s">
        <v>7281</v>
      </c>
      <c r="G1616" s="17" t="s">
        <v>8049</v>
      </c>
    </row>
    <row r="1617" spans="1:7" x14ac:dyDescent="0.25">
      <c r="A1617">
        <f t="shared" si="27"/>
        <v>1200003</v>
      </c>
      <c r="B1617" s="15">
        <v>140640109</v>
      </c>
      <c r="C1617" s="15">
        <v>290219572</v>
      </c>
      <c r="D1617" s="16">
        <v>120000350</v>
      </c>
      <c r="E1617" s="16" t="s">
        <v>8051</v>
      </c>
      <c r="F1617" s="20" t="s">
        <v>7292</v>
      </c>
      <c r="G1617" s="17" t="s">
        <v>8048</v>
      </c>
    </row>
    <row r="1618" spans="1:7" x14ac:dyDescent="0.25">
      <c r="A1618">
        <f t="shared" si="27"/>
        <v>1200003</v>
      </c>
      <c r="B1618" s="15">
        <v>140640109</v>
      </c>
      <c r="C1618" s="15">
        <v>290219563</v>
      </c>
      <c r="D1618" s="16">
        <v>120000354</v>
      </c>
      <c r="E1618" s="16" t="s">
        <v>8051</v>
      </c>
      <c r="F1618" s="20" t="s">
        <v>7294</v>
      </c>
      <c r="G1618" s="17" t="s">
        <v>8048</v>
      </c>
    </row>
    <row r="1619" spans="1:7" x14ac:dyDescent="0.25">
      <c r="A1619">
        <f t="shared" si="27"/>
        <v>1200901</v>
      </c>
      <c r="B1619" s="15">
        <v>140640109</v>
      </c>
      <c r="C1619" s="15">
        <v>290219592</v>
      </c>
      <c r="D1619" s="16">
        <v>120090154</v>
      </c>
      <c r="E1619" s="16" t="s">
        <v>8051</v>
      </c>
      <c r="F1619" s="20" t="s">
        <v>7283</v>
      </c>
      <c r="G1619" s="17" t="s">
        <v>8049</v>
      </c>
    </row>
    <row r="1620" spans="1:7" x14ac:dyDescent="0.25">
      <c r="A1620">
        <f t="shared" si="27"/>
        <v>1200003</v>
      </c>
      <c r="B1620" s="15">
        <v>140640109</v>
      </c>
      <c r="C1620" s="15">
        <v>290219560</v>
      </c>
      <c r="D1620" s="16">
        <v>120000352</v>
      </c>
      <c r="E1620" s="16" t="s">
        <v>8051</v>
      </c>
      <c r="F1620" s="20" t="s">
        <v>7293</v>
      </c>
      <c r="G1620" s="17" t="s">
        <v>8048</v>
      </c>
    </row>
    <row r="1621" spans="1:7" x14ac:dyDescent="0.25">
      <c r="A1621">
        <f t="shared" si="27"/>
        <v>1200901</v>
      </c>
      <c r="B1621" s="15">
        <v>140640109</v>
      </c>
      <c r="C1621" s="15">
        <v>290219582</v>
      </c>
      <c r="D1621" s="16">
        <v>120090152</v>
      </c>
      <c r="E1621" s="16" t="s">
        <v>8051</v>
      </c>
      <c r="F1621" s="20" t="s">
        <v>7282</v>
      </c>
      <c r="G1621" s="17" t="s">
        <v>8049</v>
      </c>
    </row>
    <row r="1622" spans="1:7" x14ac:dyDescent="0.25">
      <c r="A1622">
        <f t="shared" si="27"/>
        <v>1200003</v>
      </c>
      <c r="B1622" s="15">
        <v>140640111</v>
      </c>
      <c r="C1622" s="15">
        <v>290219588</v>
      </c>
      <c r="D1622" s="16">
        <v>120000354</v>
      </c>
      <c r="E1622" s="16" t="s">
        <v>8052</v>
      </c>
      <c r="F1622" s="20" t="s">
        <v>7294</v>
      </c>
      <c r="G1622" s="17" t="s">
        <v>8048</v>
      </c>
    </row>
    <row r="1623" spans="1:7" x14ac:dyDescent="0.25">
      <c r="A1623">
        <f t="shared" si="27"/>
        <v>1200901</v>
      </c>
      <c r="B1623" s="15">
        <v>140640111</v>
      </c>
      <c r="C1623" s="15">
        <v>290219586</v>
      </c>
      <c r="D1623" s="16">
        <v>120090150</v>
      </c>
      <c r="E1623" s="16" t="s">
        <v>8052</v>
      </c>
      <c r="F1623" s="20" t="s">
        <v>7281</v>
      </c>
      <c r="G1623" s="17" t="s">
        <v>8049</v>
      </c>
    </row>
    <row r="1624" spans="1:7" x14ac:dyDescent="0.25">
      <c r="A1624">
        <f t="shared" si="27"/>
        <v>1200901</v>
      </c>
      <c r="B1624" s="15">
        <v>140640111</v>
      </c>
      <c r="C1624" s="15">
        <v>290219590</v>
      </c>
      <c r="D1624" s="16">
        <v>120090152</v>
      </c>
      <c r="E1624" s="16" t="s">
        <v>8052</v>
      </c>
      <c r="F1624" s="20" t="s">
        <v>7282</v>
      </c>
      <c r="G1624" s="17" t="s">
        <v>8049</v>
      </c>
    </row>
    <row r="1625" spans="1:7" x14ac:dyDescent="0.25">
      <c r="A1625">
        <f t="shared" si="27"/>
        <v>1200003</v>
      </c>
      <c r="B1625" s="15">
        <v>140640111</v>
      </c>
      <c r="C1625" s="15">
        <v>290219587</v>
      </c>
      <c r="D1625" s="16">
        <v>120000352</v>
      </c>
      <c r="E1625" s="16" t="s">
        <v>8052</v>
      </c>
      <c r="F1625" s="20" t="s">
        <v>7293</v>
      </c>
      <c r="G1625" s="17" t="s">
        <v>8048</v>
      </c>
    </row>
    <row r="1626" spans="1:7" x14ac:dyDescent="0.25">
      <c r="A1626">
        <f t="shared" si="27"/>
        <v>1200901</v>
      </c>
      <c r="B1626" s="15">
        <v>140640111</v>
      </c>
      <c r="C1626" s="15">
        <v>290219591</v>
      </c>
      <c r="D1626" s="16">
        <v>120090154</v>
      </c>
      <c r="E1626" s="16" t="s">
        <v>8052</v>
      </c>
      <c r="F1626" s="20" t="s">
        <v>7283</v>
      </c>
      <c r="G1626" s="17" t="s">
        <v>8049</v>
      </c>
    </row>
    <row r="1627" spans="1:7" x14ac:dyDescent="0.25">
      <c r="A1627">
        <f t="shared" si="27"/>
        <v>1200003</v>
      </c>
      <c r="B1627" s="15">
        <v>140640111</v>
      </c>
      <c r="C1627" s="15">
        <v>290219589</v>
      </c>
      <c r="D1627" s="16">
        <v>120000350</v>
      </c>
      <c r="E1627" s="16" t="s">
        <v>8052</v>
      </c>
      <c r="F1627" s="20" t="s">
        <v>7292</v>
      </c>
      <c r="G1627" s="17" t="s">
        <v>8048</v>
      </c>
    </row>
    <row r="1628" spans="1:7" x14ac:dyDescent="0.25">
      <c r="A1628">
        <f t="shared" si="27"/>
        <v>1120640</v>
      </c>
      <c r="B1628" s="15">
        <v>140640217</v>
      </c>
      <c r="C1628" s="15">
        <v>290220519</v>
      </c>
      <c r="D1628" s="16">
        <v>112064044</v>
      </c>
      <c r="E1628" s="16" t="s">
        <v>8053</v>
      </c>
      <c r="F1628" s="20" t="s">
        <v>7249</v>
      </c>
      <c r="G1628" s="17" t="s">
        <v>8054</v>
      </c>
    </row>
    <row r="1629" spans="1:7" x14ac:dyDescent="0.25">
      <c r="A1629">
        <f t="shared" si="27"/>
        <v>1120850</v>
      </c>
      <c r="B1629" s="15">
        <v>140640217</v>
      </c>
      <c r="C1629" s="15">
        <v>290220533</v>
      </c>
      <c r="D1629" s="16">
        <v>112085038</v>
      </c>
      <c r="E1629" s="16" t="s">
        <v>8053</v>
      </c>
      <c r="F1629" s="20" t="s">
        <v>7229</v>
      </c>
      <c r="G1629" s="17" t="s">
        <v>8055</v>
      </c>
    </row>
    <row r="1630" spans="1:7" x14ac:dyDescent="0.25">
      <c r="A1630">
        <f t="shared" si="27"/>
        <v>1120850</v>
      </c>
      <c r="B1630" s="15">
        <v>140640217</v>
      </c>
      <c r="C1630" s="15">
        <v>290220578</v>
      </c>
      <c r="D1630" s="16">
        <v>112085042</v>
      </c>
      <c r="E1630" s="16" t="s">
        <v>8053</v>
      </c>
      <c r="F1630" s="20" t="s">
        <v>7231</v>
      </c>
      <c r="G1630" s="17" t="s">
        <v>8055</v>
      </c>
    </row>
    <row r="1631" spans="1:7" x14ac:dyDescent="0.25">
      <c r="A1631">
        <f t="shared" si="27"/>
        <v>1120165</v>
      </c>
      <c r="B1631" s="15">
        <v>140640217</v>
      </c>
      <c r="C1631" s="15">
        <v>290220561</v>
      </c>
      <c r="D1631" s="16">
        <v>112016546</v>
      </c>
      <c r="E1631" s="16" t="s">
        <v>8053</v>
      </c>
      <c r="F1631" s="20" t="s">
        <v>8056</v>
      </c>
      <c r="G1631" s="17" t="s">
        <v>8057</v>
      </c>
    </row>
    <row r="1632" spans="1:7" x14ac:dyDescent="0.25">
      <c r="A1632">
        <f t="shared" si="27"/>
        <v>1120640</v>
      </c>
      <c r="B1632" s="15">
        <v>140640217</v>
      </c>
      <c r="C1632" s="15">
        <v>290220555</v>
      </c>
      <c r="D1632" s="16">
        <v>112064048</v>
      </c>
      <c r="E1632" s="16" t="s">
        <v>8053</v>
      </c>
      <c r="F1632" s="20" t="s">
        <v>7251</v>
      </c>
      <c r="G1632" s="17" t="s">
        <v>8054</v>
      </c>
    </row>
    <row r="1633" spans="1:7" x14ac:dyDescent="0.25">
      <c r="A1633">
        <f t="shared" si="27"/>
        <v>1120640</v>
      </c>
      <c r="B1633" s="15">
        <v>140640217</v>
      </c>
      <c r="C1633" s="15">
        <v>290220540</v>
      </c>
      <c r="D1633" s="16">
        <v>112064040</v>
      </c>
      <c r="E1633" s="16" t="s">
        <v>8053</v>
      </c>
      <c r="F1633" s="20" t="s">
        <v>7247</v>
      </c>
      <c r="G1633" s="17" t="s">
        <v>8054</v>
      </c>
    </row>
    <row r="1634" spans="1:7" x14ac:dyDescent="0.25">
      <c r="A1634">
        <f t="shared" si="27"/>
        <v>1120850</v>
      </c>
      <c r="B1634" s="15">
        <v>140640217</v>
      </c>
      <c r="C1634" s="15">
        <v>290220648</v>
      </c>
      <c r="D1634" s="16">
        <v>112085048</v>
      </c>
      <c r="E1634" s="16" t="s">
        <v>8053</v>
      </c>
      <c r="F1634" s="20" t="s">
        <v>7234</v>
      </c>
      <c r="G1634" s="17" t="s">
        <v>8055</v>
      </c>
    </row>
    <row r="1635" spans="1:7" x14ac:dyDescent="0.25">
      <c r="A1635">
        <f t="shared" si="27"/>
        <v>1120850</v>
      </c>
      <c r="B1635" s="15">
        <v>140640217</v>
      </c>
      <c r="C1635" s="15">
        <v>290220652</v>
      </c>
      <c r="D1635" s="16">
        <v>112085040</v>
      </c>
      <c r="E1635" s="16" t="s">
        <v>8053</v>
      </c>
      <c r="F1635" s="20" t="s">
        <v>7230</v>
      </c>
      <c r="G1635" s="17" t="s">
        <v>8055</v>
      </c>
    </row>
    <row r="1636" spans="1:7" x14ac:dyDescent="0.25">
      <c r="A1636">
        <f t="shared" si="27"/>
        <v>1120640</v>
      </c>
      <c r="B1636" s="15">
        <v>140640217</v>
      </c>
      <c r="C1636" s="15">
        <v>290220529</v>
      </c>
      <c r="D1636" s="16">
        <v>112064042</v>
      </c>
      <c r="E1636" s="16" t="s">
        <v>8053</v>
      </c>
      <c r="F1636" s="20" t="s">
        <v>7244</v>
      </c>
      <c r="G1636" s="17" t="s">
        <v>8054</v>
      </c>
    </row>
    <row r="1637" spans="1:7" x14ac:dyDescent="0.25">
      <c r="A1637">
        <f t="shared" si="27"/>
        <v>1120950</v>
      </c>
      <c r="B1637" s="15">
        <v>140640217</v>
      </c>
      <c r="C1637" s="15">
        <v>290220660</v>
      </c>
      <c r="D1637" s="16">
        <v>112095040</v>
      </c>
      <c r="E1637" s="16" t="s">
        <v>8053</v>
      </c>
      <c r="F1637" s="20" t="s">
        <v>8058</v>
      </c>
      <c r="G1637" s="17" t="s">
        <v>8059</v>
      </c>
    </row>
    <row r="1638" spans="1:7" x14ac:dyDescent="0.25">
      <c r="A1638">
        <f t="shared" si="27"/>
        <v>1120950</v>
      </c>
      <c r="B1638" s="15">
        <v>140640217</v>
      </c>
      <c r="C1638" s="15">
        <v>290220866</v>
      </c>
      <c r="D1638" s="16">
        <v>112095048</v>
      </c>
      <c r="E1638" s="16" t="s">
        <v>8053</v>
      </c>
      <c r="F1638" s="20" t="s">
        <v>8060</v>
      </c>
      <c r="G1638" s="17" t="s">
        <v>8059</v>
      </c>
    </row>
    <row r="1639" spans="1:7" x14ac:dyDescent="0.25">
      <c r="A1639">
        <f t="shared" si="27"/>
        <v>1120850</v>
      </c>
      <c r="B1639" s="15">
        <v>140640217</v>
      </c>
      <c r="C1639" s="15">
        <v>290220832</v>
      </c>
      <c r="D1639" s="16">
        <v>112085034</v>
      </c>
      <c r="E1639" s="16" t="s">
        <v>8053</v>
      </c>
      <c r="F1639" s="20" t="s">
        <v>8061</v>
      </c>
      <c r="G1639" s="17" t="s">
        <v>8055</v>
      </c>
    </row>
    <row r="1640" spans="1:7" x14ac:dyDescent="0.25">
      <c r="A1640">
        <f t="shared" si="27"/>
        <v>1120950</v>
      </c>
      <c r="B1640" s="15">
        <v>140640217</v>
      </c>
      <c r="C1640" s="15">
        <v>290220791</v>
      </c>
      <c r="D1640" s="16">
        <v>112095044</v>
      </c>
      <c r="E1640" s="16" t="s">
        <v>8053</v>
      </c>
      <c r="F1640" s="20" t="s">
        <v>8062</v>
      </c>
      <c r="G1640" s="17" t="s">
        <v>8059</v>
      </c>
    </row>
    <row r="1641" spans="1:7" x14ac:dyDescent="0.25">
      <c r="A1641">
        <f t="shared" si="27"/>
        <v>1120850</v>
      </c>
      <c r="B1641" s="15">
        <v>140640217</v>
      </c>
      <c r="C1641" s="15">
        <v>290220689</v>
      </c>
      <c r="D1641" s="16">
        <v>112085044</v>
      </c>
      <c r="E1641" s="16" t="s">
        <v>8053</v>
      </c>
      <c r="F1641" s="20" t="s">
        <v>7232</v>
      </c>
      <c r="G1641" s="17" t="s">
        <v>8055</v>
      </c>
    </row>
    <row r="1642" spans="1:7" x14ac:dyDescent="0.25">
      <c r="A1642">
        <f t="shared" si="27"/>
        <v>1120950</v>
      </c>
      <c r="B1642" s="15">
        <v>140640217</v>
      </c>
      <c r="C1642" s="15">
        <v>290220565</v>
      </c>
      <c r="D1642" s="16">
        <v>112095042</v>
      </c>
      <c r="E1642" s="16" t="s">
        <v>8053</v>
      </c>
      <c r="F1642" s="20" t="s">
        <v>8063</v>
      </c>
      <c r="G1642" s="17" t="s">
        <v>8059</v>
      </c>
    </row>
    <row r="1643" spans="1:7" x14ac:dyDescent="0.25">
      <c r="A1643">
        <f t="shared" si="27"/>
        <v>1120640</v>
      </c>
      <c r="B1643" s="15">
        <v>140640217</v>
      </c>
      <c r="C1643" s="15">
        <v>290220747</v>
      </c>
      <c r="D1643" s="16">
        <v>112064038</v>
      </c>
      <c r="E1643" s="16" t="s">
        <v>8053</v>
      </c>
      <c r="F1643" s="20" t="s">
        <v>7246</v>
      </c>
      <c r="G1643" s="17" t="s">
        <v>8054</v>
      </c>
    </row>
    <row r="1644" spans="1:7" x14ac:dyDescent="0.25">
      <c r="A1644">
        <f t="shared" si="27"/>
        <v>1120165</v>
      </c>
      <c r="B1644" s="15">
        <v>140640217</v>
      </c>
      <c r="C1644" s="15">
        <v>290220774</v>
      </c>
      <c r="D1644" s="16">
        <v>112016542</v>
      </c>
      <c r="E1644" s="16" t="s">
        <v>8053</v>
      </c>
      <c r="F1644" s="20" t="s">
        <v>8064</v>
      </c>
      <c r="G1644" s="17" t="s">
        <v>8057</v>
      </c>
    </row>
    <row r="1645" spans="1:7" x14ac:dyDescent="0.25">
      <c r="A1645">
        <f t="shared" si="27"/>
        <v>1120165</v>
      </c>
      <c r="B1645" s="15">
        <v>140640217</v>
      </c>
      <c r="C1645" s="15">
        <v>290220858</v>
      </c>
      <c r="D1645" s="16">
        <v>112016538</v>
      </c>
      <c r="E1645" s="16" t="s">
        <v>8053</v>
      </c>
      <c r="F1645" s="20" t="s">
        <v>8065</v>
      </c>
      <c r="G1645" s="17" t="s">
        <v>8057</v>
      </c>
    </row>
    <row r="1646" spans="1:7" x14ac:dyDescent="0.25">
      <c r="A1646">
        <f t="shared" si="27"/>
        <v>1120850</v>
      </c>
      <c r="B1646" s="15">
        <v>140640217</v>
      </c>
      <c r="C1646" s="15">
        <v>290220655</v>
      </c>
      <c r="D1646" s="16">
        <v>112085046</v>
      </c>
      <c r="E1646" s="16" t="s">
        <v>8053</v>
      </c>
      <c r="F1646" s="20" t="s">
        <v>7233</v>
      </c>
      <c r="G1646" s="17" t="s">
        <v>8055</v>
      </c>
    </row>
    <row r="1647" spans="1:7" x14ac:dyDescent="0.25">
      <c r="A1647">
        <f t="shared" si="27"/>
        <v>1120165</v>
      </c>
      <c r="B1647" s="15">
        <v>140640217</v>
      </c>
      <c r="C1647" s="15">
        <v>290220629</v>
      </c>
      <c r="D1647" s="16">
        <v>112016534</v>
      </c>
      <c r="E1647" s="16" t="s">
        <v>8053</v>
      </c>
      <c r="F1647" s="20" t="s">
        <v>8066</v>
      </c>
      <c r="G1647" s="17" t="s">
        <v>8057</v>
      </c>
    </row>
    <row r="1648" spans="1:7" x14ac:dyDescent="0.25">
      <c r="A1648">
        <f t="shared" si="27"/>
        <v>1120165</v>
      </c>
      <c r="B1648" s="15">
        <v>140640217</v>
      </c>
      <c r="C1648" s="15">
        <v>290220711</v>
      </c>
      <c r="D1648" s="16">
        <v>112016544</v>
      </c>
      <c r="E1648" s="16" t="s">
        <v>8053</v>
      </c>
      <c r="F1648" s="20" t="s">
        <v>8067</v>
      </c>
      <c r="G1648" s="17" t="s">
        <v>8057</v>
      </c>
    </row>
    <row r="1649" spans="1:7" x14ac:dyDescent="0.25">
      <c r="A1649">
        <f t="shared" si="27"/>
        <v>1120640</v>
      </c>
      <c r="B1649" s="15">
        <v>140640217</v>
      </c>
      <c r="C1649" s="15">
        <v>290220636</v>
      </c>
      <c r="D1649" s="16">
        <v>112064034</v>
      </c>
      <c r="E1649" s="16" t="s">
        <v>8053</v>
      </c>
      <c r="F1649" s="20" t="s">
        <v>7248</v>
      </c>
      <c r="G1649" s="17" t="s">
        <v>8054</v>
      </c>
    </row>
    <row r="1650" spans="1:7" x14ac:dyDescent="0.25">
      <c r="A1650">
        <f t="shared" si="27"/>
        <v>1120640</v>
      </c>
      <c r="B1650" s="15">
        <v>140640217</v>
      </c>
      <c r="C1650" s="15">
        <v>290220826</v>
      </c>
      <c r="D1650" s="16">
        <v>112064046</v>
      </c>
      <c r="E1650" s="16" t="s">
        <v>8053</v>
      </c>
      <c r="F1650" s="20" t="s">
        <v>7250</v>
      </c>
      <c r="G1650" s="17" t="s">
        <v>8054</v>
      </c>
    </row>
    <row r="1651" spans="1:7" x14ac:dyDescent="0.25">
      <c r="A1651">
        <f t="shared" si="27"/>
        <v>1120950</v>
      </c>
      <c r="B1651" s="15">
        <v>140640217</v>
      </c>
      <c r="C1651" s="15">
        <v>290220666</v>
      </c>
      <c r="D1651" s="16">
        <v>112095046</v>
      </c>
      <c r="E1651" s="16" t="s">
        <v>8053</v>
      </c>
      <c r="F1651" s="20" t="s">
        <v>8068</v>
      </c>
      <c r="G1651" s="17" t="s">
        <v>8059</v>
      </c>
    </row>
    <row r="1652" spans="1:7" x14ac:dyDescent="0.25">
      <c r="A1652">
        <f t="shared" si="27"/>
        <v>1120165</v>
      </c>
      <c r="B1652" s="15">
        <v>140640217</v>
      </c>
      <c r="C1652" s="15">
        <v>290220594</v>
      </c>
      <c r="D1652" s="16">
        <v>112016548</v>
      </c>
      <c r="E1652" s="16" t="s">
        <v>8053</v>
      </c>
      <c r="F1652" s="20" t="s">
        <v>8069</v>
      </c>
      <c r="G1652" s="17" t="s">
        <v>8057</v>
      </c>
    </row>
    <row r="1653" spans="1:7" x14ac:dyDescent="0.25">
      <c r="A1653">
        <f t="shared" si="27"/>
        <v>1120165</v>
      </c>
      <c r="B1653" s="15">
        <v>140640217</v>
      </c>
      <c r="C1653" s="15">
        <v>290220548</v>
      </c>
      <c r="D1653" s="16">
        <v>112016540</v>
      </c>
      <c r="E1653" s="16" t="s">
        <v>8053</v>
      </c>
      <c r="F1653" s="20" t="s">
        <v>8070</v>
      </c>
      <c r="G1653" s="17" t="s">
        <v>8057</v>
      </c>
    </row>
    <row r="1654" spans="1:7" x14ac:dyDescent="0.25">
      <c r="A1654">
        <f t="shared" si="27"/>
        <v>1120850</v>
      </c>
      <c r="B1654" s="15">
        <v>140640217</v>
      </c>
      <c r="C1654" s="15">
        <v>290220645</v>
      </c>
      <c r="D1654" s="16">
        <v>112085036</v>
      </c>
      <c r="E1654" s="16" t="s">
        <v>8053</v>
      </c>
      <c r="F1654" s="20" t="s">
        <v>7228</v>
      </c>
      <c r="G1654" s="17" t="s">
        <v>8055</v>
      </c>
    </row>
    <row r="1655" spans="1:7" x14ac:dyDescent="0.25">
      <c r="A1655">
        <f t="shared" si="27"/>
        <v>1120950</v>
      </c>
      <c r="B1655" s="15">
        <v>140640217</v>
      </c>
      <c r="C1655" s="15">
        <v>290220570</v>
      </c>
      <c r="D1655" s="16">
        <v>112095038</v>
      </c>
      <c r="E1655" s="16" t="s">
        <v>8053</v>
      </c>
      <c r="F1655" s="20" t="s">
        <v>8071</v>
      </c>
      <c r="G1655" s="17" t="s">
        <v>8059</v>
      </c>
    </row>
    <row r="1656" spans="1:7" x14ac:dyDescent="0.25">
      <c r="A1656">
        <f t="shared" si="27"/>
        <v>1120950</v>
      </c>
      <c r="B1656" s="15">
        <v>140640217</v>
      </c>
      <c r="C1656" s="15">
        <v>290220579</v>
      </c>
      <c r="D1656" s="16">
        <v>112095034</v>
      </c>
      <c r="E1656" s="16" t="s">
        <v>8053</v>
      </c>
      <c r="F1656" s="20" t="s">
        <v>8072</v>
      </c>
      <c r="G1656" s="17" t="s">
        <v>8059</v>
      </c>
    </row>
    <row r="1657" spans="1:7" x14ac:dyDescent="0.25">
      <c r="A1657">
        <f t="shared" si="27"/>
        <v>1120640</v>
      </c>
      <c r="B1657" s="15">
        <v>140640217</v>
      </c>
      <c r="C1657" s="15">
        <v>290220699</v>
      </c>
      <c r="D1657" s="16">
        <v>112064036</v>
      </c>
      <c r="E1657" s="16" t="s">
        <v>8053</v>
      </c>
      <c r="F1657" s="20" t="s">
        <v>7245</v>
      </c>
      <c r="G1657" s="17" t="s">
        <v>8054</v>
      </c>
    </row>
    <row r="1658" spans="1:7" x14ac:dyDescent="0.25">
      <c r="A1658">
        <f t="shared" si="27"/>
        <v>1120165</v>
      </c>
      <c r="B1658" s="15">
        <v>140640217</v>
      </c>
      <c r="C1658" s="15">
        <v>290220729</v>
      </c>
      <c r="D1658" s="16">
        <v>112016536</v>
      </c>
      <c r="E1658" s="16" t="s">
        <v>8053</v>
      </c>
      <c r="F1658" s="20" t="s">
        <v>8073</v>
      </c>
      <c r="G1658" s="17" t="s">
        <v>8057</v>
      </c>
    </row>
    <row r="1659" spans="1:7" x14ac:dyDescent="0.25">
      <c r="A1659">
        <f t="shared" si="27"/>
        <v>1120950</v>
      </c>
      <c r="B1659" s="15">
        <v>140640217</v>
      </c>
      <c r="C1659" s="15">
        <v>290220585</v>
      </c>
      <c r="D1659" s="16">
        <v>112095036</v>
      </c>
      <c r="E1659" s="16" t="s">
        <v>8053</v>
      </c>
      <c r="F1659" s="20" t="s">
        <v>8074</v>
      </c>
      <c r="G1659" s="17" t="s">
        <v>8059</v>
      </c>
    </row>
    <row r="1660" spans="1:7" x14ac:dyDescent="0.25">
      <c r="A1660">
        <f t="shared" si="27"/>
        <v>1120851</v>
      </c>
      <c r="B1660" s="15">
        <v>140640212</v>
      </c>
      <c r="C1660" s="15">
        <v>290220503</v>
      </c>
      <c r="D1660" s="16">
        <v>112085154</v>
      </c>
      <c r="E1660" s="16" t="s">
        <v>8075</v>
      </c>
      <c r="F1660" s="20" t="s">
        <v>7237</v>
      </c>
      <c r="G1660" s="17" t="s">
        <v>8076</v>
      </c>
    </row>
    <row r="1661" spans="1:7" x14ac:dyDescent="0.25">
      <c r="A1661">
        <f t="shared" si="27"/>
        <v>1120641</v>
      </c>
      <c r="B1661" s="15">
        <v>140640212</v>
      </c>
      <c r="C1661" s="15">
        <v>290220518</v>
      </c>
      <c r="D1661" s="16">
        <v>112064152</v>
      </c>
      <c r="E1661" s="16" t="s">
        <v>8075</v>
      </c>
      <c r="F1661" s="20" t="s">
        <v>7242</v>
      </c>
      <c r="G1661" s="17" t="s">
        <v>8077</v>
      </c>
    </row>
    <row r="1662" spans="1:7" x14ac:dyDescent="0.25">
      <c r="A1662">
        <f t="shared" si="27"/>
        <v>1120641</v>
      </c>
      <c r="B1662" s="15">
        <v>140640212</v>
      </c>
      <c r="C1662" s="15">
        <v>290220507</v>
      </c>
      <c r="D1662" s="16">
        <v>112064154</v>
      </c>
      <c r="E1662" s="16" t="s">
        <v>8075</v>
      </c>
      <c r="F1662" s="20" t="s">
        <v>7243</v>
      </c>
      <c r="G1662" s="17" t="s">
        <v>8077</v>
      </c>
    </row>
    <row r="1663" spans="1:7" x14ac:dyDescent="0.25">
      <c r="A1663">
        <f t="shared" si="27"/>
        <v>1120851</v>
      </c>
      <c r="B1663" s="15">
        <v>140640212</v>
      </c>
      <c r="C1663" s="15">
        <v>290220521</v>
      </c>
      <c r="D1663" s="16">
        <v>112085152</v>
      </c>
      <c r="E1663" s="16" t="s">
        <v>8075</v>
      </c>
      <c r="F1663" s="20" t="s">
        <v>7236</v>
      </c>
      <c r="G1663" s="17" t="s">
        <v>8076</v>
      </c>
    </row>
    <row r="1664" spans="1:7" x14ac:dyDescent="0.25">
      <c r="A1664">
        <f t="shared" si="27"/>
        <v>1120952</v>
      </c>
      <c r="B1664" s="15">
        <v>140640212</v>
      </c>
      <c r="C1664" s="15">
        <v>290220527</v>
      </c>
      <c r="D1664" s="16">
        <v>112095252</v>
      </c>
      <c r="E1664" s="16" t="s">
        <v>8075</v>
      </c>
      <c r="F1664" s="20" t="s">
        <v>8078</v>
      </c>
      <c r="G1664" s="17" t="s">
        <v>8079</v>
      </c>
    </row>
    <row r="1665" spans="1:7" x14ac:dyDescent="0.25">
      <c r="A1665">
        <f t="shared" si="27"/>
        <v>1120166</v>
      </c>
      <c r="B1665" s="15">
        <v>140640212</v>
      </c>
      <c r="C1665" s="15">
        <v>290220515</v>
      </c>
      <c r="D1665" s="16">
        <v>112016652</v>
      </c>
      <c r="E1665" s="16" t="s">
        <v>8075</v>
      </c>
      <c r="F1665" s="20" t="s">
        <v>8080</v>
      </c>
      <c r="G1665" s="17" t="s">
        <v>8081</v>
      </c>
    </row>
    <row r="1666" spans="1:7" x14ac:dyDescent="0.25">
      <c r="A1666">
        <f t="shared" si="27"/>
        <v>1120952</v>
      </c>
      <c r="B1666" s="15">
        <v>140640212</v>
      </c>
      <c r="C1666" s="15">
        <v>290220502</v>
      </c>
      <c r="D1666" s="16">
        <v>112095254</v>
      </c>
      <c r="E1666" s="16" t="s">
        <v>8075</v>
      </c>
      <c r="F1666" s="20" t="s">
        <v>8082</v>
      </c>
      <c r="G1666" s="17" t="s">
        <v>8079</v>
      </c>
    </row>
    <row r="1667" spans="1:7" x14ac:dyDescent="0.25">
      <c r="A1667">
        <f t="shared" si="27"/>
        <v>1120851</v>
      </c>
      <c r="B1667" s="15">
        <v>140640212</v>
      </c>
      <c r="C1667" s="15">
        <v>290220500</v>
      </c>
      <c r="D1667" s="16">
        <v>112085150</v>
      </c>
      <c r="E1667" s="16" t="s">
        <v>8075</v>
      </c>
      <c r="F1667" s="20" t="s">
        <v>7235</v>
      </c>
      <c r="G1667" s="17" t="s">
        <v>8076</v>
      </c>
    </row>
    <row r="1668" spans="1:7" x14ac:dyDescent="0.25">
      <c r="A1668">
        <f t="shared" si="27"/>
        <v>1120166</v>
      </c>
      <c r="B1668" s="15">
        <v>140640212</v>
      </c>
      <c r="C1668" s="15">
        <v>290220532</v>
      </c>
      <c r="D1668" s="16">
        <v>112016654</v>
      </c>
      <c r="E1668" s="16" t="s">
        <v>8075</v>
      </c>
      <c r="F1668" s="20" t="s">
        <v>8083</v>
      </c>
      <c r="G1668" s="17" t="s">
        <v>8081</v>
      </c>
    </row>
    <row r="1669" spans="1:7" x14ac:dyDescent="0.25">
      <c r="A1669">
        <f t="shared" si="27"/>
        <v>1120166</v>
      </c>
      <c r="B1669" s="15">
        <v>140640212</v>
      </c>
      <c r="C1669" s="15">
        <v>290220530</v>
      </c>
      <c r="D1669" s="16">
        <v>112016650</v>
      </c>
      <c r="E1669" s="16" t="s">
        <v>8075</v>
      </c>
      <c r="F1669" s="20" t="s">
        <v>8084</v>
      </c>
      <c r="G1669" s="17" t="s">
        <v>8081</v>
      </c>
    </row>
    <row r="1670" spans="1:7" x14ac:dyDescent="0.25">
      <c r="A1670">
        <f t="shared" si="27"/>
        <v>1120641</v>
      </c>
      <c r="B1670" s="15">
        <v>140640212</v>
      </c>
      <c r="C1670" s="15">
        <v>290220498</v>
      </c>
      <c r="D1670" s="16">
        <v>112064150</v>
      </c>
      <c r="E1670" s="16" t="s">
        <v>8075</v>
      </c>
      <c r="F1670" s="20" t="s">
        <v>7241</v>
      </c>
      <c r="G1670" s="17" t="s">
        <v>8077</v>
      </c>
    </row>
    <row r="1671" spans="1:7" x14ac:dyDescent="0.25">
      <c r="A1671">
        <f t="shared" ref="A1671:A1734" si="28">LEFT(D1671,7)*1</f>
        <v>1120952</v>
      </c>
      <c r="B1671" s="15">
        <v>140640212</v>
      </c>
      <c r="C1671" s="15">
        <v>290220512</v>
      </c>
      <c r="D1671" s="16">
        <v>112095250</v>
      </c>
      <c r="E1671" s="16" t="s">
        <v>8075</v>
      </c>
      <c r="F1671" s="20" t="s">
        <v>8085</v>
      </c>
      <c r="G1671" s="17" t="s">
        <v>8079</v>
      </c>
    </row>
    <row r="1672" spans="1:7" x14ac:dyDescent="0.25">
      <c r="A1672">
        <f t="shared" si="28"/>
        <v>1120852</v>
      </c>
      <c r="B1672" s="15">
        <v>140640204</v>
      </c>
      <c r="C1672" s="15">
        <v>290220429</v>
      </c>
      <c r="D1672" s="16">
        <v>112085256</v>
      </c>
      <c r="E1672" s="16" t="s">
        <v>8086</v>
      </c>
      <c r="F1672" s="20" t="s">
        <v>7238</v>
      </c>
      <c r="G1672" s="17" t="s">
        <v>8087</v>
      </c>
    </row>
    <row r="1673" spans="1:7" x14ac:dyDescent="0.25">
      <c r="A1673">
        <f t="shared" si="28"/>
        <v>1120953</v>
      </c>
      <c r="B1673" s="15">
        <v>140640204</v>
      </c>
      <c r="C1673" s="15">
        <v>290220483</v>
      </c>
      <c r="D1673" s="16">
        <v>112095360</v>
      </c>
      <c r="E1673" s="16" t="s">
        <v>8086</v>
      </c>
      <c r="F1673" s="20" t="s">
        <v>8088</v>
      </c>
      <c r="G1673" s="17" t="s">
        <v>8089</v>
      </c>
    </row>
    <row r="1674" spans="1:7" x14ac:dyDescent="0.25">
      <c r="A1674">
        <f t="shared" si="28"/>
        <v>1120167</v>
      </c>
      <c r="B1674" s="15">
        <v>140640204</v>
      </c>
      <c r="C1674" s="15">
        <v>290220467</v>
      </c>
      <c r="D1674" s="16">
        <v>112016758</v>
      </c>
      <c r="E1674" s="16" t="s">
        <v>8086</v>
      </c>
      <c r="F1674" s="20" t="s">
        <v>8090</v>
      </c>
      <c r="G1674" s="17" t="s">
        <v>8091</v>
      </c>
    </row>
    <row r="1675" spans="1:7" x14ac:dyDescent="0.25">
      <c r="A1675">
        <f t="shared" si="28"/>
        <v>1120642</v>
      </c>
      <c r="B1675" s="15">
        <v>140640204</v>
      </c>
      <c r="C1675" s="15">
        <v>290220494</v>
      </c>
      <c r="D1675" s="16">
        <v>112064256</v>
      </c>
      <c r="E1675" s="16" t="s">
        <v>8086</v>
      </c>
      <c r="F1675" s="20" t="s">
        <v>8092</v>
      </c>
      <c r="G1675" s="17" t="s">
        <v>8093</v>
      </c>
    </row>
    <row r="1676" spans="1:7" x14ac:dyDescent="0.25">
      <c r="A1676">
        <f t="shared" si="28"/>
        <v>1120167</v>
      </c>
      <c r="B1676" s="15">
        <v>140640204</v>
      </c>
      <c r="C1676" s="15">
        <v>290220489</v>
      </c>
      <c r="D1676" s="16">
        <v>112016760</v>
      </c>
      <c r="E1676" s="16" t="s">
        <v>8086</v>
      </c>
      <c r="F1676" s="20" t="s">
        <v>8094</v>
      </c>
      <c r="G1676" s="17" t="s">
        <v>8091</v>
      </c>
    </row>
    <row r="1677" spans="1:7" x14ac:dyDescent="0.25">
      <c r="A1677">
        <f t="shared" si="28"/>
        <v>1120642</v>
      </c>
      <c r="B1677" s="15">
        <v>140640204</v>
      </c>
      <c r="C1677" s="15">
        <v>290220473</v>
      </c>
      <c r="D1677" s="16">
        <v>112064258</v>
      </c>
      <c r="E1677" s="16" t="s">
        <v>8086</v>
      </c>
      <c r="F1677" s="20" t="s">
        <v>8095</v>
      </c>
      <c r="G1677" s="17" t="s">
        <v>8093</v>
      </c>
    </row>
    <row r="1678" spans="1:7" x14ac:dyDescent="0.25">
      <c r="A1678">
        <f t="shared" si="28"/>
        <v>1120852</v>
      </c>
      <c r="B1678" s="15">
        <v>140640204</v>
      </c>
      <c r="C1678" s="15">
        <v>290220448</v>
      </c>
      <c r="D1678" s="16">
        <v>112085260</v>
      </c>
      <c r="E1678" s="16" t="s">
        <v>8086</v>
      </c>
      <c r="F1678" s="20" t="s">
        <v>7239</v>
      </c>
      <c r="G1678" s="17" t="s">
        <v>8087</v>
      </c>
    </row>
    <row r="1679" spans="1:7" x14ac:dyDescent="0.25">
      <c r="A1679">
        <f t="shared" si="28"/>
        <v>1120167</v>
      </c>
      <c r="B1679" s="15">
        <v>140640204</v>
      </c>
      <c r="C1679" s="15">
        <v>290220463</v>
      </c>
      <c r="D1679" s="16">
        <v>112016756</v>
      </c>
      <c r="E1679" s="16" t="s">
        <v>8086</v>
      </c>
      <c r="F1679" s="20" t="s">
        <v>8096</v>
      </c>
      <c r="G1679" s="17" t="s">
        <v>8091</v>
      </c>
    </row>
    <row r="1680" spans="1:7" x14ac:dyDescent="0.25">
      <c r="A1680">
        <f t="shared" si="28"/>
        <v>1120953</v>
      </c>
      <c r="B1680" s="15">
        <v>140640204</v>
      </c>
      <c r="C1680" s="15">
        <v>290220444</v>
      </c>
      <c r="D1680" s="16">
        <v>112095356</v>
      </c>
      <c r="E1680" s="16" t="s">
        <v>8086</v>
      </c>
      <c r="F1680" s="20" t="s">
        <v>8097</v>
      </c>
      <c r="G1680" s="17" t="s">
        <v>8089</v>
      </c>
    </row>
    <row r="1681" spans="1:7" x14ac:dyDescent="0.25">
      <c r="A1681">
        <f t="shared" si="28"/>
        <v>1120642</v>
      </c>
      <c r="B1681" s="15">
        <v>140640204</v>
      </c>
      <c r="C1681" s="15">
        <v>290220441</v>
      </c>
      <c r="D1681" s="16">
        <v>112064260</v>
      </c>
      <c r="E1681" s="16" t="s">
        <v>8086</v>
      </c>
      <c r="F1681" s="20" t="s">
        <v>8098</v>
      </c>
      <c r="G1681" s="17" t="s">
        <v>8093</v>
      </c>
    </row>
    <row r="1682" spans="1:7" x14ac:dyDescent="0.25">
      <c r="A1682">
        <f t="shared" si="28"/>
        <v>1120953</v>
      </c>
      <c r="B1682" s="15">
        <v>140640204</v>
      </c>
      <c r="C1682" s="15">
        <v>290220457</v>
      </c>
      <c r="D1682" s="16">
        <v>112095358</v>
      </c>
      <c r="E1682" s="16" t="s">
        <v>8086</v>
      </c>
      <c r="F1682" s="20" t="s">
        <v>8099</v>
      </c>
      <c r="G1682" s="17" t="s">
        <v>8089</v>
      </c>
    </row>
    <row r="1683" spans="1:7" x14ac:dyDescent="0.25">
      <c r="A1683">
        <f t="shared" si="28"/>
        <v>1120852</v>
      </c>
      <c r="B1683" s="15">
        <v>140640204</v>
      </c>
      <c r="C1683" s="15">
        <v>290220451</v>
      </c>
      <c r="D1683" s="16">
        <v>112085258</v>
      </c>
      <c r="E1683" s="16" t="s">
        <v>8086</v>
      </c>
      <c r="F1683" s="20" t="s">
        <v>7240</v>
      </c>
      <c r="G1683" s="17" t="s">
        <v>8087</v>
      </c>
    </row>
    <row r="1684" spans="1:7" x14ac:dyDescent="0.25">
      <c r="A1684">
        <f t="shared" si="28"/>
        <v>1120643</v>
      </c>
      <c r="B1684" s="15">
        <v>140640210</v>
      </c>
      <c r="C1684" s="15">
        <v>290220488</v>
      </c>
      <c r="D1684" s="16">
        <v>112064364</v>
      </c>
      <c r="E1684" s="16" t="s">
        <v>8100</v>
      </c>
      <c r="F1684" s="20" t="s">
        <v>8101</v>
      </c>
      <c r="G1684" s="17" t="s">
        <v>8102</v>
      </c>
    </row>
    <row r="1685" spans="1:7" x14ac:dyDescent="0.25">
      <c r="A1685">
        <f t="shared" si="28"/>
        <v>1120954</v>
      </c>
      <c r="B1685" s="15">
        <v>140640210</v>
      </c>
      <c r="C1685" s="15">
        <v>290220511</v>
      </c>
      <c r="D1685" s="16">
        <v>112095462</v>
      </c>
      <c r="E1685" s="16" t="s">
        <v>8100</v>
      </c>
      <c r="F1685" s="20" t="s">
        <v>8103</v>
      </c>
      <c r="G1685" s="17" t="s">
        <v>8104</v>
      </c>
    </row>
    <row r="1686" spans="1:7" x14ac:dyDescent="0.25">
      <c r="A1686">
        <f t="shared" si="28"/>
        <v>1120168</v>
      </c>
      <c r="B1686" s="15">
        <v>140640210</v>
      </c>
      <c r="C1686" s="15">
        <v>290220528</v>
      </c>
      <c r="D1686" s="16">
        <v>112016862</v>
      </c>
      <c r="E1686" s="16" t="s">
        <v>8100</v>
      </c>
      <c r="F1686" s="20" t="s">
        <v>8105</v>
      </c>
      <c r="G1686" s="17" t="s">
        <v>8106</v>
      </c>
    </row>
    <row r="1687" spans="1:7" x14ac:dyDescent="0.25">
      <c r="A1687">
        <f t="shared" si="28"/>
        <v>1120168</v>
      </c>
      <c r="B1687" s="15">
        <v>140640210</v>
      </c>
      <c r="C1687" s="15">
        <v>290220535</v>
      </c>
      <c r="D1687" s="16">
        <v>112016864</v>
      </c>
      <c r="E1687" s="16" t="s">
        <v>8100</v>
      </c>
      <c r="F1687" s="20" t="s">
        <v>8107</v>
      </c>
      <c r="G1687" s="17" t="s">
        <v>8106</v>
      </c>
    </row>
    <row r="1688" spans="1:7" x14ac:dyDescent="0.25">
      <c r="A1688">
        <f t="shared" si="28"/>
        <v>1120954</v>
      </c>
      <c r="B1688" s="15">
        <v>140640210</v>
      </c>
      <c r="C1688" s="15">
        <v>290220517</v>
      </c>
      <c r="D1688" s="16">
        <v>112095464</v>
      </c>
      <c r="E1688" s="16" t="s">
        <v>8100</v>
      </c>
      <c r="F1688" s="20" t="s">
        <v>8108</v>
      </c>
      <c r="G1688" s="17" t="s">
        <v>8104</v>
      </c>
    </row>
    <row r="1689" spans="1:7" x14ac:dyDescent="0.25">
      <c r="A1689">
        <f t="shared" si="28"/>
        <v>1120168</v>
      </c>
      <c r="B1689" s="15">
        <v>140640210</v>
      </c>
      <c r="C1689" s="15">
        <v>290220538</v>
      </c>
      <c r="D1689" s="16">
        <v>112016866</v>
      </c>
      <c r="E1689" s="16" t="s">
        <v>8100</v>
      </c>
      <c r="F1689" s="20" t="s">
        <v>8109</v>
      </c>
      <c r="G1689" s="17" t="s">
        <v>8106</v>
      </c>
    </row>
    <row r="1690" spans="1:7" x14ac:dyDescent="0.25">
      <c r="A1690">
        <f t="shared" si="28"/>
        <v>1120954</v>
      </c>
      <c r="B1690" s="15">
        <v>140640210</v>
      </c>
      <c r="C1690" s="15">
        <v>290220524</v>
      </c>
      <c r="D1690" s="16">
        <v>112095466</v>
      </c>
      <c r="E1690" s="16" t="s">
        <v>8100</v>
      </c>
      <c r="F1690" s="20" t="s">
        <v>8110</v>
      </c>
      <c r="G1690" s="17" t="s">
        <v>8104</v>
      </c>
    </row>
    <row r="1691" spans="1:7" x14ac:dyDescent="0.25">
      <c r="A1691">
        <f t="shared" si="28"/>
        <v>1120643</v>
      </c>
      <c r="B1691" s="15">
        <v>140640210</v>
      </c>
      <c r="C1691" s="15">
        <v>290220492</v>
      </c>
      <c r="D1691" s="16">
        <v>112064366</v>
      </c>
      <c r="E1691" s="16" t="s">
        <v>8100</v>
      </c>
      <c r="F1691" s="20" t="s">
        <v>8111</v>
      </c>
      <c r="G1691" s="17" t="s">
        <v>8102</v>
      </c>
    </row>
    <row r="1692" spans="1:7" x14ac:dyDescent="0.25">
      <c r="A1692">
        <f t="shared" si="28"/>
        <v>1120853</v>
      </c>
      <c r="B1692" s="15">
        <v>140640210</v>
      </c>
      <c r="C1692" s="15">
        <v>290220501</v>
      </c>
      <c r="D1692" s="16">
        <v>112085364</v>
      </c>
      <c r="E1692" s="16" t="s">
        <v>8100</v>
      </c>
      <c r="F1692" s="20" t="s">
        <v>8112</v>
      </c>
      <c r="G1692" s="17" t="s">
        <v>8113</v>
      </c>
    </row>
    <row r="1693" spans="1:7" x14ac:dyDescent="0.25">
      <c r="A1693">
        <f t="shared" si="28"/>
        <v>1120853</v>
      </c>
      <c r="B1693" s="15">
        <v>140640210</v>
      </c>
      <c r="C1693" s="15">
        <v>290220497</v>
      </c>
      <c r="D1693" s="16">
        <v>112085362</v>
      </c>
      <c r="E1693" s="16" t="s">
        <v>8100</v>
      </c>
      <c r="F1693" s="20" t="s">
        <v>8114</v>
      </c>
      <c r="G1693" s="17" t="s">
        <v>8113</v>
      </c>
    </row>
    <row r="1694" spans="1:7" x14ac:dyDescent="0.25">
      <c r="A1694">
        <f t="shared" si="28"/>
        <v>1120853</v>
      </c>
      <c r="B1694" s="15">
        <v>140640210</v>
      </c>
      <c r="C1694" s="15">
        <v>290220508</v>
      </c>
      <c r="D1694" s="16">
        <v>112085366</v>
      </c>
      <c r="E1694" s="16" t="s">
        <v>8100</v>
      </c>
      <c r="F1694" s="20" t="s">
        <v>8115</v>
      </c>
      <c r="G1694" s="17" t="s">
        <v>8113</v>
      </c>
    </row>
    <row r="1695" spans="1:7" x14ac:dyDescent="0.25">
      <c r="A1695">
        <f t="shared" si="28"/>
        <v>1120643</v>
      </c>
      <c r="B1695" s="15">
        <v>140640210</v>
      </c>
      <c r="C1695" s="15">
        <v>290220486</v>
      </c>
      <c r="D1695" s="16">
        <v>112064362</v>
      </c>
      <c r="E1695" s="16" t="s">
        <v>8100</v>
      </c>
      <c r="F1695" s="20" t="s">
        <v>8116</v>
      </c>
      <c r="G1695" s="17" t="s">
        <v>8102</v>
      </c>
    </row>
    <row r="1696" spans="1:7" x14ac:dyDescent="0.25">
      <c r="A1696">
        <f t="shared" si="28"/>
        <v>1120003</v>
      </c>
      <c r="B1696" s="15">
        <v>140640327</v>
      </c>
      <c r="C1696" s="15">
        <v>290221315</v>
      </c>
      <c r="D1696" s="16">
        <v>112000348</v>
      </c>
      <c r="E1696" s="16" t="s">
        <v>8117</v>
      </c>
      <c r="F1696" s="20" t="s">
        <v>7285</v>
      </c>
      <c r="G1696" s="17" t="s">
        <v>8118</v>
      </c>
    </row>
    <row r="1697" spans="1:7" x14ac:dyDescent="0.25">
      <c r="A1697">
        <f t="shared" si="28"/>
        <v>1120003</v>
      </c>
      <c r="B1697" s="15">
        <v>140640327</v>
      </c>
      <c r="C1697" s="15">
        <v>290221305</v>
      </c>
      <c r="D1697" s="16">
        <v>112000340</v>
      </c>
      <c r="E1697" s="16" t="s">
        <v>8117</v>
      </c>
      <c r="F1697" s="20" t="s">
        <v>7284</v>
      </c>
      <c r="G1697" s="17" t="s">
        <v>8118</v>
      </c>
    </row>
    <row r="1698" spans="1:7" x14ac:dyDescent="0.25">
      <c r="A1698">
        <f t="shared" si="28"/>
        <v>1120003</v>
      </c>
      <c r="B1698" s="15">
        <v>140640327</v>
      </c>
      <c r="C1698" s="15">
        <v>290221340</v>
      </c>
      <c r="D1698" s="16">
        <v>112000338</v>
      </c>
      <c r="E1698" s="16" t="s">
        <v>8117</v>
      </c>
      <c r="F1698" s="20" t="s">
        <v>7286</v>
      </c>
      <c r="G1698" s="17" t="s">
        <v>8118</v>
      </c>
    </row>
    <row r="1699" spans="1:7" x14ac:dyDescent="0.25">
      <c r="A1699">
        <f t="shared" si="28"/>
        <v>1120206</v>
      </c>
      <c r="B1699" s="15">
        <v>140640327</v>
      </c>
      <c r="C1699" s="15">
        <v>290221338</v>
      </c>
      <c r="D1699" s="16">
        <v>112020648</v>
      </c>
      <c r="E1699" s="16" t="s">
        <v>8117</v>
      </c>
      <c r="F1699" s="20" t="s">
        <v>7279</v>
      </c>
      <c r="G1699" s="17" t="s">
        <v>8119</v>
      </c>
    </row>
    <row r="1700" spans="1:7" x14ac:dyDescent="0.25">
      <c r="A1700">
        <f t="shared" si="28"/>
        <v>1120106</v>
      </c>
      <c r="B1700" s="15">
        <v>140640327</v>
      </c>
      <c r="C1700" s="15">
        <v>290221351</v>
      </c>
      <c r="D1700" s="16">
        <v>112010646</v>
      </c>
      <c r="E1700" s="16" t="s">
        <v>8117</v>
      </c>
      <c r="F1700" s="20" t="s">
        <v>7302</v>
      </c>
      <c r="G1700" s="17" t="s">
        <v>8120</v>
      </c>
    </row>
    <row r="1701" spans="1:7" x14ac:dyDescent="0.25">
      <c r="A1701">
        <f t="shared" si="28"/>
        <v>1120206</v>
      </c>
      <c r="B1701" s="15">
        <v>140640327</v>
      </c>
      <c r="C1701" s="15">
        <v>290221361</v>
      </c>
      <c r="D1701" s="16">
        <v>112020644</v>
      </c>
      <c r="E1701" s="16" t="s">
        <v>8117</v>
      </c>
      <c r="F1701" s="20" t="s">
        <v>7058</v>
      </c>
      <c r="G1701" s="17" t="s">
        <v>8119</v>
      </c>
    </row>
    <row r="1702" spans="1:7" x14ac:dyDescent="0.25">
      <c r="A1702">
        <f t="shared" si="28"/>
        <v>1120106</v>
      </c>
      <c r="B1702" s="15">
        <v>140640327</v>
      </c>
      <c r="C1702" s="15">
        <v>290221308</v>
      </c>
      <c r="D1702" s="16">
        <v>112010640</v>
      </c>
      <c r="E1702" s="16" t="s">
        <v>8117</v>
      </c>
      <c r="F1702" s="20" t="s">
        <v>7295</v>
      </c>
      <c r="G1702" s="17" t="s">
        <v>8120</v>
      </c>
    </row>
    <row r="1703" spans="1:7" x14ac:dyDescent="0.25">
      <c r="A1703">
        <f t="shared" si="28"/>
        <v>1120106</v>
      </c>
      <c r="B1703" s="15">
        <v>140640327</v>
      </c>
      <c r="C1703" s="15">
        <v>290221354</v>
      </c>
      <c r="D1703" s="16">
        <v>112010638</v>
      </c>
      <c r="E1703" s="16" t="s">
        <v>8117</v>
      </c>
      <c r="F1703" s="20" t="s">
        <v>7297</v>
      </c>
      <c r="G1703" s="17" t="s">
        <v>8120</v>
      </c>
    </row>
    <row r="1704" spans="1:7" x14ac:dyDescent="0.25">
      <c r="A1704">
        <f t="shared" si="28"/>
        <v>1120003</v>
      </c>
      <c r="B1704" s="15">
        <v>140640327</v>
      </c>
      <c r="C1704" s="15">
        <v>290221350</v>
      </c>
      <c r="D1704" s="16">
        <v>112000334</v>
      </c>
      <c r="E1704" s="16" t="s">
        <v>8117</v>
      </c>
      <c r="F1704" s="20" t="s">
        <v>7290</v>
      </c>
      <c r="G1704" s="17" t="s">
        <v>8118</v>
      </c>
    </row>
    <row r="1705" spans="1:7" x14ac:dyDescent="0.25">
      <c r="A1705">
        <f t="shared" si="28"/>
        <v>1120106</v>
      </c>
      <c r="B1705" s="15">
        <v>140640327</v>
      </c>
      <c r="C1705" s="15">
        <v>290221357</v>
      </c>
      <c r="D1705" s="16">
        <v>112010644</v>
      </c>
      <c r="E1705" s="16" t="s">
        <v>8117</v>
      </c>
      <c r="F1705" s="20" t="s">
        <v>7299</v>
      </c>
      <c r="G1705" s="17" t="s">
        <v>8120</v>
      </c>
    </row>
    <row r="1706" spans="1:7" x14ac:dyDescent="0.25">
      <c r="A1706">
        <f t="shared" si="28"/>
        <v>1120206</v>
      </c>
      <c r="B1706" s="15">
        <v>140640327</v>
      </c>
      <c r="C1706" s="15">
        <v>290221328</v>
      </c>
      <c r="D1706" s="16">
        <v>112020640</v>
      </c>
      <c r="E1706" s="16" t="s">
        <v>8117</v>
      </c>
      <c r="F1706" s="20" t="s">
        <v>7056</v>
      </c>
      <c r="G1706" s="17" t="s">
        <v>8119</v>
      </c>
    </row>
    <row r="1707" spans="1:7" x14ac:dyDescent="0.25">
      <c r="A1707">
        <f t="shared" si="28"/>
        <v>1120106</v>
      </c>
      <c r="B1707" s="15">
        <v>140640327</v>
      </c>
      <c r="C1707" s="15">
        <v>290221331</v>
      </c>
      <c r="D1707" s="16">
        <v>112010636</v>
      </c>
      <c r="E1707" s="16" t="s">
        <v>8117</v>
      </c>
      <c r="F1707" s="20" t="s">
        <v>7298</v>
      </c>
      <c r="G1707" s="17" t="s">
        <v>8120</v>
      </c>
    </row>
    <row r="1708" spans="1:7" x14ac:dyDescent="0.25">
      <c r="A1708">
        <f t="shared" si="28"/>
        <v>1120003</v>
      </c>
      <c r="B1708" s="15">
        <v>140640327</v>
      </c>
      <c r="C1708" s="15">
        <v>290221343</v>
      </c>
      <c r="D1708" s="16">
        <v>112000344</v>
      </c>
      <c r="E1708" s="16" t="s">
        <v>8117</v>
      </c>
      <c r="F1708" s="20" t="s">
        <v>7288</v>
      </c>
      <c r="G1708" s="17" t="s">
        <v>8118</v>
      </c>
    </row>
    <row r="1709" spans="1:7" x14ac:dyDescent="0.25">
      <c r="A1709">
        <f t="shared" si="28"/>
        <v>1120206</v>
      </c>
      <c r="B1709" s="15">
        <v>140640327</v>
      </c>
      <c r="C1709" s="15">
        <v>290221312</v>
      </c>
      <c r="D1709" s="16">
        <v>112020638</v>
      </c>
      <c r="E1709" s="16" t="s">
        <v>8117</v>
      </c>
      <c r="F1709" s="20" t="s">
        <v>7055</v>
      </c>
      <c r="G1709" s="17" t="s">
        <v>8119</v>
      </c>
    </row>
    <row r="1710" spans="1:7" x14ac:dyDescent="0.25">
      <c r="A1710">
        <f t="shared" si="28"/>
        <v>1120206</v>
      </c>
      <c r="B1710" s="15">
        <v>140640327</v>
      </c>
      <c r="C1710" s="15">
        <v>290221320</v>
      </c>
      <c r="D1710" s="16">
        <v>112020636</v>
      </c>
      <c r="E1710" s="16" t="s">
        <v>8117</v>
      </c>
      <c r="F1710" s="20" t="s">
        <v>7054</v>
      </c>
      <c r="G1710" s="17" t="s">
        <v>8119</v>
      </c>
    </row>
    <row r="1711" spans="1:7" x14ac:dyDescent="0.25">
      <c r="A1711">
        <f t="shared" si="28"/>
        <v>1120003</v>
      </c>
      <c r="B1711" s="15">
        <v>140640327</v>
      </c>
      <c r="C1711" s="15">
        <v>290221311</v>
      </c>
      <c r="D1711" s="16">
        <v>112000336</v>
      </c>
      <c r="E1711" s="16" t="s">
        <v>8117</v>
      </c>
      <c r="F1711" s="20" t="s">
        <v>7287</v>
      </c>
      <c r="G1711" s="17" t="s">
        <v>8118</v>
      </c>
    </row>
    <row r="1712" spans="1:7" x14ac:dyDescent="0.25">
      <c r="A1712">
        <f t="shared" si="28"/>
        <v>1120206</v>
      </c>
      <c r="B1712" s="15">
        <v>140640327</v>
      </c>
      <c r="C1712" s="15">
        <v>290221318</v>
      </c>
      <c r="D1712" s="16">
        <v>112020634</v>
      </c>
      <c r="E1712" s="16" t="s">
        <v>8117</v>
      </c>
      <c r="F1712" s="20" t="s">
        <v>7280</v>
      </c>
      <c r="G1712" s="17" t="s">
        <v>8119</v>
      </c>
    </row>
    <row r="1713" spans="1:7" x14ac:dyDescent="0.25">
      <c r="A1713">
        <f t="shared" si="28"/>
        <v>1120106</v>
      </c>
      <c r="B1713" s="15">
        <v>140640327</v>
      </c>
      <c r="C1713" s="15">
        <v>290221342</v>
      </c>
      <c r="D1713" s="16">
        <v>112010648</v>
      </c>
      <c r="E1713" s="16" t="s">
        <v>8117</v>
      </c>
      <c r="F1713" s="20" t="s">
        <v>7296</v>
      </c>
      <c r="G1713" s="17" t="s">
        <v>8120</v>
      </c>
    </row>
    <row r="1714" spans="1:7" x14ac:dyDescent="0.25">
      <c r="A1714">
        <f t="shared" si="28"/>
        <v>1120106</v>
      </c>
      <c r="B1714" s="15">
        <v>140640327</v>
      </c>
      <c r="C1714" s="15">
        <v>290221353</v>
      </c>
      <c r="D1714" s="16">
        <v>112010642</v>
      </c>
      <c r="E1714" s="16" t="s">
        <v>8117</v>
      </c>
      <c r="F1714" s="20" t="s">
        <v>7300</v>
      </c>
      <c r="G1714" s="17" t="s">
        <v>8120</v>
      </c>
    </row>
    <row r="1715" spans="1:7" x14ac:dyDescent="0.25">
      <c r="A1715">
        <f t="shared" si="28"/>
        <v>1120003</v>
      </c>
      <c r="B1715" s="15">
        <v>140640327</v>
      </c>
      <c r="C1715" s="15">
        <v>290221326</v>
      </c>
      <c r="D1715" s="16">
        <v>112000342</v>
      </c>
      <c r="E1715" s="16" t="s">
        <v>8117</v>
      </c>
      <c r="F1715" s="20" t="s">
        <v>7289</v>
      </c>
      <c r="G1715" s="17" t="s">
        <v>8118</v>
      </c>
    </row>
    <row r="1716" spans="1:7" x14ac:dyDescent="0.25">
      <c r="A1716">
        <f t="shared" si="28"/>
        <v>1120106</v>
      </c>
      <c r="B1716" s="15">
        <v>140640327</v>
      </c>
      <c r="C1716" s="15">
        <v>290221348</v>
      </c>
      <c r="D1716" s="16">
        <v>112010634</v>
      </c>
      <c r="E1716" s="16" t="s">
        <v>8117</v>
      </c>
      <c r="F1716" s="20" t="s">
        <v>7301</v>
      </c>
      <c r="G1716" s="17" t="s">
        <v>8120</v>
      </c>
    </row>
    <row r="1717" spans="1:7" x14ac:dyDescent="0.25">
      <c r="A1717">
        <f t="shared" si="28"/>
        <v>1120003</v>
      </c>
      <c r="B1717" s="15">
        <v>140640327</v>
      </c>
      <c r="C1717" s="15">
        <v>290221323</v>
      </c>
      <c r="D1717" s="16">
        <v>112000346</v>
      </c>
      <c r="E1717" s="16" t="s">
        <v>8117</v>
      </c>
      <c r="F1717" s="20" t="s">
        <v>7291</v>
      </c>
      <c r="G1717" s="17" t="s">
        <v>8118</v>
      </c>
    </row>
    <row r="1718" spans="1:7" x14ac:dyDescent="0.25">
      <c r="A1718">
        <f t="shared" si="28"/>
        <v>1120206</v>
      </c>
      <c r="B1718" s="15">
        <v>140640327</v>
      </c>
      <c r="C1718" s="15">
        <v>290221296</v>
      </c>
      <c r="D1718" s="16">
        <v>112020646</v>
      </c>
      <c r="E1718" s="16" t="s">
        <v>8117</v>
      </c>
      <c r="F1718" s="20" t="s">
        <v>7059</v>
      </c>
      <c r="G1718" s="17" t="s">
        <v>8119</v>
      </c>
    </row>
    <row r="1719" spans="1:7" x14ac:dyDescent="0.25">
      <c r="A1719">
        <f t="shared" si="28"/>
        <v>1120206</v>
      </c>
      <c r="B1719" s="15">
        <v>140640327</v>
      </c>
      <c r="C1719" s="15">
        <v>290221300</v>
      </c>
      <c r="D1719" s="16">
        <v>112020642</v>
      </c>
      <c r="E1719" s="16" t="s">
        <v>8117</v>
      </c>
      <c r="F1719" s="20" t="s">
        <v>7057</v>
      </c>
      <c r="G1719" s="17" t="s">
        <v>8119</v>
      </c>
    </row>
    <row r="1720" spans="1:7" x14ac:dyDescent="0.25">
      <c r="A1720">
        <f t="shared" si="28"/>
        <v>1120107</v>
      </c>
      <c r="B1720" s="15">
        <v>140640280</v>
      </c>
      <c r="C1720" s="15">
        <v>290220996</v>
      </c>
      <c r="D1720" s="16">
        <v>112010752</v>
      </c>
      <c r="E1720" s="16" t="s">
        <v>8121</v>
      </c>
      <c r="F1720" s="20" t="s">
        <v>7146</v>
      </c>
      <c r="G1720" s="17" t="s">
        <v>8122</v>
      </c>
    </row>
    <row r="1721" spans="1:7" x14ac:dyDescent="0.25">
      <c r="A1721">
        <f t="shared" si="28"/>
        <v>1120107</v>
      </c>
      <c r="B1721" s="15">
        <v>140640280</v>
      </c>
      <c r="C1721" s="15">
        <v>290221029</v>
      </c>
      <c r="D1721" s="16">
        <v>112010750</v>
      </c>
      <c r="E1721" s="16" t="s">
        <v>8121</v>
      </c>
      <c r="F1721" s="20" t="s">
        <v>7153</v>
      </c>
      <c r="G1721" s="17" t="s">
        <v>8122</v>
      </c>
    </row>
    <row r="1722" spans="1:7" x14ac:dyDescent="0.25">
      <c r="A1722">
        <f t="shared" si="28"/>
        <v>1120207</v>
      </c>
      <c r="B1722" s="15">
        <v>140640280</v>
      </c>
      <c r="C1722" s="15">
        <v>290221008</v>
      </c>
      <c r="D1722" s="16">
        <v>112020752</v>
      </c>
      <c r="E1722" s="16" t="s">
        <v>8121</v>
      </c>
      <c r="F1722" s="20" t="s">
        <v>7106</v>
      </c>
      <c r="G1722" s="17" t="s">
        <v>8123</v>
      </c>
    </row>
    <row r="1723" spans="1:7" x14ac:dyDescent="0.25">
      <c r="A1723">
        <f t="shared" si="28"/>
        <v>1120207</v>
      </c>
      <c r="B1723" s="15">
        <v>140640280</v>
      </c>
      <c r="C1723" s="15">
        <v>290221044</v>
      </c>
      <c r="D1723" s="16">
        <v>112020754</v>
      </c>
      <c r="E1723" s="16" t="s">
        <v>8121</v>
      </c>
      <c r="F1723" s="20" t="s">
        <v>7107</v>
      </c>
      <c r="G1723" s="17" t="s">
        <v>8123</v>
      </c>
    </row>
    <row r="1724" spans="1:7" x14ac:dyDescent="0.25">
      <c r="A1724">
        <f t="shared" si="28"/>
        <v>1120004</v>
      </c>
      <c r="B1724" s="15">
        <v>140640280</v>
      </c>
      <c r="C1724" s="15">
        <v>290221021</v>
      </c>
      <c r="D1724" s="16">
        <v>112000454</v>
      </c>
      <c r="E1724" s="16" t="s">
        <v>8121</v>
      </c>
      <c r="F1724" s="20" t="s">
        <v>7104</v>
      </c>
      <c r="G1724" s="17" t="s">
        <v>8124</v>
      </c>
    </row>
    <row r="1725" spans="1:7" x14ac:dyDescent="0.25">
      <c r="A1725">
        <f t="shared" si="28"/>
        <v>1120207</v>
      </c>
      <c r="B1725" s="15">
        <v>140640280</v>
      </c>
      <c r="C1725" s="15">
        <v>290220976</v>
      </c>
      <c r="D1725" s="16">
        <v>112020750</v>
      </c>
      <c r="E1725" s="16" t="s">
        <v>8121</v>
      </c>
      <c r="F1725" s="20" t="s">
        <v>7093</v>
      </c>
      <c r="G1725" s="17" t="s">
        <v>8123</v>
      </c>
    </row>
    <row r="1726" spans="1:7" x14ac:dyDescent="0.25">
      <c r="A1726">
        <f t="shared" si="28"/>
        <v>1120107</v>
      </c>
      <c r="B1726" s="15">
        <v>140640280</v>
      </c>
      <c r="C1726" s="15">
        <v>290221034</v>
      </c>
      <c r="D1726" s="16">
        <v>112010754</v>
      </c>
      <c r="E1726" s="16" t="s">
        <v>8121</v>
      </c>
      <c r="F1726" s="20" t="s">
        <v>7147</v>
      </c>
      <c r="G1726" s="17" t="s">
        <v>8122</v>
      </c>
    </row>
    <row r="1727" spans="1:7" x14ac:dyDescent="0.25">
      <c r="A1727">
        <f t="shared" si="28"/>
        <v>1120004</v>
      </c>
      <c r="B1727" s="15">
        <v>140640280</v>
      </c>
      <c r="C1727" s="15">
        <v>290220967</v>
      </c>
      <c r="D1727" s="16">
        <v>112000452</v>
      </c>
      <c r="E1727" s="16" t="s">
        <v>8121</v>
      </c>
      <c r="F1727" s="20" t="s">
        <v>7103</v>
      </c>
      <c r="G1727" s="17" t="s">
        <v>8124</v>
      </c>
    </row>
    <row r="1728" spans="1:7" x14ac:dyDescent="0.25">
      <c r="A1728">
        <f t="shared" si="28"/>
        <v>1120004</v>
      </c>
      <c r="B1728" s="15">
        <v>140640280</v>
      </c>
      <c r="C1728" s="15">
        <v>290221039</v>
      </c>
      <c r="D1728" s="16">
        <v>112000450</v>
      </c>
      <c r="E1728" s="16" t="s">
        <v>8121</v>
      </c>
      <c r="F1728" s="20" t="s">
        <v>7102</v>
      </c>
      <c r="G1728" s="17" t="s">
        <v>8124</v>
      </c>
    </row>
    <row r="1729" spans="1:7" x14ac:dyDescent="0.25">
      <c r="A1729">
        <f t="shared" si="28"/>
        <v>1120207</v>
      </c>
      <c r="B1729" s="15">
        <v>140640121</v>
      </c>
      <c r="C1729" s="15">
        <v>290219751</v>
      </c>
      <c r="D1729" s="16">
        <v>112020752</v>
      </c>
      <c r="E1729" s="16" t="s">
        <v>8125</v>
      </c>
      <c r="F1729" s="20" t="s">
        <v>7106</v>
      </c>
      <c r="G1729" s="17" t="s">
        <v>8126</v>
      </c>
    </row>
    <row r="1730" spans="1:7" x14ac:dyDescent="0.25">
      <c r="A1730">
        <f t="shared" si="28"/>
        <v>1120207</v>
      </c>
      <c r="B1730" s="15">
        <v>140640121</v>
      </c>
      <c r="C1730" s="15">
        <v>290219741</v>
      </c>
      <c r="D1730" s="16">
        <v>112020750</v>
      </c>
      <c r="E1730" s="16" t="s">
        <v>8125</v>
      </c>
      <c r="F1730" s="20" t="s">
        <v>7093</v>
      </c>
      <c r="G1730" s="17" t="s">
        <v>8126</v>
      </c>
    </row>
    <row r="1731" spans="1:7" x14ac:dyDescent="0.25">
      <c r="A1731">
        <f t="shared" si="28"/>
        <v>1120107</v>
      </c>
      <c r="B1731" s="15">
        <v>140640121</v>
      </c>
      <c r="C1731" s="15">
        <v>290219771</v>
      </c>
      <c r="D1731" s="16">
        <v>112010754</v>
      </c>
      <c r="E1731" s="16" t="s">
        <v>8125</v>
      </c>
      <c r="F1731" s="20" t="s">
        <v>7147</v>
      </c>
      <c r="G1731" s="17" t="s">
        <v>8127</v>
      </c>
    </row>
    <row r="1732" spans="1:7" x14ac:dyDescent="0.25">
      <c r="A1732">
        <f t="shared" si="28"/>
        <v>1120004</v>
      </c>
      <c r="B1732" s="15">
        <v>140640121</v>
      </c>
      <c r="C1732" s="15">
        <v>290219737</v>
      </c>
      <c r="D1732" s="16">
        <v>112000452</v>
      </c>
      <c r="E1732" s="16" t="s">
        <v>8125</v>
      </c>
      <c r="F1732" s="20" t="s">
        <v>7103</v>
      </c>
      <c r="G1732" s="17" t="s">
        <v>8128</v>
      </c>
    </row>
    <row r="1733" spans="1:7" x14ac:dyDescent="0.25">
      <c r="A1733">
        <f t="shared" si="28"/>
        <v>1120107</v>
      </c>
      <c r="B1733" s="15">
        <v>140640121</v>
      </c>
      <c r="C1733" s="15">
        <v>290219762</v>
      </c>
      <c r="D1733" s="16">
        <v>112010750</v>
      </c>
      <c r="E1733" s="16" t="s">
        <v>8125</v>
      </c>
      <c r="F1733" s="20" t="s">
        <v>7153</v>
      </c>
      <c r="G1733" s="17" t="s">
        <v>8127</v>
      </c>
    </row>
    <row r="1734" spans="1:7" x14ac:dyDescent="0.25">
      <c r="A1734">
        <f t="shared" si="28"/>
        <v>1120004</v>
      </c>
      <c r="B1734" s="15">
        <v>140640121</v>
      </c>
      <c r="C1734" s="15">
        <v>290219758</v>
      </c>
      <c r="D1734" s="16">
        <v>112000454</v>
      </c>
      <c r="E1734" s="16" t="s">
        <v>8125</v>
      </c>
      <c r="F1734" s="20" t="s">
        <v>7104</v>
      </c>
      <c r="G1734" s="17" t="s">
        <v>8128</v>
      </c>
    </row>
    <row r="1735" spans="1:7" x14ac:dyDescent="0.25">
      <c r="A1735">
        <f t="shared" ref="A1735:A1798" si="29">LEFT(D1735,7)*1</f>
        <v>1120004</v>
      </c>
      <c r="B1735" s="15">
        <v>140640121</v>
      </c>
      <c r="C1735" s="15">
        <v>290219778</v>
      </c>
      <c r="D1735" s="16">
        <v>112000450</v>
      </c>
      <c r="E1735" s="16" t="s">
        <v>8125</v>
      </c>
      <c r="F1735" s="20" t="s">
        <v>7102</v>
      </c>
      <c r="G1735" s="17" t="s">
        <v>8128</v>
      </c>
    </row>
    <row r="1736" spans="1:7" x14ac:dyDescent="0.25">
      <c r="A1736">
        <f t="shared" si="29"/>
        <v>1120107</v>
      </c>
      <c r="B1736" s="15">
        <v>140640121</v>
      </c>
      <c r="C1736" s="15">
        <v>290219744</v>
      </c>
      <c r="D1736" s="16">
        <v>112010752</v>
      </c>
      <c r="E1736" s="16" t="s">
        <v>8125</v>
      </c>
      <c r="F1736" s="20" t="s">
        <v>7146</v>
      </c>
      <c r="G1736" s="17" t="s">
        <v>8127</v>
      </c>
    </row>
    <row r="1737" spans="1:7" x14ac:dyDescent="0.25">
      <c r="A1737">
        <f t="shared" si="29"/>
        <v>1120207</v>
      </c>
      <c r="B1737" s="15">
        <v>140640121</v>
      </c>
      <c r="C1737" s="15">
        <v>290219784</v>
      </c>
      <c r="D1737" s="16">
        <v>112020754</v>
      </c>
      <c r="E1737" s="16" t="s">
        <v>8125</v>
      </c>
      <c r="F1737" s="20" t="s">
        <v>7107</v>
      </c>
      <c r="G1737" s="17" t="s">
        <v>8126</v>
      </c>
    </row>
    <row r="1738" spans="1:7" x14ac:dyDescent="0.25">
      <c r="A1738">
        <f t="shared" si="29"/>
        <v>1120005</v>
      </c>
      <c r="B1738" s="15">
        <v>140640278</v>
      </c>
      <c r="C1738" s="15">
        <v>290221019</v>
      </c>
      <c r="D1738" s="16">
        <v>112000556</v>
      </c>
      <c r="E1738" s="16" t="s">
        <v>8129</v>
      </c>
      <c r="F1738" s="20" t="s">
        <v>7174</v>
      </c>
      <c r="G1738" s="17" t="s">
        <v>8130</v>
      </c>
    </row>
    <row r="1739" spans="1:7" x14ac:dyDescent="0.25">
      <c r="A1739">
        <f t="shared" si="29"/>
        <v>1120005</v>
      </c>
      <c r="B1739" s="15">
        <v>140640278</v>
      </c>
      <c r="C1739" s="15">
        <v>290221036</v>
      </c>
      <c r="D1739" s="16">
        <v>112000558</v>
      </c>
      <c r="E1739" s="16" t="s">
        <v>8129</v>
      </c>
      <c r="F1739" s="20" t="s">
        <v>7259</v>
      </c>
      <c r="G1739" s="17" t="s">
        <v>8130</v>
      </c>
    </row>
    <row r="1740" spans="1:7" x14ac:dyDescent="0.25">
      <c r="A1740">
        <f t="shared" si="29"/>
        <v>1120208</v>
      </c>
      <c r="B1740" s="15">
        <v>140640278</v>
      </c>
      <c r="C1740" s="15">
        <v>290221007</v>
      </c>
      <c r="D1740" s="16">
        <v>112020858</v>
      </c>
      <c r="E1740" s="16" t="s">
        <v>8129</v>
      </c>
      <c r="F1740" s="20" t="s">
        <v>7252</v>
      </c>
      <c r="G1740" s="17" t="s">
        <v>8131</v>
      </c>
    </row>
    <row r="1741" spans="1:7" x14ac:dyDescent="0.25">
      <c r="A1741">
        <f t="shared" si="29"/>
        <v>1120208</v>
      </c>
      <c r="B1741" s="15">
        <v>140640278</v>
      </c>
      <c r="C1741" s="15">
        <v>290221068</v>
      </c>
      <c r="D1741" s="16">
        <v>112020860</v>
      </c>
      <c r="E1741" s="16" t="s">
        <v>8129</v>
      </c>
      <c r="F1741" s="20" t="s">
        <v>7253</v>
      </c>
      <c r="G1741" s="17" t="s">
        <v>8131</v>
      </c>
    </row>
    <row r="1742" spans="1:7" x14ac:dyDescent="0.25">
      <c r="A1742">
        <f t="shared" si="29"/>
        <v>1120110</v>
      </c>
      <c r="B1742" s="15">
        <v>140640278</v>
      </c>
      <c r="C1742" s="15">
        <v>290221054</v>
      </c>
      <c r="D1742" s="16">
        <v>112011058</v>
      </c>
      <c r="E1742" s="16" t="s">
        <v>8129</v>
      </c>
      <c r="F1742" s="20" t="s">
        <v>7254</v>
      </c>
      <c r="G1742" s="17" t="s">
        <v>8132</v>
      </c>
    </row>
    <row r="1743" spans="1:7" x14ac:dyDescent="0.25">
      <c r="A1743">
        <f t="shared" si="29"/>
        <v>1120110</v>
      </c>
      <c r="B1743" s="15">
        <v>140640278</v>
      </c>
      <c r="C1743" s="15">
        <v>290221063</v>
      </c>
      <c r="D1743" s="16">
        <v>112011060</v>
      </c>
      <c r="E1743" s="16" t="s">
        <v>8129</v>
      </c>
      <c r="F1743" s="20" t="s">
        <v>7255</v>
      </c>
      <c r="G1743" s="17" t="s">
        <v>8132</v>
      </c>
    </row>
    <row r="1744" spans="1:7" x14ac:dyDescent="0.25">
      <c r="A1744">
        <f t="shared" si="29"/>
        <v>1120110</v>
      </c>
      <c r="B1744" s="15">
        <v>140640278</v>
      </c>
      <c r="C1744" s="15">
        <v>290220952</v>
      </c>
      <c r="D1744" s="16">
        <v>112011056</v>
      </c>
      <c r="E1744" s="16" t="s">
        <v>8129</v>
      </c>
      <c r="F1744" s="20" t="s">
        <v>7148</v>
      </c>
      <c r="G1744" s="17" t="s">
        <v>8132</v>
      </c>
    </row>
    <row r="1745" spans="1:7" x14ac:dyDescent="0.25">
      <c r="A1745">
        <f t="shared" si="29"/>
        <v>1120005</v>
      </c>
      <c r="B1745" s="15">
        <v>140640278</v>
      </c>
      <c r="C1745" s="15">
        <v>290220971</v>
      </c>
      <c r="D1745" s="16">
        <v>112000560</v>
      </c>
      <c r="E1745" s="16" t="s">
        <v>8129</v>
      </c>
      <c r="F1745" s="20" t="s">
        <v>7260</v>
      </c>
      <c r="G1745" s="17" t="s">
        <v>8130</v>
      </c>
    </row>
    <row r="1746" spans="1:7" x14ac:dyDescent="0.25">
      <c r="A1746">
        <f t="shared" si="29"/>
        <v>1120208</v>
      </c>
      <c r="B1746" s="15">
        <v>140640278</v>
      </c>
      <c r="C1746" s="15">
        <v>290220989</v>
      </c>
      <c r="D1746" s="16">
        <v>112020856</v>
      </c>
      <c r="E1746" s="16" t="s">
        <v>8129</v>
      </c>
      <c r="F1746" s="20" t="s">
        <v>7175</v>
      </c>
      <c r="G1746" s="17" t="s">
        <v>8131</v>
      </c>
    </row>
    <row r="1747" spans="1:7" x14ac:dyDescent="0.25">
      <c r="A1747">
        <f t="shared" si="29"/>
        <v>1120006</v>
      </c>
      <c r="B1747" s="15">
        <v>140640272</v>
      </c>
      <c r="C1747" s="15">
        <v>290220900</v>
      </c>
      <c r="D1747" s="16">
        <v>112000666</v>
      </c>
      <c r="E1747" s="16" t="s">
        <v>8133</v>
      </c>
      <c r="F1747" s="20" t="s">
        <v>8134</v>
      </c>
      <c r="G1747" s="17" t="s">
        <v>8135</v>
      </c>
    </row>
    <row r="1748" spans="1:7" x14ac:dyDescent="0.25">
      <c r="A1748">
        <f t="shared" si="29"/>
        <v>1120006</v>
      </c>
      <c r="B1748" s="15">
        <v>140640272</v>
      </c>
      <c r="C1748" s="15">
        <v>290220904</v>
      </c>
      <c r="D1748" s="16">
        <v>112000662</v>
      </c>
      <c r="E1748" s="16" t="s">
        <v>8133</v>
      </c>
      <c r="F1748" s="20" t="s">
        <v>8136</v>
      </c>
      <c r="G1748" s="17" t="s">
        <v>8135</v>
      </c>
    </row>
    <row r="1749" spans="1:7" x14ac:dyDescent="0.25">
      <c r="A1749">
        <f t="shared" si="29"/>
        <v>1120111</v>
      </c>
      <c r="B1749" s="15">
        <v>140640272</v>
      </c>
      <c r="C1749" s="15">
        <v>290220906</v>
      </c>
      <c r="D1749" s="16">
        <v>112011162</v>
      </c>
      <c r="E1749" s="16" t="s">
        <v>8133</v>
      </c>
      <c r="F1749" s="20" t="s">
        <v>7277</v>
      </c>
      <c r="G1749" s="17" t="s">
        <v>8137</v>
      </c>
    </row>
    <row r="1750" spans="1:7" x14ac:dyDescent="0.25">
      <c r="A1750">
        <f t="shared" si="29"/>
        <v>1120209</v>
      </c>
      <c r="B1750" s="15">
        <v>140640272</v>
      </c>
      <c r="C1750" s="15">
        <v>290220903</v>
      </c>
      <c r="D1750" s="16">
        <v>112020964</v>
      </c>
      <c r="E1750" s="16" t="s">
        <v>8133</v>
      </c>
      <c r="F1750" s="20" t="s">
        <v>7257</v>
      </c>
      <c r="G1750" s="17" t="s">
        <v>8138</v>
      </c>
    </row>
    <row r="1751" spans="1:7" x14ac:dyDescent="0.25">
      <c r="A1751">
        <f t="shared" si="29"/>
        <v>1120111</v>
      </c>
      <c r="B1751" s="15">
        <v>140640272</v>
      </c>
      <c r="C1751" s="15">
        <v>290220901</v>
      </c>
      <c r="D1751" s="16">
        <v>112011166</v>
      </c>
      <c r="E1751" s="16" t="s">
        <v>8133</v>
      </c>
      <c r="F1751" s="20" t="s">
        <v>7278</v>
      </c>
      <c r="G1751" s="17" t="s">
        <v>8137</v>
      </c>
    </row>
    <row r="1752" spans="1:7" x14ac:dyDescent="0.25">
      <c r="A1752">
        <f t="shared" si="29"/>
        <v>1120111</v>
      </c>
      <c r="B1752" s="15">
        <v>140640272</v>
      </c>
      <c r="C1752" s="15">
        <v>290220909</v>
      </c>
      <c r="D1752" s="16">
        <v>112011164</v>
      </c>
      <c r="E1752" s="16" t="s">
        <v>8133</v>
      </c>
      <c r="F1752" s="20" t="s">
        <v>7276</v>
      </c>
      <c r="G1752" s="17" t="s">
        <v>8137</v>
      </c>
    </row>
    <row r="1753" spans="1:7" x14ac:dyDescent="0.25">
      <c r="A1753">
        <f t="shared" si="29"/>
        <v>1120006</v>
      </c>
      <c r="B1753" s="15">
        <v>140640272</v>
      </c>
      <c r="C1753" s="15">
        <v>290220899</v>
      </c>
      <c r="D1753" s="16">
        <v>112000664</v>
      </c>
      <c r="E1753" s="16" t="s">
        <v>8133</v>
      </c>
      <c r="F1753" s="20" t="s">
        <v>8139</v>
      </c>
      <c r="G1753" s="17" t="s">
        <v>8135</v>
      </c>
    </row>
    <row r="1754" spans="1:7" x14ac:dyDescent="0.25">
      <c r="A1754">
        <f t="shared" si="29"/>
        <v>1120209</v>
      </c>
      <c r="B1754" s="15">
        <v>140640272</v>
      </c>
      <c r="C1754" s="15">
        <v>290220896</v>
      </c>
      <c r="D1754" s="16">
        <v>112020962</v>
      </c>
      <c r="E1754" s="16" t="s">
        <v>8133</v>
      </c>
      <c r="F1754" s="20" t="s">
        <v>7256</v>
      </c>
      <c r="G1754" s="17" t="s">
        <v>8138</v>
      </c>
    </row>
    <row r="1755" spans="1:7" x14ac:dyDescent="0.25">
      <c r="A1755">
        <f t="shared" si="29"/>
        <v>1120209</v>
      </c>
      <c r="B1755" s="15">
        <v>140640272</v>
      </c>
      <c r="C1755" s="15">
        <v>290220897</v>
      </c>
      <c r="D1755" s="16">
        <v>112020966</v>
      </c>
      <c r="E1755" s="16" t="s">
        <v>8133</v>
      </c>
      <c r="F1755" s="20" t="s">
        <v>7258</v>
      </c>
      <c r="G1755" s="17" t="s">
        <v>8138</v>
      </c>
    </row>
    <row r="1756" spans="1:7" x14ac:dyDescent="0.25">
      <c r="A1756">
        <f t="shared" si="29"/>
        <v>1120950</v>
      </c>
      <c r="B1756" s="15">
        <v>140640069</v>
      </c>
      <c r="C1756" s="15">
        <v>290219130</v>
      </c>
      <c r="D1756" s="16">
        <v>112095040</v>
      </c>
      <c r="E1756" s="16" t="s">
        <v>8140</v>
      </c>
      <c r="F1756" s="20" t="s">
        <v>8141</v>
      </c>
      <c r="G1756" s="17" t="s">
        <v>8142</v>
      </c>
    </row>
    <row r="1757" spans="1:7" x14ac:dyDescent="0.25">
      <c r="A1757">
        <f t="shared" si="29"/>
        <v>1120950</v>
      </c>
      <c r="B1757" s="15">
        <v>140640069</v>
      </c>
      <c r="C1757" s="15">
        <v>290219116</v>
      </c>
      <c r="D1757" s="16">
        <v>112095042</v>
      </c>
      <c r="E1757" s="16" t="s">
        <v>8140</v>
      </c>
      <c r="F1757" s="20" t="s">
        <v>8143</v>
      </c>
      <c r="G1757" s="17" t="s">
        <v>8142</v>
      </c>
    </row>
    <row r="1758" spans="1:7" x14ac:dyDescent="0.25">
      <c r="A1758">
        <f t="shared" si="29"/>
        <v>1120950</v>
      </c>
      <c r="B1758" s="15">
        <v>140640069</v>
      </c>
      <c r="C1758" s="15">
        <v>290219067</v>
      </c>
      <c r="D1758" s="16">
        <v>112095044</v>
      </c>
      <c r="E1758" s="16" t="s">
        <v>8140</v>
      </c>
      <c r="F1758" s="20" t="s">
        <v>8144</v>
      </c>
      <c r="G1758" s="17" t="s">
        <v>8142</v>
      </c>
    </row>
    <row r="1759" spans="1:7" x14ac:dyDescent="0.25">
      <c r="A1759">
        <f t="shared" si="29"/>
        <v>1120950</v>
      </c>
      <c r="B1759" s="15">
        <v>140640069</v>
      </c>
      <c r="C1759" s="15">
        <v>290219076</v>
      </c>
      <c r="D1759" s="16">
        <v>112095036</v>
      </c>
      <c r="E1759" s="16" t="s">
        <v>8140</v>
      </c>
      <c r="F1759" s="20" t="s">
        <v>8145</v>
      </c>
      <c r="G1759" s="17" t="s">
        <v>8142</v>
      </c>
    </row>
    <row r="1760" spans="1:7" x14ac:dyDescent="0.25">
      <c r="A1760">
        <f t="shared" si="29"/>
        <v>1120950</v>
      </c>
      <c r="B1760" s="15">
        <v>140640069</v>
      </c>
      <c r="C1760" s="15">
        <v>290219108</v>
      </c>
      <c r="D1760" s="16">
        <v>112095034</v>
      </c>
      <c r="E1760" s="16" t="s">
        <v>8140</v>
      </c>
      <c r="F1760" s="20" t="s">
        <v>8146</v>
      </c>
      <c r="G1760" s="17" t="s">
        <v>8142</v>
      </c>
    </row>
    <row r="1761" spans="1:7" x14ac:dyDescent="0.25">
      <c r="A1761">
        <f t="shared" si="29"/>
        <v>1120950</v>
      </c>
      <c r="B1761" s="15">
        <v>140640069</v>
      </c>
      <c r="C1761" s="15">
        <v>290219092</v>
      </c>
      <c r="D1761" s="16">
        <v>112095038</v>
      </c>
      <c r="E1761" s="16" t="s">
        <v>8140</v>
      </c>
      <c r="F1761" s="20" t="s">
        <v>8147</v>
      </c>
      <c r="G1761" s="17" t="s">
        <v>8142</v>
      </c>
    </row>
    <row r="1762" spans="1:7" x14ac:dyDescent="0.25">
      <c r="A1762">
        <f t="shared" si="29"/>
        <v>1120950</v>
      </c>
      <c r="B1762" s="15">
        <v>140640069</v>
      </c>
      <c r="C1762" s="15">
        <v>290219148</v>
      </c>
      <c r="D1762" s="16">
        <v>112095046</v>
      </c>
      <c r="E1762" s="16" t="s">
        <v>8140</v>
      </c>
      <c r="F1762" s="20" t="s">
        <v>8148</v>
      </c>
      <c r="G1762" s="17" t="s">
        <v>8142</v>
      </c>
    </row>
    <row r="1763" spans="1:7" x14ac:dyDescent="0.25">
      <c r="A1763">
        <f t="shared" si="29"/>
        <v>1120950</v>
      </c>
      <c r="B1763" s="15">
        <v>140640069</v>
      </c>
      <c r="C1763" s="15">
        <v>290219162</v>
      </c>
      <c r="D1763" s="16">
        <v>112095048</v>
      </c>
      <c r="E1763" s="16" t="s">
        <v>8140</v>
      </c>
      <c r="F1763" s="20" t="s">
        <v>8149</v>
      </c>
      <c r="G1763" s="17" t="s">
        <v>8142</v>
      </c>
    </row>
    <row r="1764" spans="1:7" x14ac:dyDescent="0.25">
      <c r="A1764">
        <f t="shared" si="29"/>
        <v>1120952</v>
      </c>
      <c r="B1764" s="15">
        <v>140640312</v>
      </c>
      <c r="C1764" s="15">
        <v>290221214</v>
      </c>
      <c r="D1764" s="16">
        <v>112095250</v>
      </c>
      <c r="E1764" s="16" t="s">
        <v>7261</v>
      </c>
      <c r="F1764" s="20" t="s">
        <v>8150</v>
      </c>
      <c r="G1764" s="17" t="s">
        <v>8151</v>
      </c>
    </row>
    <row r="1765" spans="1:7" x14ac:dyDescent="0.25">
      <c r="A1765">
        <f t="shared" si="29"/>
        <v>1120952</v>
      </c>
      <c r="B1765" s="15">
        <v>140640312</v>
      </c>
      <c r="C1765" s="15">
        <v>290221256</v>
      </c>
      <c r="D1765" s="16">
        <v>112095254</v>
      </c>
      <c r="E1765" s="16" t="s">
        <v>7261</v>
      </c>
      <c r="F1765" s="20" t="s">
        <v>8152</v>
      </c>
      <c r="G1765" s="17" t="s">
        <v>8151</v>
      </c>
    </row>
    <row r="1766" spans="1:7" x14ac:dyDescent="0.25">
      <c r="A1766">
        <f t="shared" si="29"/>
        <v>1120952</v>
      </c>
      <c r="B1766" s="15">
        <v>140640312</v>
      </c>
      <c r="C1766" s="15">
        <v>290221239</v>
      </c>
      <c r="D1766" s="16">
        <v>112095252</v>
      </c>
      <c r="E1766" s="16" t="s">
        <v>7261</v>
      </c>
      <c r="F1766" s="20" t="s">
        <v>8153</v>
      </c>
      <c r="G1766" s="17" t="s">
        <v>8151</v>
      </c>
    </row>
    <row r="1767" spans="1:7" x14ac:dyDescent="0.25">
      <c r="A1767">
        <f t="shared" si="29"/>
        <v>1120856</v>
      </c>
      <c r="B1767" s="15">
        <v>140640304</v>
      </c>
      <c r="C1767" s="15">
        <v>290221162</v>
      </c>
      <c r="D1767" s="16">
        <v>112085634</v>
      </c>
      <c r="E1767" s="16" t="s">
        <v>8154</v>
      </c>
      <c r="F1767" s="20" t="s">
        <v>7290</v>
      </c>
      <c r="G1767" s="17" t="s">
        <v>8155</v>
      </c>
    </row>
    <row r="1768" spans="1:7" x14ac:dyDescent="0.25">
      <c r="A1768">
        <f t="shared" si="29"/>
        <v>1120856</v>
      </c>
      <c r="B1768" s="15">
        <v>140640304</v>
      </c>
      <c r="C1768" s="15">
        <v>290221165</v>
      </c>
      <c r="D1768" s="16">
        <v>112085648</v>
      </c>
      <c r="E1768" s="16" t="s">
        <v>8154</v>
      </c>
      <c r="F1768" s="20" t="s">
        <v>7285</v>
      </c>
      <c r="G1768" s="17" t="s">
        <v>8155</v>
      </c>
    </row>
    <row r="1769" spans="1:7" x14ac:dyDescent="0.25">
      <c r="A1769">
        <f t="shared" si="29"/>
        <v>1120623</v>
      </c>
      <c r="B1769" s="15">
        <v>140640304</v>
      </c>
      <c r="C1769" s="15">
        <v>290221273</v>
      </c>
      <c r="D1769" s="16">
        <v>112062342</v>
      </c>
      <c r="E1769" s="16" t="s">
        <v>8154</v>
      </c>
      <c r="F1769" s="20" t="s">
        <v>7300</v>
      </c>
      <c r="G1769" s="17" t="s">
        <v>8156</v>
      </c>
    </row>
    <row r="1770" spans="1:7" x14ac:dyDescent="0.25">
      <c r="A1770">
        <f t="shared" si="29"/>
        <v>1120858</v>
      </c>
      <c r="B1770" s="15">
        <v>140640304</v>
      </c>
      <c r="C1770" s="15">
        <v>290221277</v>
      </c>
      <c r="D1770" s="16">
        <v>112085836</v>
      </c>
      <c r="E1770" s="16" t="s">
        <v>8154</v>
      </c>
      <c r="F1770" s="20" t="s">
        <v>7054</v>
      </c>
      <c r="G1770" s="17" t="s">
        <v>8157</v>
      </c>
    </row>
    <row r="1771" spans="1:7" x14ac:dyDescent="0.25">
      <c r="A1771">
        <f t="shared" si="29"/>
        <v>1120856</v>
      </c>
      <c r="B1771" s="15">
        <v>140640304</v>
      </c>
      <c r="C1771" s="15">
        <v>290221271</v>
      </c>
      <c r="D1771" s="16">
        <v>112085644</v>
      </c>
      <c r="E1771" s="16" t="s">
        <v>8154</v>
      </c>
      <c r="F1771" s="20" t="s">
        <v>7288</v>
      </c>
      <c r="G1771" s="17" t="s">
        <v>8155</v>
      </c>
    </row>
    <row r="1772" spans="1:7" x14ac:dyDescent="0.25">
      <c r="A1772">
        <f t="shared" si="29"/>
        <v>1120623</v>
      </c>
      <c r="B1772" s="15">
        <v>140640304</v>
      </c>
      <c r="C1772" s="15">
        <v>290221261</v>
      </c>
      <c r="D1772" s="16">
        <v>112062338</v>
      </c>
      <c r="E1772" s="16" t="s">
        <v>8154</v>
      </c>
      <c r="F1772" s="20" t="s">
        <v>7297</v>
      </c>
      <c r="G1772" s="17" t="s">
        <v>8156</v>
      </c>
    </row>
    <row r="1773" spans="1:7" x14ac:dyDescent="0.25">
      <c r="A1773">
        <f t="shared" si="29"/>
        <v>1120858</v>
      </c>
      <c r="B1773" s="15">
        <v>140640304</v>
      </c>
      <c r="C1773" s="15">
        <v>290221266</v>
      </c>
      <c r="D1773" s="16">
        <v>112085846</v>
      </c>
      <c r="E1773" s="16" t="s">
        <v>8154</v>
      </c>
      <c r="F1773" s="20" t="s">
        <v>7059</v>
      </c>
      <c r="G1773" s="17" t="s">
        <v>8157</v>
      </c>
    </row>
    <row r="1774" spans="1:7" x14ac:dyDescent="0.25">
      <c r="A1774">
        <f t="shared" si="29"/>
        <v>1120623</v>
      </c>
      <c r="B1774" s="15">
        <v>140640304</v>
      </c>
      <c r="C1774" s="15">
        <v>290221267</v>
      </c>
      <c r="D1774" s="16">
        <v>112062346</v>
      </c>
      <c r="E1774" s="16" t="s">
        <v>8154</v>
      </c>
      <c r="F1774" s="20" t="s">
        <v>7302</v>
      </c>
      <c r="G1774" s="17" t="s">
        <v>8156</v>
      </c>
    </row>
    <row r="1775" spans="1:7" x14ac:dyDescent="0.25">
      <c r="A1775">
        <f t="shared" si="29"/>
        <v>1120856</v>
      </c>
      <c r="B1775" s="15">
        <v>140640304</v>
      </c>
      <c r="C1775" s="15">
        <v>290221264</v>
      </c>
      <c r="D1775" s="16">
        <v>112085642</v>
      </c>
      <c r="E1775" s="16" t="s">
        <v>8154</v>
      </c>
      <c r="F1775" s="20" t="s">
        <v>7289</v>
      </c>
      <c r="G1775" s="17" t="s">
        <v>8155</v>
      </c>
    </row>
    <row r="1776" spans="1:7" x14ac:dyDescent="0.25">
      <c r="A1776">
        <f t="shared" si="29"/>
        <v>1120856</v>
      </c>
      <c r="B1776" s="15">
        <v>140640304</v>
      </c>
      <c r="C1776" s="15">
        <v>290221280</v>
      </c>
      <c r="D1776" s="16">
        <v>112085640</v>
      </c>
      <c r="E1776" s="16" t="s">
        <v>8154</v>
      </c>
      <c r="F1776" s="20" t="s">
        <v>7284</v>
      </c>
      <c r="G1776" s="17" t="s">
        <v>8155</v>
      </c>
    </row>
    <row r="1777" spans="1:7" x14ac:dyDescent="0.25">
      <c r="A1777">
        <f t="shared" si="29"/>
        <v>1120623</v>
      </c>
      <c r="B1777" s="15">
        <v>140640304</v>
      </c>
      <c r="C1777" s="15">
        <v>290221173</v>
      </c>
      <c r="D1777" s="16">
        <v>112062336</v>
      </c>
      <c r="E1777" s="16" t="s">
        <v>8154</v>
      </c>
      <c r="F1777" s="20" t="s">
        <v>7298</v>
      </c>
      <c r="G1777" s="17" t="s">
        <v>8156</v>
      </c>
    </row>
    <row r="1778" spans="1:7" x14ac:dyDescent="0.25">
      <c r="A1778">
        <f t="shared" si="29"/>
        <v>1120856</v>
      </c>
      <c r="B1778" s="15">
        <v>140640304</v>
      </c>
      <c r="C1778" s="15">
        <v>290221238</v>
      </c>
      <c r="D1778" s="16">
        <v>112085638</v>
      </c>
      <c r="E1778" s="16" t="s">
        <v>8154</v>
      </c>
      <c r="F1778" s="20" t="s">
        <v>7286</v>
      </c>
      <c r="G1778" s="17" t="s">
        <v>8155</v>
      </c>
    </row>
    <row r="1779" spans="1:7" x14ac:dyDescent="0.25">
      <c r="A1779">
        <f t="shared" si="29"/>
        <v>1120445</v>
      </c>
      <c r="B1779" s="15">
        <v>140640304</v>
      </c>
      <c r="C1779" s="15">
        <v>290221202</v>
      </c>
      <c r="D1779" s="16">
        <v>112044536</v>
      </c>
      <c r="E1779" s="16" t="s">
        <v>8154</v>
      </c>
      <c r="F1779" s="20" t="s">
        <v>8029</v>
      </c>
      <c r="G1779" s="17" t="s">
        <v>8158</v>
      </c>
    </row>
    <row r="1780" spans="1:7" x14ac:dyDescent="0.25">
      <c r="A1780">
        <f t="shared" si="29"/>
        <v>1120445</v>
      </c>
      <c r="B1780" s="15">
        <v>140640304</v>
      </c>
      <c r="C1780" s="15">
        <v>290221249</v>
      </c>
      <c r="D1780" s="16">
        <v>112044544</v>
      </c>
      <c r="E1780" s="16" t="s">
        <v>8154</v>
      </c>
      <c r="F1780" s="20" t="s">
        <v>8036</v>
      </c>
      <c r="G1780" s="17" t="s">
        <v>8158</v>
      </c>
    </row>
    <row r="1781" spans="1:7" x14ac:dyDescent="0.25">
      <c r="A1781">
        <f t="shared" si="29"/>
        <v>1120856</v>
      </c>
      <c r="B1781" s="15">
        <v>140640304</v>
      </c>
      <c r="C1781" s="15">
        <v>290221241</v>
      </c>
      <c r="D1781" s="16">
        <v>112085646</v>
      </c>
      <c r="E1781" s="16" t="s">
        <v>8154</v>
      </c>
      <c r="F1781" s="20" t="s">
        <v>7291</v>
      </c>
      <c r="G1781" s="17" t="s">
        <v>8155</v>
      </c>
    </row>
    <row r="1782" spans="1:7" x14ac:dyDescent="0.25">
      <c r="A1782">
        <f t="shared" si="29"/>
        <v>1120858</v>
      </c>
      <c r="B1782" s="15">
        <v>140640304</v>
      </c>
      <c r="C1782" s="15">
        <v>290221245</v>
      </c>
      <c r="D1782" s="16">
        <v>112085842</v>
      </c>
      <c r="E1782" s="16" t="s">
        <v>8154</v>
      </c>
      <c r="F1782" s="20" t="s">
        <v>7057</v>
      </c>
      <c r="G1782" s="17" t="s">
        <v>8157</v>
      </c>
    </row>
    <row r="1783" spans="1:7" x14ac:dyDescent="0.25">
      <c r="A1783">
        <f t="shared" si="29"/>
        <v>1120445</v>
      </c>
      <c r="B1783" s="15">
        <v>140640304</v>
      </c>
      <c r="C1783" s="15">
        <v>290221175</v>
      </c>
      <c r="D1783" s="16">
        <v>112044538</v>
      </c>
      <c r="E1783" s="16" t="s">
        <v>8154</v>
      </c>
      <c r="F1783" s="20" t="s">
        <v>8032</v>
      </c>
      <c r="G1783" s="17" t="s">
        <v>8158</v>
      </c>
    </row>
    <row r="1784" spans="1:7" x14ac:dyDescent="0.25">
      <c r="A1784">
        <f t="shared" si="29"/>
        <v>1120858</v>
      </c>
      <c r="B1784" s="15">
        <v>140640304</v>
      </c>
      <c r="C1784" s="15">
        <v>290221260</v>
      </c>
      <c r="D1784" s="16">
        <v>112085834</v>
      </c>
      <c r="E1784" s="16" t="s">
        <v>8154</v>
      </c>
      <c r="F1784" s="20" t="s">
        <v>7280</v>
      </c>
      <c r="G1784" s="17" t="s">
        <v>8157</v>
      </c>
    </row>
    <row r="1785" spans="1:7" x14ac:dyDescent="0.25">
      <c r="A1785">
        <f t="shared" si="29"/>
        <v>1120858</v>
      </c>
      <c r="B1785" s="15">
        <v>140640304</v>
      </c>
      <c r="C1785" s="15">
        <v>290221198</v>
      </c>
      <c r="D1785" s="16">
        <v>112085844</v>
      </c>
      <c r="E1785" s="16" t="s">
        <v>8154</v>
      </c>
      <c r="F1785" s="20" t="s">
        <v>7058</v>
      </c>
      <c r="G1785" s="17" t="s">
        <v>8157</v>
      </c>
    </row>
    <row r="1786" spans="1:7" x14ac:dyDescent="0.25">
      <c r="A1786">
        <f t="shared" si="29"/>
        <v>1120858</v>
      </c>
      <c r="B1786" s="15">
        <v>140640304</v>
      </c>
      <c r="C1786" s="15">
        <v>290221222</v>
      </c>
      <c r="D1786" s="16">
        <v>112085838</v>
      </c>
      <c r="E1786" s="16" t="s">
        <v>8154</v>
      </c>
      <c r="F1786" s="20" t="s">
        <v>7055</v>
      </c>
      <c r="G1786" s="17" t="s">
        <v>8157</v>
      </c>
    </row>
    <row r="1787" spans="1:7" x14ac:dyDescent="0.25">
      <c r="A1787">
        <f t="shared" si="29"/>
        <v>1120856</v>
      </c>
      <c r="B1787" s="15">
        <v>140640304</v>
      </c>
      <c r="C1787" s="15">
        <v>290221180</v>
      </c>
      <c r="D1787" s="16">
        <v>112085636</v>
      </c>
      <c r="E1787" s="16" t="s">
        <v>8154</v>
      </c>
      <c r="F1787" s="20" t="s">
        <v>7287</v>
      </c>
      <c r="G1787" s="17" t="s">
        <v>8155</v>
      </c>
    </row>
    <row r="1788" spans="1:7" x14ac:dyDescent="0.25">
      <c r="A1788">
        <f t="shared" si="29"/>
        <v>1120623</v>
      </c>
      <c r="B1788" s="15">
        <v>140640304</v>
      </c>
      <c r="C1788" s="15">
        <v>290221169</v>
      </c>
      <c r="D1788" s="16">
        <v>112062348</v>
      </c>
      <c r="E1788" s="16" t="s">
        <v>8154</v>
      </c>
      <c r="F1788" s="20" t="s">
        <v>7296</v>
      </c>
      <c r="G1788" s="17" t="s">
        <v>8156</v>
      </c>
    </row>
    <row r="1789" spans="1:7" x14ac:dyDescent="0.25">
      <c r="A1789">
        <f t="shared" si="29"/>
        <v>1120858</v>
      </c>
      <c r="B1789" s="15">
        <v>140640304</v>
      </c>
      <c r="C1789" s="15">
        <v>290221251</v>
      </c>
      <c r="D1789" s="16">
        <v>112085848</v>
      </c>
      <c r="E1789" s="16" t="s">
        <v>8154</v>
      </c>
      <c r="F1789" s="20" t="s">
        <v>7279</v>
      </c>
      <c r="G1789" s="17" t="s">
        <v>8157</v>
      </c>
    </row>
    <row r="1790" spans="1:7" x14ac:dyDescent="0.25">
      <c r="A1790">
        <f t="shared" si="29"/>
        <v>1120445</v>
      </c>
      <c r="B1790" s="15">
        <v>140640304</v>
      </c>
      <c r="C1790" s="15">
        <v>290221177</v>
      </c>
      <c r="D1790" s="16">
        <v>112044542</v>
      </c>
      <c r="E1790" s="16" t="s">
        <v>8154</v>
      </c>
      <c r="F1790" s="20" t="s">
        <v>8034</v>
      </c>
      <c r="G1790" s="17" t="s">
        <v>8158</v>
      </c>
    </row>
    <row r="1791" spans="1:7" x14ac:dyDescent="0.25">
      <c r="A1791">
        <f t="shared" si="29"/>
        <v>1120445</v>
      </c>
      <c r="B1791" s="15">
        <v>140640304</v>
      </c>
      <c r="C1791" s="15">
        <v>290221252</v>
      </c>
      <c r="D1791" s="16">
        <v>112044546</v>
      </c>
      <c r="E1791" s="16" t="s">
        <v>8154</v>
      </c>
      <c r="F1791" s="20" t="s">
        <v>8038</v>
      </c>
      <c r="G1791" s="17" t="s">
        <v>8158</v>
      </c>
    </row>
    <row r="1792" spans="1:7" x14ac:dyDescent="0.25">
      <c r="A1792">
        <f t="shared" si="29"/>
        <v>1120445</v>
      </c>
      <c r="B1792" s="15">
        <v>140640304</v>
      </c>
      <c r="C1792" s="15">
        <v>290221232</v>
      </c>
      <c r="D1792" s="16">
        <v>112044540</v>
      </c>
      <c r="E1792" s="16" t="s">
        <v>8154</v>
      </c>
      <c r="F1792" s="20" t="s">
        <v>8033</v>
      </c>
      <c r="G1792" s="17" t="s">
        <v>8158</v>
      </c>
    </row>
    <row r="1793" spans="1:7" x14ac:dyDescent="0.25">
      <c r="A1793">
        <f t="shared" si="29"/>
        <v>1120858</v>
      </c>
      <c r="B1793" s="15">
        <v>140640304</v>
      </c>
      <c r="C1793" s="15">
        <v>290221255</v>
      </c>
      <c r="D1793" s="16">
        <v>112085840</v>
      </c>
      <c r="E1793" s="16" t="s">
        <v>8154</v>
      </c>
      <c r="F1793" s="20" t="s">
        <v>7056</v>
      </c>
      <c r="G1793" s="17" t="s">
        <v>8157</v>
      </c>
    </row>
    <row r="1794" spans="1:7" x14ac:dyDescent="0.25">
      <c r="A1794">
        <f t="shared" si="29"/>
        <v>1120623</v>
      </c>
      <c r="B1794" s="15">
        <v>140640304</v>
      </c>
      <c r="C1794" s="15">
        <v>290221211</v>
      </c>
      <c r="D1794" s="16">
        <v>112062334</v>
      </c>
      <c r="E1794" s="16" t="s">
        <v>8154</v>
      </c>
      <c r="F1794" s="20" t="s">
        <v>7301</v>
      </c>
      <c r="G1794" s="17" t="s">
        <v>8156</v>
      </c>
    </row>
    <row r="1795" spans="1:7" x14ac:dyDescent="0.25">
      <c r="A1795">
        <f t="shared" si="29"/>
        <v>1120623</v>
      </c>
      <c r="B1795" s="15">
        <v>140640304</v>
      </c>
      <c r="C1795" s="15">
        <v>290221259</v>
      </c>
      <c r="D1795" s="16">
        <v>112062344</v>
      </c>
      <c r="E1795" s="16" t="s">
        <v>8154</v>
      </c>
      <c r="F1795" s="20" t="s">
        <v>7299</v>
      </c>
      <c r="G1795" s="17" t="s">
        <v>8156</v>
      </c>
    </row>
    <row r="1796" spans="1:7" x14ac:dyDescent="0.25">
      <c r="A1796">
        <f t="shared" si="29"/>
        <v>1120623</v>
      </c>
      <c r="B1796" s="15">
        <v>140640304</v>
      </c>
      <c r="C1796" s="15">
        <v>290221192</v>
      </c>
      <c r="D1796" s="16">
        <v>112062340</v>
      </c>
      <c r="E1796" s="16" t="s">
        <v>8154</v>
      </c>
      <c r="F1796" s="20" t="s">
        <v>7295</v>
      </c>
      <c r="G1796" s="17" t="s">
        <v>8156</v>
      </c>
    </row>
    <row r="1797" spans="1:7" x14ac:dyDescent="0.25">
      <c r="A1797">
        <f t="shared" si="29"/>
        <v>1120445</v>
      </c>
      <c r="B1797" s="15">
        <v>140640304</v>
      </c>
      <c r="C1797" s="15">
        <v>290221185</v>
      </c>
      <c r="D1797" s="16">
        <v>112044548</v>
      </c>
      <c r="E1797" s="16" t="s">
        <v>8154</v>
      </c>
      <c r="F1797" s="20" t="s">
        <v>8035</v>
      </c>
      <c r="G1797" s="17" t="s">
        <v>8158</v>
      </c>
    </row>
    <row r="1798" spans="1:7" x14ac:dyDescent="0.25">
      <c r="A1798">
        <f t="shared" si="29"/>
        <v>1120445</v>
      </c>
      <c r="B1798" s="15">
        <v>140640304</v>
      </c>
      <c r="C1798" s="15">
        <v>290221181</v>
      </c>
      <c r="D1798" s="16">
        <v>112044534</v>
      </c>
      <c r="E1798" s="16" t="s">
        <v>8154</v>
      </c>
      <c r="F1798" s="20" t="s">
        <v>8037</v>
      </c>
      <c r="G1798" s="17" t="s">
        <v>8158</v>
      </c>
    </row>
    <row r="1799" spans="1:7" x14ac:dyDescent="0.25">
      <c r="A1799">
        <f t="shared" ref="A1799:A1862" si="30">LEFT(D1799,7)*1</f>
        <v>1120857</v>
      </c>
      <c r="B1799" s="15">
        <v>140640324</v>
      </c>
      <c r="C1799" s="15">
        <v>290221284</v>
      </c>
      <c r="D1799" s="16">
        <v>112085754</v>
      </c>
      <c r="E1799" s="16" t="s">
        <v>8159</v>
      </c>
      <c r="F1799" s="20" t="s">
        <v>7294</v>
      </c>
      <c r="G1799" s="17" t="s">
        <v>8160</v>
      </c>
    </row>
    <row r="1800" spans="1:7" x14ac:dyDescent="0.25">
      <c r="A1800">
        <f t="shared" si="30"/>
        <v>1120446</v>
      </c>
      <c r="B1800" s="15">
        <v>140640324</v>
      </c>
      <c r="C1800" s="15">
        <v>290221293</v>
      </c>
      <c r="D1800" s="16">
        <v>112044650</v>
      </c>
      <c r="E1800" s="16" t="s">
        <v>8159</v>
      </c>
      <c r="F1800" s="20" t="s">
        <v>8046</v>
      </c>
      <c r="G1800" s="17" t="s">
        <v>8161</v>
      </c>
    </row>
    <row r="1801" spans="1:7" x14ac:dyDescent="0.25">
      <c r="A1801">
        <f t="shared" si="30"/>
        <v>1120624</v>
      </c>
      <c r="B1801" s="15">
        <v>140640324</v>
      </c>
      <c r="C1801" s="15">
        <v>290221297</v>
      </c>
      <c r="D1801" s="16">
        <v>112062450</v>
      </c>
      <c r="E1801" s="16" t="s">
        <v>8159</v>
      </c>
      <c r="F1801" s="20" t="s">
        <v>7303</v>
      </c>
      <c r="G1801" s="17" t="s">
        <v>8162</v>
      </c>
    </row>
    <row r="1802" spans="1:7" x14ac:dyDescent="0.25">
      <c r="A1802">
        <f t="shared" si="30"/>
        <v>1120624</v>
      </c>
      <c r="B1802" s="15">
        <v>140640324</v>
      </c>
      <c r="C1802" s="15">
        <v>290221304</v>
      </c>
      <c r="D1802" s="16">
        <v>112062452</v>
      </c>
      <c r="E1802" s="16" t="s">
        <v>8159</v>
      </c>
      <c r="F1802" s="20" t="s">
        <v>7304</v>
      </c>
      <c r="G1802" s="17" t="s">
        <v>8162</v>
      </c>
    </row>
    <row r="1803" spans="1:7" x14ac:dyDescent="0.25">
      <c r="A1803">
        <f t="shared" si="30"/>
        <v>1120624</v>
      </c>
      <c r="B1803" s="15">
        <v>140640324</v>
      </c>
      <c r="C1803" s="15">
        <v>290221317</v>
      </c>
      <c r="D1803" s="16">
        <v>112062454</v>
      </c>
      <c r="E1803" s="16" t="s">
        <v>8159</v>
      </c>
      <c r="F1803" s="20" t="s">
        <v>7305</v>
      </c>
      <c r="G1803" s="17" t="s">
        <v>8162</v>
      </c>
    </row>
    <row r="1804" spans="1:7" x14ac:dyDescent="0.25">
      <c r="A1804">
        <f t="shared" si="30"/>
        <v>1120859</v>
      </c>
      <c r="B1804" s="15">
        <v>140640324</v>
      </c>
      <c r="C1804" s="15">
        <v>290221309</v>
      </c>
      <c r="D1804" s="16">
        <v>112085952</v>
      </c>
      <c r="E1804" s="16" t="s">
        <v>8159</v>
      </c>
      <c r="F1804" s="20" t="s">
        <v>7282</v>
      </c>
      <c r="G1804" s="17" t="s">
        <v>8163</v>
      </c>
    </row>
    <row r="1805" spans="1:7" x14ac:dyDescent="0.25">
      <c r="A1805">
        <f t="shared" si="30"/>
        <v>1120859</v>
      </c>
      <c r="B1805" s="15">
        <v>140640324</v>
      </c>
      <c r="C1805" s="15">
        <v>290221314</v>
      </c>
      <c r="D1805" s="16">
        <v>112085954</v>
      </c>
      <c r="E1805" s="16" t="s">
        <v>8159</v>
      </c>
      <c r="F1805" s="20" t="s">
        <v>7283</v>
      </c>
      <c r="G1805" s="17" t="s">
        <v>8163</v>
      </c>
    </row>
    <row r="1806" spans="1:7" x14ac:dyDescent="0.25">
      <c r="A1806">
        <f t="shared" si="30"/>
        <v>1120859</v>
      </c>
      <c r="B1806" s="15">
        <v>140640324</v>
      </c>
      <c r="C1806" s="15">
        <v>290221290</v>
      </c>
      <c r="D1806" s="16">
        <v>112085950</v>
      </c>
      <c r="E1806" s="16" t="s">
        <v>8159</v>
      </c>
      <c r="F1806" s="20" t="s">
        <v>7281</v>
      </c>
      <c r="G1806" s="17" t="s">
        <v>8163</v>
      </c>
    </row>
    <row r="1807" spans="1:7" x14ac:dyDescent="0.25">
      <c r="A1807">
        <f t="shared" si="30"/>
        <v>1120446</v>
      </c>
      <c r="B1807" s="15">
        <v>140640324</v>
      </c>
      <c r="C1807" s="15">
        <v>290221334</v>
      </c>
      <c r="D1807" s="16">
        <v>112044654</v>
      </c>
      <c r="E1807" s="16" t="s">
        <v>8159</v>
      </c>
      <c r="F1807" s="20" t="s">
        <v>8043</v>
      </c>
      <c r="G1807" s="17" t="s">
        <v>8161</v>
      </c>
    </row>
    <row r="1808" spans="1:7" x14ac:dyDescent="0.25">
      <c r="A1808">
        <f t="shared" si="30"/>
        <v>1120857</v>
      </c>
      <c r="B1808" s="15">
        <v>140640324</v>
      </c>
      <c r="C1808" s="15">
        <v>290221321</v>
      </c>
      <c r="D1808" s="16">
        <v>112085750</v>
      </c>
      <c r="E1808" s="16" t="s">
        <v>8159</v>
      </c>
      <c r="F1808" s="20" t="s">
        <v>7292</v>
      </c>
      <c r="G1808" s="17" t="s">
        <v>8160</v>
      </c>
    </row>
    <row r="1809" spans="1:7" x14ac:dyDescent="0.25">
      <c r="A1809">
        <f t="shared" si="30"/>
        <v>1120857</v>
      </c>
      <c r="B1809" s="15">
        <v>140640324</v>
      </c>
      <c r="C1809" s="15">
        <v>290221325</v>
      </c>
      <c r="D1809" s="16">
        <v>112085752</v>
      </c>
      <c r="E1809" s="16" t="s">
        <v>8159</v>
      </c>
      <c r="F1809" s="20" t="s">
        <v>7293</v>
      </c>
      <c r="G1809" s="17" t="s">
        <v>8160</v>
      </c>
    </row>
    <row r="1810" spans="1:7" x14ac:dyDescent="0.25">
      <c r="A1810">
        <f t="shared" si="30"/>
        <v>1120446</v>
      </c>
      <c r="B1810" s="15">
        <v>140640324</v>
      </c>
      <c r="C1810" s="15">
        <v>290221332</v>
      </c>
      <c r="D1810" s="16">
        <v>112044652</v>
      </c>
      <c r="E1810" s="16" t="s">
        <v>8159</v>
      </c>
      <c r="F1810" s="20" t="s">
        <v>8041</v>
      </c>
      <c r="G1810" s="17" t="s">
        <v>8161</v>
      </c>
    </row>
    <row r="1811" spans="1:7" x14ac:dyDescent="0.25">
      <c r="A1811">
        <f t="shared" si="30"/>
        <v>1120182</v>
      </c>
      <c r="B1811" s="15">
        <v>140640077</v>
      </c>
      <c r="C1811" s="15">
        <v>290219122</v>
      </c>
      <c r="D1811" s="16">
        <v>112018242</v>
      </c>
      <c r="E1811" s="16" t="s">
        <v>8164</v>
      </c>
      <c r="F1811" s="20" t="s">
        <v>8165</v>
      </c>
      <c r="G1811" s="17" t="s">
        <v>8166</v>
      </c>
    </row>
    <row r="1812" spans="1:7" x14ac:dyDescent="0.25">
      <c r="A1812">
        <f t="shared" si="30"/>
        <v>1120182</v>
      </c>
      <c r="B1812" s="15">
        <v>140640077</v>
      </c>
      <c r="C1812" s="15">
        <v>290219115</v>
      </c>
      <c r="D1812" s="16">
        <v>112018246</v>
      </c>
      <c r="E1812" s="16" t="s">
        <v>8164</v>
      </c>
      <c r="F1812" s="20" t="s">
        <v>8167</v>
      </c>
      <c r="G1812" s="17" t="s">
        <v>8166</v>
      </c>
    </row>
    <row r="1813" spans="1:7" x14ac:dyDescent="0.25">
      <c r="A1813">
        <f t="shared" si="30"/>
        <v>1120499</v>
      </c>
      <c r="B1813" s="15">
        <v>140640077</v>
      </c>
      <c r="C1813" s="15">
        <v>290219106</v>
      </c>
      <c r="D1813" s="16">
        <v>112049948</v>
      </c>
      <c r="E1813" s="16" t="s">
        <v>8164</v>
      </c>
      <c r="F1813" s="20" t="s">
        <v>8035</v>
      </c>
      <c r="G1813" s="17" t="s">
        <v>8168</v>
      </c>
    </row>
    <row r="1814" spans="1:7" x14ac:dyDescent="0.25">
      <c r="A1814">
        <f t="shared" si="30"/>
        <v>1120499</v>
      </c>
      <c r="B1814" s="15">
        <v>140640077</v>
      </c>
      <c r="C1814" s="15">
        <v>290219097</v>
      </c>
      <c r="D1814" s="16">
        <v>112049934</v>
      </c>
      <c r="E1814" s="16" t="s">
        <v>8164</v>
      </c>
      <c r="F1814" s="20" t="s">
        <v>8037</v>
      </c>
      <c r="G1814" s="17" t="s">
        <v>8168</v>
      </c>
    </row>
    <row r="1815" spans="1:7" x14ac:dyDescent="0.25">
      <c r="A1815">
        <f t="shared" si="30"/>
        <v>1120182</v>
      </c>
      <c r="B1815" s="15">
        <v>140640077</v>
      </c>
      <c r="C1815" s="15">
        <v>290219113</v>
      </c>
      <c r="D1815" s="16">
        <v>112018248</v>
      </c>
      <c r="E1815" s="16" t="s">
        <v>8164</v>
      </c>
      <c r="F1815" s="20" t="s">
        <v>8169</v>
      </c>
      <c r="G1815" s="17" t="s">
        <v>8166</v>
      </c>
    </row>
    <row r="1816" spans="1:7" x14ac:dyDescent="0.25">
      <c r="A1816">
        <f t="shared" si="30"/>
        <v>1120800</v>
      </c>
      <c r="B1816" s="15">
        <v>140640077</v>
      </c>
      <c r="C1816" s="15">
        <v>290219134</v>
      </c>
      <c r="D1816" s="16">
        <v>112080036</v>
      </c>
      <c r="E1816" s="16" t="s">
        <v>8164</v>
      </c>
      <c r="F1816" s="20" t="s">
        <v>7074</v>
      </c>
      <c r="G1816" s="17" t="s">
        <v>8170</v>
      </c>
    </row>
    <row r="1817" spans="1:7" x14ac:dyDescent="0.25">
      <c r="A1817">
        <f t="shared" si="30"/>
        <v>1120900</v>
      </c>
      <c r="B1817" s="15">
        <v>140640077</v>
      </c>
      <c r="C1817" s="15">
        <v>290219157</v>
      </c>
      <c r="D1817" s="16">
        <v>112090036</v>
      </c>
      <c r="E1817" s="16" t="s">
        <v>8164</v>
      </c>
      <c r="F1817" s="20" t="s">
        <v>7054</v>
      </c>
      <c r="G1817" s="17" t="s">
        <v>8171</v>
      </c>
    </row>
    <row r="1818" spans="1:7" x14ac:dyDescent="0.25">
      <c r="A1818">
        <f t="shared" si="30"/>
        <v>1120750</v>
      </c>
      <c r="B1818" s="15">
        <v>140640077</v>
      </c>
      <c r="C1818" s="15">
        <v>290219151</v>
      </c>
      <c r="D1818" s="16">
        <v>112075036</v>
      </c>
      <c r="E1818" s="16" t="s">
        <v>8164</v>
      </c>
      <c r="F1818" s="20" t="s">
        <v>7298</v>
      </c>
      <c r="G1818" s="17" t="s">
        <v>8172</v>
      </c>
    </row>
    <row r="1819" spans="1:7" x14ac:dyDescent="0.25">
      <c r="A1819">
        <f t="shared" si="30"/>
        <v>1120900</v>
      </c>
      <c r="B1819" s="15">
        <v>140640077</v>
      </c>
      <c r="C1819" s="15">
        <v>290219143</v>
      </c>
      <c r="D1819" s="16">
        <v>112090046</v>
      </c>
      <c r="E1819" s="16" t="s">
        <v>8164</v>
      </c>
      <c r="F1819" s="20" t="s">
        <v>7059</v>
      </c>
      <c r="G1819" s="17" t="s">
        <v>8171</v>
      </c>
    </row>
    <row r="1820" spans="1:7" x14ac:dyDescent="0.25">
      <c r="A1820">
        <f t="shared" si="30"/>
        <v>1120499</v>
      </c>
      <c r="B1820" s="15">
        <v>140640077</v>
      </c>
      <c r="C1820" s="15">
        <v>290219128</v>
      </c>
      <c r="D1820" s="16">
        <v>112049940</v>
      </c>
      <c r="E1820" s="16" t="s">
        <v>8164</v>
      </c>
      <c r="F1820" s="20" t="s">
        <v>8033</v>
      </c>
      <c r="G1820" s="17" t="s">
        <v>8168</v>
      </c>
    </row>
    <row r="1821" spans="1:7" x14ac:dyDescent="0.25">
      <c r="A1821">
        <f t="shared" si="30"/>
        <v>1120182</v>
      </c>
      <c r="B1821" s="15">
        <v>140640077</v>
      </c>
      <c r="C1821" s="15">
        <v>290219249</v>
      </c>
      <c r="D1821" s="16">
        <v>112018244</v>
      </c>
      <c r="E1821" s="16" t="s">
        <v>8164</v>
      </c>
      <c r="F1821" s="20" t="s">
        <v>8173</v>
      </c>
      <c r="G1821" s="17" t="s">
        <v>8166</v>
      </c>
    </row>
    <row r="1822" spans="1:7" x14ac:dyDescent="0.25">
      <c r="A1822">
        <f t="shared" si="30"/>
        <v>1120182</v>
      </c>
      <c r="B1822" s="15">
        <v>140640077</v>
      </c>
      <c r="C1822" s="15">
        <v>290219189</v>
      </c>
      <c r="D1822" s="16">
        <v>112018236</v>
      </c>
      <c r="E1822" s="16" t="s">
        <v>8164</v>
      </c>
      <c r="F1822" s="20" t="s">
        <v>8174</v>
      </c>
      <c r="G1822" s="17" t="s">
        <v>8166</v>
      </c>
    </row>
    <row r="1823" spans="1:7" x14ac:dyDescent="0.25">
      <c r="A1823">
        <f t="shared" si="30"/>
        <v>1120182</v>
      </c>
      <c r="B1823" s="15">
        <v>140640077</v>
      </c>
      <c r="C1823" s="15">
        <v>290219240</v>
      </c>
      <c r="D1823" s="16">
        <v>112018238</v>
      </c>
      <c r="E1823" s="16" t="s">
        <v>8164</v>
      </c>
      <c r="F1823" s="20" t="s">
        <v>8175</v>
      </c>
      <c r="G1823" s="17" t="s">
        <v>8166</v>
      </c>
    </row>
    <row r="1824" spans="1:7" x14ac:dyDescent="0.25">
      <c r="A1824">
        <f t="shared" si="30"/>
        <v>1120800</v>
      </c>
      <c r="B1824" s="15">
        <v>140640077</v>
      </c>
      <c r="C1824" s="15">
        <v>290219243</v>
      </c>
      <c r="D1824" s="16">
        <v>112080038</v>
      </c>
      <c r="E1824" s="16" t="s">
        <v>8164</v>
      </c>
      <c r="F1824" s="20" t="s">
        <v>7073</v>
      </c>
      <c r="G1824" s="17" t="s">
        <v>8170</v>
      </c>
    </row>
    <row r="1825" spans="1:7" x14ac:dyDescent="0.25">
      <c r="A1825">
        <f t="shared" si="30"/>
        <v>1120499</v>
      </c>
      <c r="B1825" s="15">
        <v>140640077</v>
      </c>
      <c r="C1825" s="15">
        <v>290219213</v>
      </c>
      <c r="D1825" s="16">
        <v>112049938</v>
      </c>
      <c r="E1825" s="16" t="s">
        <v>8164</v>
      </c>
      <c r="F1825" s="20" t="s">
        <v>8032</v>
      </c>
      <c r="G1825" s="17" t="s">
        <v>8168</v>
      </c>
    </row>
    <row r="1826" spans="1:7" x14ac:dyDescent="0.25">
      <c r="A1826">
        <f t="shared" si="30"/>
        <v>1120800</v>
      </c>
      <c r="B1826" s="15">
        <v>140640077</v>
      </c>
      <c r="C1826" s="15">
        <v>290219178</v>
      </c>
      <c r="D1826" s="16">
        <v>112080034</v>
      </c>
      <c r="E1826" s="16" t="s">
        <v>8164</v>
      </c>
      <c r="F1826" s="20" t="s">
        <v>8176</v>
      </c>
      <c r="G1826" s="17" t="s">
        <v>8170</v>
      </c>
    </row>
    <row r="1827" spans="1:7" x14ac:dyDescent="0.25">
      <c r="A1827">
        <f t="shared" si="30"/>
        <v>1120800</v>
      </c>
      <c r="B1827" s="15">
        <v>140640077</v>
      </c>
      <c r="C1827" s="15">
        <v>290219182</v>
      </c>
      <c r="D1827" s="16">
        <v>112080044</v>
      </c>
      <c r="E1827" s="16" t="s">
        <v>8164</v>
      </c>
      <c r="F1827" s="20" t="s">
        <v>7075</v>
      </c>
      <c r="G1827" s="17" t="s">
        <v>8170</v>
      </c>
    </row>
    <row r="1828" spans="1:7" x14ac:dyDescent="0.25">
      <c r="A1828">
        <f t="shared" si="30"/>
        <v>1120900</v>
      </c>
      <c r="B1828" s="15">
        <v>140640077</v>
      </c>
      <c r="C1828" s="15">
        <v>290219232</v>
      </c>
      <c r="D1828" s="16">
        <v>112090048</v>
      </c>
      <c r="E1828" s="16" t="s">
        <v>8164</v>
      </c>
      <c r="F1828" s="20" t="s">
        <v>7279</v>
      </c>
      <c r="G1828" s="17" t="s">
        <v>8171</v>
      </c>
    </row>
    <row r="1829" spans="1:7" x14ac:dyDescent="0.25">
      <c r="A1829">
        <f t="shared" si="30"/>
        <v>1120499</v>
      </c>
      <c r="B1829" s="15">
        <v>140640077</v>
      </c>
      <c r="C1829" s="15">
        <v>290219223</v>
      </c>
      <c r="D1829" s="16">
        <v>112049946</v>
      </c>
      <c r="E1829" s="16" t="s">
        <v>8164</v>
      </c>
      <c r="F1829" s="20" t="s">
        <v>8038</v>
      </c>
      <c r="G1829" s="17" t="s">
        <v>8168</v>
      </c>
    </row>
    <row r="1830" spans="1:7" x14ac:dyDescent="0.25">
      <c r="A1830">
        <f t="shared" si="30"/>
        <v>1120900</v>
      </c>
      <c r="B1830" s="15">
        <v>140640077</v>
      </c>
      <c r="C1830" s="15">
        <v>290219207</v>
      </c>
      <c r="D1830" s="16">
        <v>112090034</v>
      </c>
      <c r="E1830" s="16" t="s">
        <v>8164</v>
      </c>
      <c r="F1830" s="20" t="s">
        <v>7280</v>
      </c>
      <c r="G1830" s="17" t="s">
        <v>8171</v>
      </c>
    </row>
    <row r="1831" spans="1:7" x14ac:dyDescent="0.25">
      <c r="A1831">
        <f t="shared" si="30"/>
        <v>1120750</v>
      </c>
      <c r="B1831" s="15">
        <v>140640077</v>
      </c>
      <c r="C1831" s="15">
        <v>290219261</v>
      </c>
      <c r="D1831" s="16">
        <v>112075040</v>
      </c>
      <c r="E1831" s="16" t="s">
        <v>8164</v>
      </c>
      <c r="F1831" s="20" t="s">
        <v>7295</v>
      </c>
      <c r="G1831" s="17" t="s">
        <v>8172</v>
      </c>
    </row>
    <row r="1832" spans="1:7" x14ac:dyDescent="0.25">
      <c r="A1832">
        <f t="shared" si="30"/>
        <v>1120499</v>
      </c>
      <c r="B1832" s="15">
        <v>140640077</v>
      </c>
      <c r="C1832" s="15">
        <v>290219276</v>
      </c>
      <c r="D1832" s="16">
        <v>112049942</v>
      </c>
      <c r="E1832" s="16" t="s">
        <v>8164</v>
      </c>
      <c r="F1832" s="20" t="s">
        <v>8034</v>
      </c>
      <c r="G1832" s="17" t="s">
        <v>8168</v>
      </c>
    </row>
    <row r="1833" spans="1:7" x14ac:dyDescent="0.25">
      <c r="A1833">
        <f t="shared" si="30"/>
        <v>1120900</v>
      </c>
      <c r="B1833" s="15">
        <v>140640077</v>
      </c>
      <c r="C1833" s="15">
        <v>290219271</v>
      </c>
      <c r="D1833" s="16">
        <v>112090038</v>
      </c>
      <c r="E1833" s="16" t="s">
        <v>8164</v>
      </c>
      <c r="F1833" s="20" t="s">
        <v>7055</v>
      </c>
      <c r="G1833" s="17" t="s">
        <v>8171</v>
      </c>
    </row>
    <row r="1834" spans="1:7" x14ac:dyDescent="0.25">
      <c r="A1834">
        <f t="shared" si="30"/>
        <v>1120800</v>
      </c>
      <c r="B1834" s="15">
        <v>140640077</v>
      </c>
      <c r="C1834" s="15">
        <v>290219265</v>
      </c>
      <c r="D1834" s="16">
        <v>112080048</v>
      </c>
      <c r="E1834" s="16" t="s">
        <v>8164</v>
      </c>
      <c r="F1834" s="20" t="s">
        <v>8177</v>
      </c>
      <c r="G1834" s="17" t="s">
        <v>8170</v>
      </c>
    </row>
    <row r="1835" spans="1:7" x14ac:dyDescent="0.25">
      <c r="A1835">
        <f t="shared" si="30"/>
        <v>1120499</v>
      </c>
      <c r="B1835" s="15">
        <v>140640077</v>
      </c>
      <c r="C1835" s="15">
        <v>290219268</v>
      </c>
      <c r="D1835" s="16">
        <v>112049936</v>
      </c>
      <c r="E1835" s="16" t="s">
        <v>8164</v>
      </c>
      <c r="F1835" s="20" t="s">
        <v>8029</v>
      </c>
      <c r="G1835" s="17" t="s">
        <v>8168</v>
      </c>
    </row>
    <row r="1836" spans="1:7" x14ac:dyDescent="0.25">
      <c r="A1836">
        <f t="shared" si="30"/>
        <v>1120900</v>
      </c>
      <c r="B1836" s="15">
        <v>140640077</v>
      </c>
      <c r="C1836" s="15">
        <v>290219278</v>
      </c>
      <c r="D1836" s="16">
        <v>112090040</v>
      </c>
      <c r="E1836" s="16" t="s">
        <v>8164</v>
      </c>
      <c r="F1836" s="20" t="s">
        <v>7056</v>
      </c>
      <c r="G1836" s="17" t="s">
        <v>8171</v>
      </c>
    </row>
    <row r="1837" spans="1:7" x14ac:dyDescent="0.25">
      <c r="A1837">
        <f t="shared" si="30"/>
        <v>1120900</v>
      </c>
      <c r="B1837" s="15">
        <v>140640077</v>
      </c>
      <c r="C1837" s="15">
        <v>290219306</v>
      </c>
      <c r="D1837" s="16">
        <v>112090042</v>
      </c>
      <c r="E1837" s="16" t="s">
        <v>8164</v>
      </c>
      <c r="F1837" s="20" t="s">
        <v>7057</v>
      </c>
      <c r="G1837" s="17" t="s">
        <v>8171</v>
      </c>
    </row>
    <row r="1838" spans="1:7" x14ac:dyDescent="0.25">
      <c r="A1838">
        <f t="shared" si="30"/>
        <v>1120750</v>
      </c>
      <c r="B1838" s="15">
        <v>140640077</v>
      </c>
      <c r="C1838" s="15">
        <v>290219284</v>
      </c>
      <c r="D1838" s="16">
        <v>112075048</v>
      </c>
      <c r="E1838" s="16" t="s">
        <v>8164</v>
      </c>
      <c r="F1838" s="20" t="s">
        <v>7296</v>
      </c>
      <c r="G1838" s="17" t="s">
        <v>8172</v>
      </c>
    </row>
    <row r="1839" spans="1:7" x14ac:dyDescent="0.25">
      <c r="A1839">
        <f t="shared" si="30"/>
        <v>1120750</v>
      </c>
      <c r="B1839" s="15">
        <v>140640077</v>
      </c>
      <c r="C1839" s="15">
        <v>290219302</v>
      </c>
      <c r="D1839" s="16">
        <v>112075038</v>
      </c>
      <c r="E1839" s="16" t="s">
        <v>8164</v>
      </c>
      <c r="F1839" s="20" t="s">
        <v>7297</v>
      </c>
      <c r="G1839" s="17" t="s">
        <v>8172</v>
      </c>
    </row>
    <row r="1840" spans="1:7" x14ac:dyDescent="0.25">
      <c r="A1840">
        <f t="shared" si="30"/>
        <v>1120800</v>
      </c>
      <c r="B1840" s="15">
        <v>140640077</v>
      </c>
      <c r="C1840" s="15">
        <v>290219304</v>
      </c>
      <c r="D1840" s="16">
        <v>112080042</v>
      </c>
      <c r="E1840" s="16" t="s">
        <v>8164</v>
      </c>
      <c r="F1840" s="20" t="s">
        <v>7071</v>
      </c>
      <c r="G1840" s="17" t="s">
        <v>8170</v>
      </c>
    </row>
    <row r="1841" spans="1:7" x14ac:dyDescent="0.25">
      <c r="A1841">
        <f t="shared" si="30"/>
        <v>1120499</v>
      </c>
      <c r="B1841" s="15">
        <v>140640077</v>
      </c>
      <c r="C1841" s="15">
        <v>290219293</v>
      </c>
      <c r="D1841" s="16">
        <v>112049944</v>
      </c>
      <c r="E1841" s="16" t="s">
        <v>8164</v>
      </c>
      <c r="F1841" s="20" t="s">
        <v>8036</v>
      </c>
      <c r="G1841" s="17" t="s">
        <v>8168</v>
      </c>
    </row>
    <row r="1842" spans="1:7" x14ac:dyDescent="0.25">
      <c r="A1842">
        <f t="shared" si="30"/>
        <v>1120800</v>
      </c>
      <c r="B1842" s="15">
        <v>140640077</v>
      </c>
      <c r="C1842" s="15">
        <v>290219281</v>
      </c>
      <c r="D1842" s="16">
        <v>112080046</v>
      </c>
      <c r="E1842" s="16" t="s">
        <v>8164</v>
      </c>
      <c r="F1842" s="20" t="s">
        <v>7076</v>
      </c>
      <c r="G1842" s="17" t="s">
        <v>8170</v>
      </c>
    </row>
    <row r="1843" spans="1:7" x14ac:dyDescent="0.25">
      <c r="A1843">
        <f t="shared" si="30"/>
        <v>1120182</v>
      </c>
      <c r="B1843" s="15">
        <v>140640077</v>
      </c>
      <c r="C1843" s="15">
        <v>290219254</v>
      </c>
      <c r="D1843" s="16">
        <v>112018240</v>
      </c>
      <c r="E1843" s="16" t="s">
        <v>8164</v>
      </c>
      <c r="F1843" s="20" t="s">
        <v>8178</v>
      </c>
      <c r="G1843" s="17" t="s">
        <v>8166</v>
      </c>
    </row>
    <row r="1844" spans="1:7" x14ac:dyDescent="0.25">
      <c r="A1844">
        <f t="shared" si="30"/>
        <v>1120750</v>
      </c>
      <c r="B1844" s="15">
        <v>140640077</v>
      </c>
      <c r="C1844" s="15">
        <v>290219169</v>
      </c>
      <c r="D1844" s="16">
        <v>112075046</v>
      </c>
      <c r="E1844" s="16" t="s">
        <v>8164</v>
      </c>
      <c r="F1844" s="20" t="s">
        <v>7302</v>
      </c>
      <c r="G1844" s="17" t="s">
        <v>8172</v>
      </c>
    </row>
    <row r="1845" spans="1:7" x14ac:dyDescent="0.25">
      <c r="A1845">
        <f t="shared" si="30"/>
        <v>1120750</v>
      </c>
      <c r="B1845" s="15">
        <v>140640077</v>
      </c>
      <c r="C1845" s="15">
        <v>290219217</v>
      </c>
      <c r="D1845" s="16">
        <v>112075044</v>
      </c>
      <c r="E1845" s="16" t="s">
        <v>8164</v>
      </c>
      <c r="F1845" s="20" t="s">
        <v>7299</v>
      </c>
      <c r="G1845" s="17" t="s">
        <v>8172</v>
      </c>
    </row>
    <row r="1846" spans="1:7" x14ac:dyDescent="0.25">
      <c r="A1846">
        <f t="shared" si="30"/>
        <v>1120750</v>
      </c>
      <c r="B1846" s="15">
        <v>140640077</v>
      </c>
      <c r="C1846" s="15">
        <v>290219194</v>
      </c>
      <c r="D1846" s="16">
        <v>112075034</v>
      </c>
      <c r="E1846" s="16" t="s">
        <v>8164</v>
      </c>
      <c r="F1846" s="20" t="s">
        <v>7301</v>
      </c>
      <c r="G1846" s="17" t="s">
        <v>8172</v>
      </c>
    </row>
    <row r="1847" spans="1:7" x14ac:dyDescent="0.25">
      <c r="A1847">
        <f t="shared" si="30"/>
        <v>1120900</v>
      </c>
      <c r="B1847" s="15">
        <v>140640077</v>
      </c>
      <c r="C1847" s="15">
        <v>290219257</v>
      </c>
      <c r="D1847" s="16">
        <v>112090044</v>
      </c>
      <c r="E1847" s="16" t="s">
        <v>8164</v>
      </c>
      <c r="F1847" s="20" t="s">
        <v>7058</v>
      </c>
      <c r="G1847" s="17" t="s">
        <v>8171</v>
      </c>
    </row>
    <row r="1848" spans="1:7" x14ac:dyDescent="0.25">
      <c r="A1848">
        <f t="shared" si="30"/>
        <v>1120800</v>
      </c>
      <c r="B1848" s="15">
        <v>140640077</v>
      </c>
      <c r="C1848" s="15">
        <v>290219186</v>
      </c>
      <c r="D1848" s="16">
        <v>112080040</v>
      </c>
      <c r="E1848" s="16" t="s">
        <v>8164</v>
      </c>
      <c r="F1848" s="20" t="s">
        <v>7072</v>
      </c>
      <c r="G1848" s="17" t="s">
        <v>8170</v>
      </c>
    </row>
    <row r="1849" spans="1:7" x14ac:dyDescent="0.25">
      <c r="A1849">
        <f t="shared" si="30"/>
        <v>1120750</v>
      </c>
      <c r="B1849" s="15">
        <v>140640077</v>
      </c>
      <c r="C1849" s="15">
        <v>290219246</v>
      </c>
      <c r="D1849" s="16">
        <v>112075042</v>
      </c>
      <c r="E1849" s="16" t="s">
        <v>8164</v>
      </c>
      <c r="F1849" s="20" t="s">
        <v>7300</v>
      </c>
      <c r="G1849" s="17" t="s">
        <v>8172</v>
      </c>
    </row>
    <row r="1850" spans="1:7" x14ac:dyDescent="0.25">
      <c r="A1850">
        <f t="shared" si="30"/>
        <v>1120182</v>
      </c>
      <c r="B1850" s="15">
        <v>140640077</v>
      </c>
      <c r="C1850" s="15">
        <v>290219200</v>
      </c>
      <c r="D1850" s="16">
        <v>112018234</v>
      </c>
      <c r="E1850" s="16" t="s">
        <v>8164</v>
      </c>
      <c r="F1850" s="20" t="s">
        <v>8179</v>
      </c>
      <c r="G1850" s="17" t="s">
        <v>8166</v>
      </c>
    </row>
    <row r="1851" spans="1:7" x14ac:dyDescent="0.25">
      <c r="A1851">
        <f t="shared" si="30"/>
        <v>1120900</v>
      </c>
      <c r="B1851" s="15">
        <v>140640108</v>
      </c>
      <c r="C1851" s="15">
        <v>290219609</v>
      </c>
      <c r="D1851" s="16">
        <v>112090046</v>
      </c>
      <c r="E1851" s="16" t="s">
        <v>8180</v>
      </c>
      <c r="F1851" s="20" t="s">
        <v>7059</v>
      </c>
      <c r="G1851" s="17" t="s">
        <v>8171</v>
      </c>
    </row>
    <row r="1852" spans="1:7" x14ac:dyDescent="0.25">
      <c r="A1852">
        <f t="shared" si="30"/>
        <v>1120800</v>
      </c>
      <c r="B1852" s="15">
        <v>140640108</v>
      </c>
      <c r="C1852" s="15">
        <v>290219680</v>
      </c>
      <c r="D1852" s="16">
        <v>112080040</v>
      </c>
      <c r="E1852" s="16" t="s">
        <v>8180</v>
      </c>
      <c r="F1852" s="20" t="s">
        <v>7072</v>
      </c>
      <c r="G1852" s="17" t="s">
        <v>8170</v>
      </c>
    </row>
    <row r="1853" spans="1:7" x14ac:dyDescent="0.25">
      <c r="A1853">
        <f t="shared" si="30"/>
        <v>1120800</v>
      </c>
      <c r="B1853" s="15">
        <v>140640108</v>
      </c>
      <c r="C1853" s="15">
        <v>290219651</v>
      </c>
      <c r="D1853" s="16">
        <v>112080034</v>
      </c>
      <c r="E1853" s="16" t="s">
        <v>8180</v>
      </c>
      <c r="F1853" s="20" t="s">
        <v>8176</v>
      </c>
      <c r="G1853" s="17" t="s">
        <v>8170</v>
      </c>
    </row>
    <row r="1854" spans="1:7" x14ac:dyDescent="0.25">
      <c r="A1854">
        <f t="shared" si="30"/>
        <v>1120182</v>
      </c>
      <c r="B1854" s="15">
        <v>140640108</v>
      </c>
      <c r="C1854" s="15">
        <v>290219689</v>
      </c>
      <c r="D1854" s="16">
        <v>112018236</v>
      </c>
      <c r="E1854" s="16" t="s">
        <v>8180</v>
      </c>
      <c r="F1854" s="20" t="s">
        <v>8174</v>
      </c>
      <c r="G1854" s="17" t="s">
        <v>8166</v>
      </c>
    </row>
    <row r="1855" spans="1:7" x14ac:dyDescent="0.25">
      <c r="A1855">
        <f t="shared" si="30"/>
        <v>1120800</v>
      </c>
      <c r="B1855" s="15">
        <v>140640108</v>
      </c>
      <c r="C1855" s="15">
        <v>290219668</v>
      </c>
      <c r="D1855" s="16">
        <v>112080044</v>
      </c>
      <c r="E1855" s="16" t="s">
        <v>8180</v>
      </c>
      <c r="F1855" s="20" t="s">
        <v>7075</v>
      </c>
      <c r="G1855" s="17" t="s">
        <v>8170</v>
      </c>
    </row>
    <row r="1856" spans="1:7" x14ac:dyDescent="0.25">
      <c r="A1856">
        <f t="shared" si="30"/>
        <v>1120182</v>
      </c>
      <c r="B1856" s="15">
        <v>140640108</v>
      </c>
      <c r="C1856" s="15">
        <v>290219698</v>
      </c>
      <c r="D1856" s="16">
        <v>112018234</v>
      </c>
      <c r="E1856" s="16" t="s">
        <v>8180</v>
      </c>
      <c r="F1856" s="20" t="s">
        <v>8179</v>
      </c>
      <c r="G1856" s="17" t="s">
        <v>8166</v>
      </c>
    </row>
    <row r="1857" spans="1:7" x14ac:dyDescent="0.25">
      <c r="A1857">
        <f t="shared" si="30"/>
        <v>1120750</v>
      </c>
      <c r="B1857" s="15">
        <v>140640108</v>
      </c>
      <c r="C1857" s="15">
        <v>290219693</v>
      </c>
      <c r="D1857" s="16">
        <v>112075034</v>
      </c>
      <c r="E1857" s="16" t="s">
        <v>8180</v>
      </c>
      <c r="F1857" s="20" t="s">
        <v>7301</v>
      </c>
      <c r="G1857" s="17" t="s">
        <v>8172</v>
      </c>
    </row>
    <row r="1858" spans="1:7" x14ac:dyDescent="0.25">
      <c r="A1858">
        <f t="shared" si="30"/>
        <v>1120900</v>
      </c>
      <c r="B1858" s="15">
        <v>140640108</v>
      </c>
      <c r="C1858" s="15">
        <v>290219798</v>
      </c>
      <c r="D1858" s="16">
        <v>112090042</v>
      </c>
      <c r="E1858" s="16" t="s">
        <v>8180</v>
      </c>
      <c r="F1858" s="20" t="s">
        <v>7057</v>
      </c>
      <c r="G1858" s="17" t="s">
        <v>8171</v>
      </c>
    </row>
    <row r="1859" spans="1:7" x14ac:dyDescent="0.25">
      <c r="A1859">
        <f t="shared" si="30"/>
        <v>1120750</v>
      </c>
      <c r="B1859" s="15">
        <v>140640108</v>
      </c>
      <c r="C1859" s="15">
        <v>290219711</v>
      </c>
      <c r="D1859" s="16">
        <v>112075044</v>
      </c>
      <c r="E1859" s="16" t="s">
        <v>8180</v>
      </c>
      <c r="F1859" s="20" t="s">
        <v>7299</v>
      </c>
      <c r="G1859" s="17" t="s">
        <v>8172</v>
      </c>
    </row>
    <row r="1860" spans="1:7" x14ac:dyDescent="0.25">
      <c r="A1860">
        <f t="shared" si="30"/>
        <v>1120499</v>
      </c>
      <c r="B1860" s="15">
        <v>140640108</v>
      </c>
      <c r="C1860" s="15">
        <v>290219555</v>
      </c>
      <c r="D1860" s="16">
        <v>112049948</v>
      </c>
      <c r="E1860" s="16" t="s">
        <v>8180</v>
      </c>
      <c r="F1860" s="20" t="s">
        <v>8035</v>
      </c>
      <c r="G1860" s="17" t="s">
        <v>8168</v>
      </c>
    </row>
    <row r="1861" spans="1:7" x14ac:dyDescent="0.25">
      <c r="A1861">
        <f t="shared" si="30"/>
        <v>1120750</v>
      </c>
      <c r="B1861" s="15">
        <v>140640108</v>
      </c>
      <c r="C1861" s="15">
        <v>290219746</v>
      </c>
      <c r="D1861" s="16">
        <v>112075040</v>
      </c>
      <c r="E1861" s="16" t="s">
        <v>8180</v>
      </c>
      <c r="F1861" s="20" t="s">
        <v>7295</v>
      </c>
      <c r="G1861" s="17" t="s">
        <v>8172</v>
      </c>
    </row>
    <row r="1862" spans="1:7" x14ac:dyDescent="0.25">
      <c r="A1862">
        <f t="shared" si="30"/>
        <v>1120499</v>
      </c>
      <c r="B1862" s="15">
        <v>140640108</v>
      </c>
      <c r="C1862" s="15">
        <v>290219781</v>
      </c>
      <c r="D1862" s="16">
        <v>112049944</v>
      </c>
      <c r="E1862" s="16" t="s">
        <v>8180</v>
      </c>
      <c r="F1862" s="20" t="s">
        <v>8036</v>
      </c>
      <c r="G1862" s="17" t="s">
        <v>8168</v>
      </c>
    </row>
    <row r="1863" spans="1:7" x14ac:dyDescent="0.25">
      <c r="A1863">
        <f t="shared" ref="A1863:A1926" si="31">LEFT(D1863,7)*1</f>
        <v>1120182</v>
      </c>
      <c r="B1863" s="15">
        <v>140640108</v>
      </c>
      <c r="C1863" s="15">
        <v>290219735</v>
      </c>
      <c r="D1863" s="16">
        <v>112018244</v>
      </c>
      <c r="E1863" s="16" t="s">
        <v>8180</v>
      </c>
      <c r="F1863" s="20" t="s">
        <v>8173</v>
      </c>
      <c r="G1863" s="17" t="s">
        <v>8166</v>
      </c>
    </row>
    <row r="1864" spans="1:7" x14ac:dyDescent="0.25">
      <c r="A1864">
        <f t="shared" si="31"/>
        <v>1120800</v>
      </c>
      <c r="B1864" s="15">
        <v>140640108</v>
      </c>
      <c r="C1864" s="15">
        <v>290219753</v>
      </c>
      <c r="D1864" s="16">
        <v>112080048</v>
      </c>
      <c r="E1864" s="16" t="s">
        <v>8180</v>
      </c>
      <c r="F1864" s="20" t="s">
        <v>8177</v>
      </c>
      <c r="G1864" s="17" t="s">
        <v>8170</v>
      </c>
    </row>
    <row r="1865" spans="1:7" x14ac:dyDescent="0.25">
      <c r="A1865">
        <f t="shared" si="31"/>
        <v>1120900</v>
      </c>
      <c r="B1865" s="15">
        <v>140640108</v>
      </c>
      <c r="C1865" s="15">
        <v>290219760</v>
      </c>
      <c r="D1865" s="16">
        <v>112090038</v>
      </c>
      <c r="E1865" s="16" t="s">
        <v>8180</v>
      </c>
      <c r="F1865" s="20" t="s">
        <v>7055</v>
      </c>
      <c r="G1865" s="17" t="s">
        <v>8171</v>
      </c>
    </row>
    <row r="1866" spans="1:7" x14ac:dyDescent="0.25">
      <c r="A1866">
        <f t="shared" si="31"/>
        <v>1120800</v>
      </c>
      <c r="B1866" s="15">
        <v>140640108</v>
      </c>
      <c r="C1866" s="15">
        <v>290219788</v>
      </c>
      <c r="D1866" s="16">
        <v>112080042</v>
      </c>
      <c r="E1866" s="16" t="s">
        <v>8180</v>
      </c>
      <c r="F1866" s="20" t="s">
        <v>7071</v>
      </c>
      <c r="G1866" s="17" t="s">
        <v>8170</v>
      </c>
    </row>
    <row r="1867" spans="1:7" x14ac:dyDescent="0.25">
      <c r="A1867">
        <f t="shared" si="31"/>
        <v>1120182</v>
      </c>
      <c r="B1867" s="15">
        <v>140640108</v>
      </c>
      <c r="C1867" s="15">
        <v>290219593</v>
      </c>
      <c r="D1867" s="16">
        <v>112018242</v>
      </c>
      <c r="E1867" s="16" t="s">
        <v>8180</v>
      </c>
      <c r="F1867" s="20" t="s">
        <v>8165</v>
      </c>
      <c r="G1867" s="17" t="s">
        <v>8166</v>
      </c>
    </row>
    <row r="1868" spans="1:7" x14ac:dyDescent="0.25">
      <c r="A1868">
        <f t="shared" si="31"/>
        <v>1120182</v>
      </c>
      <c r="B1868" s="15">
        <v>140640108</v>
      </c>
      <c r="C1868" s="15">
        <v>290219740</v>
      </c>
      <c r="D1868" s="16">
        <v>112018240</v>
      </c>
      <c r="E1868" s="16" t="s">
        <v>8180</v>
      </c>
      <c r="F1868" s="20" t="s">
        <v>8178</v>
      </c>
      <c r="G1868" s="17" t="s">
        <v>8166</v>
      </c>
    </row>
    <row r="1869" spans="1:7" x14ac:dyDescent="0.25">
      <c r="A1869">
        <f t="shared" si="31"/>
        <v>1120499</v>
      </c>
      <c r="B1869" s="15">
        <v>140640108</v>
      </c>
      <c r="C1869" s="15">
        <v>290219756</v>
      </c>
      <c r="D1869" s="16">
        <v>112049936</v>
      </c>
      <c r="E1869" s="16" t="s">
        <v>8180</v>
      </c>
      <c r="F1869" s="20" t="s">
        <v>8029</v>
      </c>
      <c r="G1869" s="17" t="s">
        <v>8168</v>
      </c>
    </row>
    <row r="1870" spans="1:7" x14ac:dyDescent="0.25">
      <c r="A1870">
        <f t="shared" si="31"/>
        <v>1120900</v>
      </c>
      <c r="B1870" s="15">
        <v>140640108</v>
      </c>
      <c r="C1870" s="15">
        <v>290219718</v>
      </c>
      <c r="D1870" s="16">
        <v>112090048</v>
      </c>
      <c r="E1870" s="16" t="s">
        <v>8180</v>
      </c>
      <c r="F1870" s="20" t="s">
        <v>7279</v>
      </c>
      <c r="G1870" s="17" t="s">
        <v>8171</v>
      </c>
    </row>
    <row r="1871" spans="1:7" x14ac:dyDescent="0.25">
      <c r="A1871">
        <f t="shared" si="31"/>
        <v>1120182</v>
      </c>
      <c r="B1871" s="15">
        <v>140640108</v>
      </c>
      <c r="C1871" s="15">
        <v>290219721</v>
      </c>
      <c r="D1871" s="16">
        <v>112018238</v>
      </c>
      <c r="E1871" s="16" t="s">
        <v>8180</v>
      </c>
      <c r="F1871" s="20" t="s">
        <v>8175</v>
      </c>
      <c r="G1871" s="17" t="s">
        <v>8166</v>
      </c>
    </row>
    <row r="1872" spans="1:7" x14ac:dyDescent="0.25">
      <c r="A1872">
        <f t="shared" si="31"/>
        <v>1120499</v>
      </c>
      <c r="B1872" s="15">
        <v>140640108</v>
      </c>
      <c r="C1872" s="15">
        <v>290219543</v>
      </c>
      <c r="D1872" s="16">
        <v>112049934</v>
      </c>
      <c r="E1872" s="16" t="s">
        <v>8180</v>
      </c>
      <c r="F1872" s="20" t="s">
        <v>8037</v>
      </c>
      <c r="G1872" s="17" t="s">
        <v>8168</v>
      </c>
    </row>
    <row r="1873" spans="1:7" x14ac:dyDescent="0.25">
      <c r="A1873">
        <f t="shared" si="31"/>
        <v>1120750</v>
      </c>
      <c r="B1873" s="15">
        <v>140640108</v>
      </c>
      <c r="C1873" s="15">
        <v>290219777</v>
      </c>
      <c r="D1873" s="16">
        <v>112075048</v>
      </c>
      <c r="E1873" s="16" t="s">
        <v>8180</v>
      </c>
      <c r="F1873" s="20" t="s">
        <v>7296</v>
      </c>
      <c r="G1873" s="17" t="s">
        <v>8172</v>
      </c>
    </row>
    <row r="1874" spans="1:7" x14ac:dyDescent="0.25">
      <c r="A1874">
        <f t="shared" si="31"/>
        <v>1120750</v>
      </c>
      <c r="B1874" s="15">
        <v>140640108</v>
      </c>
      <c r="C1874" s="15">
        <v>290219645</v>
      </c>
      <c r="D1874" s="16">
        <v>112075046</v>
      </c>
      <c r="E1874" s="16" t="s">
        <v>8180</v>
      </c>
      <c r="F1874" s="20" t="s">
        <v>7302</v>
      </c>
      <c r="G1874" s="17" t="s">
        <v>8172</v>
      </c>
    </row>
    <row r="1875" spans="1:7" x14ac:dyDescent="0.25">
      <c r="A1875">
        <f t="shared" si="31"/>
        <v>1120900</v>
      </c>
      <c r="B1875" s="15">
        <v>140640108</v>
      </c>
      <c r="C1875" s="15">
        <v>290219743</v>
      </c>
      <c r="D1875" s="16">
        <v>112090044</v>
      </c>
      <c r="E1875" s="16" t="s">
        <v>8180</v>
      </c>
      <c r="F1875" s="20" t="s">
        <v>7058</v>
      </c>
      <c r="G1875" s="17" t="s">
        <v>8171</v>
      </c>
    </row>
    <row r="1876" spans="1:7" x14ac:dyDescent="0.25">
      <c r="A1876">
        <f t="shared" si="31"/>
        <v>1120499</v>
      </c>
      <c r="B1876" s="15">
        <v>140640108</v>
      </c>
      <c r="C1876" s="15">
        <v>290219765</v>
      </c>
      <c r="D1876" s="16">
        <v>112049942</v>
      </c>
      <c r="E1876" s="16" t="s">
        <v>8180</v>
      </c>
      <c r="F1876" s="20" t="s">
        <v>8034</v>
      </c>
      <c r="G1876" s="17" t="s">
        <v>8168</v>
      </c>
    </row>
    <row r="1877" spans="1:7" x14ac:dyDescent="0.25">
      <c r="A1877">
        <f t="shared" si="31"/>
        <v>1120750</v>
      </c>
      <c r="B1877" s="15">
        <v>140640108</v>
      </c>
      <c r="C1877" s="15">
        <v>290219729</v>
      </c>
      <c r="D1877" s="16">
        <v>112075042</v>
      </c>
      <c r="E1877" s="16" t="s">
        <v>8180</v>
      </c>
      <c r="F1877" s="20" t="s">
        <v>7300</v>
      </c>
      <c r="G1877" s="17" t="s">
        <v>8172</v>
      </c>
    </row>
    <row r="1878" spans="1:7" x14ac:dyDescent="0.25">
      <c r="A1878">
        <f t="shared" si="31"/>
        <v>1120499</v>
      </c>
      <c r="B1878" s="15">
        <v>140640108</v>
      </c>
      <c r="C1878" s="15">
        <v>290219716</v>
      </c>
      <c r="D1878" s="16">
        <v>112049946</v>
      </c>
      <c r="E1878" s="16" t="s">
        <v>8180</v>
      </c>
      <c r="F1878" s="20" t="s">
        <v>8038</v>
      </c>
      <c r="G1878" s="17" t="s">
        <v>8168</v>
      </c>
    </row>
    <row r="1879" spans="1:7" x14ac:dyDescent="0.25">
      <c r="A1879">
        <f t="shared" si="31"/>
        <v>1120800</v>
      </c>
      <c r="B1879" s="15">
        <v>140640108</v>
      </c>
      <c r="C1879" s="15">
        <v>290219723</v>
      </c>
      <c r="D1879" s="16">
        <v>112080038</v>
      </c>
      <c r="E1879" s="16" t="s">
        <v>8180</v>
      </c>
      <c r="F1879" s="20" t="s">
        <v>7073</v>
      </c>
      <c r="G1879" s="17" t="s">
        <v>8170</v>
      </c>
    </row>
    <row r="1880" spans="1:7" x14ac:dyDescent="0.25">
      <c r="A1880">
        <f t="shared" si="31"/>
        <v>1120900</v>
      </c>
      <c r="B1880" s="15">
        <v>140640108</v>
      </c>
      <c r="C1880" s="15">
        <v>290219636</v>
      </c>
      <c r="D1880" s="16">
        <v>112090036</v>
      </c>
      <c r="E1880" s="16" t="s">
        <v>8180</v>
      </c>
      <c r="F1880" s="20" t="s">
        <v>7054</v>
      </c>
      <c r="G1880" s="17" t="s">
        <v>8171</v>
      </c>
    </row>
    <row r="1881" spans="1:7" x14ac:dyDescent="0.25">
      <c r="A1881">
        <f t="shared" si="31"/>
        <v>1120900</v>
      </c>
      <c r="B1881" s="15">
        <v>140640108</v>
      </c>
      <c r="C1881" s="15">
        <v>290219773</v>
      </c>
      <c r="D1881" s="16">
        <v>112090040</v>
      </c>
      <c r="E1881" s="16" t="s">
        <v>8180</v>
      </c>
      <c r="F1881" s="20" t="s">
        <v>7056</v>
      </c>
      <c r="G1881" s="17" t="s">
        <v>8171</v>
      </c>
    </row>
    <row r="1882" spans="1:7" x14ac:dyDescent="0.25">
      <c r="A1882">
        <f t="shared" si="31"/>
        <v>1120499</v>
      </c>
      <c r="B1882" s="15">
        <v>140640108</v>
      </c>
      <c r="C1882" s="15">
        <v>290219595</v>
      </c>
      <c r="D1882" s="16">
        <v>112049940</v>
      </c>
      <c r="E1882" s="16" t="s">
        <v>8180</v>
      </c>
      <c r="F1882" s="20" t="s">
        <v>8033</v>
      </c>
      <c r="G1882" s="17" t="s">
        <v>8168</v>
      </c>
    </row>
    <row r="1883" spans="1:7" x14ac:dyDescent="0.25">
      <c r="A1883">
        <f t="shared" si="31"/>
        <v>1120750</v>
      </c>
      <c r="B1883" s="15">
        <v>140640108</v>
      </c>
      <c r="C1883" s="15">
        <v>290219628</v>
      </c>
      <c r="D1883" s="16">
        <v>112075036</v>
      </c>
      <c r="E1883" s="16" t="s">
        <v>8180</v>
      </c>
      <c r="F1883" s="20" t="s">
        <v>7298</v>
      </c>
      <c r="G1883" s="17" t="s">
        <v>8172</v>
      </c>
    </row>
    <row r="1884" spans="1:7" x14ac:dyDescent="0.25">
      <c r="A1884">
        <f t="shared" si="31"/>
        <v>1120182</v>
      </c>
      <c r="B1884" s="15">
        <v>140640108</v>
      </c>
      <c r="C1884" s="15">
        <v>290219577</v>
      </c>
      <c r="D1884" s="16">
        <v>112018246</v>
      </c>
      <c r="E1884" s="16" t="s">
        <v>8180</v>
      </c>
      <c r="F1884" s="20" t="s">
        <v>8167</v>
      </c>
      <c r="G1884" s="17" t="s">
        <v>8166</v>
      </c>
    </row>
    <row r="1885" spans="1:7" x14ac:dyDescent="0.25">
      <c r="A1885">
        <f t="shared" si="31"/>
        <v>1120800</v>
      </c>
      <c r="B1885" s="15">
        <v>140640108</v>
      </c>
      <c r="C1885" s="15">
        <v>290219599</v>
      </c>
      <c r="D1885" s="16">
        <v>112080036</v>
      </c>
      <c r="E1885" s="16" t="s">
        <v>8180</v>
      </c>
      <c r="F1885" s="20" t="s">
        <v>7074</v>
      </c>
      <c r="G1885" s="17" t="s">
        <v>8170</v>
      </c>
    </row>
    <row r="1886" spans="1:7" x14ac:dyDescent="0.25">
      <c r="A1886">
        <f t="shared" si="31"/>
        <v>1120800</v>
      </c>
      <c r="B1886" s="15">
        <v>140640108</v>
      </c>
      <c r="C1886" s="15">
        <v>290219774</v>
      </c>
      <c r="D1886" s="16">
        <v>112080046</v>
      </c>
      <c r="E1886" s="16" t="s">
        <v>8180</v>
      </c>
      <c r="F1886" s="20" t="s">
        <v>7076</v>
      </c>
      <c r="G1886" s="17" t="s">
        <v>8170</v>
      </c>
    </row>
    <row r="1887" spans="1:7" x14ac:dyDescent="0.25">
      <c r="A1887">
        <f t="shared" si="31"/>
        <v>1120750</v>
      </c>
      <c r="B1887" s="15">
        <v>140640108</v>
      </c>
      <c r="C1887" s="15">
        <v>290219785</v>
      </c>
      <c r="D1887" s="16">
        <v>112075038</v>
      </c>
      <c r="E1887" s="16" t="s">
        <v>8180</v>
      </c>
      <c r="F1887" s="20" t="s">
        <v>7297</v>
      </c>
      <c r="G1887" s="17" t="s">
        <v>8172</v>
      </c>
    </row>
    <row r="1888" spans="1:7" x14ac:dyDescent="0.25">
      <c r="A1888">
        <f t="shared" si="31"/>
        <v>1120499</v>
      </c>
      <c r="B1888" s="15">
        <v>140640108</v>
      </c>
      <c r="C1888" s="15">
        <v>290219708</v>
      </c>
      <c r="D1888" s="16">
        <v>112049938</v>
      </c>
      <c r="E1888" s="16" t="s">
        <v>8180</v>
      </c>
      <c r="F1888" s="20" t="s">
        <v>8032</v>
      </c>
      <c r="G1888" s="17" t="s">
        <v>8168</v>
      </c>
    </row>
    <row r="1889" spans="1:7" x14ac:dyDescent="0.25">
      <c r="A1889">
        <f t="shared" si="31"/>
        <v>1120900</v>
      </c>
      <c r="B1889" s="15">
        <v>140640108</v>
      </c>
      <c r="C1889" s="15">
        <v>290219702</v>
      </c>
      <c r="D1889" s="16">
        <v>112090034</v>
      </c>
      <c r="E1889" s="16" t="s">
        <v>8180</v>
      </c>
      <c r="F1889" s="20" t="s">
        <v>7280</v>
      </c>
      <c r="G1889" s="17" t="s">
        <v>8171</v>
      </c>
    </row>
    <row r="1890" spans="1:7" x14ac:dyDescent="0.25">
      <c r="A1890">
        <f t="shared" si="31"/>
        <v>1120182</v>
      </c>
      <c r="B1890" s="15">
        <v>140640108</v>
      </c>
      <c r="C1890" s="15">
        <v>290219565</v>
      </c>
      <c r="D1890" s="16">
        <v>112018248</v>
      </c>
      <c r="E1890" s="16" t="s">
        <v>8180</v>
      </c>
      <c r="F1890" s="20" t="s">
        <v>8169</v>
      </c>
      <c r="G1890" s="17" t="s">
        <v>8166</v>
      </c>
    </row>
    <row r="1891" spans="1:7" x14ac:dyDescent="0.25">
      <c r="A1891">
        <f t="shared" si="31"/>
        <v>1120182</v>
      </c>
      <c r="B1891" s="15">
        <v>140640070</v>
      </c>
      <c r="C1891" s="15">
        <v>290219124</v>
      </c>
      <c r="D1891" s="16">
        <v>112018242</v>
      </c>
      <c r="E1891" s="16" t="s">
        <v>8181</v>
      </c>
      <c r="F1891" s="20" t="s">
        <v>8165</v>
      </c>
      <c r="G1891" s="17" t="s">
        <v>8182</v>
      </c>
    </row>
    <row r="1892" spans="1:7" x14ac:dyDescent="0.25">
      <c r="A1892">
        <f t="shared" si="31"/>
        <v>1120182</v>
      </c>
      <c r="B1892" s="15">
        <v>140640070</v>
      </c>
      <c r="C1892" s="15">
        <v>290219111</v>
      </c>
      <c r="D1892" s="16">
        <v>112018240</v>
      </c>
      <c r="E1892" s="16" t="s">
        <v>8181</v>
      </c>
      <c r="F1892" s="20" t="s">
        <v>8178</v>
      </c>
      <c r="G1892" s="17" t="s">
        <v>8182</v>
      </c>
    </row>
    <row r="1893" spans="1:7" x14ac:dyDescent="0.25">
      <c r="A1893">
        <f t="shared" si="31"/>
        <v>1120182</v>
      </c>
      <c r="B1893" s="15">
        <v>140640070</v>
      </c>
      <c r="C1893" s="15">
        <v>290219137</v>
      </c>
      <c r="D1893" s="16">
        <v>112018246</v>
      </c>
      <c r="E1893" s="16" t="s">
        <v>8181</v>
      </c>
      <c r="F1893" s="20" t="s">
        <v>8167</v>
      </c>
      <c r="G1893" s="17" t="s">
        <v>8182</v>
      </c>
    </row>
    <row r="1894" spans="1:7" x14ac:dyDescent="0.25">
      <c r="A1894">
        <f t="shared" si="31"/>
        <v>1120182</v>
      </c>
      <c r="B1894" s="15">
        <v>140640070</v>
      </c>
      <c r="C1894" s="15">
        <v>290219107</v>
      </c>
      <c r="D1894" s="16">
        <v>112018236</v>
      </c>
      <c r="E1894" s="16" t="s">
        <v>8181</v>
      </c>
      <c r="F1894" s="20" t="s">
        <v>8174</v>
      </c>
      <c r="G1894" s="17" t="s">
        <v>8182</v>
      </c>
    </row>
    <row r="1895" spans="1:7" x14ac:dyDescent="0.25">
      <c r="A1895">
        <f t="shared" si="31"/>
        <v>1120182</v>
      </c>
      <c r="B1895" s="15">
        <v>140640070</v>
      </c>
      <c r="C1895" s="15">
        <v>290219100</v>
      </c>
      <c r="D1895" s="16">
        <v>112018244</v>
      </c>
      <c r="E1895" s="16" t="s">
        <v>8181</v>
      </c>
      <c r="F1895" s="20" t="s">
        <v>8173</v>
      </c>
      <c r="G1895" s="17" t="s">
        <v>8182</v>
      </c>
    </row>
    <row r="1896" spans="1:7" x14ac:dyDescent="0.25">
      <c r="A1896">
        <f t="shared" si="31"/>
        <v>1120182</v>
      </c>
      <c r="B1896" s="15">
        <v>140640070</v>
      </c>
      <c r="C1896" s="15">
        <v>290219085</v>
      </c>
      <c r="D1896" s="16">
        <v>112018248</v>
      </c>
      <c r="E1896" s="16" t="s">
        <v>8181</v>
      </c>
      <c r="F1896" s="20" t="s">
        <v>8169</v>
      </c>
      <c r="G1896" s="17" t="s">
        <v>8182</v>
      </c>
    </row>
    <row r="1897" spans="1:7" x14ac:dyDescent="0.25">
      <c r="A1897">
        <f t="shared" si="31"/>
        <v>1120182</v>
      </c>
      <c r="B1897" s="15">
        <v>140640070</v>
      </c>
      <c r="C1897" s="15">
        <v>290219117</v>
      </c>
      <c r="D1897" s="16">
        <v>112018234</v>
      </c>
      <c r="E1897" s="16" t="s">
        <v>8181</v>
      </c>
      <c r="F1897" s="20" t="s">
        <v>8179</v>
      </c>
      <c r="G1897" s="17" t="s">
        <v>8182</v>
      </c>
    </row>
    <row r="1898" spans="1:7" x14ac:dyDescent="0.25">
      <c r="A1898">
        <f t="shared" si="31"/>
        <v>1120182</v>
      </c>
      <c r="B1898" s="15">
        <v>140640070</v>
      </c>
      <c r="C1898" s="15">
        <v>290219066</v>
      </c>
      <c r="D1898" s="16">
        <v>112018238</v>
      </c>
      <c r="E1898" s="16" t="s">
        <v>8181</v>
      </c>
      <c r="F1898" s="20" t="s">
        <v>8175</v>
      </c>
      <c r="G1898" s="17" t="s">
        <v>8182</v>
      </c>
    </row>
    <row r="1899" spans="1:7" x14ac:dyDescent="0.25">
      <c r="A1899">
        <f t="shared" si="31"/>
        <v>1120130</v>
      </c>
      <c r="B1899" s="15">
        <v>140640300</v>
      </c>
      <c r="C1899" s="15">
        <v>290221327</v>
      </c>
      <c r="D1899" s="16">
        <v>112013040</v>
      </c>
      <c r="E1899" s="16" t="s">
        <v>8183</v>
      </c>
      <c r="F1899" s="20" t="s">
        <v>8184</v>
      </c>
      <c r="G1899" s="17" t="s">
        <v>8185</v>
      </c>
    </row>
    <row r="1900" spans="1:7" x14ac:dyDescent="0.25">
      <c r="A1900">
        <f t="shared" si="31"/>
        <v>1120130</v>
      </c>
      <c r="B1900" s="15">
        <v>140640300</v>
      </c>
      <c r="C1900" s="15">
        <v>290221272</v>
      </c>
      <c r="D1900" s="16">
        <v>112013036</v>
      </c>
      <c r="E1900" s="16" t="s">
        <v>8183</v>
      </c>
      <c r="F1900" s="20" t="s">
        <v>8186</v>
      </c>
      <c r="G1900" s="17" t="s">
        <v>8185</v>
      </c>
    </row>
    <row r="1901" spans="1:7" x14ac:dyDescent="0.25">
      <c r="A1901">
        <f t="shared" si="31"/>
        <v>1120130</v>
      </c>
      <c r="B1901" s="15">
        <v>140640300</v>
      </c>
      <c r="C1901" s="15">
        <v>290221301</v>
      </c>
      <c r="D1901" s="16">
        <v>112013038</v>
      </c>
      <c r="E1901" s="16" t="s">
        <v>8183</v>
      </c>
      <c r="F1901" s="20" t="s">
        <v>8187</v>
      </c>
      <c r="G1901" s="17" t="s">
        <v>8185</v>
      </c>
    </row>
    <row r="1902" spans="1:7" x14ac:dyDescent="0.25">
      <c r="A1902">
        <f t="shared" si="31"/>
        <v>1120170</v>
      </c>
      <c r="B1902" s="15">
        <v>140640300</v>
      </c>
      <c r="C1902" s="15">
        <v>290221333</v>
      </c>
      <c r="D1902" s="16">
        <v>112017046</v>
      </c>
      <c r="E1902" s="16" t="s">
        <v>8183</v>
      </c>
      <c r="F1902" s="20" t="s">
        <v>7059</v>
      </c>
      <c r="G1902" s="17" t="s">
        <v>8188</v>
      </c>
    </row>
    <row r="1903" spans="1:7" x14ac:dyDescent="0.25">
      <c r="A1903">
        <f t="shared" si="31"/>
        <v>1120140</v>
      </c>
      <c r="B1903" s="15">
        <v>140640300</v>
      </c>
      <c r="C1903" s="15">
        <v>290221286</v>
      </c>
      <c r="D1903" s="16">
        <v>112014038</v>
      </c>
      <c r="E1903" s="16" t="s">
        <v>8183</v>
      </c>
      <c r="F1903" s="20" t="s">
        <v>7297</v>
      </c>
      <c r="G1903" s="17" t="s">
        <v>8189</v>
      </c>
    </row>
    <row r="1904" spans="1:7" x14ac:dyDescent="0.25">
      <c r="A1904">
        <f t="shared" si="31"/>
        <v>1120285</v>
      </c>
      <c r="B1904" s="15">
        <v>140640300</v>
      </c>
      <c r="C1904" s="15">
        <v>290221281</v>
      </c>
      <c r="D1904" s="16">
        <v>112028542</v>
      </c>
      <c r="E1904" s="16" t="s">
        <v>8183</v>
      </c>
      <c r="F1904" s="20" t="s">
        <v>7289</v>
      </c>
      <c r="G1904" s="17" t="s">
        <v>8190</v>
      </c>
    </row>
    <row r="1905" spans="1:7" x14ac:dyDescent="0.25">
      <c r="A1905">
        <f t="shared" si="31"/>
        <v>1120170</v>
      </c>
      <c r="B1905" s="15">
        <v>140640300</v>
      </c>
      <c r="C1905" s="15">
        <v>290221262</v>
      </c>
      <c r="D1905" s="16">
        <v>112017036</v>
      </c>
      <c r="E1905" s="16" t="s">
        <v>8183</v>
      </c>
      <c r="F1905" s="20" t="s">
        <v>7054</v>
      </c>
      <c r="G1905" s="17" t="s">
        <v>8188</v>
      </c>
    </row>
    <row r="1906" spans="1:7" x14ac:dyDescent="0.25">
      <c r="A1906">
        <f t="shared" si="31"/>
        <v>1120140</v>
      </c>
      <c r="B1906" s="15">
        <v>140640300</v>
      </c>
      <c r="C1906" s="15">
        <v>290221291</v>
      </c>
      <c r="D1906" s="16">
        <v>112014048</v>
      </c>
      <c r="E1906" s="16" t="s">
        <v>8183</v>
      </c>
      <c r="F1906" s="20" t="s">
        <v>7296</v>
      </c>
      <c r="G1906" s="17" t="s">
        <v>8189</v>
      </c>
    </row>
    <row r="1907" spans="1:7" x14ac:dyDescent="0.25">
      <c r="A1907">
        <f t="shared" si="31"/>
        <v>1120285</v>
      </c>
      <c r="B1907" s="15">
        <v>140640300</v>
      </c>
      <c r="C1907" s="15">
        <v>290221313</v>
      </c>
      <c r="D1907" s="16">
        <v>112028546</v>
      </c>
      <c r="E1907" s="16" t="s">
        <v>8183</v>
      </c>
      <c r="F1907" s="20" t="s">
        <v>7291</v>
      </c>
      <c r="G1907" s="17" t="s">
        <v>8190</v>
      </c>
    </row>
    <row r="1908" spans="1:7" x14ac:dyDescent="0.25">
      <c r="A1908">
        <f t="shared" si="31"/>
        <v>1120285</v>
      </c>
      <c r="B1908" s="15">
        <v>140640300</v>
      </c>
      <c r="C1908" s="15">
        <v>290221276</v>
      </c>
      <c r="D1908" s="16">
        <v>112028548</v>
      </c>
      <c r="E1908" s="16" t="s">
        <v>8183</v>
      </c>
      <c r="F1908" s="20" t="s">
        <v>7285</v>
      </c>
      <c r="G1908" s="17" t="s">
        <v>8190</v>
      </c>
    </row>
    <row r="1909" spans="1:7" x14ac:dyDescent="0.25">
      <c r="A1909">
        <f t="shared" si="31"/>
        <v>1120130</v>
      </c>
      <c r="B1909" s="15">
        <v>140640300</v>
      </c>
      <c r="C1909" s="15">
        <v>290221355</v>
      </c>
      <c r="D1909" s="16">
        <v>112013042</v>
      </c>
      <c r="E1909" s="16" t="s">
        <v>8183</v>
      </c>
      <c r="F1909" s="20" t="s">
        <v>8191</v>
      </c>
      <c r="G1909" s="17" t="s">
        <v>8185</v>
      </c>
    </row>
    <row r="1910" spans="1:7" x14ac:dyDescent="0.25">
      <c r="A1910">
        <f t="shared" si="31"/>
        <v>1120140</v>
      </c>
      <c r="B1910" s="15">
        <v>140640300</v>
      </c>
      <c r="C1910" s="15">
        <v>290221391</v>
      </c>
      <c r="D1910" s="16">
        <v>112014036</v>
      </c>
      <c r="E1910" s="16" t="s">
        <v>8183</v>
      </c>
      <c r="F1910" s="20" t="s">
        <v>7298</v>
      </c>
      <c r="G1910" s="17" t="s">
        <v>8189</v>
      </c>
    </row>
    <row r="1911" spans="1:7" x14ac:dyDescent="0.25">
      <c r="A1911">
        <f t="shared" si="31"/>
        <v>1120285</v>
      </c>
      <c r="B1911" s="15">
        <v>140640300</v>
      </c>
      <c r="C1911" s="15">
        <v>290221373</v>
      </c>
      <c r="D1911" s="16">
        <v>112028540</v>
      </c>
      <c r="E1911" s="16" t="s">
        <v>8183</v>
      </c>
      <c r="F1911" s="20" t="s">
        <v>7284</v>
      </c>
      <c r="G1911" s="17" t="s">
        <v>8190</v>
      </c>
    </row>
    <row r="1912" spans="1:7" x14ac:dyDescent="0.25">
      <c r="A1912">
        <f t="shared" si="31"/>
        <v>1120285</v>
      </c>
      <c r="B1912" s="15">
        <v>140640300</v>
      </c>
      <c r="C1912" s="15">
        <v>290221341</v>
      </c>
      <c r="D1912" s="16">
        <v>112028538</v>
      </c>
      <c r="E1912" s="16" t="s">
        <v>8183</v>
      </c>
      <c r="F1912" s="20" t="s">
        <v>7286</v>
      </c>
      <c r="G1912" s="17" t="s">
        <v>8190</v>
      </c>
    </row>
    <row r="1913" spans="1:7" x14ac:dyDescent="0.25">
      <c r="A1913">
        <f t="shared" si="31"/>
        <v>1120140</v>
      </c>
      <c r="B1913" s="15">
        <v>140640300</v>
      </c>
      <c r="C1913" s="15">
        <v>290221258</v>
      </c>
      <c r="D1913" s="16">
        <v>112014046</v>
      </c>
      <c r="E1913" s="16" t="s">
        <v>8183</v>
      </c>
      <c r="F1913" s="20" t="s">
        <v>7302</v>
      </c>
      <c r="G1913" s="17" t="s">
        <v>8189</v>
      </c>
    </row>
    <row r="1914" spans="1:7" x14ac:dyDescent="0.25">
      <c r="A1914">
        <f t="shared" si="31"/>
        <v>1120130</v>
      </c>
      <c r="B1914" s="15">
        <v>140640300</v>
      </c>
      <c r="C1914" s="15">
        <v>290221196</v>
      </c>
      <c r="D1914" s="16">
        <v>112013048</v>
      </c>
      <c r="E1914" s="16" t="s">
        <v>8183</v>
      </c>
      <c r="F1914" s="20" t="s">
        <v>8192</v>
      </c>
      <c r="G1914" s="17" t="s">
        <v>8185</v>
      </c>
    </row>
    <row r="1915" spans="1:7" x14ac:dyDescent="0.25">
      <c r="A1915">
        <f t="shared" si="31"/>
        <v>1120170</v>
      </c>
      <c r="B1915" s="15">
        <v>140640300</v>
      </c>
      <c r="C1915" s="15">
        <v>290221205</v>
      </c>
      <c r="D1915" s="16">
        <v>112017034</v>
      </c>
      <c r="E1915" s="16" t="s">
        <v>8183</v>
      </c>
      <c r="F1915" s="20" t="s">
        <v>7280</v>
      </c>
      <c r="G1915" s="17" t="s">
        <v>8188</v>
      </c>
    </row>
    <row r="1916" spans="1:7" x14ac:dyDescent="0.25">
      <c r="A1916">
        <f t="shared" si="31"/>
        <v>1120285</v>
      </c>
      <c r="B1916" s="15">
        <v>140640300</v>
      </c>
      <c r="C1916" s="15">
        <v>290221384</v>
      </c>
      <c r="D1916" s="16">
        <v>112028544</v>
      </c>
      <c r="E1916" s="16" t="s">
        <v>8183</v>
      </c>
      <c r="F1916" s="20" t="s">
        <v>7288</v>
      </c>
      <c r="G1916" s="17" t="s">
        <v>8190</v>
      </c>
    </row>
    <row r="1917" spans="1:7" x14ac:dyDescent="0.25">
      <c r="A1917">
        <f t="shared" si="31"/>
        <v>1120285</v>
      </c>
      <c r="B1917" s="15">
        <v>140640300</v>
      </c>
      <c r="C1917" s="15">
        <v>290221144</v>
      </c>
      <c r="D1917" s="16">
        <v>112028536</v>
      </c>
      <c r="E1917" s="16" t="s">
        <v>8183</v>
      </c>
      <c r="F1917" s="20" t="s">
        <v>7287</v>
      </c>
      <c r="G1917" s="17" t="s">
        <v>8190</v>
      </c>
    </row>
    <row r="1918" spans="1:7" x14ac:dyDescent="0.25">
      <c r="A1918">
        <f t="shared" si="31"/>
        <v>1120170</v>
      </c>
      <c r="B1918" s="15">
        <v>140640300</v>
      </c>
      <c r="C1918" s="15">
        <v>290221149</v>
      </c>
      <c r="D1918" s="16">
        <v>112017048</v>
      </c>
      <c r="E1918" s="16" t="s">
        <v>8183</v>
      </c>
      <c r="F1918" s="20" t="s">
        <v>7279</v>
      </c>
      <c r="G1918" s="17" t="s">
        <v>8188</v>
      </c>
    </row>
    <row r="1919" spans="1:7" x14ac:dyDescent="0.25">
      <c r="A1919">
        <f t="shared" si="31"/>
        <v>1120170</v>
      </c>
      <c r="B1919" s="15">
        <v>140640300</v>
      </c>
      <c r="C1919" s="15">
        <v>290221388</v>
      </c>
      <c r="D1919" s="16">
        <v>112017044</v>
      </c>
      <c r="E1919" s="16" t="s">
        <v>8183</v>
      </c>
      <c r="F1919" s="20" t="s">
        <v>7058</v>
      </c>
      <c r="G1919" s="17" t="s">
        <v>8188</v>
      </c>
    </row>
    <row r="1920" spans="1:7" x14ac:dyDescent="0.25">
      <c r="A1920">
        <f t="shared" si="31"/>
        <v>1120170</v>
      </c>
      <c r="B1920" s="15">
        <v>140640300</v>
      </c>
      <c r="C1920" s="15">
        <v>290221164</v>
      </c>
      <c r="D1920" s="16">
        <v>112017040</v>
      </c>
      <c r="E1920" s="16" t="s">
        <v>8183</v>
      </c>
      <c r="F1920" s="20" t="s">
        <v>7056</v>
      </c>
      <c r="G1920" s="17" t="s">
        <v>8188</v>
      </c>
    </row>
    <row r="1921" spans="1:7" x14ac:dyDescent="0.25">
      <c r="A1921">
        <f t="shared" si="31"/>
        <v>1120130</v>
      </c>
      <c r="B1921" s="15">
        <v>140640300</v>
      </c>
      <c r="C1921" s="15">
        <v>290221156</v>
      </c>
      <c r="D1921" s="16">
        <v>112013044</v>
      </c>
      <c r="E1921" s="16" t="s">
        <v>8183</v>
      </c>
      <c r="F1921" s="20" t="s">
        <v>8193</v>
      </c>
      <c r="G1921" s="17" t="s">
        <v>8185</v>
      </c>
    </row>
    <row r="1922" spans="1:7" x14ac:dyDescent="0.25">
      <c r="A1922">
        <f t="shared" si="31"/>
        <v>1120170</v>
      </c>
      <c r="B1922" s="15">
        <v>140640300</v>
      </c>
      <c r="C1922" s="15">
        <v>290221161</v>
      </c>
      <c r="D1922" s="16">
        <v>112017038</v>
      </c>
      <c r="E1922" s="16" t="s">
        <v>8183</v>
      </c>
      <c r="F1922" s="20" t="s">
        <v>7055</v>
      </c>
      <c r="G1922" s="17" t="s">
        <v>8188</v>
      </c>
    </row>
    <row r="1923" spans="1:7" x14ac:dyDescent="0.25">
      <c r="A1923">
        <f t="shared" si="31"/>
        <v>1120130</v>
      </c>
      <c r="B1923" s="15">
        <v>140640300</v>
      </c>
      <c r="C1923" s="15">
        <v>290221246</v>
      </c>
      <c r="D1923" s="16">
        <v>112013034</v>
      </c>
      <c r="E1923" s="16" t="s">
        <v>8183</v>
      </c>
      <c r="F1923" s="20" t="s">
        <v>8194</v>
      </c>
      <c r="G1923" s="17" t="s">
        <v>8185</v>
      </c>
    </row>
    <row r="1924" spans="1:7" x14ac:dyDescent="0.25">
      <c r="A1924">
        <f t="shared" si="31"/>
        <v>1120140</v>
      </c>
      <c r="B1924" s="15">
        <v>140640300</v>
      </c>
      <c r="C1924" s="15">
        <v>290221146</v>
      </c>
      <c r="D1924" s="16">
        <v>112014040</v>
      </c>
      <c r="E1924" s="16" t="s">
        <v>8183</v>
      </c>
      <c r="F1924" s="20" t="s">
        <v>7295</v>
      </c>
      <c r="G1924" s="17" t="s">
        <v>8189</v>
      </c>
    </row>
    <row r="1925" spans="1:7" x14ac:dyDescent="0.25">
      <c r="A1925">
        <f t="shared" si="31"/>
        <v>1120140</v>
      </c>
      <c r="B1925" s="15">
        <v>140640300</v>
      </c>
      <c r="C1925" s="15">
        <v>290221363</v>
      </c>
      <c r="D1925" s="16">
        <v>112014034</v>
      </c>
      <c r="E1925" s="16" t="s">
        <v>8183</v>
      </c>
      <c r="F1925" s="20" t="s">
        <v>7301</v>
      </c>
      <c r="G1925" s="17" t="s">
        <v>8189</v>
      </c>
    </row>
    <row r="1926" spans="1:7" x14ac:dyDescent="0.25">
      <c r="A1926">
        <f t="shared" si="31"/>
        <v>1120285</v>
      </c>
      <c r="B1926" s="15">
        <v>140640300</v>
      </c>
      <c r="C1926" s="15">
        <v>290221369</v>
      </c>
      <c r="D1926" s="16">
        <v>112028534</v>
      </c>
      <c r="E1926" s="16" t="s">
        <v>8183</v>
      </c>
      <c r="F1926" s="20" t="s">
        <v>7290</v>
      </c>
      <c r="G1926" s="17" t="s">
        <v>8190</v>
      </c>
    </row>
    <row r="1927" spans="1:7" x14ac:dyDescent="0.25">
      <c r="A1927">
        <f t="shared" ref="A1927:A1990" si="32">LEFT(D1927,7)*1</f>
        <v>1120170</v>
      </c>
      <c r="B1927" s="15">
        <v>140640300</v>
      </c>
      <c r="C1927" s="15">
        <v>290221221</v>
      </c>
      <c r="D1927" s="16">
        <v>112017042</v>
      </c>
      <c r="E1927" s="16" t="s">
        <v>8183</v>
      </c>
      <c r="F1927" s="20" t="s">
        <v>7057</v>
      </c>
      <c r="G1927" s="17" t="s">
        <v>8188</v>
      </c>
    </row>
    <row r="1928" spans="1:7" x14ac:dyDescent="0.25">
      <c r="A1928">
        <f t="shared" si="32"/>
        <v>1120140</v>
      </c>
      <c r="B1928" s="15">
        <v>140640300</v>
      </c>
      <c r="C1928" s="15">
        <v>290221172</v>
      </c>
      <c r="D1928" s="16">
        <v>112014042</v>
      </c>
      <c r="E1928" s="16" t="s">
        <v>8183</v>
      </c>
      <c r="F1928" s="20" t="s">
        <v>7300</v>
      </c>
      <c r="G1928" s="17" t="s">
        <v>8189</v>
      </c>
    </row>
    <row r="1929" spans="1:7" x14ac:dyDescent="0.25">
      <c r="A1929">
        <f t="shared" si="32"/>
        <v>1120140</v>
      </c>
      <c r="B1929" s="15">
        <v>140640300</v>
      </c>
      <c r="C1929" s="15">
        <v>290221240</v>
      </c>
      <c r="D1929" s="16">
        <v>112014044</v>
      </c>
      <c r="E1929" s="16" t="s">
        <v>8183</v>
      </c>
      <c r="F1929" s="20" t="s">
        <v>7299</v>
      </c>
      <c r="G1929" s="17" t="s">
        <v>8189</v>
      </c>
    </row>
    <row r="1930" spans="1:7" x14ac:dyDescent="0.25">
      <c r="A1930">
        <f t="shared" si="32"/>
        <v>1120130</v>
      </c>
      <c r="B1930" s="15">
        <v>140640300</v>
      </c>
      <c r="C1930" s="15">
        <v>290221183</v>
      </c>
      <c r="D1930" s="16">
        <v>112013046</v>
      </c>
      <c r="E1930" s="16" t="s">
        <v>8183</v>
      </c>
      <c r="F1930" s="20" t="s">
        <v>8195</v>
      </c>
      <c r="G1930" s="17" t="s">
        <v>8185</v>
      </c>
    </row>
    <row r="1931" spans="1:7" x14ac:dyDescent="0.25">
      <c r="A1931">
        <f t="shared" si="32"/>
        <v>1120175</v>
      </c>
      <c r="B1931" s="15">
        <v>140640089</v>
      </c>
      <c r="C1931" s="15">
        <v>290219287</v>
      </c>
      <c r="D1931" s="16">
        <v>112017562</v>
      </c>
      <c r="E1931" s="16" t="s">
        <v>7275</v>
      </c>
      <c r="F1931" s="20" t="s">
        <v>8196</v>
      </c>
      <c r="G1931" s="17" t="s">
        <v>8189</v>
      </c>
    </row>
    <row r="1932" spans="1:7" x14ac:dyDescent="0.25">
      <c r="A1932">
        <f t="shared" si="32"/>
        <v>1120248</v>
      </c>
      <c r="B1932" s="15">
        <v>140640089</v>
      </c>
      <c r="C1932" s="15">
        <v>290219285</v>
      </c>
      <c r="D1932" s="16">
        <v>112024866</v>
      </c>
      <c r="E1932" s="16" t="s">
        <v>7275</v>
      </c>
      <c r="F1932" s="20" t="s">
        <v>8197</v>
      </c>
      <c r="G1932" s="17" t="s">
        <v>8190</v>
      </c>
    </row>
    <row r="1933" spans="1:7" x14ac:dyDescent="0.25">
      <c r="A1933">
        <f t="shared" si="32"/>
        <v>1120175</v>
      </c>
      <c r="B1933" s="15">
        <v>140640089</v>
      </c>
      <c r="C1933" s="15">
        <v>290219288</v>
      </c>
      <c r="D1933" s="16">
        <v>112017564</v>
      </c>
      <c r="E1933" s="16" t="s">
        <v>7275</v>
      </c>
      <c r="F1933" s="20" t="s">
        <v>8198</v>
      </c>
      <c r="G1933" s="17" t="s">
        <v>8189</v>
      </c>
    </row>
    <row r="1934" spans="1:7" x14ac:dyDescent="0.25">
      <c r="A1934">
        <f t="shared" si="32"/>
        <v>1120248</v>
      </c>
      <c r="B1934" s="15">
        <v>140640089</v>
      </c>
      <c r="C1934" s="15">
        <v>290219283</v>
      </c>
      <c r="D1934" s="16">
        <v>112024864</v>
      </c>
      <c r="E1934" s="16" t="s">
        <v>7275</v>
      </c>
      <c r="F1934" s="20" t="s">
        <v>8199</v>
      </c>
      <c r="G1934" s="17" t="s">
        <v>8190</v>
      </c>
    </row>
    <row r="1935" spans="1:7" x14ac:dyDescent="0.25">
      <c r="A1935">
        <f t="shared" si="32"/>
        <v>1120248</v>
      </c>
      <c r="B1935" s="15">
        <v>140640089</v>
      </c>
      <c r="C1935" s="15">
        <v>290219282</v>
      </c>
      <c r="D1935" s="16">
        <v>112024862</v>
      </c>
      <c r="E1935" s="16" t="s">
        <v>7275</v>
      </c>
      <c r="F1935" s="20" t="s">
        <v>8200</v>
      </c>
      <c r="G1935" s="17" t="s">
        <v>8190</v>
      </c>
    </row>
    <row r="1936" spans="1:7" x14ac:dyDescent="0.25">
      <c r="A1936">
        <f t="shared" si="32"/>
        <v>1120133</v>
      </c>
      <c r="B1936" s="15">
        <v>140640089</v>
      </c>
      <c r="C1936" s="15">
        <v>290219297</v>
      </c>
      <c r="D1936" s="16">
        <v>112013362</v>
      </c>
      <c r="E1936" s="16" t="s">
        <v>7275</v>
      </c>
      <c r="F1936" s="20" t="s">
        <v>8201</v>
      </c>
      <c r="G1936" s="17" t="s">
        <v>8185</v>
      </c>
    </row>
    <row r="1937" spans="1:7" x14ac:dyDescent="0.25">
      <c r="A1937">
        <f t="shared" si="32"/>
        <v>1120133</v>
      </c>
      <c r="B1937" s="15">
        <v>140640089</v>
      </c>
      <c r="C1937" s="15">
        <v>290219299</v>
      </c>
      <c r="D1937" s="16">
        <v>112013366</v>
      </c>
      <c r="E1937" s="16" t="s">
        <v>7275</v>
      </c>
      <c r="F1937" s="20" t="s">
        <v>8202</v>
      </c>
      <c r="G1937" s="17" t="s">
        <v>8185</v>
      </c>
    </row>
    <row r="1938" spans="1:7" x14ac:dyDescent="0.25">
      <c r="A1938">
        <f t="shared" si="32"/>
        <v>1120195</v>
      </c>
      <c r="B1938" s="15">
        <v>140640089</v>
      </c>
      <c r="C1938" s="15">
        <v>290219296</v>
      </c>
      <c r="D1938" s="16">
        <v>112019566</v>
      </c>
      <c r="E1938" s="16" t="s">
        <v>7275</v>
      </c>
      <c r="F1938" s="20" t="s">
        <v>8203</v>
      </c>
      <c r="G1938" s="17" t="s">
        <v>8188</v>
      </c>
    </row>
    <row r="1939" spans="1:7" x14ac:dyDescent="0.25">
      <c r="A1939">
        <f t="shared" si="32"/>
        <v>1120133</v>
      </c>
      <c r="B1939" s="15">
        <v>140640089</v>
      </c>
      <c r="C1939" s="15">
        <v>290219298</v>
      </c>
      <c r="D1939" s="16">
        <v>112013364</v>
      </c>
      <c r="E1939" s="16" t="s">
        <v>7275</v>
      </c>
      <c r="F1939" s="20" t="s">
        <v>8204</v>
      </c>
      <c r="G1939" s="17" t="s">
        <v>8185</v>
      </c>
    </row>
    <row r="1940" spans="1:7" x14ac:dyDescent="0.25">
      <c r="A1940">
        <f t="shared" si="32"/>
        <v>1120195</v>
      </c>
      <c r="B1940" s="15">
        <v>140640089</v>
      </c>
      <c r="C1940" s="15">
        <v>290219291</v>
      </c>
      <c r="D1940" s="16">
        <v>112019562</v>
      </c>
      <c r="E1940" s="16" t="s">
        <v>7275</v>
      </c>
      <c r="F1940" s="20" t="s">
        <v>8205</v>
      </c>
      <c r="G1940" s="17" t="s">
        <v>8188</v>
      </c>
    </row>
    <row r="1941" spans="1:7" x14ac:dyDescent="0.25">
      <c r="A1941">
        <f t="shared" si="32"/>
        <v>1120195</v>
      </c>
      <c r="B1941" s="15">
        <v>140640089</v>
      </c>
      <c r="C1941" s="15">
        <v>290219294</v>
      </c>
      <c r="D1941" s="16">
        <v>112019564</v>
      </c>
      <c r="E1941" s="16" t="s">
        <v>7275</v>
      </c>
      <c r="F1941" s="20" t="s">
        <v>8206</v>
      </c>
      <c r="G1941" s="17" t="s">
        <v>8188</v>
      </c>
    </row>
    <row r="1942" spans="1:7" x14ac:dyDescent="0.25">
      <c r="A1942">
        <f t="shared" si="32"/>
        <v>1120175</v>
      </c>
      <c r="B1942" s="15">
        <v>140640089</v>
      </c>
      <c r="C1942" s="15">
        <v>290219289</v>
      </c>
      <c r="D1942" s="16">
        <v>112017566</v>
      </c>
      <c r="E1942" s="16" t="s">
        <v>7275</v>
      </c>
      <c r="F1942" s="20" t="s">
        <v>8207</v>
      </c>
      <c r="G1942" s="17" t="s">
        <v>8189</v>
      </c>
    </row>
    <row r="1943" spans="1:7" x14ac:dyDescent="0.25">
      <c r="A1943">
        <f t="shared" si="32"/>
        <v>1120724</v>
      </c>
      <c r="B1943" s="15">
        <v>140640293</v>
      </c>
      <c r="C1943" s="15">
        <v>290221091</v>
      </c>
      <c r="D1943" s="16">
        <v>112072438</v>
      </c>
      <c r="E1943" s="16" t="s">
        <v>8208</v>
      </c>
      <c r="F1943" s="20" t="s">
        <v>7055</v>
      </c>
      <c r="G1943" s="17" t="s">
        <v>8209</v>
      </c>
    </row>
    <row r="1944" spans="1:7" x14ac:dyDescent="0.25">
      <c r="A1944">
        <f t="shared" si="32"/>
        <v>1120724</v>
      </c>
      <c r="B1944" s="15">
        <v>140640293</v>
      </c>
      <c r="C1944" s="15">
        <v>290221095</v>
      </c>
      <c r="D1944" s="16">
        <v>112072448</v>
      </c>
      <c r="E1944" s="16" t="s">
        <v>8208</v>
      </c>
      <c r="F1944" s="20" t="s">
        <v>7279</v>
      </c>
      <c r="G1944" s="17" t="s">
        <v>8209</v>
      </c>
    </row>
    <row r="1945" spans="1:7" x14ac:dyDescent="0.25">
      <c r="A1945">
        <f t="shared" si="32"/>
        <v>1120724</v>
      </c>
      <c r="B1945" s="15">
        <v>140640293</v>
      </c>
      <c r="C1945" s="15">
        <v>290221104</v>
      </c>
      <c r="D1945" s="16">
        <v>112072436</v>
      </c>
      <c r="E1945" s="16" t="s">
        <v>8208</v>
      </c>
      <c r="F1945" s="20" t="s">
        <v>7054</v>
      </c>
      <c r="G1945" s="17" t="s">
        <v>8209</v>
      </c>
    </row>
    <row r="1946" spans="1:7" x14ac:dyDescent="0.25">
      <c r="A1946">
        <f t="shared" si="32"/>
        <v>1120724</v>
      </c>
      <c r="B1946" s="15">
        <v>140640293</v>
      </c>
      <c r="C1946" s="15">
        <v>290221117</v>
      </c>
      <c r="D1946" s="16">
        <v>112072434</v>
      </c>
      <c r="E1946" s="16" t="s">
        <v>8208</v>
      </c>
      <c r="F1946" s="20" t="s">
        <v>7280</v>
      </c>
      <c r="G1946" s="17" t="s">
        <v>8209</v>
      </c>
    </row>
    <row r="1947" spans="1:7" x14ac:dyDescent="0.25">
      <c r="A1947">
        <f t="shared" si="32"/>
        <v>1120724</v>
      </c>
      <c r="B1947" s="15">
        <v>140640293</v>
      </c>
      <c r="C1947" s="15">
        <v>290221129</v>
      </c>
      <c r="D1947" s="16">
        <v>112072446</v>
      </c>
      <c r="E1947" s="16" t="s">
        <v>8208</v>
      </c>
      <c r="F1947" s="20" t="s">
        <v>7059</v>
      </c>
      <c r="G1947" s="17" t="s">
        <v>8209</v>
      </c>
    </row>
    <row r="1948" spans="1:7" x14ac:dyDescent="0.25">
      <c r="A1948">
        <f t="shared" si="32"/>
        <v>1120720</v>
      </c>
      <c r="B1948" s="15">
        <v>140640293</v>
      </c>
      <c r="C1948" s="15">
        <v>290221130</v>
      </c>
      <c r="D1948" s="16">
        <v>112072046</v>
      </c>
      <c r="E1948" s="16" t="s">
        <v>8208</v>
      </c>
      <c r="F1948" s="20" t="s">
        <v>7291</v>
      </c>
      <c r="G1948" s="17" t="s">
        <v>8210</v>
      </c>
    </row>
    <row r="1949" spans="1:7" x14ac:dyDescent="0.25">
      <c r="A1949">
        <f t="shared" si="32"/>
        <v>1120724</v>
      </c>
      <c r="B1949" s="15">
        <v>140640293</v>
      </c>
      <c r="C1949" s="15">
        <v>290221138</v>
      </c>
      <c r="D1949" s="16">
        <v>112072442</v>
      </c>
      <c r="E1949" s="16" t="s">
        <v>8208</v>
      </c>
      <c r="F1949" s="20" t="s">
        <v>7057</v>
      </c>
      <c r="G1949" s="17" t="s">
        <v>8209</v>
      </c>
    </row>
    <row r="1950" spans="1:7" x14ac:dyDescent="0.25">
      <c r="A1950">
        <f t="shared" si="32"/>
        <v>1120720</v>
      </c>
      <c r="B1950" s="15">
        <v>140640293</v>
      </c>
      <c r="C1950" s="15">
        <v>290221135</v>
      </c>
      <c r="D1950" s="16">
        <v>112072038</v>
      </c>
      <c r="E1950" s="16" t="s">
        <v>8208</v>
      </c>
      <c r="F1950" s="20" t="s">
        <v>7286</v>
      </c>
      <c r="G1950" s="17" t="s">
        <v>8210</v>
      </c>
    </row>
    <row r="1951" spans="1:7" x14ac:dyDescent="0.25">
      <c r="A1951">
        <f t="shared" si="32"/>
        <v>1120720</v>
      </c>
      <c r="B1951" s="15">
        <v>140640293</v>
      </c>
      <c r="C1951" s="15">
        <v>290221150</v>
      </c>
      <c r="D1951" s="16">
        <v>112072042</v>
      </c>
      <c r="E1951" s="16" t="s">
        <v>8208</v>
      </c>
      <c r="F1951" s="20" t="s">
        <v>7289</v>
      </c>
      <c r="G1951" s="17" t="s">
        <v>8210</v>
      </c>
    </row>
    <row r="1952" spans="1:7" x14ac:dyDescent="0.25">
      <c r="A1952">
        <f t="shared" si="32"/>
        <v>1120720</v>
      </c>
      <c r="B1952" s="15">
        <v>140640293</v>
      </c>
      <c r="C1952" s="15">
        <v>290221125</v>
      </c>
      <c r="D1952" s="16">
        <v>112072040</v>
      </c>
      <c r="E1952" s="16" t="s">
        <v>8208</v>
      </c>
      <c r="F1952" s="20" t="s">
        <v>7284</v>
      </c>
      <c r="G1952" s="17" t="s">
        <v>8210</v>
      </c>
    </row>
    <row r="1953" spans="1:7" x14ac:dyDescent="0.25">
      <c r="A1953">
        <f t="shared" si="32"/>
        <v>1120720</v>
      </c>
      <c r="B1953" s="15">
        <v>140640293</v>
      </c>
      <c r="C1953" s="15">
        <v>290221140</v>
      </c>
      <c r="D1953" s="16">
        <v>112072036</v>
      </c>
      <c r="E1953" s="16" t="s">
        <v>8208</v>
      </c>
      <c r="F1953" s="20" t="s">
        <v>7287</v>
      </c>
      <c r="G1953" s="17" t="s">
        <v>8210</v>
      </c>
    </row>
    <row r="1954" spans="1:7" x14ac:dyDescent="0.25">
      <c r="A1954">
        <f t="shared" si="32"/>
        <v>1120720</v>
      </c>
      <c r="B1954" s="15">
        <v>140640293</v>
      </c>
      <c r="C1954" s="15">
        <v>290221139</v>
      </c>
      <c r="D1954" s="16">
        <v>112072044</v>
      </c>
      <c r="E1954" s="16" t="s">
        <v>8208</v>
      </c>
      <c r="F1954" s="20" t="s">
        <v>7288</v>
      </c>
      <c r="G1954" s="17" t="s">
        <v>8210</v>
      </c>
    </row>
    <row r="1955" spans="1:7" x14ac:dyDescent="0.25">
      <c r="A1955">
        <f t="shared" si="32"/>
        <v>1120720</v>
      </c>
      <c r="B1955" s="15">
        <v>140640293</v>
      </c>
      <c r="C1955" s="15">
        <v>290221145</v>
      </c>
      <c r="D1955" s="16">
        <v>112072034</v>
      </c>
      <c r="E1955" s="16" t="s">
        <v>8208</v>
      </c>
      <c r="F1955" s="20" t="s">
        <v>7290</v>
      </c>
      <c r="G1955" s="17" t="s">
        <v>8210</v>
      </c>
    </row>
    <row r="1956" spans="1:7" x14ac:dyDescent="0.25">
      <c r="A1956">
        <f t="shared" si="32"/>
        <v>1120724</v>
      </c>
      <c r="B1956" s="15">
        <v>140640293</v>
      </c>
      <c r="C1956" s="15">
        <v>290221101</v>
      </c>
      <c r="D1956" s="16">
        <v>112072444</v>
      </c>
      <c r="E1956" s="16" t="s">
        <v>8208</v>
      </c>
      <c r="F1956" s="20" t="s">
        <v>7058</v>
      </c>
      <c r="G1956" s="17" t="s">
        <v>8209</v>
      </c>
    </row>
    <row r="1957" spans="1:7" x14ac:dyDescent="0.25">
      <c r="A1957">
        <f t="shared" si="32"/>
        <v>1120724</v>
      </c>
      <c r="B1957" s="15">
        <v>140640293</v>
      </c>
      <c r="C1957" s="15">
        <v>290221093</v>
      </c>
      <c r="D1957" s="16">
        <v>112072440</v>
      </c>
      <c r="E1957" s="16" t="s">
        <v>8208</v>
      </c>
      <c r="F1957" s="20" t="s">
        <v>7056</v>
      </c>
      <c r="G1957" s="17" t="s">
        <v>8209</v>
      </c>
    </row>
    <row r="1958" spans="1:7" x14ac:dyDescent="0.25">
      <c r="A1958">
        <f t="shared" si="32"/>
        <v>1120720</v>
      </c>
      <c r="B1958" s="15">
        <v>140640293</v>
      </c>
      <c r="C1958" s="15">
        <v>290221133</v>
      </c>
      <c r="D1958" s="16">
        <v>112072048</v>
      </c>
      <c r="E1958" s="16" t="s">
        <v>8208</v>
      </c>
      <c r="F1958" s="20" t="s">
        <v>7285</v>
      </c>
      <c r="G1958" s="17" t="s">
        <v>8210</v>
      </c>
    </row>
    <row r="1959" spans="1:7" x14ac:dyDescent="0.25">
      <c r="A1959">
        <f t="shared" si="32"/>
        <v>1120724</v>
      </c>
      <c r="B1959" s="15">
        <v>140640126</v>
      </c>
      <c r="C1959" s="15">
        <v>290219810</v>
      </c>
      <c r="D1959" s="16">
        <v>112072440</v>
      </c>
      <c r="E1959" s="16" t="s">
        <v>8211</v>
      </c>
      <c r="F1959" s="20" t="s">
        <v>7056</v>
      </c>
      <c r="G1959" s="17" t="s">
        <v>8212</v>
      </c>
    </row>
    <row r="1960" spans="1:7" x14ac:dyDescent="0.25">
      <c r="A1960">
        <f t="shared" si="32"/>
        <v>1120724</v>
      </c>
      <c r="B1960" s="15">
        <v>140640126</v>
      </c>
      <c r="C1960" s="15">
        <v>290219812</v>
      </c>
      <c r="D1960" s="16">
        <v>112072444</v>
      </c>
      <c r="E1960" s="16" t="s">
        <v>8211</v>
      </c>
      <c r="F1960" s="20" t="s">
        <v>7058</v>
      </c>
      <c r="G1960" s="17" t="s">
        <v>8212</v>
      </c>
    </row>
    <row r="1961" spans="1:7" x14ac:dyDescent="0.25">
      <c r="A1961">
        <f t="shared" si="32"/>
        <v>1120724</v>
      </c>
      <c r="B1961" s="15">
        <v>140640126</v>
      </c>
      <c r="C1961" s="15">
        <v>290219816</v>
      </c>
      <c r="D1961" s="16">
        <v>112072436</v>
      </c>
      <c r="E1961" s="16" t="s">
        <v>8211</v>
      </c>
      <c r="F1961" s="20" t="s">
        <v>7054</v>
      </c>
      <c r="G1961" s="17" t="s">
        <v>8212</v>
      </c>
    </row>
    <row r="1962" spans="1:7" x14ac:dyDescent="0.25">
      <c r="A1962">
        <f t="shared" si="32"/>
        <v>1120724</v>
      </c>
      <c r="B1962" s="15">
        <v>140640126</v>
      </c>
      <c r="C1962" s="15">
        <v>290219821</v>
      </c>
      <c r="D1962" s="16">
        <v>112072446</v>
      </c>
      <c r="E1962" s="16" t="s">
        <v>8211</v>
      </c>
      <c r="F1962" s="20" t="s">
        <v>7059</v>
      </c>
      <c r="G1962" s="17" t="s">
        <v>8212</v>
      </c>
    </row>
    <row r="1963" spans="1:7" x14ac:dyDescent="0.25">
      <c r="A1963">
        <f t="shared" si="32"/>
        <v>1120724</v>
      </c>
      <c r="B1963" s="15">
        <v>140640126</v>
      </c>
      <c r="C1963" s="15">
        <v>290219814</v>
      </c>
      <c r="D1963" s="16">
        <v>112072448</v>
      </c>
      <c r="E1963" s="16" t="s">
        <v>8211</v>
      </c>
      <c r="F1963" s="20" t="s">
        <v>7279</v>
      </c>
      <c r="G1963" s="17" t="s">
        <v>8212</v>
      </c>
    </row>
    <row r="1964" spans="1:7" x14ac:dyDescent="0.25">
      <c r="A1964">
        <f t="shared" si="32"/>
        <v>1120720</v>
      </c>
      <c r="B1964" s="15">
        <v>140640126</v>
      </c>
      <c r="C1964" s="15">
        <v>290219813</v>
      </c>
      <c r="D1964" s="16">
        <v>112072048</v>
      </c>
      <c r="E1964" s="16" t="s">
        <v>8211</v>
      </c>
      <c r="F1964" s="20" t="s">
        <v>7285</v>
      </c>
      <c r="G1964" s="17" t="s">
        <v>8213</v>
      </c>
    </row>
    <row r="1965" spans="1:7" x14ac:dyDescent="0.25">
      <c r="A1965">
        <f t="shared" si="32"/>
        <v>1120724</v>
      </c>
      <c r="B1965" s="15">
        <v>140640126</v>
      </c>
      <c r="C1965" s="15">
        <v>290219824</v>
      </c>
      <c r="D1965" s="16">
        <v>112072438</v>
      </c>
      <c r="E1965" s="16" t="s">
        <v>8211</v>
      </c>
      <c r="F1965" s="20" t="s">
        <v>7055</v>
      </c>
      <c r="G1965" s="17" t="s">
        <v>8212</v>
      </c>
    </row>
    <row r="1966" spans="1:7" x14ac:dyDescent="0.25">
      <c r="A1966">
        <f t="shared" si="32"/>
        <v>1120724</v>
      </c>
      <c r="B1966" s="15">
        <v>140640126</v>
      </c>
      <c r="C1966" s="15">
        <v>290219817</v>
      </c>
      <c r="D1966" s="16">
        <v>112072434</v>
      </c>
      <c r="E1966" s="16" t="s">
        <v>8211</v>
      </c>
      <c r="F1966" s="20" t="s">
        <v>7280</v>
      </c>
      <c r="G1966" s="17" t="s">
        <v>8212</v>
      </c>
    </row>
    <row r="1967" spans="1:7" x14ac:dyDescent="0.25">
      <c r="A1967">
        <f t="shared" si="32"/>
        <v>1120720</v>
      </c>
      <c r="B1967" s="15">
        <v>140640126</v>
      </c>
      <c r="C1967" s="15">
        <v>290219822</v>
      </c>
      <c r="D1967" s="16">
        <v>112072046</v>
      </c>
      <c r="E1967" s="16" t="s">
        <v>8211</v>
      </c>
      <c r="F1967" s="20" t="s">
        <v>7291</v>
      </c>
      <c r="G1967" s="17" t="s">
        <v>8213</v>
      </c>
    </row>
    <row r="1968" spans="1:7" x14ac:dyDescent="0.25">
      <c r="A1968">
        <f t="shared" si="32"/>
        <v>1120720</v>
      </c>
      <c r="B1968" s="15">
        <v>140640126</v>
      </c>
      <c r="C1968" s="15">
        <v>290219819</v>
      </c>
      <c r="D1968" s="16">
        <v>112072040</v>
      </c>
      <c r="E1968" s="16" t="s">
        <v>8211</v>
      </c>
      <c r="F1968" s="20" t="s">
        <v>7284</v>
      </c>
      <c r="G1968" s="17" t="s">
        <v>8213</v>
      </c>
    </row>
    <row r="1969" spans="1:7" x14ac:dyDescent="0.25">
      <c r="A1969">
        <f t="shared" si="32"/>
        <v>1120720</v>
      </c>
      <c r="B1969" s="15">
        <v>140640126</v>
      </c>
      <c r="C1969" s="15">
        <v>290219830</v>
      </c>
      <c r="D1969" s="16">
        <v>112072034</v>
      </c>
      <c r="E1969" s="16" t="s">
        <v>8211</v>
      </c>
      <c r="F1969" s="20" t="s">
        <v>7290</v>
      </c>
      <c r="G1969" s="17" t="s">
        <v>8213</v>
      </c>
    </row>
    <row r="1970" spans="1:7" x14ac:dyDescent="0.25">
      <c r="A1970">
        <f t="shared" si="32"/>
        <v>1120720</v>
      </c>
      <c r="B1970" s="15">
        <v>140640126</v>
      </c>
      <c r="C1970" s="15">
        <v>290219825</v>
      </c>
      <c r="D1970" s="16">
        <v>112072038</v>
      </c>
      <c r="E1970" s="16" t="s">
        <v>8211</v>
      </c>
      <c r="F1970" s="20" t="s">
        <v>7286</v>
      </c>
      <c r="G1970" s="17" t="s">
        <v>8213</v>
      </c>
    </row>
    <row r="1971" spans="1:7" x14ac:dyDescent="0.25">
      <c r="A1971">
        <f t="shared" si="32"/>
        <v>1120720</v>
      </c>
      <c r="B1971" s="15">
        <v>140640126</v>
      </c>
      <c r="C1971" s="15">
        <v>290219829</v>
      </c>
      <c r="D1971" s="16">
        <v>112072036</v>
      </c>
      <c r="E1971" s="16" t="s">
        <v>8211</v>
      </c>
      <c r="F1971" s="20" t="s">
        <v>7287</v>
      </c>
      <c r="G1971" s="17" t="s">
        <v>8213</v>
      </c>
    </row>
    <row r="1972" spans="1:7" x14ac:dyDescent="0.25">
      <c r="A1972">
        <f t="shared" si="32"/>
        <v>1120724</v>
      </c>
      <c r="B1972" s="15">
        <v>140640126</v>
      </c>
      <c r="C1972" s="15">
        <v>290219827</v>
      </c>
      <c r="D1972" s="16">
        <v>112072442</v>
      </c>
      <c r="E1972" s="16" t="s">
        <v>8211</v>
      </c>
      <c r="F1972" s="20" t="s">
        <v>7057</v>
      </c>
      <c r="G1972" s="17" t="s">
        <v>8212</v>
      </c>
    </row>
    <row r="1973" spans="1:7" x14ac:dyDescent="0.25">
      <c r="A1973">
        <f t="shared" si="32"/>
        <v>1120720</v>
      </c>
      <c r="B1973" s="15">
        <v>140640126</v>
      </c>
      <c r="C1973" s="15">
        <v>290219828</v>
      </c>
      <c r="D1973" s="16">
        <v>112072044</v>
      </c>
      <c r="E1973" s="16" t="s">
        <v>8211</v>
      </c>
      <c r="F1973" s="20" t="s">
        <v>7288</v>
      </c>
      <c r="G1973" s="17" t="s">
        <v>8213</v>
      </c>
    </row>
    <row r="1974" spans="1:7" x14ac:dyDescent="0.25">
      <c r="A1974">
        <f t="shared" si="32"/>
        <v>1120720</v>
      </c>
      <c r="B1974" s="15">
        <v>140640126</v>
      </c>
      <c r="C1974" s="15">
        <v>290219831</v>
      </c>
      <c r="D1974" s="16">
        <v>112072042</v>
      </c>
      <c r="E1974" s="16" t="s">
        <v>8211</v>
      </c>
      <c r="F1974" s="20" t="s">
        <v>7289</v>
      </c>
      <c r="G1974" s="17" t="s">
        <v>8213</v>
      </c>
    </row>
    <row r="1975" spans="1:7" x14ac:dyDescent="0.25">
      <c r="A1975">
        <f t="shared" si="32"/>
        <v>1120504</v>
      </c>
      <c r="B1975" s="15">
        <v>140640309</v>
      </c>
      <c r="C1975" s="15">
        <v>290221184</v>
      </c>
      <c r="D1975" s="16">
        <v>112050440</v>
      </c>
      <c r="E1975" s="16" t="s">
        <v>8214</v>
      </c>
      <c r="F1975" s="20" t="s">
        <v>7063</v>
      </c>
      <c r="G1975" s="17" t="s">
        <v>8215</v>
      </c>
    </row>
    <row r="1976" spans="1:7" x14ac:dyDescent="0.25">
      <c r="A1976">
        <f t="shared" si="32"/>
        <v>1120060</v>
      </c>
      <c r="B1976" s="15">
        <v>140640309</v>
      </c>
      <c r="C1976" s="15">
        <v>290221212</v>
      </c>
      <c r="D1976" s="16">
        <v>112006038</v>
      </c>
      <c r="E1976" s="16" t="s">
        <v>8214</v>
      </c>
      <c r="F1976" s="20" t="s">
        <v>7124</v>
      </c>
      <c r="G1976" s="17" t="s">
        <v>8216</v>
      </c>
    </row>
    <row r="1977" spans="1:7" x14ac:dyDescent="0.25">
      <c r="A1977">
        <f t="shared" si="32"/>
        <v>1120504</v>
      </c>
      <c r="B1977" s="15">
        <v>140640309</v>
      </c>
      <c r="C1977" s="15">
        <v>290221199</v>
      </c>
      <c r="D1977" s="16">
        <v>112050436</v>
      </c>
      <c r="E1977" s="16" t="s">
        <v>8214</v>
      </c>
      <c r="F1977" s="20" t="s">
        <v>7060</v>
      </c>
      <c r="G1977" s="17" t="s">
        <v>8215</v>
      </c>
    </row>
    <row r="1978" spans="1:7" x14ac:dyDescent="0.25">
      <c r="A1978">
        <f t="shared" si="32"/>
        <v>1120504</v>
      </c>
      <c r="B1978" s="15">
        <v>140640309</v>
      </c>
      <c r="C1978" s="15">
        <v>290221204</v>
      </c>
      <c r="D1978" s="16">
        <v>112050444</v>
      </c>
      <c r="E1978" s="16" t="s">
        <v>8214</v>
      </c>
      <c r="F1978" s="20" t="s">
        <v>7068</v>
      </c>
      <c r="G1978" s="17" t="s">
        <v>8215</v>
      </c>
    </row>
    <row r="1979" spans="1:7" x14ac:dyDescent="0.25">
      <c r="A1979">
        <f t="shared" si="32"/>
        <v>1120504</v>
      </c>
      <c r="B1979" s="15">
        <v>140640309</v>
      </c>
      <c r="C1979" s="15">
        <v>290221206</v>
      </c>
      <c r="D1979" s="16">
        <v>112050446</v>
      </c>
      <c r="E1979" s="16" t="s">
        <v>8214</v>
      </c>
      <c r="F1979" s="20" t="s">
        <v>7066</v>
      </c>
      <c r="G1979" s="17" t="s">
        <v>8215</v>
      </c>
    </row>
    <row r="1980" spans="1:7" x14ac:dyDescent="0.25">
      <c r="A1980">
        <f t="shared" si="32"/>
        <v>1120500</v>
      </c>
      <c r="B1980" s="15">
        <v>140640309</v>
      </c>
      <c r="C1980" s="15">
        <v>290221190</v>
      </c>
      <c r="D1980" s="16">
        <v>112050044</v>
      </c>
      <c r="E1980" s="16" t="s">
        <v>8214</v>
      </c>
      <c r="F1980" s="20" t="s">
        <v>7131</v>
      </c>
      <c r="G1980" s="17" t="s">
        <v>8217</v>
      </c>
    </row>
    <row r="1981" spans="1:7" x14ac:dyDescent="0.25">
      <c r="A1981">
        <f t="shared" si="32"/>
        <v>1120500</v>
      </c>
      <c r="B1981" s="15">
        <v>140640309</v>
      </c>
      <c r="C1981" s="15">
        <v>290221187</v>
      </c>
      <c r="D1981" s="16">
        <v>112050034</v>
      </c>
      <c r="E1981" s="16" t="s">
        <v>8214</v>
      </c>
      <c r="F1981" s="20" t="s">
        <v>7129</v>
      </c>
      <c r="G1981" s="17" t="s">
        <v>8217</v>
      </c>
    </row>
    <row r="1982" spans="1:7" x14ac:dyDescent="0.25">
      <c r="A1982">
        <f t="shared" si="32"/>
        <v>1120060</v>
      </c>
      <c r="B1982" s="15">
        <v>140640309</v>
      </c>
      <c r="C1982" s="15">
        <v>290221219</v>
      </c>
      <c r="D1982" s="16">
        <v>112006044</v>
      </c>
      <c r="E1982" s="16" t="s">
        <v>8214</v>
      </c>
      <c r="F1982" s="20" t="s">
        <v>7123</v>
      </c>
      <c r="G1982" s="17" t="s">
        <v>8216</v>
      </c>
    </row>
    <row r="1983" spans="1:7" x14ac:dyDescent="0.25">
      <c r="A1983">
        <f t="shared" si="32"/>
        <v>1120055</v>
      </c>
      <c r="B1983" s="15">
        <v>140640309</v>
      </c>
      <c r="C1983" s="15">
        <v>290221235</v>
      </c>
      <c r="D1983" s="16">
        <v>112005548</v>
      </c>
      <c r="E1983" s="16" t="s">
        <v>8214</v>
      </c>
      <c r="F1983" s="20" t="s">
        <v>7163</v>
      </c>
      <c r="G1983" s="17" t="s">
        <v>8218</v>
      </c>
    </row>
    <row r="1984" spans="1:7" x14ac:dyDescent="0.25">
      <c r="A1984">
        <f t="shared" si="32"/>
        <v>1120060</v>
      </c>
      <c r="B1984" s="15">
        <v>140640309</v>
      </c>
      <c r="C1984" s="15">
        <v>290221216</v>
      </c>
      <c r="D1984" s="16">
        <v>112006042</v>
      </c>
      <c r="E1984" s="16" t="s">
        <v>8214</v>
      </c>
      <c r="F1984" s="20" t="s">
        <v>7126</v>
      </c>
      <c r="G1984" s="17" t="s">
        <v>8216</v>
      </c>
    </row>
    <row r="1985" spans="1:7" x14ac:dyDescent="0.25">
      <c r="A1985">
        <f t="shared" si="32"/>
        <v>1120055</v>
      </c>
      <c r="B1985" s="15">
        <v>140640309</v>
      </c>
      <c r="C1985" s="15">
        <v>290221226</v>
      </c>
      <c r="D1985" s="16">
        <v>112005538</v>
      </c>
      <c r="E1985" s="16" t="s">
        <v>8214</v>
      </c>
      <c r="F1985" s="20" t="s">
        <v>7080</v>
      </c>
      <c r="G1985" s="17" t="s">
        <v>8218</v>
      </c>
    </row>
    <row r="1986" spans="1:7" x14ac:dyDescent="0.25">
      <c r="A1986">
        <f t="shared" si="32"/>
        <v>1120060</v>
      </c>
      <c r="B1986" s="15">
        <v>140640309</v>
      </c>
      <c r="C1986" s="15">
        <v>290221220</v>
      </c>
      <c r="D1986" s="16">
        <v>112006046</v>
      </c>
      <c r="E1986" s="16" t="s">
        <v>8214</v>
      </c>
      <c r="F1986" s="20" t="s">
        <v>7151</v>
      </c>
      <c r="G1986" s="17" t="s">
        <v>8216</v>
      </c>
    </row>
    <row r="1987" spans="1:7" x14ac:dyDescent="0.25">
      <c r="A1987">
        <f t="shared" si="32"/>
        <v>1120055</v>
      </c>
      <c r="B1987" s="15">
        <v>140640309</v>
      </c>
      <c r="C1987" s="15">
        <v>290221224</v>
      </c>
      <c r="D1987" s="16">
        <v>112005534</v>
      </c>
      <c r="E1987" s="16" t="s">
        <v>8214</v>
      </c>
      <c r="F1987" s="20" t="s">
        <v>7139</v>
      </c>
      <c r="G1987" s="17" t="s">
        <v>8218</v>
      </c>
    </row>
    <row r="1988" spans="1:7" x14ac:dyDescent="0.25">
      <c r="A1988">
        <f t="shared" si="32"/>
        <v>1120055</v>
      </c>
      <c r="B1988" s="15">
        <v>140640309</v>
      </c>
      <c r="C1988" s="15">
        <v>290221231</v>
      </c>
      <c r="D1988" s="16">
        <v>112005544</v>
      </c>
      <c r="E1988" s="16" t="s">
        <v>8214</v>
      </c>
      <c r="F1988" s="20" t="s">
        <v>7088</v>
      </c>
      <c r="G1988" s="17" t="s">
        <v>8218</v>
      </c>
    </row>
    <row r="1989" spans="1:7" x14ac:dyDescent="0.25">
      <c r="A1989">
        <f t="shared" si="32"/>
        <v>1120055</v>
      </c>
      <c r="B1989" s="15">
        <v>140640309</v>
      </c>
      <c r="C1989" s="15">
        <v>290221225</v>
      </c>
      <c r="D1989" s="16">
        <v>112005536</v>
      </c>
      <c r="E1989" s="16" t="s">
        <v>8214</v>
      </c>
      <c r="F1989" s="20" t="s">
        <v>7078</v>
      </c>
      <c r="G1989" s="17" t="s">
        <v>8218</v>
      </c>
    </row>
    <row r="1990" spans="1:7" x14ac:dyDescent="0.25">
      <c r="A1990">
        <f t="shared" si="32"/>
        <v>1120055</v>
      </c>
      <c r="B1990" s="15">
        <v>140640309</v>
      </c>
      <c r="C1990" s="15">
        <v>290221233</v>
      </c>
      <c r="D1990" s="16">
        <v>112005546</v>
      </c>
      <c r="E1990" s="16" t="s">
        <v>8214</v>
      </c>
      <c r="F1990" s="20" t="s">
        <v>7086</v>
      </c>
      <c r="G1990" s="17" t="s">
        <v>8218</v>
      </c>
    </row>
    <row r="1991" spans="1:7" x14ac:dyDescent="0.25">
      <c r="A1991">
        <f t="shared" ref="A1991:A2054" si="33">LEFT(D1991,7)*1</f>
        <v>1120060</v>
      </c>
      <c r="B1991" s="15">
        <v>140640309</v>
      </c>
      <c r="C1991" s="15">
        <v>290221223</v>
      </c>
      <c r="D1991" s="16">
        <v>112006048</v>
      </c>
      <c r="E1991" s="16" t="s">
        <v>8214</v>
      </c>
      <c r="F1991" s="20" t="s">
        <v>7152</v>
      </c>
      <c r="G1991" s="17" t="s">
        <v>8216</v>
      </c>
    </row>
    <row r="1992" spans="1:7" x14ac:dyDescent="0.25">
      <c r="A1992">
        <f t="shared" si="33"/>
        <v>1120055</v>
      </c>
      <c r="B1992" s="15">
        <v>140640309</v>
      </c>
      <c r="C1992" s="15">
        <v>290221230</v>
      </c>
      <c r="D1992" s="16">
        <v>112005542</v>
      </c>
      <c r="E1992" s="16" t="s">
        <v>8214</v>
      </c>
      <c r="F1992" s="20" t="s">
        <v>7089</v>
      </c>
      <c r="G1992" s="17" t="s">
        <v>8218</v>
      </c>
    </row>
    <row r="1993" spans="1:7" x14ac:dyDescent="0.25">
      <c r="A1993">
        <f t="shared" si="33"/>
        <v>1120055</v>
      </c>
      <c r="B1993" s="15">
        <v>140640309</v>
      </c>
      <c r="C1993" s="15">
        <v>290221228</v>
      </c>
      <c r="D1993" s="16">
        <v>112005540</v>
      </c>
      <c r="E1993" s="16" t="s">
        <v>8214</v>
      </c>
      <c r="F1993" s="20" t="s">
        <v>7082</v>
      </c>
      <c r="G1993" s="17" t="s">
        <v>8218</v>
      </c>
    </row>
    <row r="1994" spans="1:7" x14ac:dyDescent="0.25">
      <c r="A1994">
        <f t="shared" si="33"/>
        <v>1120504</v>
      </c>
      <c r="B1994" s="15">
        <v>140640309</v>
      </c>
      <c r="C1994" s="15">
        <v>290221200</v>
      </c>
      <c r="D1994" s="16">
        <v>112050438</v>
      </c>
      <c r="E1994" s="16" t="s">
        <v>8214</v>
      </c>
      <c r="F1994" s="20" t="s">
        <v>7067</v>
      </c>
      <c r="G1994" s="17" t="s">
        <v>8215</v>
      </c>
    </row>
    <row r="1995" spans="1:7" x14ac:dyDescent="0.25">
      <c r="A1995">
        <f t="shared" si="33"/>
        <v>1120500</v>
      </c>
      <c r="B1995" s="15">
        <v>140640309</v>
      </c>
      <c r="C1995" s="15">
        <v>290221186</v>
      </c>
      <c r="D1995" s="16">
        <v>112050036</v>
      </c>
      <c r="E1995" s="16" t="s">
        <v>8214</v>
      </c>
      <c r="F1995" s="20" t="s">
        <v>7128</v>
      </c>
      <c r="G1995" s="17" t="s">
        <v>8217</v>
      </c>
    </row>
    <row r="1996" spans="1:7" x14ac:dyDescent="0.25">
      <c r="A1996">
        <f t="shared" si="33"/>
        <v>1120500</v>
      </c>
      <c r="B1996" s="15">
        <v>140640309</v>
      </c>
      <c r="C1996" s="15">
        <v>290221188</v>
      </c>
      <c r="D1996" s="16">
        <v>112050042</v>
      </c>
      <c r="E1996" s="16" t="s">
        <v>8214</v>
      </c>
      <c r="F1996" s="20" t="s">
        <v>7127</v>
      </c>
      <c r="G1996" s="17" t="s">
        <v>8217</v>
      </c>
    </row>
    <row r="1997" spans="1:7" x14ac:dyDescent="0.25">
      <c r="A1997">
        <f t="shared" si="33"/>
        <v>1120500</v>
      </c>
      <c r="B1997" s="15">
        <v>140640309</v>
      </c>
      <c r="C1997" s="15">
        <v>290221193</v>
      </c>
      <c r="D1997" s="16">
        <v>112050046</v>
      </c>
      <c r="E1997" s="16" t="s">
        <v>8214</v>
      </c>
      <c r="F1997" s="20" t="s">
        <v>7160</v>
      </c>
      <c r="G1997" s="17" t="s">
        <v>8217</v>
      </c>
    </row>
    <row r="1998" spans="1:7" x14ac:dyDescent="0.25">
      <c r="A1998">
        <f t="shared" si="33"/>
        <v>1120504</v>
      </c>
      <c r="B1998" s="15">
        <v>140640309</v>
      </c>
      <c r="C1998" s="15">
        <v>290221207</v>
      </c>
      <c r="D1998" s="16">
        <v>112050448</v>
      </c>
      <c r="E1998" s="16" t="s">
        <v>8214</v>
      </c>
      <c r="F1998" s="20" t="s">
        <v>7091</v>
      </c>
      <c r="G1998" s="17" t="s">
        <v>8215</v>
      </c>
    </row>
    <row r="1999" spans="1:7" x14ac:dyDescent="0.25">
      <c r="A1999">
        <f t="shared" si="33"/>
        <v>1120060</v>
      </c>
      <c r="B1999" s="15">
        <v>140640309</v>
      </c>
      <c r="C1999" s="15">
        <v>290221208</v>
      </c>
      <c r="D1999" s="16">
        <v>112006034</v>
      </c>
      <c r="E1999" s="16" t="s">
        <v>8214</v>
      </c>
      <c r="F1999" s="20" t="s">
        <v>7121</v>
      </c>
      <c r="G1999" s="17" t="s">
        <v>8216</v>
      </c>
    </row>
    <row r="2000" spans="1:7" x14ac:dyDescent="0.25">
      <c r="A2000">
        <f t="shared" si="33"/>
        <v>1120500</v>
      </c>
      <c r="B2000" s="15">
        <v>140640309</v>
      </c>
      <c r="C2000" s="15">
        <v>290221194</v>
      </c>
      <c r="D2000" s="16">
        <v>112050048</v>
      </c>
      <c r="E2000" s="16" t="s">
        <v>8214</v>
      </c>
      <c r="F2000" s="20" t="s">
        <v>7161</v>
      </c>
      <c r="G2000" s="17" t="s">
        <v>8217</v>
      </c>
    </row>
    <row r="2001" spans="1:7" x14ac:dyDescent="0.25">
      <c r="A2001">
        <f t="shared" si="33"/>
        <v>1120060</v>
      </c>
      <c r="B2001" s="15">
        <v>140640309</v>
      </c>
      <c r="C2001" s="15">
        <v>290221210</v>
      </c>
      <c r="D2001" s="16">
        <v>112006036</v>
      </c>
      <c r="E2001" s="16" t="s">
        <v>8214</v>
      </c>
      <c r="F2001" s="20" t="s">
        <v>7125</v>
      </c>
      <c r="G2001" s="17" t="s">
        <v>8216</v>
      </c>
    </row>
    <row r="2002" spans="1:7" x14ac:dyDescent="0.25">
      <c r="A2002">
        <f t="shared" si="33"/>
        <v>1120504</v>
      </c>
      <c r="B2002" s="15">
        <v>140640309</v>
      </c>
      <c r="C2002" s="15">
        <v>290221203</v>
      </c>
      <c r="D2002" s="16">
        <v>112050442</v>
      </c>
      <c r="E2002" s="16" t="s">
        <v>8214</v>
      </c>
      <c r="F2002" s="20" t="s">
        <v>7070</v>
      </c>
      <c r="G2002" s="17" t="s">
        <v>8215</v>
      </c>
    </row>
    <row r="2003" spans="1:7" x14ac:dyDescent="0.25">
      <c r="A2003">
        <f t="shared" si="33"/>
        <v>1120504</v>
      </c>
      <c r="B2003" s="15">
        <v>140640309</v>
      </c>
      <c r="C2003" s="15">
        <v>290221197</v>
      </c>
      <c r="D2003" s="16">
        <v>112050434</v>
      </c>
      <c r="E2003" s="16" t="s">
        <v>8214</v>
      </c>
      <c r="F2003" s="20" t="s">
        <v>7105</v>
      </c>
      <c r="G2003" s="17" t="s">
        <v>8215</v>
      </c>
    </row>
    <row r="2004" spans="1:7" x14ac:dyDescent="0.25">
      <c r="A2004">
        <f t="shared" si="33"/>
        <v>1120500</v>
      </c>
      <c r="B2004" s="15">
        <v>140640309</v>
      </c>
      <c r="C2004" s="15">
        <v>290221201</v>
      </c>
      <c r="D2004" s="16">
        <v>112050038</v>
      </c>
      <c r="E2004" s="16" t="s">
        <v>8214</v>
      </c>
      <c r="F2004" s="20" t="s">
        <v>7130</v>
      </c>
      <c r="G2004" s="17" t="s">
        <v>8217</v>
      </c>
    </row>
    <row r="2005" spans="1:7" x14ac:dyDescent="0.25">
      <c r="A2005">
        <f t="shared" si="33"/>
        <v>1120500</v>
      </c>
      <c r="B2005" s="15">
        <v>140640309</v>
      </c>
      <c r="C2005" s="15">
        <v>290221182</v>
      </c>
      <c r="D2005" s="16">
        <v>112050040</v>
      </c>
      <c r="E2005" s="16" t="s">
        <v>8214</v>
      </c>
      <c r="F2005" s="20" t="s">
        <v>7132</v>
      </c>
      <c r="G2005" s="17" t="s">
        <v>8217</v>
      </c>
    </row>
    <row r="2006" spans="1:7" x14ac:dyDescent="0.25">
      <c r="A2006">
        <f t="shared" si="33"/>
        <v>1120060</v>
      </c>
      <c r="B2006" s="15">
        <v>140640309</v>
      </c>
      <c r="C2006" s="15">
        <v>290221213</v>
      </c>
      <c r="D2006" s="16">
        <v>112006040</v>
      </c>
      <c r="E2006" s="16" t="s">
        <v>8214</v>
      </c>
      <c r="F2006" s="20" t="s">
        <v>7122</v>
      </c>
      <c r="G2006" s="17" t="s">
        <v>8216</v>
      </c>
    </row>
    <row r="2007" spans="1:7" x14ac:dyDescent="0.25">
      <c r="A2007">
        <f t="shared" si="33"/>
        <v>1120501</v>
      </c>
      <c r="B2007" s="15">
        <v>140640329</v>
      </c>
      <c r="C2007" s="15">
        <v>290221387</v>
      </c>
      <c r="D2007" s="16">
        <v>112050154</v>
      </c>
      <c r="E2007" s="16" t="s">
        <v>8219</v>
      </c>
      <c r="F2007" s="20" t="s">
        <v>7150</v>
      </c>
      <c r="G2007" s="17" t="s">
        <v>8220</v>
      </c>
    </row>
    <row r="2008" spans="1:7" x14ac:dyDescent="0.25">
      <c r="A2008">
        <f t="shared" si="33"/>
        <v>1120505</v>
      </c>
      <c r="B2008" s="15">
        <v>140640329</v>
      </c>
      <c r="C2008" s="15">
        <v>290221397</v>
      </c>
      <c r="D2008" s="16">
        <v>112050552</v>
      </c>
      <c r="E2008" s="16" t="s">
        <v>8219</v>
      </c>
      <c r="F2008" s="20" t="s">
        <v>7106</v>
      </c>
      <c r="G2008" s="17" t="s">
        <v>8221</v>
      </c>
    </row>
    <row r="2009" spans="1:7" x14ac:dyDescent="0.25">
      <c r="A2009">
        <f t="shared" si="33"/>
        <v>1120061</v>
      </c>
      <c r="B2009" s="15">
        <v>140640329</v>
      </c>
      <c r="C2009" s="15">
        <v>290221322</v>
      </c>
      <c r="D2009" s="16">
        <v>112006152</v>
      </c>
      <c r="E2009" s="16" t="s">
        <v>8219</v>
      </c>
      <c r="F2009" s="20" t="s">
        <v>7146</v>
      </c>
      <c r="G2009" s="17" t="s">
        <v>8222</v>
      </c>
    </row>
    <row r="2010" spans="1:7" x14ac:dyDescent="0.25">
      <c r="A2010">
        <f t="shared" si="33"/>
        <v>1120505</v>
      </c>
      <c r="B2010" s="15">
        <v>140640329</v>
      </c>
      <c r="C2010" s="15">
        <v>290221362</v>
      </c>
      <c r="D2010" s="16">
        <v>112050550</v>
      </c>
      <c r="E2010" s="16" t="s">
        <v>8219</v>
      </c>
      <c r="F2010" s="20" t="s">
        <v>7093</v>
      </c>
      <c r="G2010" s="17" t="s">
        <v>8221</v>
      </c>
    </row>
    <row r="2011" spans="1:7" x14ac:dyDescent="0.25">
      <c r="A2011">
        <f t="shared" si="33"/>
        <v>1120505</v>
      </c>
      <c r="B2011" s="15">
        <v>140640329</v>
      </c>
      <c r="C2011" s="15">
        <v>290221437</v>
      </c>
      <c r="D2011" s="16">
        <v>112050554</v>
      </c>
      <c r="E2011" s="16" t="s">
        <v>8219</v>
      </c>
      <c r="F2011" s="20" t="s">
        <v>7107</v>
      </c>
      <c r="G2011" s="17" t="s">
        <v>8221</v>
      </c>
    </row>
    <row r="2012" spans="1:7" x14ac:dyDescent="0.25">
      <c r="A2012">
        <f t="shared" si="33"/>
        <v>1120061</v>
      </c>
      <c r="B2012" s="15">
        <v>140640329</v>
      </c>
      <c r="C2012" s="15">
        <v>290221406</v>
      </c>
      <c r="D2012" s="16">
        <v>112006150</v>
      </c>
      <c r="E2012" s="16" t="s">
        <v>8219</v>
      </c>
      <c r="F2012" s="20" t="s">
        <v>7153</v>
      </c>
      <c r="G2012" s="17" t="s">
        <v>8222</v>
      </c>
    </row>
    <row r="2013" spans="1:7" x14ac:dyDescent="0.25">
      <c r="A2013">
        <f t="shared" si="33"/>
        <v>1120501</v>
      </c>
      <c r="B2013" s="15">
        <v>140640329</v>
      </c>
      <c r="C2013" s="15">
        <v>290221435</v>
      </c>
      <c r="D2013" s="16">
        <v>112050152</v>
      </c>
      <c r="E2013" s="16" t="s">
        <v>8219</v>
      </c>
      <c r="F2013" s="20" t="s">
        <v>7149</v>
      </c>
      <c r="G2013" s="17" t="s">
        <v>8220</v>
      </c>
    </row>
    <row r="2014" spans="1:7" x14ac:dyDescent="0.25">
      <c r="A2014">
        <f t="shared" si="33"/>
        <v>1120501</v>
      </c>
      <c r="B2014" s="15">
        <v>140640329</v>
      </c>
      <c r="C2014" s="15">
        <v>290221433</v>
      </c>
      <c r="D2014" s="16">
        <v>112050150</v>
      </c>
      <c r="E2014" s="16" t="s">
        <v>8219</v>
      </c>
      <c r="F2014" s="20" t="s">
        <v>7162</v>
      </c>
      <c r="G2014" s="17" t="s">
        <v>8220</v>
      </c>
    </row>
    <row r="2015" spans="1:7" x14ac:dyDescent="0.25">
      <c r="A2015">
        <f t="shared" si="33"/>
        <v>1120056</v>
      </c>
      <c r="B2015" s="15">
        <v>140640329</v>
      </c>
      <c r="C2015" s="15">
        <v>290221441</v>
      </c>
      <c r="D2015" s="16">
        <v>112005652</v>
      </c>
      <c r="E2015" s="16" t="s">
        <v>8219</v>
      </c>
      <c r="F2015" s="20" t="s">
        <v>7273</v>
      </c>
      <c r="G2015" s="17" t="s">
        <v>8223</v>
      </c>
    </row>
    <row r="2016" spans="1:7" x14ac:dyDescent="0.25">
      <c r="A2016">
        <f t="shared" si="33"/>
        <v>1120061</v>
      </c>
      <c r="B2016" s="15">
        <v>140640329</v>
      </c>
      <c r="C2016" s="15">
        <v>290221419</v>
      </c>
      <c r="D2016" s="16">
        <v>112006154</v>
      </c>
      <c r="E2016" s="16" t="s">
        <v>8219</v>
      </c>
      <c r="F2016" s="20" t="s">
        <v>7147</v>
      </c>
      <c r="G2016" s="17" t="s">
        <v>8222</v>
      </c>
    </row>
    <row r="2017" spans="1:7" x14ac:dyDescent="0.25">
      <c r="A2017">
        <f t="shared" si="33"/>
        <v>1120056</v>
      </c>
      <c r="B2017" s="15">
        <v>140640329</v>
      </c>
      <c r="C2017" s="15">
        <v>290221439</v>
      </c>
      <c r="D2017" s="16">
        <v>112005650</v>
      </c>
      <c r="E2017" s="16" t="s">
        <v>8219</v>
      </c>
      <c r="F2017" s="20" t="s">
        <v>7164</v>
      </c>
      <c r="G2017" s="17" t="s">
        <v>8223</v>
      </c>
    </row>
    <row r="2018" spans="1:7" x14ac:dyDescent="0.25">
      <c r="A2018">
        <f t="shared" si="33"/>
        <v>1120056</v>
      </c>
      <c r="B2018" s="15">
        <v>140640329</v>
      </c>
      <c r="C2018" s="15">
        <v>290221444</v>
      </c>
      <c r="D2018" s="16">
        <v>112005654</v>
      </c>
      <c r="E2018" s="16" t="s">
        <v>8219</v>
      </c>
      <c r="F2018" s="20" t="s">
        <v>7274</v>
      </c>
      <c r="G2018" s="17" t="s">
        <v>8223</v>
      </c>
    </row>
    <row r="2019" spans="1:7" x14ac:dyDescent="0.25">
      <c r="A2019">
        <f t="shared" si="33"/>
        <v>1120001</v>
      </c>
      <c r="B2019" s="15">
        <v>140640256</v>
      </c>
      <c r="C2019" s="15">
        <v>290220844</v>
      </c>
      <c r="D2019" s="16">
        <v>112000138</v>
      </c>
      <c r="E2019" s="16" t="s">
        <v>8224</v>
      </c>
      <c r="F2019" s="20" t="s">
        <v>7264</v>
      </c>
      <c r="G2019" s="17" t="s">
        <v>8225</v>
      </c>
    </row>
    <row r="2020" spans="1:7" x14ac:dyDescent="0.25">
      <c r="A2020">
        <f t="shared" si="33"/>
        <v>1120789</v>
      </c>
      <c r="B2020" s="15">
        <v>140640256</v>
      </c>
      <c r="C2020" s="15">
        <v>290220846</v>
      </c>
      <c r="D2020" s="16">
        <v>112078948</v>
      </c>
      <c r="E2020" s="16" t="s">
        <v>8224</v>
      </c>
      <c r="F2020" s="20" t="s">
        <v>7091</v>
      </c>
      <c r="G2020" s="17" t="s">
        <v>8226</v>
      </c>
    </row>
    <row r="2021" spans="1:7" x14ac:dyDescent="0.25">
      <c r="A2021">
        <f t="shared" si="33"/>
        <v>1120789</v>
      </c>
      <c r="B2021" s="15">
        <v>140640256</v>
      </c>
      <c r="C2021" s="15">
        <v>290220841</v>
      </c>
      <c r="D2021" s="16">
        <v>112078934</v>
      </c>
      <c r="E2021" s="16" t="s">
        <v>8224</v>
      </c>
      <c r="F2021" s="20" t="s">
        <v>7105</v>
      </c>
      <c r="G2021" s="17" t="s">
        <v>8226</v>
      </c>
    </row>
    <row r="2022" spans="1:7" x14ac:dyDescent="0.25">
      <c r="A2022">
        <f t="shared" si="33"/>
        <v>1120789</v>
      </c>
      <c r="B2022" s="15">
        <v>140640256</v>
      </c>
      <c r="C2022" s="15">
        <v>290220843</v>
      </c>
      <c r="D2022" s="16">
        <v>112078938</v>
      </c>
      <c r="E2022" s="16" t="s">
        <v>8224</v>
      </c>
      <c r="F2022" s="20" t="s">
        <v>7067</v>
      </c>
      <c r="G2022" s="17" t="s">
        <v>8226</v>
      </c>
    </row>
    <row r="2023" spans="1:7" x14ac:dyDescent="0.25">
      <c r="A2023">
        <f t="shared" si="33"/>
        <v>1120001</v>
      </c>
      <c r="B2023" s="15">
        <v>140640256</v>
      </c>
      <c r="C2023" s="15">
        <v>290220850</v>
      </c>
      <c r="D2023" s="16">
        <v>112000142</v>
      </c>
      <c r="E2023" s="16" t="s">
        <v>8224</v>
      </c>
      <c r="F2023" s="20" t="s">
        <v>7266</v>
      </c>
      <c r="G2023" s="17" t="s">
        <v>8225</v>
      </c>
    </row>
    <row r="2024" spans="1:7" x14ac:dyDescent="0.25">
      <c r="A2024">
        <f t="shared" si="33"/>
        <v>1120789</v>
      </c>
      <c r="B2024" s="15">
        <v>140640256</v>
      </c>
      <c r="C2024" s="15">
        <v>290220837</v>
      </c>
      <c r="D2024" s="16">
        <v>112078936</v>
      </c>
      <c r="E2024" s="16" t="s">
        <v>8224</v>
      </c>
      <c r="F2024" s="20" t="s">
        <v>7060</v>
      </c>
      <c r="G2024" s="17" t="s">
        <v>8226</v>
      </c>
    </row>
    <row r="2025" spans="1:7" x14ac:dyDescent="0.25">
      <c r="A2025">
        <f t="shared" si="33"/>
        <v>1120001</v>
      </c>
      <c r="B2025" s="15">
        <v>140640256</v>
      </c>
      <c r="C2025" s="15">
        <v>290220853</v>
      </c>
      <c r="D2025" s="16">
        <v>112000134</v>
      </c>
      <c r="E2025" s="16" t="s">
        <v>8224</v>
      </c>
      <c r="F2025" s="20" t="s">
        <v>7262</v>
      </c>
      <c r="G2025" s="17" t="s">
        <v>8225</v>
      </c>
    </row>
    <row r="2026" spans="1:7" x14ac:dyDescent="0.25">
      <c r="A2026">
        <f t="shared" si="33"/>
        <v>1120001</v>
      </c>
      <c r="B2026" s="15">
        <v>140640256</v>
      </c>
      <c r="C2026" s="15">
        <v>290220852</v>
      </c>
      <c r="D2026" s="16">
        <v>112000148</v>
      </c>
      <c r="E2026" s="16" t="s">
        <v>8224</v>
      </c>
      <c r="F2026" s="20" t="s">
        <v>7269</v>
      </c>
      <c r="G2026" s="17" t="s">
        <v>8225</v>
      </c>
    </row>
    <row r="2027" spans="1:7" x14ac:dyDescent="0.25">
      <c r="A2027">
        <f t="shared" si="33"/>
        <v>1120001</v>
      </c>
      <c r="B2027" s="15">
        <v>140640256</v>
      </c>
      <c r="C2027" s="15">
        <v>290220856</v>
      </c>
      <c r="D2027" s="16">
        <v>112000146</v>
      </c>
      <c r="E2027" s="16" t="s">
        <v>8224</v>
      </c>
      <c r="F2027" s="20" t="s">
        <v>7268</v>
      </c>
      <c r="G2027" s="17" t="s">
        <v>8225</v>
      </c>
    </row>
    <row r="2028" spans="1:7" x14ac:dyDescent="0.25">
      <c r="A2028">
        <f t="shared" si="33"/>
        <v>1120001</v>
      </c>
      <c r="B2028" s="15">
        <v>140640256</v>
      </c>
      <c r="C2028" s="15">
        <v>290220855</v>
      </c>
      <c r="D2028" s="16">
        <v>112000140</v>
      </c>
      <c r="E2028" s="16" t="s">
        <v>8224</v>
      </c>
      <c r="F2028" s="20" t="s">
        <v>7265</v>
      </c>
      <c r="G2028" s="17" t="s">
        <v>8225</v>
      </c>
    </row>
    <row r="2029" spans="1:7" x14ac:dyDescent="0.25">
      <c r="A2029">
        <f t="shared" si="33"/>
        <v>1120001</v>
      </c>
      <c r="B2029" s="15">
        <v>140640256</v>
      </c>
      <c r="C2029" s="15">
        <v>290220848</v>
      </c>
      <c r="D2029" s="16">
        <v>112000144</v>
      </c>
      <c r="E2029" s="16" t="s">
        <v>8224</v>
      </c>
      <c r="F2029" s="20" t="s">
        <v>7267</v>
      </c>
      <c r="G2029" s="17" t="s">
        <v>8225</v>
      </c>
    </row>
    <row r="2030" spans="1:7" x14ac:dyDescent="0.25">
      <c r="A2030">
        <f t="shared" si="33"/>
        <v>1120789</v>
      </c>
      <c r="B2030" s="15">
        <v>140640256</v>
      </c>
      <c r="C2030" s="15">
        <v>290220840</v>
      </c>
      <c r="D2030" s="16">
        <v>112078942</v>
      </c>
      <c r="E2030" s="16" t="s">
        <v>8224</v>
      </c>
      <c r="F2030" s="20" t="s">
        <v>7070</v>
      </c>
      <c r="G2030" s="17" t="s">
        <v>8226</v>
      </c>
    </row>
    <row r="2031" spans="1:7" x14ac:dyDescent="0.25">
      <c r="A2031">
        <f t="shared" si="33"/>
        <v>1120001</v>
      </c>
      <c r="B2031" s="15">
        <v>140640256</v>
      </c>
      <c r="C2031" s="15">
        <v>290220849</v>
      </c>
      <c r="D2031" s="16">
        <v>112000136</v>
      </c>
      <c r="E2031" s="16" t="s">
        <v>8224</v>
      </c>
      <c r="F2031" s="20" t="s">
        <v>7263</v>
      </c>
      <c r="G2031" s="17" t="s">
        <v>8225</v>
      </c>
    </row>
    <row r="2032" spans="1:7" x14ac:dyDescent="0.25">
      <c r="A2032">
        <f t="shared" si="33"/>
        <v>1120789</v>
      </c>
      <c r="B2032" s="15">
        <v>140640256</v>
      </c>
      <c r="C2032" s="15">
        <v>290220845</v>
      </c>
      <c r="D2032" s="16">
        <v>112078946</v>
      </c>
      <c r="E2032" s="16" t="s">
        <v>8224</v>
      </c>
      <c r="F2032" s="20" t="s">
        <v>7066</v>
      </c>
      <c r="G2032" s="17" t="s">
        <v>8226</v>
      </c>
    </row>
    <row r="2033" spans="1:7" x14ac:dyDescent="0.25">
      <c r="A2033">
        <f t="shared" si="33"/>
        <v>1120789</v>
      </c>
      <c r="B2033" s="15">
        <v>140640256</v>
      </c>
      <c r="C2033" s="15">
        <v>290220839</v>
      </c>
      <c r="D2033" s="16">
        <v>112078944</v>
      </c>
      <c r="E2033" s="16" t="s">
        <v>8224</v>
      </c>
      <c r="F2033" s="20" t="s">
        <v>7068</v>
      </c>
      <c r="G2033" s="17" t="s">
        <v>8226</v>
      </c>
    </row>
    <row r="2034" spans="1:7" x14ac:dyDescent="0.25">
      <c r="A2034">
        <f t="shared" si="33"/>
        <v>1120789</v>
      </c>
      <c r="B2034" s="15">
        <v>140640256</v>
      </c>
      <c r="C2034" s="15">
        <v>290220851</v>
      </c>
      <c r="D2034" s="16">
        <v>112078940</v>
      </c>
      <c r="E2034" s="16" t="s">
        <v>8224</v>
      </c>
      <c r="F2034" s="20" t="s">
        <v>7063</v>
      </c>
      <c r="G2034" s="17" t="s">
        <v>8226</v>
      </c>
    </row>
    <row r="2035" spans="1:7" x14ac:dyDescent="0.25">
      <c r="A2035">
        <f t="shared" si="33"/>
        <v>1120790</v>
      </c>
      <c r="B2035" s="15">
        <v>140640281</v>
      </c>
      <c r="C2035" s="15">
        <v>290220982</v>
      </c>
      <c r="D2035" s="16">
        <v>112079054</v>
      </c>
      <c r="E2035" s="16" t="s">
        <v>8227</v>
      </c>
      <c r="F2035" s="20" t="s">
        <v>7107</v>
      </c>
      <c r="G2035" s="17" t="s">
        <v>8228</v>
      </c>
    </row>
    <row r="2036" spans="1:7" x14ac:dyDescent="0.25">
      <c r="A2036">
        <f t="shared" si="33"/>
        <v>1120002</v>
      </c>
      <c r="B2036" s="15">
        <v>140640281</v>
      </c>
      <c r="C2036" s="15">
        <v>290221004</v>
      </c>
      <c r="D2036" s="16">
        <v>112000250</v>
      </c>
      <c r="E2036" s="16" t="s">
        <v>8227</v>
      </c>
      <c r="F2036" s="20" t="s">
        <v>7272</v>
      </c>
      <c r="G2036" s="17" t="s">
        <v>8229</v>
      </c>
    </row>
    <row r="2037" spans="1:7" x14ac:dyDescent="0.25">
      <c r="A2037">
        <f t="shared" si="33"/>
        <v>1120790</v>
      </c>
      <c r="B2037" s="15">
        <v>140640281</v>
      </c>
      <c r="C2037" s="15">
        <v>290221020</v>
      </c>
      <c r="D2037" s="16">
        <v>112079052</v>
      </c>
      <c r="E2037" s="16" t="s">
        <v>8227</v>
      </c>
      <c r="F2037" s="20" t="s">
        <v>7106</v>
      </c>
      <c r="G2037" s="17" t="s">
        <v>8228</v>
      </c>
    </row>
    <row r="2038" spans="1:7" x14ac:dyDescent="0.25">
      <c r="A2038">
        <f t="shared" si="33"/>
        <v>1120002</v>
      </c>
      <c r="B2038" s="15">
        <v>140640281</v>
      </c>
      <c r="C2038" s="15">
        <v>290221035</v>
      </c>
      <c r="D2038" s="16">
        <v>112000252</v>
      </c>
      <c r="E2038" s="16" t="s">
        <v>8227</v>
      </c>
      <c r="F2038" s="20" t="s">
        <v>7270</v>
      </c>
      <c r="G2038" s="17" t="s">
        <v>8229</v>
      </c>
    </row>
    <row r="2039" spans="1:7" x14ac:dyDescent="0.25">
      <c r="A2039">
        <f t="shared" si="33"/>
        <v>1120790</v>
      </c>
      <c r="B2039" s="15">
        <v>140640281</v>
      </c>
      <c r="C2039" s="15">
        <v>290220998</v>
      </c>
      <c r="D2039" s="16">
        <v>112079050</v>
      </c>
      <c r="E2039" s="16" t="s">
        <v>8227</v>
      </c>
      <c r="F2039" s="20" t="s">
        <v>7093</v>
      </c>
      <c r="G2039" s="17" t="s">
        <v>8228</v>
      </c>
    </row>
    <row r="2040" spans="1:7" x14ac:dyDescent="0.25">
      <c r="A2040">
        <f t="shared" si="33"/>
        <v>1120002</v>
      </c>
      <c r="B2040" s="15">
        <v>140640281</v>
      </c>
      <c r="C2040" s="15">
        <v>290221030</v>
      </c>
      <c r="D2040" s="16">
        <v>112000254</v>
      </c>
      <c r="E2040" s="16" t="s">
        <v>8227</v>
      </c>
      <c r="F2040" s="20" t="s">
        <v>7271</v>
      </c>
      <c r="G2040" s="17" t="s">
        <v>8229</v>
      </c>
    </row>
    <row r="2041" spans="1:7" x14ac:dyDescent="0.25">
      <c r="A2041">
        <f t="shared" si="33"/>
        <v>1120007</v>
      </c>
      <c r="B2041" s="15">
        <v>140640277</v>
      </c>
      <c r="C2041" s="15">
        <v>290220972</v>
      </c>
      <c r="D2041" s="16">
        <v>112000760</v>
      </c>
      <c r="E2041" s="16" t="s">
        <v>8230</v>
      </c>
      <c r="F2041" s="20" t="s">
        <v>7040</v>
      </c>
      <c r="G2041" s="17" t="s">
        <v>8231</v>
      </c>
    </row>
    <row r="2042" spans="1:7" x14ac:dyDescent="0.25">
      <c r="A2042">
        <f t="shared" si="33"/>
        <v>1120007</v>
      </c>
      <c r="B2042" s="15">
        <v>140640277</v>
      </c>
      <c r="C2042" s="15">
        <v>290220959</v>
      </c>
      <c r="D2042" s="16">
        <v>112000758</v>
      </c>
      <c r="E2042" s="16" t="s">
        <v>8230</v>
      </c>
      <c r="F2042" s="20" t="s">
        <v>7037</v>
      </c>
      <c r="G2042" s="17" t="s">
        <v>8231</v>
      </c>
    </row>
    <row r="2043" spans="1:7" x14ac:dyDescent="0.25">
      <c r="A2043">
        <f t="shared" si="33"/>
        <v>1120007</v>
      </c>
      <c r="B2043" s="15">
        <v>140640277</v>
      </c>
      <c r="C2043" s="15">
        <v>290220944</v>
      </c>
      <c r="D2043" s="16">
        <v>112000756</v>
      </c>
      <c r="E2043" s="16" t="s">
        <v>8230</v>
      </c>
      <c r="F2043" s="20" t="s">
        <v>7204</v>
      </c>
      <c r="G2043" s="17" t="s">
        <v>8231</v>
      </c>
    </row>
    <row r="2044" spans="1:7" x14ac:dyDescent="0.25">
      <c r="A2044">
        <f t="shared" si="33"/>
        <v>1120791</v>
      </c>
      <c r="B2044" s="15">
        <v>140640277</v>
      </c>
      <c r="C2044" s="15">
        <v>290220993</v>
      </c>
      <c r="D2044" s="16">
        <v>112079156</v>
      </c>
      <c r="E2044" s="16" t="s">
        <v>8230</v>
      </c>
      <c r="F2044" s="20" t="s">
        <v>7175</v>
      </c>
      <c r="G2044" s="17" t="s">
        <v>8232</v>
      </c>
    </row>
    <row r="2045" spans="1:7" x14ac:dyDescent="0.25">
      <c r="A2045">
        <f t="shared" si="33"/>
        <v>1120791</v>
      </c>
      <c r="B2045" s="15">
        <v>140640277</v>
      </c>
      <c r="C2045" s="15">
        <v>290221012</v>
      </c>
      <c r="D2045" s="16">
        <v>112079158</v>
      </c>
      <c r="E2045" s="16" t="s">
        <v>8230</v>
      </c>
      <c r="F2045" s="20" t="s">
        <v>7252</v>
      </c>
      <c r="G2045" s="17" t="s">
        <v>8232</v>
      </c>
    </row>
    <row r="2046" spans="1:7" x14ac:dyDescent="0.25">
      <c r="A2046">
        <f t="shared" si="33"/>
        <v>1120791</v>
      </c>
      <c r="B2046" s="15">
        <v>140640277</v>
      </c>
      <c r="C2046" s="15">
        <v>290221026</v>
      </c>
      <c r="D2046" s="16">
        <v>112079160</v>
      </c>
      <c r="E2046" s="16" t="s">
        <v>8230</v>
      </c>
      <c r="F2046" s="20" t="s">
        <v>7253</v>
      </c>
      <c r="G2046" s="17" t="s">
        <v>8232</v>
      </c>
    </row>
    <row r="2047" spans="1:7" x14ac:dyDescent="0.25">
      <c r="A2047">
        <f t="shared" si="33"/>
        <v>1120330</v>
      </c>
      <c r="B2047" s="15">
        <v>140640096</v>
      </c>
      <c r="C2047" s="15">
        <v>290219421</v>
      </c>
      <c r="D2047" s="16">
        <v>112033036</v>
      </c>
      <c r="E2047" s="16" t="s">
        <v>8233</v>
      </c>
      <c r="F2047" s="20" t="s">
        <v>8008</v>
      </c>
      <c r="G2047" s="17" t="s">
        <v>8234</v>
      </c>
    </row>
    <row r="2048" spans="1:7" x14ac:dyDescent="0.25">
      <c r="A2048">
        <f t="shared" si="33"/>
        <v>1120330</v>
      </c>
      <c r="B2048" s="15">
        <v>140640096</v>
      </c>
      <c r="C2048" s="15">
        <v>290219398</v>
      </c>
      <c r="D2048" s="16">
        <v>112033048</v>
      </c>
      <c r="E2048" s="16" t="s">
        <v>8233</v>
      </c>
      <c r="F2048" s="20" t="s">
        <v>8013</v>
      </c>
      <c r="G2048" s="17" t="s">
        <v>8234</v>
      </c>
    </row>
    <row r="2049" spans="1:7" x14ac:dyDescent="0.25">
      <c r="A2049">
        <f t="shared" si="33"/>
        <v>1120330</v>
      </c>
      <c r="B2049" s="15">
        <v>140640096</v>
      </c>
      <c r="C2049" s="15">
        <v>290219428</v>
      </c>
      <c r="D2049" s="16">
        <v>112033044</v>
      </c>
      <c r="E2049" s="16" t="s">
        <v>8233</v>
      </c>
      <c r="F2049" s="20" t="s">
        <v>8014</v>
      </c>
      <c r="G2049" s="17" t="s">
        <v>8234</v>
      </c>
    </row>
    <row r="2050" spans="1:7" x14ac:dyDescent="0.25">
      <c r="A2050">
        <f t="shared" si="33"/>
        <v>1120330</v>
      </c>
      <c r="B2050" s="15">
        <v>140640096</v>
      </c>
      <c r="C2050" s="15">
        <v>290219354</v>
      </c>
      <c r="D2050" s="16">
        <v>112033034</v>
      </c>
      <c r="E2050" s="16" t="s">
        <v>8233</v>
      </c>
      <c r="F2050" s="20" t="s">
        <v>8016</v>
      </c>
      <c r="G2050" s="17" t="s">
        <v>8234</v>
      </c>
    </row>
    <row r="2051" spans="1:7" x14ac:dyDescent="0.25">
      <c r="A2051">
        <f t="shared" si="33"/>
        <v>1120330</v>
      </c>
      <c r="B2051" s="15">
        <v>140640096</v>
      </c>
      <c r="C2051" s="15">
        <v>290219450</v>
      </c>
      <c r="D2051" s="16">
        <v>112033046</v>
      </c>
      <c r="E2051" s="16" t="s">
        <v>8233</v>
      </c>
      <c r="F2051" s="20" t="s">
        <v>8015</v>
      </c>
      <c r="G2051" s="17" t="s">
        <v>8234</v>
      </c>
    </row>
    <row r="2052" spans="1:7" x14ac:dyDescent="0.25">
      <c r="A2052">
        <f t="shared" si="33"/>
        <v>1120330</v>
      </c>
      <c r="B2052" s="15">
        <v>140640096</v>
      </c>
      <c r="C2052" s="15">
        <v>290219380</v>
      </c>
      <c r="D2052" s="16">
        <v>112033038</v>
      </c>
      <c r="E2052" s="16" t="s">
        <v>8233</v>
      </c>
      <c r="F2052" s="20" t="s">
        <v>8012</v>
      </c>
      <c r="G2052" s="17" t="s">
        <v>8234</v>
      </c>
    </row>
    <row r="2053" spans="1:7" x14ac:dyDescent="0.25">
      <c r="A2053">
        <f t="shared" si="33"/>
        <v>1120330</v>
      </c>
      <c r="B2053" s="15">
        <v>140640096</v>
      </c>
      <c r="C2053" s="15">
        <v>290219366</v>
      </c>
      <c r="D2053" s="16">
        <v>112033040</v>
      </c>
      <c r="E2053" s="16" t="s">
        <v>8233</v>
      </c>
      <c r="F2053" s="20" t="s">
        <v>8010</v>
      </c>
      <c r="G2053" s="17" t="s">
        <v>8234</v>
      </c>
    </row>
    <row r="2054" spans="1:7" x14ac:dyDescent="0.25">
      <c r="A2054">
        <f t="shared" si="33"/>
        <v>1120330</v>
      </c>
      <c r="B2054" s="15">
        <v>140640096</v>
      </c>
      <c r="C2054" s="15">
        <v>290219360</v>
      </c>
      <c r="D2054" s="16">
        <v>112033042</v>
      </c>
      <c r="E2054" s="16" t="s">
        <v>8233</v>
      </c>
      <c r="F2054" s="20" t="s">
        <v>8011</v>
      </c>
      <c r="G2054" s="17" t="s">
        <v>8234</v>
      </c>
    </row>
    <row r="2055" spans="1:7" x14ac:dyDescent="0.25">
      <c r="A2055">
        <f t="shared" ref="A2055:A2118" si="34">LEFT(D2055,7)*1</f>
        <v>1120331</v>
      </c>
      <c r="B2055" s="15">
        <v>140640083</v>
      </c>
      <c r="C2055" s="15">
        <v>290219199</v>
      </c>
      <c r="D2055" s="16">
        <v>112033152</v>
      </c>
      <c r="E2055" s="16" t="s">
        <v>8235</v>
      </c>
      <c r="F2055" s="20" t="s">
        <v>8020</v>
      </c>
      <c r="G2055" s="17" t="s">
        <v>8236</v>
      </c>
    </row>
    <row r="2056" spans="1:7" x14ac:dyDescent="0.25">
      <c r="A2056">
        <f t="shared" si="34"/>
        <v>1120331</v>
      </c>
      <c r="B2056" s="15">
        <v>140640083</v>
      </c>
      <c r="C2056" s="15">
        <v>290219206</v>
      </c>
      <c r="D2056" s="16">
        <v>112033154</v>
      </c>
      <c r="E2056" s="16" t="s">
        <v>8235</v>
      </c>
      <c r="F2056" s="20" t="s">
        <v>8018</v>
      </c>
      <c r="G2056" s="17" t="s">
        <v>8236</v>
      </c>
    </row>
    <row r="2057" spans="1:7" x14ac:dyDescent="0.25">
      <c r="A2057">
        <f t="shared" si="34"/>
        <v>1120331</v>
      </c>
      <c r="B2057" s="15">
        <v>140640083</v>
      </c>
      <c r="C2057" s="15">
        <v>290219212</v>
      </c>
      <c r="D2057" s="16">
        <v>112033150</v>
      </c>
      <c r="E2057" s="16" t="s">
        <v>8235</v>
      </c>
      <c r="F2057" s="20" t="s">
        <v>8021</v>
      </c>
      <c r="G2057" s="17" t="s">
        <v>8236</v>
      </c>
    </row>
    <row r="2058" spans="1:7" x14ac:dyDescent="0.25">
      <c r="A2058">
        <f t="shared" si="34"/>
        <v>8703208</v>
      </c>
      <c r="B2058" s="15">
        <v>140640299</v>
      </c>
      <c r="C2058" s="15">
        <v>290221136</v>
      </c>
      <c r="D2058" s="16">
        <v>8703208</v>
      </c>
      <c r="E2058" s="16" t="s">
        <v>7306</v>
      </c>
      <c r="F2058" s="20"/>
      <c r="G2058" s="17" t="s">
        <v>8237</v>
      </c>
    </row>
    <row r="2059" spans="1:7" x14ac:dyDescent="0.25">
      <c r="A2059">
        <f t="shared" si="34"/>
        <v>8703208</v>
      </c>
      <c r="B2059" s="15">
        <v>140640164</v>
      </c>
      <c r="C2059" s="15">
        <v>290220239</v>
      </c>
      <c r="D2059" s="16">
        <v>8703208</v>
      </c>
      <c r="E2059" s="16" t="s">
        <v>8238</v>
      </c>
      <c r="F2059" s="20"/>
      <c r="G2059" s="17" t="s">
        <v>8237</v>
      </c>
    </row>
    <row r="2060" spans="1:7" x14ac:dyDescent="0.25">
      <c r="A2060">
        <f t="shared" si="34"/>
        <v>8703207</v>
      </c>
      <c r="B2060" s="15">
        <v>140640170</v>
      </c>
      <c r="C2060" s="15">
        <v>290220283</v>
      </c>
      <c r="D2060" s="16">
        <v>8703207</v>
      </c>
      <c r="E2060" s="16" t="s">
        <v>8239</v>
      </c>
      <c r="F2060" s="20"/>
      <c r="G2060" s="17" t="s">
        <v>8240</v>
      </c>
    </row>
    <row r="2061" spans="1:7" x14ac:dyDescent="0.25">
      <c r="A2061">
        <f t="shared" si="34"/>
        <v>8703207</v>
      </c>
      <c r="B2061" s="15">
        <v>140640274</v>
      </c>
      <c r="C2061" s="15">
        <v>290220922</v>
      </c>
      <c r="D2061" s="16">
        <v>8703207</v>
      </c>
      <c r="E2061" s="16" t="s">
        <v>8241</v>
      </c>
      <c r="F2061" s="20"/>
      <c r="G2061" s="17" t="s">
        <v>8240</v>
      </c>
    </row>
    <row r="2062" spans="1:7" x14ac:dyDescent="0.25">
      <c r="A2062">
        <f t="shared" si="34"/>
        <v>8703925</v>
      </c>
      <c r="B2062" s="15">
        <v>140640221</v>
      </c>
      <c r="C2062" s="15">
        <v>290220573</v>
      </c>
      <c r="D2062" s="16">
        <v>870392500</v>
      </c>
      <c r="E2062" s="16" t="s">
        <v>8242</v>
      </c>
      <c r="F2062" s="20" t="s">
        <v>7307</v>
      </c>
      <c r="G2062" s="17" t="s">
        <v>8243</v>
      </c>
    </row>
    <row r="2063" spans="1:7" x14ac:dyDescent="0.25">
      <c r="A2063">
        <f t="shared" si="34"/>
        <v>8703925</v>
      </c>
      <c r="B2063" s="15">
        <v>140640221</v>
      </c>
      <c r="C2063" s="15">
        <v>290220568</v>
      </c>
      <c r="D2063" s="16">
        <v>870392501</v>
      </c>
      <c r="E2063" s="16" t="s">
        <v>8242</v>
      </c>
      <c r="F2063" s="20" t="s">
        <v>7308</v>
      </c>
      <c r="G2063" s="17" t="s">
        <v>8244</v>
      </c>
    </row>
    <row r="2064" spans="1:7" x14ac:dyDescent="0.25">
      <c r="A2064">
        <f t="shared" si="34"/>
        <v>8703656</v>
      </c>
      <c r="B2064" s="15">
        <v>140640220</v>
      </c>
      <c r="C2064" s="15">
        <v>290220547</v>
      </c>
      <c r="D2064" s="16">
        <v>8703656</v>
      </c>
      <c r="E2064" s="16" t="s">
        <v>8245</v>
      </c>
      <c r="F2064" s="20"/>
      <c r="G2064" s="17" t="s">
        <v>8246</v>
      </c>
    </row>
    <row r="2065" spans="1:7" x14ac:dyDescent="0.25">
      <c r="A2065">
        <f t="shared" si="34"/>
        <v>8703662</v>
      </c>
      <c r="B2065" s="15">
        <v>140640223</v>
      </c>
      <c r="C2065" s="15">
        <v>290220582</v>
      </c>
      <c r="D2065" s="16">
        <v>8703662</v>
      </c>
      <c r="E2065" s="16" t="s">
        <v>7309</v>
      </c>
      <c r="F2065" s="20"/>
      <c r="G2065" s="17" t="s">
        <v>8247</v>
      </c>
    </row>
    <row r="2066" spans="1:7" x14ac:dyDescent="0.25">
      <c r="A2066">
        <f t="shared" si="34"/>
        <v>8703103</v>
      </c>
      <c r="B2066" s="15">
        <v>140640186</v>
      </c>
      <c r="C2066" s="15">
        <v>290220349</v>
      </c>
      <c r="D2066" s="16">
        <v>8703103</v>
      </c>
      <c r="E2066" s="16" t="s">
        <v>8248</v>
      </c>
      <c r="F2066" s="20"/>
      <c r="G2066" s="17" t="s">
        <v>8249</v>
      </c>
    </row>
    <row r="2067" spans="1:7" x14ac:dyDescent="0.25">
      <c r="A2067">
        <f t="shared" si="34"/>
        <v>8703810</v>
      </c>
      <c r="B2067" s="15">
        <v>140640187</v>
      </c>
      <c r="C2067" s="15">
        <v>290220352</v>
      </c>
      <c r="D2067" s="16">
        <v>8703810</v>
      </c>
      <c r="E2067" s="16" t="s">
        <v>8250</v>
      </c>
      <c r="F2067" s="20"/>
      <c r="G2067" s="17" t="s">
        <v>8251</v>
      </c>
    </row>
    <row r="2068" spans="1:7" x14ac:dyDescent="0.25">
      <c r="A2068">
        <f t="shared" si="34"/>
        <v>8703241</v>
      </c>
      <c r="B2068" s="15">
        <v>140640245</v>
      </c>
      <c r="C2068" s="15">
        <v>290220733</v>
      </c>
      <c r="D2068" s="16">
        <v>8703241</v>
      </c>
      <c r="E2068" s="16" t="s">
        <v>8252</v>
      </c>
      <c r="F2068" s="20"/>
      <c r="G2068" s="17" t="s">
        <v>8253</v>
      </c>
    </row>
    <row r="2069" spans="1:7" x14ac:dyDescent="0.25">
      <c r="A2069">
        <f t="shared" si="34"/>
        <v>8703240</v>
      </c>
      <c r="B2069" s="15">
        <v>140640230</v>
      </c>
      <c r="C2069" s="15">
        <v>290220640</v>
      </c>
      <c r="D2069" s="16">
        <v>8703240</v>
      </c>
      <c r="E2069" s="16" t="s">
        <v>8254</v>
      </c>
      <c r="F2069" s="20"/>
      <c r="G2069" s="17" t="s">
        <v>8255</v>
      </c>
    </row>
    <row r="2070" spans="1:7" x14ac:dyDescent="0.25">
      <c r="A2070">
        <f t="shared" si="34"/>
        <v>8703004</v>
      </c>
      <c r="B2070" s="15">
        <v>140640201</v>
      </c>
      <c r="C2070" s="15">
        <v>290220398</v>
      </c>
      <c r="D2070" s="16">
        <v>8703004</v>
      </c>
      <c r="E2070" s="16" t="s">
        <v>8256</v>
      </c>
      <c r="F2070" s="20"/>
      <c r="G2070" s="17" t="s">
        <v>8257</v>
      </c>
    </row>
    <row r="2071" spans="1:7" x14ac:dyDescent="0.25">
      <c r="A2071">
        <f t="shared" si="34"/>
        <v>8703667</v>
      </c>
      <c r="B2071" s="15">
        <v>140640203</v>
      </c>
      <c r="C2071" s="15">
        <v>290220428</v>
      </c>
      <c r="D2071" s="16">
        <v>8703667</v>
      </c>
      <c r="E2071" s="16" t="s">
        <v>8258</v>
      </c>
      <c r="F2071" s="20"/>
      <c r="G2071" s="17" t="s">
        <v>8259</v>
      </c>
    </row>
    <row r="2072" spans="1:7" x14ac:dyDescent="0.25">
      <c r="A2072">
        <f t="shared" si="34"/>
        <v>8703660</v>
      </c>
      <c r="B2072" s="15">
        <v>140640184</v>
      </c>
      <c r="C2072" s="15">
        <v>290220331</v>
      </c>
      <c r="D2072" s="16">
        <v>8703660</v>
      </c>
      <c r="E2072" s="16" t="s">
        <v>8260</v>
      </c>
      <c r="F2072" s="20"/>
      <c r="G2072" s="17" t="s">
        <v>8261</v>
      </c>
    </row>
    <row r="2073" spans="1:7" x14ac:dyDescent="0.25">
      <c r="A2073">
        <f t="shared" si="34"/>
        <v>8703679</v>
      </c>
      <c r="B2073" s="15">
        <v>140640298</v>
      </c>
      <c r="C2073" s="15">
        <v>290221131</v>
      </c>
      <c r="D2073" s="16">
        <v>8703679</v>
      </c>
      <c r="E2073" s="16" t="s">
        <v>8262</v>
      </c>
      <c r="F2073" s="20"/>
      <c r="G2073" s="17" t="s">
        <v>8263</v>
      </c>
    </row>
    <row r="2074" spans="1:7" x14ac:dyDescent="0.25">
      <c r="A2074">
        <f t="shared" si="34"/>
        <v>8703573</v>
      </c>
      <c r="B2074" s="15">
        <v>140640081</v>
      </c>
      <c r="C2074" s="15">
        <v>290219179</v>
      </c>
      <c r="D2074" s="16">
        <v>8703573</v>
      </c>
      <c r="E2074" s="16" t="s">
        <v>7310</v>
      </c>
      <c r="F2074" s="20"/>
      <c r="G2074" s="17" t="s">
        <v>8264</v>
      </c>
    </row>
    <row r="2075" spans="1:7" x14ac:dyDescent="0.25">
      <c r="A2075">
        <f t="shared" si="34"/>
        <v>8703206</v>
      </c>
      <c r="B2075" s="15">
        <v>140640172</v>
      </c>
      <c r="C2075" s="15">
        <v>290220290</v>
      </c>
      <c r="D2075" s="16">
        <v>8703206</v>
      </c>
      <c r="E2075" s="16" t="s">
        <v>8265</v>
      </c>
      <c r="F2075" s="20"/>
      <c r="G2075" s="17" t="s">
        <v>8266</v>
      </c>
    </row>
    <row r="2076" spans="1:7" x14ac:dyDescent="0.25">
      <c r="A2076">
        <f t="shared" si="34"/>
        <v>8703206</v>
      </c>
      <c r="B2076" s="15">
        <v>140640163</v>
      </c>
      <c r="C2076" s="15">
        <v>290220231</v>
      </c>
      <c r="D2076" s="16">
        <v>8703206</v>
      </c>
      <c r="E2076" s="16" t="s">
        <v>8267</v>
      </c>
      <c r="F2076" s="20"/>
      <c r="G2076" s="17" t="s">
        <v>8266</v>
      </c>
    </row>
    <row r="2077" spans="1:7" x14ac:dyDescent="0.25">
      <c r="A2077">
        <f t="shared" si="34"/>
        <v>8703205</v>
      </c>
      <c r="B2077" s="15">
        <v>140640173</v>
      </c>
      <c r="C2077" s="15">
        <v>290220295</v>
      </c>
      <c r="D2077" s="16">
        <v>8703205</v>
      </c>
      <c r="E2077" s="16" t="s">
        <v>8268</v>
      </c>
      <c r="F2077" s="20"/>
      <c r="G2077" s="17" t="s">
        <v>8269</v>
      </c>
    </row>
    <row r="2078" spans="1:7" x14ac:dyDescent="0.25">
      <c r="A2078">
        <f t="shared" si="34"/>
        <v>8703205</v>
      </c>
      <c r="B2078" s="15">
        <v>140640162</v>
      </c>
      <c r="C2078" s="15">
        <v>290220228</v>
      </c>
      <c r="D2078" s="16">
        <v>8703205</v>
      </c>
      <c r="E2078" s="16" t="s">
        <v>8270</v>
      </c>
      <c r="F2078" s="20"/>
      <c r="G2078" s="17" t="s">
        <v>8271</v>
      </c>
    </row>
    <row r="2079" spans="1:7" x14ac:dyDescent="0.25">
      <c r="A2079">
        <f t="shared" si="34"/>
        <v>8703669</v>
      </c>
      <c r="B2079" s="15">
        <v>140640185</v>
      </c>
      <c r="C2079" s="15">
        <v>290220347</v>
      </c>
      <c r="D2079" s="16">
        <v>8703669</v>
      </c>
      <c r="E2079" s="16" t="s">
        <v>6042</v>
      </c>
      <c r="F2079" s="20"/>
      <c r="G2079" s="17" t="s">
        <v>8272</v>
      </c>
    </row>
    <row r="2080" spans="1:7" x14ac:dyDescent="0.25">
      <c r="A2080">
        <f t="shared" si="34"/>
        <v>8703702</v>
      </c>
      <c r="B2080" s="15">
        <v>140640183</v>
      </c>
      <c r="C2080" s="15">
        <v>290220334</v>
      </c>
      <c r="D2080" s="16">
        <v>8703702</v>
      </c>
      <c r="E2080" s="16" t="s">
        <v>8273</v>
      </c>
      <c r="F2080" s="20" t="s">
        <v>7307</v>
      </c>
      <c r="G2080" s="17" t="s">
        <v>8274</v>
      </c>
    </row>
    <row r="2081" spans="1:7" x14ac:dyDescent="0.25">
      <c r="A2081">
        <f t="shared" si="34"/>
        <v>8703702</v>
      </c>
      <c r="B2081" s="15">
        <v>140640183</v>
      </c>
      <c r="C2081" s="15">
        <v>290220326</v>
      </c>
      <c r="D2081" s="16">
        <v>870370201</v>
      </c>
      <c r="E2081" s="16" t="s">
        <v>8273</v>
      </c>
      <c r="F2081" s="20" t="s">
        <v>7308</v>
      </c>
      <c r="G2081" s="17" t="s">
        <v>8275</v>
      </c>
    </row>
    <row r="2082" spans="1:7" x14ac:dyDescent="0.25">
      <c r="A2082">
        <f t="shared" si="34"/>
        <v>8703504</v>
      </c>
      <c r="B2082" s="15">
        <v>140640219</v>
      </c>
      <c r="C2082" s="15">
        <v>290220549</v>
      </c>
      <c r="D2082" s="16">
        <v>870350401</v>
      </c>
      <c r="E2082" s="16" t="s">
        <v>42</v>
      </c>
      <c r="F2082" s="20" t="s">
        <v>7308</v>
      </c>
      <c r="G2082" s="17" t="s">
        <v>8276</v>
      </c>
    </row>
    <row r="2083" spans="1:7" x14ac:dyDescent="0.25">
      <c r="A2083">
        <f t="shared" si="34"/>
        <v>8703504</v>
      </c>
      <c r="B2083" s="15">
        <v>140640219</v>
      </c>
      <c r="C2083" s="15">
        <v>290220546</v>
      </c>
      <c r="D2083" s="16">
        <v>870350400</v>
      </c>
      <c r="E2083" s="16" t="s">
        <v>42</v>
      </c>
      <c r="F2083" s="20" t="s">
        <v>7307</v>
      </c>
      <c r="G2083" s="17" t="s">
        <v>8277</v>
      </c>
    </row>
    <row r="2084" spans="1:7" x14ac:dyDescent="0.25">
      <c r="A2084">
        <f t="shared" si="34"/>
        <v>8703811</v>
      </c>
      <c r="B2084" s="15">
        <v>140640214</v>
      </c>
      <c r="C2084" s="15">
        <v>290220505</v>
      </c>
      <c r="D2084" s="16">
        <v>8703811</v>
      </c>
      <c r="E2084" s="16" t="s">
        <v>8278</v>
      </c>
      <c r="F2084" s="20"/>
      <c r="G2084" s="17" t="s">
        <v>8279</v>
      </c>
    </row>
    <row r="2085" spans="1:7" x14ac:dyDescent="0.25">
      <c r="A2085">
        <f t="shared" si="34"/>
        <v>8703956</v>
      </c>
      <c r="B2085" s="15">
        <v>140640200</v>
      </c>
      <c r="C2085" s="15">
        <v>290220399</v>
      </c>
      <c r="D2085" s="16">
        <v>8703956</v>
      </c>
      <c r="E2085" s="16" t="s">
        <v>8280</v>
      </c>
      <c r="F2085" s="20"/>
      <c r="G2085" s="17" t="s">
        <v>8281</v>
      </c>
    </row>
    <row r="2086" spans="1:7" x14ac:dyDescent="0.25">
      <c r="A2086">
        <f t="shared" si="34"/>
        <v>8703051</v>
      </c>
      <c r="B2086" s="15">
        <v>140640177</v>
      </c>
      <c r="C2086" s="15">
        <v>290220300</v>
      </c>
      <c r="D2086" s="16">
        <v>8703051</v>
      </c>
      <c r="E2086" s="16" t="s">
        <v>8282</v>
      </c>
      <c r="F2086" s="20"/>
      <c r="G2086" s="17" t="s">
        <v>8283</v>
      </c>
    </row>
    <row r="2087" spans="1:7" x14ac:dyDescent="0.25">
      <c r="A2087">
        <f t="shared" si="34"/>
        <v>8703506</v>
      </c>
      <c r="B2087" s="15">
        <v>140640208</v>
      </c>
      <c r="C2087" s="15">
        <v>290220472</v>
      </c>
      <c r="D2087" s="16">
        <v>8703506</v>
      </c>
      <c r="E2087" s="16" t="s">
        <v>8284</v>
      </c>
      <c r="F2087" s="20"/>
      <c r="G2087" s="17" t="s">
        <v>8285</v>
      </c>
    </row>
    <row r="2088" spans="1:7" x14ac:dyDescent="0.25">
      <c r="A2088">
        <f t="shared" si="34"/>
        <v>8703042</v>
      </c>
      <c r="B2088" s="15">
        <v>140640171</v>
      </c>
      <c r="C2088" s="15">
        <v>290220289</v>
      </c>
      <c r="D2088" s="16">
        <v>8703042</v>
      </c>
      <c r="E2088" s="16" t="s">
        <v>8286</v>
      </c>
      <c r="F2088" s="20"/>
      <c r="G2088" s="17" t="s">
        <v>8287</v>
      </c>
    </row>
    <row r="2089" spans="1:7" x14ac:dyDescent="0.25">
      <c r="A2089">
        <f t="shared" si="34"/>
        <v>8703955</v>
      </c>
      <c r="B2089" s="15">
        <v>140640192</v>
      </c>
      <c r="C2089" s="15">
        <v>290220361</v>
      </c>
      <c r="D2089" s="16">
        <v>8703955</v>
      </c>
      <c r="E2089" s="16" t="s">
        <v>2418</v>
      </c>
      <c r="F2089" s="20"/>
      <c r="G2089" s="17" t="s">
        <v>8288</v>
      </c>
    </row>
    <row r="2090" spans="1:7" x14ac:dyDescent="0.25">
      <c r="A2090">
        <f t="shared" si="34"/>
        <v>8708001</v>
      </c>
      <c r="B2090" s="15">
        <v>140640284</v>
      </c>
      <c r="C2090" s="15">
        <v>290221027</v>
      </c>
      <c r="D2090" s="16">
        <v>8708001</v>
      </c>
      <c r="E2090" s="16" t="s">
        <v>8289</v>
      </c>
      <c r="F2090" s="20" t="s">
        <v>7227</v>
      </c>
      <c r="G2090" s="17" t="s">
        <v>8290</v>
      </c>
    </row>
    <row r="2091" spans="1:7" x14ac:dyDescent="0.25">
      <c r="A2091">
        <f t="shared" si="34"/>
        <v>8708272</v>
      </c>
      <c r="B2091" s="15">
        <v>140640229</v>
      </c>
      <c r="C2091" s="15">
        <v>290220633</v>
      </c>
      <c r="D2091" s="16">
        <v>8708272</v>
      </c>
      <c r="E2091" s="16" t="s">
        <v>4356</v>
      </c>
      <c r="F2091" s="20"/>
      <c r="G2091" s="17" t="s">
        <v>8291</v>
      </c>
    </row>
    <row r="2092" spans="1:7" x14ac:dyDescent="0.25">
      <c r="A2092">
        <f t="shared" si="34"/>
        <v>8705113</v>
      </c>
      <c r="B2092" s="15">
        <v>140640242</v>
      </c>
      <c r="C2092" s="15">
        <v>290220719</v>
      </c>
      <c r="D2092" s="16">
        <v>8705113</v>
      </c>
      <c r="E2092" s="16" t="s">
        <v>8292</v>
      </c>
      <c r="F2092" s="20" t="s">
        <v>7035</v>
      </c>
      <c r="G2092" s="17" t="s">
        <v>8293</v>
      </c>
    </row>
    <row r="2093" spans="1:7" x14ac:dyDescent="0.25">
      <c r="A2093">
        <f t="shared" si="34"/>
        <v>8705586</v>
      </c>
      <c r="B2093" s="15">
        <v>140640138</v>
      </c>
      <c r="C2093" s="15">
        <v>290219961</v>
      </c>
      <c r="D2093" s="16">
        <v>8705586</v>
      </c>
      <c r="E2093" s="16" t="s">
        <v>8294</v>
      </c>
      <c r="F2093" s="20"/>
      <c r="G2093" s="17" t="s">
        <v>8295</v>
      </c>
    </row>
    <row r="2094" spans="1:7" x14ac:dyDescent="0.25">
      <c r="A2094">
        <f t="shared" si="34"/>
        <v>8705586</v>
      </c>
      <c r="B2094" s="15">
        <v>140640148</v>
      </c>
      <c r="C2094" s="15">
        <v>290220110</v>
      </c>
      <c r="D2094" s="16">
        <v>8705586</v>
      </c>
      <c r="E2094" s="16" t="s">
        <v>8296</v>
      </c>
      <c r="F2094" s="20"/>
      <c r="G2094" s="17" t="s">
        <v>8297</v>
      </c>
    </row>
    <row r="2095" spans="1:7" x14ac:dyDescent="0.25">
      <c r="A2095">
        <f t="shared" si="34"/>
        <v>8708020</v>
      </c>
      <c r="B2095" s="15">
        <v>140640156</v>
      </c>
      <c r="C2095" s="15">
        <v>290220201</v>
      </c>
      <c r="D2095" s="16">
        <v>8708020</v>
      </c>
      <c r="E2095" s="16" t="s">
        <v>8298</v>
      </c>
      <c r="F2095" s="20" t="s">
        <v>7035</v>
      </c>
      <c r="G2095" s="17" t="s">
        <v>8299</v>
      </c>
    </row>
    <row r="2096" spans="1:7" x14ac:dyDescent="0.25">
      <c r="A2096">
        <f t="shared" si="34"/>
        <v>8708107</v>
      </c>
      <c r="B2096" s="15">
        <v>140640169</v>
      </c>
      <c r="C2096" s="15">
        <v>290220282</v>
      </c>
      <c r="D2096" s="16">
        <v>8708107</v>
      </c>
      <c r="E2096" s="16" t="s">
        <v>8300</v>
      </c>
      <c r="F2096" s="20" t="s">
        <v>7035</v>
      </c>
      <c r="G2096" s="17" t="s">
        <v>8301</v>
      </c>
    </row>
    <row r="2097" spans="1:7" x14ac:dyDescent="0.25">
      <c r="A2097">
        <f t="shared" si="34"/>
        <v>8708815</v>
      </c>
      <c r="B2097" s="15">
        <v>140640157</v>
      </c>
      <c r="C2097" s="15">
        <v>290220210</v>
      </c>
      <c r="D2097" s="16">
        <v>870881506</v>
      </c>
      <c r="E2097" s="16" t="s">
        <v>5594</v>
      </c>
      <c r="F2097" s="20" t="s">
        <v>7033</v>
      </c>
      <c r="G2097" s="17" t="s">
        <v>8302</v>
      </c>
    </row>
    <row r="2098" spans="1:7" x14ac:dyDescent="0.25">
      <c r="A2098">
        <f t="shared" si="34"/>
        <v>8708815</v>
      </c>
      <c r="B2098" s="15">
        <v>140640157</v>
      </c>
      <c r="C2098" s="15">
        <v>290220213</v>
      </c>
      <c r="D2098" s="16">
        <v>870881508</v>
      </c>
      <c r="E2098" s="16" t="s">
        <v>5594</v>
      </c>
      <c r="F2098" s="20" t="s">
        <v>7052</v>
      </c>
      <c r="G2098" s="17" t="s">
        <v>8303</v>
      </c>
    </row>
    <row r="2099" spans="1:7" x14ac:dyDescent="0.25">
      <c r="A2099">
        <f t="shared" si="34"/>
        <v>8708815</v>
      </c>
      <c r="B2099" s="15">
        <v>140640157</v>
      </c>
      <c r="C2099" s="15">
        <v>290220205</v>
      </c>
      <c r="D2099" s="16">
        <v>870881504</v>
      </c>
      <c r="E2099" s="16" t="s">
        <v>5594</v>
      </c>
      <c r="F2099" s="20" t="s">
        <v>7049</v>
      </c>
      <c r="G2099" s="17" t="s">
        <v>8304</v>
      </c>
    </row>
    <row r="2100" spans="1:7" x14ac:dyDescent="0.25">
      <c r="A2100">
        <f t="shared" si="34"/>
        <v>8708815</v>
      </c>
      <c r="B2100" s="15">
        <v>140640157</v>
      </c>
      <c r="C2100" s="15">
        <v>290220215</v>
      </c>
      <c r="D2100" s="16">
        <v>870881509</v>
      </c>
      <c r="E2100" s="16" t="s">
        <v>5594</v>
      </c>
      <c r="F2100" s="20" t="s">
        <v>7035</v>
      </c>
      <c r="G2100" s="17" t="s">
        <v>8305</v>
      </c>
    </row>
    <row r="2101" spans="1:7" x14ac:dyDescent="0.25">
      <c r="A2101">
        <f t="shared" si="34"/>
        <v>8708815</v>
      </c>
      <c r="B2101" s="15">
        <v>140640157</v>
      </c>
      <c r="C2101" s="15">
        <v>290220206</v>
      </c>
      <c r="D2101" s="16">
        <v>870881503</v>
      </c>
      <c r="E2101" s="16" t="s">
        <v>5594</v>
      </c>
      <c r="F2101" s="20" t="s">
        <v>7034</v>
      </c>
      <c r="G2101" s="17" t="s">
        <v>8306</v>
      </c>
    </row>
    <row r="2102" spans="1:7" x14ac:dyDescent="0.25">
      <c r="A2102">
        <f t="shared" si="34"/>
        <v>8708815</v>
      </c>
      <c r="B2102" s="15">
        <v>140640157</v>
      </c>
      <c r="C2102" s="15">
        <v>290220219</v>
      </c>
      <c r="D2102" s="16">
        <v>870881510</v>
      </c>
      <c r="E2102" s="16" t="s">
        <v>5594</v>
      </c>
      <c r="F2102" s="20" t="s">
        <v>7221</v>
      </c>
      <c r="G2102" s="17" t="s">
        <v>8307</v>
      </c>
    </row>
    <row r="2103" spans="1:7" x14ac:dyDescent="0.25">
      <c r="A2103">
        <f t="shared" si="34"/>
        <v>8708815</v>
      </c>
      <c r="B2103" s="15">
        <v>140640157</v>
      </c>
      <c r="C2103" s="15">
        <v>290220222</v>
      </c>
      <c r="D2103" s="16">
        <v>870881511</v>
      </c>
      <c r="E2103" s="16" t="s">
        <v>5594</v>
      </c>
      <c r="F2103" s="20" t="s">
        <v>7053</v>
      </c>
      <c r="G2103" s="17" t="s">
        <v>8308</v>
      </c>
    </row>
    <row r="2104" spans="1:7" x14ac:dyDescent="0.25">
      <c r="A2104">
        <f t="shared" si="34"/>
        <v>8522999</v>
      </c>
      <c r="B2104" s="15">
        <v>140640155</v>
      </c>
      <c r="C2104" s="15">
        <v>290220199</v>
      </c>
      <c r="D2104" s="16">
        <v>8522999</v>
      </c>
      <c r="E2104" s="16" t="s">
        <v>8309</v>
      </c>
      <c r="F2104" s="20" t="s">
        <v>7035</v>
      </c>
      <c r="G2104" s="17" t="s">
        <v>8310</v>
      </c>
    </row>
    <row r="2105" spans="1:7" x14ac:dyDescent="0.25">
      <c r="A2105">
        <f t="shared" si="34"/>
        <v>8522011</v>
      </c>
      <c r="B2105" s="15">
        <v>140640314</v>
      </c>
      <c r="C2105" s="15">
        <v>290221227</v>
      </c>
      <c r="D2105" s="16">
        <v>8522011</v>
      </c>
      <c r="E2105" s="16" t="s">
        <v>8311</v>
      </c>
      <c r="F2105" s="20"/>
      <c r="G2105" s="16" t="s">
        <v>8312</v>
      </c>
    </row>
    <row r="2106" spans="1:7" x14ac:dyDescent="0.25">
      <c r="A2106">
        <f t="shared" si="34"/>
        <v>8522030</v>
      </c>
      <c r="B2106" s="15">
        <v>140498175</v>
      </c>
      <c r="C2106" s="15">
        <v>290070313</v>
      </c>
      <c r="D2106" s="16">
        <v>8522030</v>
      </c>
      <c r="E2106" s="16" t="s">
        <v>5986</v>
      </c>
      <c r="F2106" s="20" t="s">
        <v>7035</v>
      </c>
      <c r="G2106" s="16" t="s">
        <v>8313</v>
      </c>
    </row>
    <row r="2107" spans="1:7" x14ac:dyDescent="0.25">
      <c r="A2107">
        <f t="shared" si="34"/>
        <v>2220292</v>
      </c>
      <c r="B2107" s="15">
        <v>140640080</v>
      </c>
      <c r="C2107" s="15">
        <v>290219187</v>
      </c>
      <c r="D2107" s="16">
        <v>222029204</v>
      </c>
      <c r="E2107" s="16" t="s">
        <v>8314</v>
      </c>
      <c r="F2107" s="20" t="s">
        <v>7510</v>
      </c>
      <c r="G2107" s="17" t="s">
        <v>8315</v>
      </c>
    </row>
    <row r="2108" spans="1:7" x14ac:dyDescent="0.25">
      <c r="A2108">
        <f t="shared" si="34"/>
        <v>2220292</v>
      </c>
      <c r="B2108" s="15">
        <v>140640080</v>
      </c>
      <c r="C2108" s="15">
        <v>290219193</v>
      </c>
      <c r="D2108" s="16">
        <v>222029205</v>
      </c>
      <c r="E2108" s="16" t="s">
        <v>8314</v>
      </c>
      <c r="F2108" s="20" t="s">
        <v>7544</v>
      </c>
      <c r="G2108" s="17" t="s">
        <v>8315</v>
      </c>
    </row>
    <row r="2109" spans="1:7" x14ac:dyDescent="0.25">
      <c r="A2109">
        <f t="shared" si="34"/>
        <v>2220292</v>
      </c>
      <c r="B2109" s="15">
        <v>140640080</v>
      </c>
      <c r="C2109" s="15">
        <v>290219196</v>
      </c>
      <c r="D2109" s="16">
        <v>222029203</v>
      </c>
      <c r="E2109" s="16" t="s">
        <v>8314</v>
      </c>
      <c r="F2109" s="20" t="s">
        <v>7540</v>
      </c>
      <c r="G2109" s="17" t="s">
        <v>8315</v>
      </c>
    </row>
    <row r="2110" spans="1:7" x14ac:dyDescent="0.25">
      <c r="A2110">
        <f t="shared" si="34"/>
        <v>2220292</v>
      </c>
      <c r="B2110" s="15">
        <v>140640080</v>
      </c>
      <c r="C2110" s="15">
        <v>290219183</v>
      </c>
      <c r="D2110" s="16">
        <v>222029209</v>
      </c>
      <c r="E2110" s="16" t="s">
        <v>8314</v>
      </c>
      <c r="F2110" s="20" t="s">
        <v>7515</v>
      </c>
      <c r="G2110" s="17" t="s">
        <v>8315</v>
      </c>
    </row>
    <row r="2111" spans="1:7" x14ac:dyDescent="0.25">
      <c r="A2111">
        <f t="shared" si="34"/>
        <v>2220292</v>
      </c>
      <c r="B2111" s="15">
        <v>140640080</v>
      </c>
      <c r="C2111" s="15">
        <v>290219190</v>
      </c>
      <c r="D2111" s="16">
        <v>222029202</v>
      </c>
      <c r="E2111" s="16" t="s">
        <v>8314</v>
      </c>
      <c r="F2111" s="20" t="s">
        <v>7537</v>
      </c>
      <c r="G2111" s="17" t="s">
        <v>8315</v>
      </c>
    </row>
    <row r="2112" spans="1:7" x14ac:dyDescent="0.25">
      <c r="A2112">
        <f t="shared" si="34"/>
        <v>2220292</v>
      </c>
      <c r="B2112" s="15">
        <v>140640080</v>
      </c>
      <c r="C2112" s="15">
        <v>290219204</v>
      </c>
      <c r="D2112" s="16">
        <v>222029207</v>
      </c>
      <c r="E2112" s="16" t="s">
        <v>8314</v>
      </c>
      <c r="F2112" s="20" t="s">
        <v>7528</v>
      </c>
      <c r="G2112" s="17" t="s">
        <v>8315</v>
      </c>
    </row>
    <row r="2113" spans="1:7" x14ac:dyDescent="0.25">
      <c r="A2113">
        <f t="shared" si="34"/>
        <v>2220292</v>
      </c>
      <c r="B2113" s="15">
        <v>140640080</v>
      </c>
      <c r="C2113" s="15">
        <v>290219177</v>
      </c>
      <c r="D2113" s="16">
        <v>222029201</v>
      </c>
      <c r="E2113" s="16" t="s">
        <v>8314</v>
      </c>
      <c r="F2113" s="20" t="s">
        <v>7527</v>
      </c>
      <c r="G2113" s="17" t="s">
        <v>8315</v>
      </c>
    </row>
    <row r="2114" spans="1:7" x14ac:dyDescent="0.25">
      <c r="A2114">
        <f t="shared" si="34"/>
        <v>2220292</v>
      </c>
      <c r="B2114" s="15">
        <v>140640080</v>
      </c>
      <c r="C2114" s="15">
        <v>290219209</v>
      </c>
      <c r="D2114" s="16">
        <v>222029208</v>
      </c>
      <c r="E2114" s="16" t="s">
        <v>8314</v>
      </c>
      <c r="F2114" s="20" t="s">
        <v>7538</v>
      </c>
      <c r="G2114" s="17" t="s">
        <v>8315</v>
      </c>
    </row>
    <row r="2115" spans="1:7" x14ac:dyDescent="0.25">
      <c r="A2115">
        <f t="shared" si="34"/>
        <v>2220292</v>
      </c>
      <c r="B2115" s="15">
        <v>140640080</v>
      </c>
      <c r="C2115" s="15">
        <v>290219180</v>
      </c>
      <c r="D2115" s="16">
        <v>222029200</v>
      </c>
      <c r="E2115" s="16" t="s">
        <v>8314</v>
      </c>
      <c r="F2115" s="20" t="s">
        <v>7512</v>
      </c>
      <c r="G2115" s="17" t="s">
        <v>8315</v>
      </c>
    </row>
    <row r="2116" spans="1:7" x14ac:dyDescent="0.25">
      <c r="A2116">
        <f t="shared" si="34"/>
        <v>2220292</v>
      </c>
      <c r="B2116" s="15">
        <v>140640080</v>
      </c>
      <c r="C2116" s="15">
        <v>290219201</v>
      </c>
      <c r="D2116" s="16">
        <v>222029206</v>
      </c>
      <c r="E2116" s="16" t="s">
        <v>8314</v>
      </c>
      <c r="F2116" s="20" t="s">
        <v>7514</v>
      </c>
      <c r="G2116" s="17" t="s">
        <v>8315</v>
      </c>
    </row>
    <row r="2117" spans="1:7" x14ac:dyDescent="0.25">
      <c r="A2117">
        <f t="shared" si="34"/>
        <v>2220456</v>
      </c>
      <c r="B2117" s="15">
        <v>140640078</v>
      </c>
      <c r="C2117" s="15">
        <v>290219138</v>
      </c>
      <c r="D2117" s="16">
        <v>222045605</v>
      </c>
      <c r="E2117" s="16" t="s">
        <v>8316</v>
      </c>
      <c r="F2117" s="20" t="s">
        <v>7521</v>
      </c>
      <c r="G2117" s="17" t="s">
        <v>8317</v>
      </c>
    </row>
    <row r="2118" spans="1:7" x14ac:dyDescent="0.25">
      <c r="A2118">
        <f t="shared" si="34"/>
        <v>2220456</v>
      </c>
      <c r="B2118" s="15">
        <v>140640078</v>
      </c>
      <c r="C2118" s="15">
        <v>290219126</v>
      </c>
      <c r="D2118" s="16">
        <v>222045609</v>
      </c>
      <c r="E2118" s="16" t="s">
        <v>8316</v>
      </c>
      <c r="F2118" s="20" t="s">
        <v>7516</v>
      </c>
      <c r="G2118" s="17" t="s">
        <v>8317</v>
      </c>
    </row>
    <row r="2119" spans="1:7" x14ac:dyDescent="0.25">
      <c r="A2119">
        <f t="shared" ref="A2119:A2182" si="35">LEFT(D2119,7)*1</f>
        <v>2220456</v>
      </c>
      <c r="B2119" s="15">
        <v>140640078</v>
      </c>
      <c r="C2119" s="15">
        <v>290219114</v>
      </c>
      <c r="D2119" s="16">
        <v>222045602</v>
      </c>
      <c r="E2119" s="16" t="s">
        <v>8316</v>
      </c>
      <c r="F2119" s="20" t="s">
        <v>7534</v>
      </c>
      <c r="G2119" s="17" t="s">
        <v>8317</v>
      </c>
    </row>
    <row r="2120" spans="1:7" x14ac:dyDescent="0.25">
      <c r="A2120">
        <f t="shared" si="35"/>
        <v>2220456</v>
      </c>
      <c r="B2120" s="15">
        <v>140640078</v>
      </c>
      <c r="C2120" s="15">
        <v>290219184</v>
      </c>
      <c r="D2120" s="16">
        <v>222045600</v>
      </c>
      <c r="E2120" s="16" t="s">
        <v>8316</v>
      </c>
      <c r="F2120" s="20" t="s">
        <v>7531</v>
      </c>
      <c r="G2120" s="17" t="s">
        <v>8317</v>
      </c>
    </row>
    <row r="2121" spans="1:7" x14ac:dyDescent="0.25">
      <c r="A2121">
        <f t="shared" si="35"/>
        <v>2220456</v>
      </c>
      <c r="B2121" s="15">
        <v>140640078</v>
      </c>
      <c r="C2121" s="15">
        <v>290219191</v>
      </c>
      <c r="D2121" s="16">
        <v>222045606</v>
      </c>
      <c r="E2121" s="16" t="s">
        <v>8316</v>
      </c>
      <c r="F2121" s="20" t="s">
        <v>7522</v>
      </c>
      <c r="G2121" s="17" t="s">
        <v>8317</v>
      </c>
    </row>
    <row r="2122" spans="1:7" x14ac:dyDescent="0.25">
      <c r="A2122">
        <f t="shared" si="35"/>
        <v>2220456</v>
      </c>
      <c r="B2122" s="15">
        <v>140640078</v>
      </c>
      <c r="C2122" s="15">
        <v>290219195</v>
      </c>
      <c r="D2122" s="16">
        <v>222045608</v>
      </c>
      <c r="E2122" s="16" t="s">
        <v>8316</v>
      </c>
      <c r="F2122" s="20" t="s">
        <v>7519</v>
      </c>
      <c r="G2122" s="17" t="s">
        <v>8317</v>
      </c>
    </row>
    <row r="2123" spans="1:7" x14ac:dyDescent="0.25">
      <c r="A2123">
        <f t="shared" si="35"/>
        <v>2220456</v>
      </c>
      <c r="B2123" s="15">
        <v>140640078</v>
      </c>
      <c r="C2123" s="15">
        <v>290219170</v>
      </c>
      <c r="D2123" s="16">
        <v>222045603</v>
      </c>
      <c r="E2123" s="16" t="s">
        <v>8316</v>
      </c>
      <c r="F2123" s="20" t="s">
        <v>7532</v>
      </c>
      <c r="G2123" s="17" t="s">
        <v>8317</v>
      </c>
    </row>
    <row r="2124" spans="1:7" x14ac:dyDescent="0.25">
      <c r="A2124">
        <f t="shared" si="35"/>
        <v>2220456</v>
      </c>
      <c r="B2124" s="15">
        <v>140640078</v>
      </c>
      <c r="C2124" s="15">
        <v>290219152</v>
      </c>
      <c r="D2124" s="16">
        <v>222045601</v>
      </c>
      <c r="E2124" s="16" t="s">
        <v>8316</v>
      </c>
      <c r="F2124" s="20" t="s">
        <v>7536</v>
      </c>
      <c r="G2124" s="17" t="s">
        <v>8317</v>
      </c>
    </row>
    <row r="2125" spans="1:7" x14ac:dyDescent="0.25">
      <c r="A2125">
        <f t="shared" si="35"/>
        <v>2220456</v>
      </c>
      <c r="B2125" s="15">
        <v>140640078</v>
      </c>
      <c r="C2125" s="15">
        <v>290219174</v>
      </c>
      <c r="D2125" s="16">
        <v>222045607</v>
      </c>
      <c r="E2125" s="16" t="s">
        <v>8316</v>
      </c>
      <c r="F2125" s="20" t="s">
        <v>7520</v>
      </c>
      <c r="G2125" s="17" t="s">
        <v>8317</v>
      </c>
    </row>
    <row r="2126" spans="1:7" x14ac:dyDescent="0.25">
      <c r="A2126">
        <f t="shared" si="35"/>
        <v>2220456</v>
      </c>
      <c r="B2126" s="15">
        <v>140640078</v>
      </c>
      <c r="C2126" s="15">
        <v>290219188</v>
      </c>
      <c r="D2126" s="16">
        <v>222045604</v>
      </c>
      <c r="E2126" s="16" t="s">
        <v>8316</v>
      </c>
      <c r="F2126" s="20" t="s">
        <v>7518</v>
      </c>
      <c r="G2126" s="17" t="s">
        <v>8317</v>
      </c>
    </row>
    <row r="2127" spans="1:7" x14ac:dyDescent="0.25">
      <c r="A2127">
        <f t="shared" si="35"/>
        <v>2101877</v>
      </c>
      <c r="B2127" s="15">
        <v>140640076</v>
      </c>
      <c r="C2127" s="15">
        <v>290219109</v>
      </c>
      <c r="D2127" s="16">
        <v>210187701</v>
      </c>
      <c r="E2127" s="16" t="s">
        <v>8318</v>
      </c>
      <c r="F2127" s="20" t="s">
        <v>7779</v>
      </c>
      <c r="G2127" s="17" t="s">
        <v>8319</v>
      </c>
    </row>
    <row r="2128" spans="1:7" x14ac:dyDescent="0.25">
      <c r="A2128">
        <f t="shared" si="35"/>
        <v>2101750</v>
      </c>
      <c r="B2128" s="15">
        <v>140640076</v>
      </c>
      <c r="C2128" s="15">
        <v>290219090</v>
      </c>
      <c r="D2128" s="16">
        <v>210175002</v>
      </c>
      <c r="E2128" s="16" t="s">
        <v>8318</v>
      </c>
      <c r="F2128" s="20" t="s">
        <v>7539</v>
      </c>
      <c r="G2128" s="17" t="s">
        <v>8320</v>
      </c>
    </row>
    <row r="2129" spans="1:7" x14ac:dyDescent="0.25">
      <c r="A2129">
        <f t="shared" si="35"/>
        <v>2101877</v>
      </c>
      <c r="B2129" s="15">
        <v>140640076</v>
      </c>
      <c r="C2129" s="15">
        <v>290219120</v>
      </c>
      <c r="D2129" s="16">
        <v>210187706</v>
      </c>
      <c r="E2129" s="16" t="s">
        <v>8318</v>
      </c>
      <c r="F2129" s="20" t="s">
        <v>7773</v>
      </c>
      <c r="G2129" s="17" t="s">
        <v>8319</v>
      </c>
    </row>
    <row r="2130" spans="1:7" x14ac:dyDescent="0.25">
      <c r="A2130">
        <f t="shared" si="35"/>
        <v>2101495</v>
      </c>
      <c r="B2130" s="15">
        <v>140640076</v>
      </c>
      <c r="C2130" s="15">
        <v>290219103</v>
      </c>
      <c r="D2130" s="16">
        <v>210149500</v>
      </c>
      <c r="E2130" s="16" t="s">
        <v>8318</v>
      </c>
      <c r="F2130" s="20" t="s">
        <v>7512</v>
      </c>
      <c r="G2130" s="17" t="s">
        <v>8321</v>
      </c>
    </row>
    <row r="2131" spans="1:7" x14ac:dyDescent="0.25">
      <c r="A2131">
        <f t="shared" si="35"/>
        <v>2101495</v>
      </c>
      <c r="B2131" s="15">
        <v>140640076</v>
      </c>
      <c r="C2131" s="15">
        <v>290219290</v>
      </c>
      <c r="D2131" s="16">
        <v>210149505</v>
      </c>
      <c r="E2131" s="16" t="s">
        <v>8318</v>
      </c>
      <c r="F2131" s="20" t="s">
        <v>7544</v>
      </c>
      <c r="G2131" s="17" t="s">
        <v>8321</v>
      </c>
    </row>
    <row r="2132" spans="1:7" x14ac:dyDescent="0.25">
      <c r="A2132">
        <f t="shared" si="35"/>
        <v>2101750</v>
      </c>
      <c r="B2132" s="15">
        <v>140640076</v>
      </c>
      <c r="C2132" s="15">
        <v>290219270</v>
      </c>
      <c r="D2132" s="16">
        <v>210175001</v>
      </c>
      <c r="E2132" s="16" t="s">
        <v>8318</v>
      </c>
      <c r="F2132" s="20" t="s">
        <v>7543</v>
      </c>
      <c r="G2132" s="17" t="s">
        <v>8320</v>
      </c>
    </row>
    <row r="2133" spans="1:7" x14ac:dyDescent="0.25">
      <c r="A2133">
        <f t="shared" si="35"/>
        <v>2101900</v>
      </c>
      <c r="B2133" s="15">
        <v>140640076</v>
      </c>
      <c r="C2133" s="15">
        <v>290219259</v>
      </c>
      <c r="D2133" s="16">
        <v>210190010</v>
      </c>
      <c r="E2133" s="16" t="s">
        <v>8318</v>
      </c>
      <c r="F2133" s="20" t="s">
        <v>7542</v>
      </c>
      <c r="G2133" s="17" t="s">
        <v>8322</v>
      </c>
    </row>
    <row r="2134" spans="1:7" x14ac:dyDescent="0.25">
      <c r="A2134">
        <f t="shared" si="35"/>
        <v>2101495</v>
      </c>
      <c r="B2134" s="15">
        <v>140640076</v>
      </c>
      <c r="C2134" s="15">
        <v>290219255</v>
      </c>
      <c r="D2134" s="16">
        <v>210149504</v>
      </c>
      <c r="E2134" s="16" t="s">
        <v>8318</v>
      </c>
      <c r="F2134" s="20" t="s">
        <v>7510</v>
      </c>
      <c r="G2134" s="17" t="s">
        <v>8321</v>
      </c>
    </row>
    <row r="2135" spans="1:7" x14ac:dyDescent="0.25">
      <c r="A2135">
        <f t="shared" si="35"/>
        <v>2101100</v>
      </c>
      <c r="B2135" s="15">
        <v>140640076</v>
      </c>
      <c r="C2135" s="15">
        <v>290219280</v>
      </c>
      <c r="D2135" s="16">
        <v>210110006</v>
      </c>
      <c r="E2135" s="16" t="s">
        <v>8318</v>
      </c>
      <c r="F2135" s="20" t="s">
        <v>8323</v>
      </c>
      <c r="G2135" s="17" t="s">
        <v>8324</v>
      </c>
    </row>
    <row r="2136" spans="1:7" x14ac:dyDescent="0.25">
      <c r="A2136">
        <f t="shared" si="35"/>
        <v>2101900</v>
      </c>
      <c r="B2136" s="15">
        <v>140640076</v>
      </c>
      <c r="C2136" s="15">
        <v>290219262</v>
      </c>
      <c r="D2136" s="16">
        <v>210190000</v>
      </c>
      <c r="E2136" s="16" t="s">
        <v>8318</v>
      </c>
      <c r="F2136" s="20" t="s">
        <v>7531</v>
      </c>
      <c r="G2136" s="17" t="s">
        <v>8322</v>
      </c>
    </row>
    <row r="2137" spans="1:7" x14ac:dyDescent="0.25">
      <c r="A2137">
        <f t="shared" si="35"/>
        <v>2101750</v>
      </c>
      <c r="B2137" s="15">
        <v>140640076</v>
      </c>
      <c r="C2137" s="15">
        <v>290219301</v>
      </c>
      <c r="D2137" s="16">
        <v>210175010</v>
      </c>
      <c r="E2137" s="16" t="s">
        <v>8318</v>
      </c>
      <c r="F2137" s="20" t="s">
        <v>7525</v>
      </c>
      <c r="G2137" s="17" t="s">
        <v>8320</v>
      </c>
    </row>
    <row r="2138" spans="1:7" x14ac:dyDescent="0.25">
      <c r="A2138">
        <f t="shared" si="35"/>
        <v>2101877</v>
      </c>
      <c r="B2138" s="15">
        <v>140640076</v>
      </c>
      <c r="C2138" s="15">
        <v>290219275</v>
      </c>
      <c r="D2138" s="16">
        <v>210187703</v>
      </c>
      <c r="E2138" s="16" t="s">
        <v>8318</v>
      </c>
      <c r="F2138" s="20" t="s">
        <v>7784</v>
      </c>
      <c r="G2138" s="17" t="s">
        <v>8319</v>
      </c>
    </row>
    <row r="2139" spans="1:7" x14ac:dyDescent="0.25">
      <c r="A2139">
        <f t="shared" si="35"/>
        <v>2101900</v>
      </c>
      <c r="B2139" s="15">
        <v>140640076</v>
      </c>
      <c r="C2139" s="15">
        <v>290219312</v>
      </c>
      <c r="D2139" s="16">
        <v>210190002</v>
      </c>
      <c r="E2139" s="16" t="s">
        <v>8318</v>
      </c>
      <c r="F2139" s="20" t="s">
        <v>7534</v>
      </c>
      <c r="G2139" s="17" t="s">
        <v>8322</v>
      </c>
    </row>
    <row r="2140" spans="1:7" x14ac:dyDescent="0.25">
      <c r="A2140">
        <f t="shared" si="35"/>
        <v>2101100</v>
      </c>
      <c r="B2140" s="15">
        <v>140640076</v>
      </c>
      <c r="C2140" s="15">
        <v>290219132</v>
      </c>
      <c r="D2140" s="16">
        <v>210110003</v>
      </c>
      <c r="E2140" s="16" t="s">
        <v>8318</v>
      </c>
      <c r="F2140" s="20" t="s">
        <v>8325</v>
      </c>
      <c r="G2140" s="17" t="s">
        <v>8324</v>
      </c>
    </row>
    <row r="2141" spans="1:7" x14ac:dyDescent="0.25">
      <c r="A2141">
        <f t="shared" si="35"/>
        <v>2101100</v>
      </c>
      <c r="B2141" s="15">
        <v>140640076</v>
      </c>
      <c r="C2141" s="15">
        <v>290219172</v>
      </c>
      <c r="D2141" s="16">
        <v>210110001</v>
      </c>
      <c r="E2141" s="16" t="s">
        <v>8318</v>
      </c>
      <c r="F2141" s="20" t="s">
        <v>8326</v>
      </c>
      <c r="G2141" s="17" t="s">
        <v>8324</v>
      </c>
    </row>
    <row r="2142" spans="1:7" x14ac:dyDescent="0.25">
      <c r="A2142">
        <f t="shared" si="35"/>
        <v>2101750</v>
      </c>
      <c r="B2142" s="15">
        <v>140640076</v>
      </c>
      <c r="C2142" s="15">
        <v>290219208</v>
      </c>
      <c r="D2142" s="16">
        <v>210175003</v>
      </c>
      <c r="E2142" s="16" t="s">
        <v>8318</v>
      </c>
      <c r="F2142" s="20" t="s">
        <v>7523</v>
      </c>
      <c r="G2142" s="17" t="s">
        <v>8320</v>
      </c>
    </row>
    <row r="2143" spans="1:7" x14ac:dyDescent="0.25">
      <c r="A2143">
        <f t="shared" si="35"/>
        <v>2101750</v>
      </c>
      <c r="B2143" s="15">
        <v>140640076</v>
      </c>
      <c r="C2143" s="15">
        <v>290219164</v>
      </c>
      <c r="D2143" s="16">
        <v>210175006</v>
      </c>
      <c r="E2143" s="16" t="s">
        <v>8318</v>
      </c>
      <c r="F2143" s="20" t="s">
        <v>7529</v>
      </c>
      <c r="G2143" s="17" t="s">
        <v>8320</v>
      </c>
    </row>
    <row r="2144" spans="1:7" x14ac:dyDescent="0.25">
      <c r="A2144">
        <f t="shared" si="35"/>
        <v>2101900</v>
      </c>
      <c r="B2144" s="15">
        <v>140640076</v>
      </c>
      <c r="C2144" s="15">
        <v>290219305</v>
      </c>
      <c r="D2144" s="16">
        <v>210190001</v>
      </c>
      <c r="E2144" s="16" t="s">
        <v>8318</v>
      </c>
      <c r="F2144" s="20" t="s">
        <v>7536</v>
      </c>
      <c r="G2144" s="17" t="s">
        <v>8322</v>
      </c>
    </row>
    <row r="2145" spans="1:7" x14ac:dyDescent="0.25">
      <c r="A2145">
        <f t="shared" si="35"/>
        <v>2101750</v>
      </c>
      <c r="B2145" s="15">
        <v>140640076</v>
      </c>
      <c r="C2145" s="15">
        <v>290219202</v>
      </c>
      <c r="D2145" s="16">
        <v>210175000</v>
      </c>
      <c r="E2145" s="16" t="s">
        <v>8318</v>
      </c>
      <c r="F2145" s="20" t="s">
        <v>7541</v>
      </c>
      <c r="G2145" s="17" t="s">
        <v>8320</v>
      </c>
    </row>
    <row r="2146" spans="1:7" x14ac:dyDescent="0.25">
      <c r="A2146">
        <f t="shared" si="35"/>
        <v>2101750</v>
      </c>
      <c r="B2146" s="15">
        <v>140640076</v>
      </c>
      <c r="C2146" s="15">
        <v>290219216</v>
      </c>
      <c r="D2146" s="16">
        <v>210175004</v>
      </c>
      <c r="E2146" s="16" t="s">
        <v>8318</v>
      </c>
      <c r="F2146" s="20" t="s">
        <v>7545</v>
      </c>
      <c r="G2146" s="17" t="s">
        <v>8320</v>
      </c>
    </row>
    <row r="2147" spans="1:7" x14ac:dyDescent="0.25">
      <c r="A2147">
        <f t="shared" si="35"/>
        <v>2101100</v>
      </c>
      <c r="B2147" s="15">
        <v>140640076</v>
      </c>
      <c r="C2147" s="15">
        <v>290219176</v>
      </c>
      <c r="D2147" s="16">
        <v>210110005</v>
      </c>
      <c r="E2147" s="16" t="s">
        <v>8318</v>
      </c>
      <c r="F2147" s="20" t="s">
        <v>8327</v>
      </c>
      <c r="G2147" s="17" t="s">
        <v>8324</v>
      </c>
    </row>
    <row r="2148" spans="1:7" x14ac:dyDescent="0.25">
      <c r="A2148">
        <f t="shared" si="35"/>
        <v>2101877</v>
      </c>
      <c r="B2148" s="15">
        <v>140640076</v>
      </c>
      <c r="C2148" s="15">
        <v>290219251</v>
      </c>
      <c r="D2148" s="16">
        <v>210187704</v>
      </c>
      <c r="E2148" s="16" t="s">
        <v>8318</v>
      </c>
      <c r="F2148" s="20" t="s">
        <v>7781</v>
      </c>
      <c r="G2148" s="17" t="s">
        <v>8319</v>
      </c>
    </row>
    <row r="2149" spans="1:7" x14ac:dyDescent="0.25">
      <c r="A2149">
        <f t="shared" si="35"/>
        <v>2101877</v>
      </c>
      <c r="B2149" s="15">
        <v>140640076</v>
      </c>
      <c r="C2149" s="15">
        <v>290219317</v>
      </c>
      <c r="D2149" s="16">
        <v>210187710</v>
      </c>
      <c r="E2149" s="16" t="s">
        <v>8318</v>
      </c>
      <c r="F2149" s="20" t="s">
        <v>7776</v>
      </c>
      <c r="G2149" s="17" t="s">
        <v>8319</v>
      </c>
    </row>
    <row r="2150" spans="1:7" x14ac:dyDescent="0.25">
      <c r="A2150">
        <f t="shared" si="35"/>
        <v>2101900</v>
      </c>
      <c r="B2150" s="15">
        <v>140640076</v>
      </c>
      <c r="C2150" s="15">
        <v>290219154</v>
      </c>
      <c r="D2150" s="16">
        <v>210190005</v>
      </c>
      <c r="E2150" s="16" t="s">
        <v>8318</v>
      </c>
      <c r="F2150" s="20" t="s">
        <v>7521</v>
      </c>
      <c r="G2150" s="17" t="s">
        <v>8322</v>
      </c>
    </row>
    <row r="2151" spans="1:7" x14ac:dyDescent="0.25">
      <c r="A2151">
        <f t="shared" si="35"/>
        <v>2101900</v>
      </c>
      <c r="B2151" s="15">
        <v>140640076</v>
      </c>
      <c r="C2151" s="15">
        <v>290219171</v>
      </c>
      <c r="D2151" s="16">
        <v>210190006</v>
      </c>
      <c r="E2151" s="16" t="s">
        <v>8318</v>
      </c>
      <c r="F2151" s="20" t="s">
        <v>7522</v>
      </c>
      <c r="G2151" s="17" t="s">
        <v>8322</v>
      </c>
    </row>
    <row r="2152" spans="1:7" x14ac:dyDescent="0.25">
      <c r="A2152">
        <f t="shared" si="35"/>
        <v>2101495</v>
      </c>
      <c r="B2152" s="15">
        <v>140640076</v>
      </c>
      <c r="C2152" s="15">
        <v>290219245</v>
      </c>
      <c r="D2152" s="16">
        <v>210149510</v>
      </c>
      <c r="E2152" s="16" t="s">
        <v>8318</v>
      </c>
      <c r="F2152" s="20" t="s">
        <v>7513</v>
      </c>
      <c r="G2152" s="17" t="s">
        <v>8321</v>
      </c>
    </row>
    <row r="2153" spans="1:7" x14ac:dyDescent="0.25">
      <c r="A2153">
        <f t="shared" si="35"/>
        <v>2101877</v>
      </c>
      <c r="B2153" s="15">
        <v>140640076</v>
      </c>
      <c r="C2153" s="15">
        <v>290219181</v>
      </c>
      <c r="D2153" s="16">
        <v>210187700</v>
      </c>
      <c r="E2153" s="16" t="s">
        <v>8318</v>
      </c>
      <c r="F2153" s="20" t="s">
        <v>7782</v>
      </c>
      <c r="G2153" s="17" t="s">
        <v>8319</v>
      </c>
    </row>
    <row r="2154" spans="1:7" x14ac:dyDescent="0.25">
      <c r="A2154">
        <f t="shared" si="35"/>
        <v>2101495</v>
      </c>
      <c r="B2154" s="15">
        <v>140640076</v>
      </c>
      <c r="C2154" s="15">
        <v>290219228</v>
      </c>
      <c r="D2154" s="16">
        <v>210149506</v>
      </c>
      <c r="E2154" s="16" t="s">
        <v>8318</v>
      </c>
      <c r="F2154" s="20" t="s">
        <v>7514</v>
      </c>
      <c r="G2154" s="17" t="s">
        <v>8321</v>
      </c>
    </row>
    <row r="2155" spans="1:7" x14ac:dyDescent="0.25">
      <c r="A2155">
        <f t="shared" si="35"/>
        <v>2101877</v>
      </c>
      <c r="B2155" s="15">
        <v>140640076</v>
      </c>
      <c r="C2155" s="15">
        <v>290219192</v>
      </c>
      <c r="D2155" s="16">
        <v>210187705</v>
      </c>
      <c r="E2155" s="16" t="s">
        <v>8318</v>
      </c>
      <c r="F2155" s="20" t="s">
        <v>7768</v>
      </c>
      <c r="G2155" s="17" t="s">
        <v>8319</v>
      </c>
    </row>
    <row r="2156" spans="1:7" x14ac:dyDescent="0.25">
      <c r="A2156">
        <f t="shared" si="35"/>
        <v>2101495</v>
      </c>
      <c r="B2156" s="15">
        <v>140640076</v>
      </c>
      <c r="C2156" s="15">
        <v>290219210</v>
      </c>
      <c r="D2156" s="16">
        <v>210149501</v>
      </c>
      <c r="E2156" s="16" t="s">
        <v>8318</v>
      </c>
      <c r="F2156" s="20" t="s">
        <v>7527</v>
      </c>
      <c r="G2156" s="17" t="s">
        <v>8321</v>
      </c>
    </row>
    <row r="2157" spans="1:7" x14ac:dyDescent="0.25">
      <c r="A2157">
        <f t="shared" si="35"/>
        <v>2101100</v>
      </c>
      <c r="B2157" s="15">
        <v>140640076</v>
      </c>
      <c r="C2157" s="15">
        <v>290219222</v>
      </c>
      <c r="D2157" s="16">
        <v>210110004</v>
      </c>
      <c r="E2157" s="16" t="s">
        <v>8318</v>
      </c>
      <c r="F2157" s="20" t="s">
        <v>8328</v>
      </c>
      <c r="G2157" s="17" t="s">
        <v>8324</v>
      </c>
    </row>
    <row r="2158" spans="1:7" x14ac:dyDescent="0.25">
      <c r="A2158">
        <f t="shared" si="35"/>
        <v>2101900</v>
      </c>
      <c r="B2158" s="15">
        <v>140640076</v>
      </c>
      <c r="C2158" s="15">
        <v>290219185</v>
      </c>
      <c r="D2158" s="16">
        <v>210190004</v>
      </c>
      <c r="E2158" s="16" t="s">
        <v>8318</v>
      </c>
      <c r="F2158" s="20" t="s">
        <v>7518</v>
      </c>
      <c r="G2158" s="17" t="s">
        <v>8322</v>
      </c>
    </row>
    <row r="2159" spans="1:7" x14ac:dyDescent="0.25">
      <c r="A2159">
        <f t="shared" si="35"/>
        <v>2101877</v>
      </c>
      <c r="B2159" s="15">
        <v>140640076</v>
      </c>
      <c r="C2159" s="15">
        <v>290219146</v>
      </c>
      <c r="D2159" s="16">
        <v>210187702</v>
      </c>
      <c r="E2159" s="16" t="s">
        <v>8318</v>
      </c>
      <c r="F2159" s="20" t="s">
        <v>7780</v>
      </c>
      <c r="G2159" s="17" t="s">
        <v>8319</v>
      </c>
    </row>
    <row r="2160" spans="1:7" x14ac:dyDescent="0.25">
      <c r="A2160">
        <f t="shared" si="35"/>
        <v>2101495</v>
      </c>
      <c r="B2160" s="15">
        <v>140640076</v>
      </c>
      <c r="C2160" s="15">
        <v>290219150</v>
      </c>
      <c r="D2160" s="16">
        <v>210149502</v>
      </c>
      <c r="E2160" s="16" t="s">
        <v>8318</v>
      </c>
      <c r="F2160" s="20" t="s">
        <v>7537</v>
      </c>
      <c r="G2160" s="17" t="s">
        <v>8321</v>
      </c>
    </row>
    <row r="2161" spans="1:7" x14ac:dyDescent="0.25">
      <c r="A2161">
        <f t="shared" si="35"/>
        <v>2101100</v>
      </c>
      <c r="B2161" s="15">
        <v>140640076</v>
      </c>
      <c r="C2161" s="15">
        <v>290219141</v>
      </c>
      <c r="D2161" s="16">
        <v>210110010</v>
      </c>
      <c r="E2161" s="16" t="s">
        <v>8318</v>
      </c>
      <c r="F2161" s="20" t="s">
        <v>8329</v>
      </c>
      <c r="G2161" s="17" t="s">
        <v>8324</v>
      </c>
    </row>
    <row r="2162" spans="1:7" x14ac:dyDescent="0.25">
      <c r="A2162">
        <f t="shared" si="35"/>
        <v>2101750</v>
      </c>
      <c r="B2162" s="15">
        <v>140640076</v>
      </c>
      <c r="C2162" s="15">
        <v>290219175</v>
      </c>
      <c r="D2162" s="16">
        <v>210175005</v>
      </c>
      <c r="E2162" s="16" t="s">
        <v>8318</v>
      </c>
      <c r="F2162" s="20" t="s">
        <v>7526</v>
      </c>
      <c r="G2162" s="17" t="s">
        <v>8320</v>
      </c>
    </row>
    <row r="2163" spans="1:7" x14ac:dyDescent="0.25">
      <c r="A2163">
        <f t="shared" si="35"/>
        <v>2101900</v>
      </c>
      <c r="B2163" s="15">
        <v>140640076</v>
      </c>
      <c r="C2163" s="15">
        <v>290219308</v>
      </c>
      <c r="D2163" s="16">
        <v>210190003</v>
      </c>
      <c r="E2163" s="16" t="s">
        <v>8318</v>
      </c>
      <c r="F2163" s="20" t="s">
        <v>7532</v>
      </c>
      <c r="G2163" s="17" t="s">
        <v>8322</v>
      </c>
    </row>
    <row r="2164" spans="1:7" x14ac:dyDescent="0.25">
      <c r="A2164">
        <f t="shared" si="35"/>
        <v>2101495</v>
      </c>
      <c r="B2164" s="15">
        <v>140640076</v>
      </c>
      <c r="C2164" s="15">
        <v>290219234</v>
      </c>
      <c r="D2164" s="16">
        <v>210149503</v>
      </c>
      <c r="E2164" s="16" t="s">
        <v>8318</v>
      </c>
      <c r="F2164" s="20" t="s">
        <v>7540</v>
      </c>
      <c r="G2164" s="17" t="s">
        <v>8321</v>
      </c>
    </row>
    <row r="2165" spans="1:7" x14ac:dyDescent="0.25">
      <c r="A2165">
        <f t="shared" si="35"/>
        <v>2101100</v>
      </c>
      <c r="B2165" s="15">
        <v>140640076</v>
      </c>
      <c r="C2165" s="15">
        <v>290219198</v>
      </c>
      <c r="D2165" s="16">
        <v>210110002</v>
      </c>
      <c r="E2165" s="16" t="s">
        <v>8318</v>
      </c>
      <c r="F2165" s="20" t="s">
        <v>8330</v>
      </c>
      <c r="G2165" s="17" t="s">
        <v>8324</v>
      </c>
    </row>
    <row r="2166" spans="1:7" x14ac:dyDescent="0.25">
      <c r="A2166">
        <f t="shared" si="35"/>
        <v>2101100</v>
      </c>
      <c r="B2166" s="15">
        <v>140640076</v>
      </c>
      <c r="C2166" s="15">
        <v>290219173</v>
      </c>
      <c r="D2166" s="16">
        <v>210110000</v>
      </c>
      <c r="E2166" s="16" t="s">
        <v>8318</v>
      </c>
      <c r="F2166" s="20" t="s">
        <v>8331</v>
      </c>
      <c r="G2166" s="17" t="s">
        <v>8324</v>
      </c>
    </row>
    <row r="2167" spans="1:7" x14ac:dyDescent="0.25">
      <c r="A2167">
        <f t="shared" si="35"/>
        <v>2101799</v>
      </c>
      <c r="B2167" s="15">
        <v>140640292</v>
      </c>
      <c r="C2167" s="15">
        <v>290221089</v>
      </c>
      <c r="D2167" s="16">
        <v>210179907</v>
      </c>
      <c r="E2167" s="16" t="s">
        <v>8332</v>
      </c>
      <c r="F2167" s="20" t="s">
        <v>7533</v>
      </c>
      <c r="G2167" s="17" t="s">
        <v>8320</v>
      </c>
    </row>
    <row r="2168" spans="1:7" x14ac:dyDescent="0.25">
      <c r="A2168">
        <f t="shared" si="35"/>
        <v>2101878</v>
      </c>
      <c r="B2168" s="15">
        <v>140640292</v>
      </c>
      <c r="C2168" s="15">
        <v>290221094</v>
      </c>
      <c r="D2168" s="16">
        <v>210187807</v>
      </c>
      <c r="E2168" s="16" t="s">
        <v>8332</v>
      </c>
      <c r="F2168" s="20" t="s">
        <v>8333</v>
      </c>
      <c r="G2168" s="17" t="s">
        <v>8319</v>
      </c>
    </row>
    <row r="2169" spans="1:7" x14ac:dyDescent="0.25">
      <c r="A2169">
        <f t="shared" si="35"/>
        <v>2101799</v>
      </c>
      <c r="B2169" s="15">
        <v>140640292</v>
      </c>
      <c r="C2169" s="15">
        <v>290221123</v>
      </c>
      <c r="D2169" s="16">
        <v>210179909</v>
      </c>
      <c r="E2169" s="16" t="s">
        <v>8332</v>
      </c>
      <c r="F2169" s="20" t="s">
        <v>7535</v>
      </c>
      <c r="G2169" s="17" t="s">
        <v>8320</v>
      </c>
    </row>
    <row r="2170" spans="1:7" x14ac:dyDescent="0.25">
      <c r="A2170">
        <f t="shared" si="35"/>
        <v>2101878</v>
      </c>
      <c r="B2170" s="15">
        <v>140640292</v>
      </c>
      <c r="C2170" s="15">
        <v>290221097</v>
      </c>
      <c r="D2170" s="16">
        <v>210187809</v>
      </c>
      <c r="E2170" s="16" t="s">
        <v>8332</v>
      </c>
      <c r="F2170" s="20" t="s">
        <v>8334</v>
      </c>
      <c r="G2170" s="17" t="s">
        <v>8319</v>
      </c>
    </row>
    <row r="2171" spans="1:7" x14ac:dyDescent="0.25">
      <c r="A2171">
        <f t="shared" si="35"/>
        <v>2101117</v>
      </c>
      <c r="B2171" s="15">
        <v>140640292</v>
      </c>
      <c r="C2171" s="15">
        <v>290221085</v>
      </c>
      <c r="D2171" s="16">
        <v>210111707</v>
      </c>
      <c r="E2171" s="16" t="s">
        <v>8332</v>
      </c>
      <c r="F2171" s="20" t="s">
        <v>8335</v>
      </c>
      <c r="G2171" s="17" t="s">
        <v>8324</v>
      </c>
    </row>
    <row r="2172" spans="1:7" x14ac:dyDescent="0.25">
      <c r="A2172">
        <f t="shared" si="35"/>
        <v>2101999</v>
      </c>
      <c r="B2172" s="15">
        <v>140640292</v>
      </c>
      <c r="C2172" s="15">
        <v>290221086</v>
      </c>
      <c r="D2172" s="16">
        <v>210199908</v>
      </c>
      <c r="E2172" s="16" t="s">
        <v>8332</v>
      </c>
      <c r="F2172" s="20" t="s">
        <v>7519</v>
      </c>
      <c r="G2172" s="17" t="s">
        <v>8322</v>
      </c>
    </row>
    <row r="2173" spans="1:7" x14ac:dyDescent="0.25">
      <c r="A2173">
        <f t="shared" si="35"/>
        <v>2101499</v>
      </c>
      <c r="B2173" s="15">
        <v>140640292</v>
      </c>
      <c r="C2173" s="15">
        <v>290221114</v>
      </c>
      <c r="D2173" s="16">
        <v>210149909</v>
      </c>
      <c r="E2173" s="16" t="s">
        <v>8332</v>
      </c>
      <c r="F2173" s="20" t="s">
        <v>7515</v>
      </c>
      <c r="G2173" s="17" t="s">
        <v>8321</v>
      </c>
    </row>
    <row r="2174" spans="1:7" x14ac:dyDescent="0.25">
      <c r="A2174">
        <f t="shared" si="35"/>
        <v>2101799</v>
      </c>
      <c r="B2174" s="15">
        <v>140640292</v>
      </c>
      <c r="C2174" s="15">
        <v>290221100</v>
      </c>
      <c r="D2174" s="16">
        <v>210179908</v>
      </c>
      <c r="E2174" s="16" t="s">
        <v>8332</v>
      </c>
      <c r="F2174" s="20" t="s">
        <v>7530</v>
      </c>
      <c r="G2174" s="17" t="s">
        <v>8320</v>
      </c>
    </row>
    <row r="2175" spans="1:7" x14ac:dyDescent="0.25">
      <c r="A2175">
        <f t="shared" si="35"/>
        <v>2101499</v>
      </c>
      <c r="B2175" s="15">
        <v>140640292</v>
      </c>
      <c r="C2175" s="15">
        <v>290221103</v>
      </c>
      <c r="D2175" s="16">
        <v>210149908</v>
      </c>
      <c r="E2175" s="16" t="s">
        <v>8332</v>
      </c>
      <c r="F2175" s="20" t="s">
        <v>7538</v>
      </c>
      <c r="G2175" s="17" t="s">
        <v>8321</v>
      </c>
    </row>
    <row r="2176" spans="1:7" x14ac:dyDescent="0.25">
      <c r="A2176">
        <f t="shared" si="35"/>
        <v>2101117</v>
      </c>
      <c r="B2176" s="15">
        <v>140640292</v>
      </c>
      <c r="C2176" s="15">
        <v>290221115</v>
      </c>
      <c r="D2176" s="16">
        <v>210111709</v>
      </c>
      <c r="E2176" s="16" t="s">
        <v>8332</v>
      </c>
      <c r="F2176" s="20" t="s">
        <v>8336</v>
      </c>
      <c r="G2176" s="17" t="s">
        <v>8324</v>
      </c>
    </row>
    <row r="2177" spans="1:7" x14ac:dyDescent="0.25">
      <c r="A2177">
        <f t="shared" si="35"/>
        <v>2101117</v>
      </c>
      <c r="B2177" s="15">
        <v>140640292</v>
      </c>
      <c r="C2177" s="15">
        <v>290221126</v>
      </c>
      <c r="D2177" s="16">
        <v>210111708</v>
      </c>
      <c r="E2177" s="16" t="s">
        <v>8332</v>
      </c>
      <c r="F2177" s="20" t="s">
        <v>8337</v>
      </c>
      <c r="G2177" s="17" t="s">
        <v>8324</v>
      </c>
    </row>
    <row r="2178" spans="1:7" x14ac:dyDescent="0.25">
      <c r="A2178">
        <f t="shared" si="35"/>
        <v>2101999</v>
      </c>
      <c r="B2178" s="15">
        <v>140640292</v>
      </c>
      <c r="C2178" s="15">
        <v>290221119</v>
      </c>
      <c r="D2178" s="16">
        <v>210199909</v>
      </c>
      <c r="E2178" s="16" t="s">
        <v>8332</v>
      </c>
      <c r="F2178" s="20" t="s">
        <v>7516</v>
      </c>
      <c r="G2178" s="17" t="s">
        <v>8322</v>
      </c>
    </row>
    <row r="2179" spans="1:7" x14ac:dyDescent="0.25">
      <c r="A2179">
        <f t="shared" si="35"/>
        <v>2101878</v>
      </c>
      <c r="B2179" s="15">
        <v>140640292</v>
      </c>
      <c r="C2179" s="15">
        <v>290221102</v>
      </c>
      <c r="D2179" s="16">
        <v>210187808</v>
      </c>
      <c r="E2179" s="16" t="s">
        <v>8332</v>
      </c>
      <c r="F2179" s="20" t="s">
        <v>8338</v>
      </c>
      <c r="G2179" s="17" t="s">
        <v>8319</v>
      </c>
    </row>
    <row r="2180" spans="1:7" x14ac:dyDescent="0.25">
      <c r="A2180">
        <f t="shared" si="35"/>
        <v>2101999</v>
      </c>
      <c r="B2180" s="15">
        <v>140640292</v>
      </c>
      <c r="C2180" s="15">
        <v>290221092</v>
      </c>
      <c r="D2180" s="16">
        <v>210199907</v>
      </c>
      <c r="E2180" s="16" t="s">
        <v>8332</v>
      </c>
      <c r="F2180" s="20" t="s">
        <v>7520</v>
      </c>
      <c r="G2180" s="17" t="s">
        <v>8322</v>
      </c>
    </row>
    <row r="2181" spans="1:7" x14ac:dyDescent="0.25">
      <c r="A2181">
        <f t="shared" si="35"/>
        <v>2101499</v>
      </c>
      <c r="B2181" s="15">
        <v>140640292</v>
      </c>
      <c r="C2181" s="15">
        <v>290221081</v>
      </c>
      <c r="D2181" s="16">
        <v>210149907</v>
      </c>
      <c r="E2181" s="16" t="s">
        <v>8332</v>
      </c>
      <c r="F2181" s="20" t="s">
        <v>7528</v>
      </c>
      <c r="G2181" s="17" t="s">
        <v>8321</v>
      </c>
    </row>
    <row r="2182" spans="1:7" x14ac:dyDescent="0.25">
      <c r="A2182">
        <f t="shared" si="35"/>
        <v>2101496</v>
      </c>
      <c r="B2182" s="15">
        <v>140640297</v>
      </c>
      <c r="C2182" s="15">
        <v>290221127</v>
      </c>
      <c r="D2182" s="16">
        <v>210149606</v>
      </c>
      <c r="E2182" s="16" t="s">
        <v>8339</v>
      </c>
      <c r="F2182" s="20" t="s">
        <v>7514</v>
      </c>
      <c r="G2182" s="17" t="s">
        <v>8340</v>
      </c>
    </row>
    <row r="2183" spans="1:7" x14ac:dyDescent="0.25">
      <c r="A2183">
        <f t="shared" ref="A2183:A2246" si="36">LEFT(D2183,7)*1</f>
        <v>2101901</v>
      </c>
      <c r="B2183" s="15">
        <v>140640297</v>
      </c>
      <c r="C2183" s="15">
        <v>290221265</v>
      </c>
      <c r="D2183" s="16">
        <v>210190104</v>
      </c>
      <c r="E2183" s="16" t="s">
        <v>8339</v>
      </c>
      <c r="F2183" s="20" t="s">
        <v>7518</v>
      </c>
      <c r="G2183" s="17" t="s">
        <v>8341</v>
      </c>
    </row>
    <row r="2184" spans="1:7" x14ac:dyDescent="0.25">
      <c r="A2184">
        <f t="shared" si="36"/>
        <v>2101901</v>
      </c>
      <c r="B2184" s="15">
        <v>140640297</v>
      </c>
      <c r="C2184" s="15">
        <v>290221268</v>
      </c>
      <c r="D2184" s="16">
        <v>210190100</v>
      </c>
      <c r="E2184" s="16" t="s">
        <v>8339</v>
      </c>
      <c r="F2184" s="20" t="s">
        <v>7531</v>
      </c>
      <c r="G2184" s="17" t="s">
        <v>8341</v>
      </c>
    </row>
    <row r="2185" spans="1:7" x14ac:dyDescent="0.25">
      <c r="A2185">
        <f t="shared" si="36"/>
        <v>2101901</v>
      </c>
      <c r="B2185" s="15">
        <v>140640297</v>
      </c>
      <c r="C2185" s="15">
        <v>290221142</v>
      </c>
      <c r="D2185" s="16">
        <v>210190103</v>
      </c>
      <c r="E2185" s="16" t="s">
        <v>8339</v>
      </c>
      <c r="F2185" s="20" t="s">
        <v>7532</v>
      </c>
      <c r="G2185" s="17" t="s">
        <v>8341</v>
      </c>
    </row>
    <row r="2186" spans="1:7" x14ac:dyDescent="0.25">
      <c r="A2186">
        <f t="shared" si="36"/>
        <v>2101901</v>
      </c>
      <c r="B2186" s="15">
        <v>140640297</v>
      </c>
      <c r="C2186" s="15">
        <v>290221159</v>
      </c>
      <c r="D2186" s="16">
        <v>210190105</v>
      </c>
      <c r="E2186" s="16" t="s">
        <v>8339</v>
      </c>
      <c r="F2186" s="20" t="s">
        <v>7521</v>
      </c>
      <c r="G2186" s="17" t="s">
        <v>8341</v>
      </c>
    </row>
    <row r="2187" spans="1:7" x14ac:dyDescent="0.25">
      <c r="A2187">
        <f t="shared" si="36"/>
        <v>2101496</v>
      </c>
      <c r="B2187" s="15">
        <v>140640297</v>
      </c>
      <c r="C2187" s="15">
        <v>290221118</v>
      </c>
      <c r="D2187" s="16">
        <v>210149601</v>
      </c>
      <c r="E2187" s="16" t="s">
        <v>8339</v>
      </c>
      <c r="F2187" s="20" t="s">
        <v>7527</v>
      </c>
      <c r="G2187" s="17" t="s">
        <v>8340</v>
      </c>
    </row>
    <row r="2188" spans="1:7" x14ac:dyDescent="0.25">
      <c r="A2188">
        <f t="shared" si="36"/>
        <v>2101901</v>
      </c>
      <c r="B2188" s="15">
        <v>140640297</v>
      </c>
      <c r="C2188" s="15">
        <v>290221253</v>
      </c>
      <c r="D2188" s="16">
        <v>210190106</v>
      </c>
      <c r="E2188" s="16" t="s">
        <v>8339</v>
      </c>
      <c r="F2188" s="20" t="s">
        <v>7522</v>
      </c>
      <c r="G2188" s="17" t="s">
        <v>8341</v>
      </c>
    </row>
    <row r="2189" spans="1:7" x14ac:dyDescent="0.25">
      <c r="A2189">
        <f t="shared" si="36"/>
        <v>2101751</v>
      </c>
      <c r="B2189" s="15">
        <v>140640297</v>
      </c>
      <c r="C2189" s="15">
        <v>290221155</v>
      </c>
      <c r="D2189" s="16">
        <v>210175100</v>
      </c>
      <c r="E2189" s="16" t="s">
        <v>8339</v>
      </c>
      <c r="F2189" s="20" t="s">
        <v>7541</v>
      </c>
      <c r="G2189" s="17" t="s">
        <v>8342</v>
      </c>
    </row>
    <row r="2190" spans="1:7" x14ac:dyDescent="0.25">
      <c r="A2190">
        <f t="shared" si="36"/>
        <v>2101496</v>
      </c>
      <c r="B2190" s="15">
        <v>140640297</v>
      </c>
      <c r="C2190" s="15">
        <v>290221121</v>
      </c>
      <c r="D2190" s="16">
        <v>210149604</v>
      </c>
      <c r="E2190" s="16" t="s">
        <v>8339</v>
      </c>
      <c r="F2190" s="20" t="s">
        <v>7510</v>
      </c>
      <c r="G2190" s="17" t="s">
        <v>8340</v>
      </c>
    </row>
    <row r="2191" spans="1:7" x14ac:dyDescent="0.25">
      <c r="A2191">
        <f t="shared" si="36"/>
        <v>2101751</v>
      </c>
      <c r="B2191" s="15">
        <v>140640297</v>
      </c>
      <c r="C2191" s="15">
        <v>290221179</v>
      </c>
      <c r="D2191" s="16">
        <v>210175105</v>
      </c>
      <c r="E2191" s="16" t="s">
        <v>8339</v>
      </c>
      <c r="F2191" s="20" t="s">
        <v>7526</v>
      </c>
      <c r="G2191" s="17" t="s">
        <v>8343</v>
      </c>
    </row>
    <row r="2192" spans="1:7" x14ac:dyDescent="0.25">
      <c r="A2192">
        <f t="shared" si="36"/>
        <v>2101496</v>
      </c>
      <c r="B2192" s="15">
        <v>140640297</v>
      </c>
      <c r="C2192" s="15">
        <v>290221195</v>
      </c>
      <c r="D2192" s="16">
        <v>210149603</v>
      </c>
      <c r="E2192" s="16" t="s">
        <v>8339</v>
      </c>
      <c r="F2192" s="20" t="s">
        <v>7540</v>
      </c>
      <c r="G2192" s="17" t="s">
        <v>8340</v>
      </c>
    </row>
    <row r="2193" spans="1:7" x14ac:dyDescent="0.25">
      <c r="A2193">
        <f t="shared" si="36"/>
        <v>2101751</v>
      </c>
      <c r="B2193" s="15">
        <v>140640297</v>
      </c>
      <c r="C2193" s="15">
        <v>290221243</v>
      </c>
      <c r="D2193" s="16">
        <v>210175103</v>
      </c>
      <c r="E2193" s="16" t="s">
        <v>8339</v>
      </c>
      <c r="F2193" s="20" t="s">
        <v>7523</v>
      </c>
      <c r="G2193" s="17" t="s">
        <v>8343</v>
      </c>
    </row>
    <row r="2194" spans="1:7" x14ac:dyDescent="0.25">
      <c r="A2194">
        <f t="shared" si="36"/>
        <v>2101751</v>
      </c>
      <c r="B2194" s="15">
        <v>140640297</v>
      </c>
      <c r="C2194" s="15">
        <v>290221176</v>
      </c>
      <c r="D2194" s="16">
        <v>210175101</v>
      </c>
      <c r="E2194" s="16" t="s">
        <v>8339</v>
      </c>
      <c r="F2194" s="20" t="s">
        <v>7543</v>
      </c>
      <c r="G2194" s="17" t="s">
        <v>8343</v>
      </c>
    </row>
    <row r="2195" spans="1:7" x14ac:dyDescent="0.25">
      <c r="A2195">
        <f t="shared" si="36"/>
        <v>2101496</v>
      </c>
      <c r="B2195" s="15">
        <v>140640297</v>
      </c>
      <c r="C2195" s="15">
        <v>290221174</v>
      </c>
      <c r="D2195" s="16">
        <v>210149610</v>
      </c>
      <c r="E2195" s="16" t="s">
        <v>8339</v>
      </c>
      <c r="F2195" s="20" t="s">
        <v>7513</v>
      </c>
      <c r="G2195" s="17" t="s">
        <v>8344</v>
      </c>
    </row>
    <row r="2196" spans="1:7" x14ac:dyDescent="0.25">
      <c r="A2196">
        <f t="shared" si="36"/>
        <v>2101901</v>
      </c>
      <c r="B2196" s="15">
        <v>140640297</v>
      </c>
      <c r="C2196" s="15">
        <v>290221217</v>
      </c>
      <c r="D2196" s="16">
        <v>210190110</v>
      </c>
      <c r="E2196" s="16" t="s">
        <v>8339</v>
      </c>
      <c r="F2196" s="20" t="s">
        <v>7542</v>
      </c>
      <c r="G2196" s="17" t="s">
        <v>8341</v>
      </c>
    </row>
    <row r="2197" spans="1:7" x14ac:dyDescent="0.25">
      <c r="A2197">
        <f t="shared" si="36"/>
        <v>2101496</v>
      </c>
      <c r="B2197" s="15">
        <v>140640297</v>
      </c>
      <c r="C2197" s="15">
        <v>290221307</v>
      </c>
      <c r="D2197" s="16">
        <v>210149605</v>
      </c>
      <c r="E2197" s="16" t="s">
        <v>8339</v>
      </c>
      <c r="F2197" s="20" t="s">
        <v>7544</v>
      </c>
      <c r="G2197" s="17" t="s">
        <v>8340</v>
      </c>
    </row>
    <row r="2198" spans="1:7" x14ac:dyDescent="0.25">
      <c r="A2198">
        <f t="shared" si="36"/>
        <v>2101751</v>
      </c>
      <c r="B2198" s="15">
        <v>140640297</v>
      </c>
      <c r="C2198" s="15">
        <v>290221294</v>
      </c>
      <c r="D2198" s="16">
        <v>210175110</v>
      </c>
      <c r="E2198" s="16" t="s">
        <v>8339</v>
      </c>
      <c r="F2198" s="20" t="s">
        <v>7525</v>
      </c>
      <c r="G2198" s="17" t="s">
        <v>8343</v>
      </c>
    </row>
    <row r="2199" spans="1:7" x14ac:dyDescent="0.25">
      <c r="A2199">
        <f t="shared" si="36"/>
        <v>2101496</v>
      </c>
      <c r="B2199" s="15">
        <v>140640297</v>
      </c>
      <c r="C2199" s="15">
        <v>290221299</v>
      </c>
      <c r="D2199" s="16">
        <v>210149602</v>
      </c>
      <c r="E2199" s="16" t="s">
        <v>8339</v>
      </c>
      <c r="F2199" s="20" t="s">
        <v>7537</v>
      </c>
      <c r="G2199" s="17" t="s">
        <v>8340</v>
      </c>
    </row>
    <row r="2200" spans="1:7" x14ac:dyDescent="0.25">
      <c r="A2200">
        <f t="shared" si="36"/>
        <v>2101496</v>
      </c>
      <c r="B2200" s="15">
        <v>140640297</v>
      </c>
      <c r="C2200" s="15">
        <v>290221278</v>
      </c>
      <c r="D2200" s="16">
        <v>210149600</v>
      </c>
      <c r="E2200" s="16" t="s">
        <v>8339</v>
      </c>
      <c r="F2200" s="20" t="s">
        <v>7512</v>
      </c>
      <c r="G2200" s="17" t="s">
        <v>8344</v>
      </c>
    </row>
    <row r="2201" spans="1:7" x14ac:dyDescent="0.25">
      <c r="A2201">
        <f t="shared" si="36"/>
        <v>2101901</v>
      </c>
      <c r="B2201" s="15">
        <v>140640297</v>
      </c>
      <c r="C2201" s="15">
        <v>290221237</v>
      </c>
      <c r="D2201" s="16">
        <v>210190102</v>
      </c>
      <c r="E2201" s="16" t="s">
        <v>8339</v>
      </c>
      <c r="F2201" s="20" t="s">
        <v>7534</v>
      </c>
      <c r="G2201" s="17" t="s">
        <v>8341</v>
      </c>
    </row>
    <row r="2202" spans="1:7" x14ac:dyDescent="0.25">
      <c r="A2202">
        <f t="shared" si="36"/>
        <v>2101901</v>
      </c>
      <c r="B2202" s="15">
        <v>140640297</v>
      </c>
      <c r="C2202" s="15">
        <v>290221274</v>
      </c>
      <c r="D2202" s="16">
        <v>210190101</v>
      </c>
      <c r="E2202" s="16" t="s">
        <v>8339</v>
      </c>
      <c r="F2202" s="20" t="s">
        <v>7536</v>
      </c>
      <c r="G2202" s="17" t="s">
        <v>8341</v>
      </c>
    </row>
    <row r="2203" spans="1:7" x14ac:dyDescent="0.25">
      <c r="A2203">
        <f t="shared" si="36"/>
        <v>2101751</v>
      </c>
      <c r="B2203" s="15">
        <v>140640297</v>
      </c>
      <c r="C2203" s="15">
        <v>290221283</v>
      </c>
      <c r="D2203" s="16">
        <v>210175104</v>
      </c>
      <c r="E2203" s="16" t="s">
        <v>8339</v>
      </c>
      <c r="F2203" s="20" t="s">
        <v>7545</v>
      </c>
      <c r="G2203" s="17" t="s">
        <v>8343</v>
      </c>
    </row>
    <row r="2204" spans="1:7" x14ac:dyDescent="0.25">
      <c r="A2204">
        <f t="shared" si="36"/>
        <v>2101751</v>
      </c>
      <c r="B2204" s="15">
        <v>140640297</v>
      </c>
      <c r="C2204" s="15">
        <v>290221167</v>
      </c>
      <c r="D2204" s="16">
        <v>210175102</v>
      </c>
      <c r="E2204" s="16" t="s">
        <v>8339</v>
      </c>
      <c r="F2204" s="20" t="s">
        <v>7539</v>
      </c>
      <c r="G2204" s="17" t="s">
        <v>8343</v>
      </c>
    </row>
    <row r="2205" spans="1:7" x14ac:dyDescent="0.25">
      <c r="A2205">
        <f t="shared" si="36"/>
        <v>2101751</v>
      </c>
      <c r="B2205" s="15">
        <v>140640297</v>
      </c>
      <c r="C2205" s="15">
        <v>290221289</v>
      </c>
      <c r="D2205" s="16">
        <v>210175106</v>
      </c>
      <c r="E2205" s="16" t="s">
        <v>8339</v>
      </c>
      <c r="F2205" s="20" t="s">
        <v>7529</v>
      </c>
      <c r="G2205" s="17" t="s">
        <v>8343</v>
      </c>
    </row>
    <row r="2206" spans="1:7" x14ac:dyDescent="0.25">
      <c r="A2206">
        <f t="shared" si="36"/>
        <v>2101901</v>
      </c>
      <c r="B2206" s="15">
        <v>140640127</v>
      </c>
      <c r="C2206" s="15">
        <v>290220034</v>
      </c>
      <c r="D2206" s="16">
        <v>210190106</v>
      </c>
      <c r="E2206" s="16" t="s">
        <v>8345</v>
      </c>
      <c r="F2206" s="20" t="s">
        <v>7522</v>
      </c>
      <c r="G2206" s="17" t="s">
        <v>8341</v>
      </c>
    </row>
    <row r="2207" spans="1:7" x14ac:dyDescent="0.25">
      <c r="A2207">
        <f t="shared" si="36"/>
        <v>2101751</v>
      </c>
      <c r="B2207" s="15">
        <v>140640127</v>
      </c>
      <c r="C2207" s="15">
        <v>290220134</v>
      </c>
      <c r="D2207" s="16">
        <v>210175110</v>
      </c>
      <c r="E2207" s="16" t="s">
        <v>8345</v>
      </c>
      <c r="F2207" s="20" t="s">
        <v>7525</v>
      </c>
      <c r="G2207" s="17" t="s">
        <v>8343</v>
      </c>
    </row>
    <row r="2208" spans="1:7" x14ac:dyDescent="0.25">
      <c r="A2208">
        <f t="shared" si="36"/>
        <v>2101496</v>
      </c>
      <c r="B2208" s="15">
        <v>140640127</v>
      </c>
      <c r="C2208" s="15">
        <v>290219943</v>
      </c>
      <c r="D2208" s="16">
        <v>210149603</v>
      </c>
      <c r="E2208" s="16" t="s">
        <v>8345</v>
      </c>
      <c r="F2208" s="20" t="s">
        <v>7540</v>
      </c>
      <c r="G2208" s="17" t="s">
        <v>8340</v>
      </c>
    </row>
    <row r="2209" spans="1:7" x14ac:dyDescent="0.25">
      <c r="A2209">
        <f t="shared" si="36"/>
        <v>2101901</v>
      </c>
      <c r="B2209" s="15">
        <v>140640127</v>
      </c>
      <c r="C2209" s="15">
        <v>290220057</v>
      </c>
      <c r="D2209" s="16">
        <v>210190100</v>
      </c>
      <c r="E2209" s="16" t="s">
        <v>8345</v>
      </c>
      <c r="F2209" s="20" t="s">
        <v>7531</v>
      </c>
      <c r="G2209" s="17" t="s">
        <v>8341</v>
      </c>
    </row>
    <row r="2210" spans="1:7" x14ac:dyDescent="0.25">
      <c r="A2210">
        <f t="shared" si="36"/>
        <v>2101751</v>
      </c>
      <c r="B2210" s="15">
        <v>140640127</v>
      </c>
      <c r="C2210" s="15">
        <v>290220114</v>
      </c>
      <c r="D2210" s="16">
        <v>210175104</v>
      </c>
      <c r="E2210" s="16" t="s">
        <v>8345</v>
      </c>
      <c r="F2210" s="20" t="s">
        <v>7545</v>
      </c>
      <c r="G2210" s="17" t="s">
        <v>8343</v>
      </c>
    </row>
    <row r="2211" spans="1:7" x14ac:dyDescent="0.25">
      <c r="A2211">
        <f t="shared" si="36"/>
        <v>2101751</v>
      </c>
      <c r="B2211" s="15">
        <v>140640127</v>
      </c>
      <c r="C2211" s="15">
        <v>290219864</v>
      </c>
      <c r="D2211" s="16">
        <v>210175100</v>
      </c>
      <c r="E2211" s="16" t="s">
        <v>8345</v>
      </c>
      <c r="F2211" s="20" t="s">
        <v>7541</v>
      </c>
      <c r="G2211" s="17" t="s">
        <v>8343</v>
      </c>
    </row>
    <row r="2212" spans="1:7" x14ac:dyDescent="0.25">
      <c r="A2212">
        <f t="shared" si="36"/>
        <v>2101496</v>
      </c>
      <c r="B2212" s="15">
        <v>140640127</v>
      </c>
      <c r="C2212" s="15">
        <v>290219834</v>
      </c>
      <c r="D2212" s="16">
        <v>210149601</v>
      </c>
      <c r="E2212" s="16" t="s">
        <v>8345</v>
      </c>
      <c r="F2212" s="20" t="s">
        <v>7527</v>
      </c>
      <c r="G2212" s="17" t="s">
        <v>8340</v>
      </c>
    </row>
    <row r="2213" spans="1:7" x14ac:dyDescent="0.25">
      <c r="A2213">
        <f t="shared" si="36"/>
        <v>2101751</v>
      </c>
      <c r="B2213" s="15">
        <v>140640127</v>
      </c>
      <c r="C2213" s="15">
        <v>290219891</v>
      </c>
      <c r="D2213" s="16">
        <v>210175101</v>
      </c>
      <c r="E2213" s="16" t="s">
        <v>8345</v>
      </c>
      <c r="F2213" s="20" t="s">
        <v>7543</v>
      </c>
      <c r="G2213" s="17" t="s">
        <v>8343</v>
      </c>
    </row>
    <row r="2214" spans="1:7" x14ac:dyDescent="0.25">
      <c r="A2214">
        <f t="shared" si="36"/>
        <v>2101901</v>
      </c>
      <c r="B2214" s="15">
        <v>140640127</v>
      </c>
      <c r="C2214" s="15">
        <v>290219979</v>
      </c>
      <c r="D2214" s="16">
        <v>210190102</v>
      </c>
      <c r="E2214" s="16" t="s">
        <v>8345</v>
      </c>
      <c r="F2214" s="20" t="s">
        <v>7534</v>
      </c>
      <c r="G2214" s="17" t="s">
        <v>8341</v>
      </c>
    </row>
    <row r="2215" spans="1:7" x14ac:dyDescent="0.25">
      <c r="A2215">
        <f t="shared" si="36"/>
        <v>2101901</v>
      </c>
      <c r="B2215" s="15">
        <v>140640127</v>
      </c>
      <c r="C2215" s="15">
        <v>290219968</v>
      </c>
      <c r="D2215" s="16">
        <v>210190110</v>
      </c>
      <c r="E2215" s="16" t="s">
        <v>8345</v>
      </c>
      <c r="F2215" s="20" t="s">
        <v>7542</v>
      </c>
      <c r="G2215" s="17" t="s">
        <v>8341</v>
      </c>
    </row>
    <row r="2216" spans="1:7" x14ac:dyDescent="0.25">
      <c r="A2216">
        <f t="shared" si="36"/>
        <v>2101901</v>
      </c>
      <c r="B2216" s="15">
        <v>140640127</v>
      </c>
      <c r="C2216" s="15">
        <v>290219874</v>
      </c>
      <c r="D2216" s="16">
        <v>210190105</v>
      </c>
      <c r="E2216" s="16" t="s">
        <v>8345</v>
      </c>
      <c r="F2216" s="20" t="s">
        <v>7521</v>
      </c>
      <c r="G2216" s="17" t="s">
        <v>8341</v>
      </c>
    </row>
    <row r="2217" spans="1:7" x14ac:dyDescent="0.25">
      <c r="A2217">
        <f t="shared" si="36"/>
        <v>2101901</v>
      </c>
      <c r="B2217" s="15">
        <v>140640127</v>
      </c>
      <c r="C2217" s="15">
        <v>290220049</v>
      </c>
      <c r="D2217" s="16">
        <v>210190104</v>
      </c>
      <c r="E2217" s="16" t="s">
        <v>8345</v>
      </c>
      <c r="F2217" s="20" t="s">
        <v>7518</v>
      </c>
      <c r="G2217" s="17" t="s">
        <v>8341</v>
      </c>
    </row>
    <row r="2218" spans="1:7" x14ac:dyDescent="0.25">
      <c r="A2218">
        <f t="shared" si="36"/>
        <v>2101496</v>
      </c>
      <c r="B2218" s="15">
        <v>140640127</v>
      </c>
      <c r="C2218" s="15">
        <v>290220096</v>
      </c>
      <c r="D2218" s="16">
        <v>210149600</v>
      </c>
      <c r="E2218" s="16" t="s">
        <v>8345</v>
      </c>
      <c r="F2218" s="20" t="s">
        <v>7512</v>
      </c>
      <c r="G2218" s="17" t="s">
        <v>8340</v>
      </c>
    </row>
    <row r="2219" spans="1:7" x14ac:dyDescent="0.25">
      <c r="A2219">
        <f t="shared" si="36"/>
        <v>2101496</v>
      </c>
      <c r="B2219" s="15">
        <v>140640127</v>
      </c>
      <c r="C2219" s="15">
        <v>290220145</v>
      </c>
      <c r="D2219" s="16">
        <v>210149602</v>
      </c>
      <c r="E2219" s="16" t="s">
        <v>8345</v>
      </c>
      <c r="F2219" s="20" t="s">
        <v>7537</v>
      </c>
      <c r="G2219" s="17" t="s">
        <v>8340</v>
      </c>
    </row>
    <row r="2220" spans="1:7" x14ac:dyDescent="0.25">
      <c r="A2220">
        <f t="shared" si="36"/>
        <v>2101901</v>
      </c>
      <c r="B2220" s="15">
        <v>140640127</v>
      </c>
      <c r="C2220" s="15">
        <v>290220064</v>
      </c>
      <c r="D2220" s="16">
        <v>210190101</v>
      </c>
      <c r="E2220" s="16" t="s">
        <v>8345</v>
      </c>
      <c r="F2220" s="20" t="s">
        <v>7536</v>
      </c>
      <c r="G2220" s="17" t="s">
        <v>8341</v>
      </c>
    </row>
    <row r="2221" spans="1:7" x14ac:dyDescent="0.25">
      <c r="A2221">
        <f t="shared" si="36"/>
        <v>2101496</v>
      </c>
      <c r="B2221" s="15">
        <v>140640127</v>
      </c>
      <c r="C2221" s="15">
        <v>290220174</v>
      </c>
      <c r="D2221" s="16">
        <v>210149605</v>
      </c>
      <c r="E2221" s="16" t="s">
        <v>8345</v>
      </c>
      <c r="F2221" s="20" t="s">
        <v>7544</v>
      </c>
      <c r="G2221" s="17" t="s">
        <v>8340</v>
      </c>
    </row>
    <row r="2222" spans="1:7" x14ac:dyDescent="0.25">
      <c r="A2222">
        <f t="shared" si="36"/>
        <v>2101901</v>
      </c>
      <c r="B2222" s="15">
        <v>140640127</v>
      </c>
      <c r="C2222" s="15">
        <v>290219859</v>
      </c>
      <c r="D2222" s="16">
        <v>210190103</v>
      </c>
      <c r="E2222" s="16" t="s">
        <v>8345</v>
      </c>
      <c r="F2222" s="20" t="s">
        <v>7532</v>
      </c>
      <c r="G2222" s="17" t="s">
        <v>8341</v>
      </c>
    </row>
    <row r="2223" spans="1:7" x14ac:dyDescent="0.25">
      <c r="A2223">
        <f t="shared" si="36"/>
        <v>2101751</v>
      </c>
      <c r="B2223" s="15">
        <v>140640127</v>
      </c>
      <c r="C2223" s="15">
        <v>290220000</v>
      </c>
      <c r="D2223" s="16">
        <v>210175103</v>
      </c>
      <c r="E2223" s="16" t="s">
        <v>8345</v>
      </c>
      <c r="F2223" s="20" t="s">
        <v>7523</v>
      </c>
      <c r="G2223" s="17" t="s">
        <v>8343</v>
      </c>
    </row>
    <row r="2224" spans="1:7" x14ac:dyDescent="0.25">
      <c r="A2224">
        <f t="shared" si="36"/>
        <v>2101496</v>
      </c>
      <c r="B2224" s="15">
        <v>140640127</v>
      </c>
      <c r="C2224" s="15">
        <v>290219885</v>
      </c>
      <c r="D2224" s="16">
        <v>210149610</v>
      </c>
      <c r="E2224" s="16" t="s">
        <v>8345</v>
      </c>
      <c r="F2224" s="20" t="s">
        <v>7513</v>
      </c>
      <c r="G2224" s="17" t="s">
        <v>8340</v>
      </c>
    </row>
    <row r="2225" spans="1:7" x14ac:dyDescent="0.25">
      <c r="A2225">
        <f t="shared" si="36"/>
        <v>2101496</v>
      </c>
      <c r="B2225" s="15">
        <v>140640127</v>
      </c>
      <c r="C2225" s="15">
        <v>290219838</v>
      </c>
      <c r="D2225" s="16">
        <v>210149604</v>
      </c>
      <c r="E2225" s="16" t="s">
        <v>8345</v>
      </c>
      <c r="F2225" s="20" t="s">
        <v>7510</v>
      </c>
      <c r="G2225" s="17" t="s">
        <v>8340</v>
      </c>
    </row>
    <row r="2226" spans="1:7" x14ac:dyDescent="0.25">
      <c r="A2226">
        <f t="shared" si="36"/>
        <v>2101751</v>
      </c>
      <c r="B2226" s="15">
        <v>140640127</v>
      </c>
      <c r="C2226" s="15">
        <v>290220127</v>
      </c>
      <c r="D2226" s="16">
        <v>210175106</v>
      </c>
      <c r="E2226" s="16" t="s">
        <v>8345</v>
      </c>
      <c r="F2226" s="20" t="s">
        <v>7529</v>
      </c>
      <c r="G2226" s="17" t="s">
        <v>8343</v>
      </c>
    </row>
    <row r="2227" spans="1:7" x14ac:dyDescent="0.25">
      <c r="A2227">
        <f t="shared" si="36"/>
        <v>2101751</v>
      </c>
      <c r="B2227" s="15">
        <v>140640127</v>
      </c>
      <c r="C2227" s="15">
        <v>290219906</v>
      </c>
      <c r="D2227" s="16">
        <v>210175105</v>
      </c>
      <c r="E2227" s="16" t="s">
        <v>8345</v>
      </c>
      <c r="F2227" s="20" t="s">
        <v>7526</v>
      </c>
      <c r="G2227" s="17" t="s">
        <v>8343</v>
      </c>
    </row>
    <row r="2228" spans="1:7" x14ac:dyDescent="0.25">
      <c r="A2228">
        <f t="shared" si="36"/>
        <v>2101496</v>
      </c>
      <c r="B2228" s="15">
        <v>140640127</v>
      </c>
      <c r="C2228" s="15">
        <v>290219850</v>
      </c>
      <c r="D2228" s="16">
        <v>210149606</v>
      </c>
      <c r="E2228" s="16" t="s">
        <v>8345</v>
      </c>
      <c r="F2228" s="20" t="s">
        <v>7514</v>
      </c>
      <c r="G2228" s="17" t="s">
        <v>8340</v>
      </c>
    </row>
    <row r="2229" spans="1:7" x14ac:dyDescent="0.25">
      <c r="A2229">
        <f t="shared" si="36"/>
        <v>2101751</v>
      </c>
      <c r="B2229" s="15">
        <v>140640127</v>
      </c>
      <c r="C2229" s="15">
        <v>290219879</v>
      </c>
      <c r="D2229" s="16">
        <v>210175102</v>
      </c>
      <c r="E2229" s="16" t="s">
        <v>8345</v>
      </c>
      <c r="F2229" s="20" t="s">
        <v>7539</v>
      </c>
      <c r="G2229" s="17" t="s">
        <v>8343</v>
      </c>
    </row>
    <row r="2230" spans="1:7" x14ac:dyDescent="0.25">
      <c r="A2230">
        <f t="shared" si="36"/>
        <v>2101902</v>
      </c>
      <c r="B2230" s="15">
        <v>140603644</v>
      </c>
      <c r="C2230" s="15">
        <v>290180516</v>
      </c>
      <c r="D2230" s="16">
        <v>210190207</v>
      </c>
      <c r="E2230" s="16" t="s">
        <v>8346</v>
      </c>
      <c r="F2230" s="20" t="s">
        <v>7520</v>
      </c>
      <c r="G2230" s="17" t="s">
        <v>8341</v>
      </c>
    </row>
    <row r="2231" spans="1:7" x14ac:dyDescent="0.25">
      <c r="A2231">
        <f t="shared" si="36"/>
        <v>2101902</v>
      </c>
      <c r="B2231" s="15">
        <v>140603644</v>
      </c>
      <c r="C2231" s="15">
        <v>290180519</v>
      </c>
      <c r="D2231" s="16">
        <v>210190208</v>
      </c>
      <c r="E2231" s="16" t="s">
        <v>8346</v>
      </c>
      <c r="F2231" s="20" t="s">
        <v>7519</v>
      </c>
      <c r="G2231" s="17" t="s">
        <v>8341</v>
      </c>
    </row>
    <row r="2232" spans="1:7" x14ac:dyDescent="0.25">
      <c r="A2232">
        <f t="shared" si="36"/>
        <v>2101493</v>
      </c>
      <c r="B2232" s="15">
        <v>140603644</v>
      </c>
      <c r="C2232" s="15">
        <v>290180515</v>
      </c>
      <c r="D2232" s="16">
        <v>210149309</v>
      </c>
      <c r="E2232" s="16" t="s">
        <v>8346</v>
      </c>
      <c r="F2232" s="20" t="s">
        <v>7515</v>
      </c>
      <c r="G2232" s="17" t="s">
        <v>8340</v>
      </c>
    </row>
    <row r="2233" spans="1:7" x14ac:dyDescent="0.25">
      <c r="A2233">
        <f t="shared" si="36"/>
        <v>2101493</v>
      </c>
      <c r="B2233" s="15">
        <v>140603644</v>
      </c>
      <c r="C2233" s="15">
        <v>290180512</v>
      </c>
      <c r="D2233" s="16">
        <v>210149308</v>
      </c>
      <c r="E2233" s="16" t="s">
        <v>8346</v>
      </c>
      <c r="F2233" s="20" t="s">
        <v>7538</v>
      </c>
      <c r="G2233" s="17" t="s">
        <v>8340</v>
      </c>
    </row>
    <row r="2234" spans="1:7" x14ac:dyDescent="0.25">
      <c r="A2234">
        <f t="shared" si="36"/>
        <v>2101752</v>
      </c>
      <c r="B2234" s="15">
        <v>140603644</v>
      </c>
      <c r="C2234" s="15">
        <v>290180520</v>
      </c>
      <c r="D2234" s="16">
        <v>210175209</v>
      </c>
      <c r="E2234" s="16" t="s">
        <v>8346</v>
      </c>
      <c r="F2234" s="20" t="s">
        <v>7535</v>
      </c>
      <c r="G2234" s="17" t="s">
        <v>8343</v>
      </c>
    </row>
    <row r="2235" spans="1:7" x14ac:dyDescent="0.25">
      <c r="A2235">
        <f t="shared" si="36"/>
        <v>2101752</v>
      </c>
      <c r="B2235" s="15">
        <v>140603644</v>
      </c>
      <c r="C2235" s="15">
        <v>290180517</v>
      </c>
      <c r="D2235" s="16">
        <v>210175207</v>
      </c>
      <c r="E2235" s="16" t="s">
        <v>8346</v>
      </c>
      <c r="F2235" s="20" t="s">
        <v>7533</v>
      </c>
      <c r="G2235" s="17" t="s">
        <v>8343</v>
      </c>
    </row>
    <row r="2236" spans="1:7" x14ac:dyDescent="0.25">
      <c r="A2236">
        <f t="shared" si="36"/>
        <v>2101493</v>
      </c>
      <c r="B2236" s="15">
        <v>140603644</v>
      </c>
      <c r="C2236" s="15">
        <v>290180513</v>
      </c>
      <c r="D2236" s="16">
        <v>210149307</v>
      </c>
      <c r="E2236" s="16" t="s">
        <v>8346</v>
      </c>
      <c r="F2236" s="20" t="s">
        <v>7528</v>
      </c>
      <c r="G2236" s="17" t="s">
        <v>8340</v>
      </c>
    </row>
    <row r="2237" spans="1:7" x14ac:dyDescent="0.25">
      <c r="A2237">
        <f t="shared" si="36"/>
        <v>2101902</v>
      </c>
      <c r="B2237" s="15">
        <v>140603644</v>
      </c>
      <c r="C2237" s="15">
        <v>290180514</v>
      </c>
      <c r="D2237" s="16">
        <v>210190209</v>
      </c>
      <c r="E2237" s="16" t="s">
        <v>8346</v>
      </c>
      <c r="F2237" s="20" t="s">
        <v>7516</v>
      </c>
      <c r="G2237" s="17" t="s">
        <v>8341</v>
      </c>
    </row>
    <row r="2238" spans="1:7" x14ac:dyDescent="0.25">
      <c r="A2238">
        <f t="shared" si="36"/>
        <v>2101752</v>
      </c>
      <c r="B2238" s="15">
        <v>140603644</v>
      </c>
      <c r="C2238" s="15">
        <v>290180518</v>
      </c>
      <c r="D2238" s="16">
        <v>210175208</v>
      </c>
      <c r="E2238" s="16" t="s">
        <v>8346</v>
      </c>
      <c r="F2238" s="20" t="s">
        <v>7530</v>
      </c>
      <c r="G2238" s="17" t="s">
        <v>8343</v>
      </c>
    </row>
    <row r="2239" spans="1:7" x14ac:dyDescent="0.25">
      <c r="A2239">
        <f t="shared" si="36"/>
        <v>2103050</v>
      </c>
      <c r="B2239" s="15">
        <v>140428302</v>
      </c>
      <c r="C2239" s="15">
        <v>289995785</v>
      </c>
      <c r="D2239" s="16">
        <v>210305005</v>
      </c>
      <c r="E2239" s="16" t="s">
        <v>8347</v>
      </c>
      <c r="F2239" s="20" t="s">
        <v>7544</v>
      </c>
      <c r="G2239" s="17" t="s">
        <v>8348</v>
      </c>
    </row>
    <row r="2240" spans="1:7" x14ac:dyDescent="0.25">
      <c r="A2240">
        <f t="shared" si="36"/>
        <v>2103050</v>
      </c>
      <c r="B2240" s="15">
        <v>140428302</v>
      </c>
      <c r="C2240" s="15">
        <v>289995788</v>
      </c>
      <c r="D2240" s="16">
        <v>210305004</v>
      </c>
      <c r="E2240" s="16" t="s">
        <v>8347</v>
      </c>
      <c r="F2240" s="20" t="s">
        <v>7510</v>
      </c>
      <c r="G2240" s="17" t="s">
        <v>8348</v>
      </c>
    </row>
    <row r="2241" spans="1:7" x14ac:dyDescent="0.25">
      <c r="A2241">
        <f t="shared" si="36"/>
        <v>2103050</v>
      </c>
      <c r="B2241" s="15">
        <v>140428302</v>
      </c>
      <c r="C2241" s="15">
        <v>289995786</v>
      </c>
      <c r="D2241" s="16">
        <v>210305000</v>
      </c>
      <c r="E2241" s="16" t="s">
        <v>8347</v>
      </c>
      <c r="F2241" s="20" t="s">
        <v>7512</v>
      </c>
      <c r="G2241" s="17" t="s">
        <v>8348</v>
      </c>
    </row>
    <row r="2242" spans="1:7" x14ac:dyDescent="0.25">
      <c r="A2242">
        <f t="shared" si="36"/>
        <v>2103050</v>
      </c>
      <c r="B2242" s="15">
        <v>140428302</v>
      </c>
      <c r="C2242" s="15">
        <v>289995787</v>
      </c>
      <c r="D2242" s="16">
        <v>210305001</v>
      </c>
      <c r="E2242" s="16" t="s">
        <v>8347</v>
      </c>
      <c r="F2242" s="20" t="s">
        <v>7527</v>
      </c>
      <c r="G2242" s="17" t="s">
        <v>8348</v>
      </c>
    </row>
    <row r="2243" spans="1:7" x14ac:dyDescent="0.25">
      <c r="A2243">
        <f t="shared" si="36"/>
        <v>2103050</v>
      </c>
      <c r="B2243" s="15">
        <v>140428302</v>
      </c>
      <c r="C2243" s="15">
        <v>289995794</v>
      </c>
      <c r="D2243" s="16">
        <v>210305003</v>
      </c>
      <c r="E2243" s="16" t="s">
        <v>8347</v>
      </c>
      <c r="F2243" s="20" t="s">
        <v>7540</v>
      </c>
      <c r="G2243" s="17" t="s">
        <v>8348</v>
      </c>
    </row>
    <row r="2244" spans="1:7" x14ac:dyDescent="0.25">
      <c r="A2244">
        <f t="shared" si="36"/>
        <v>2103050</v>
      </c>
      <c r="B2244" s="15">
        <v>140428302</v>
      </c>
      <c r="C2244" s="15">
        <v>289995792</v>
      </c>
      <c r="D2244" s="16">
        <v>210305008</v>
      </c>
      <c r="E2244" s="16" t="s">
        <v>8347</v>
      </c>
      <c r="F2244" s="20" t="s">
        <v>7538</v>
      </c>
      <c r="G2244" s="17" t="s">
        <v>8348</v>
      </c>
    </row>
    <row r="2245" spans="1:7" x14ac:dyDescent="0.25">
      <c r="A2245">
        <f t="shared" si="36"/>
        <v>2103050</v>
      </c>
      <c r="B2245" s="15">
        <v>140428302</v>
      </c>
      <c r="C2245" s="15">
        <v>289995789</v>
      </c>
      <c r="D2245" s="16">
        <v>210305009</v>
      </c>
      <c r="E2245" s="16" t="s">
        <v>8347</v>
      </c>
      <c r="F2245" s="20" t="s">
        <v>7515</v>
      </c>
      <c r="G2245" s="17" t="s">
        <v>8348</v>
      </c>
    </row>
    <row r="2246" spans="1:7" x14ac:dyDescent="0.25">
      <c r="A2246">
        <f t="shared" si="36"/>
        <v>2103050</v>
      </c>
      <c r="B2246" s="15">
        <v>140428302</v>
      </c>
      <c r="C2246" s="15">
        <v>289995790</v>
      </c>
      <c r="D2246" s="16">
        <v>210305007</v>
      </c>
      <c r="E2246" s="16" t="s">
        <v>8347</v>
      </c>
      <c r="F2246" s="20" t="s">
        <v>7528</v>
      </c>
      <c r="G2246" s="17" t="s">
        <v>8348</v>
      </c>
    </row>
    <row r="2247" spans="1:7" x14ac:dyDescent="0.25">
      <c r="A2247">
        <f t="shared" ref="A2247:A2310" si="37">LEFT(D2247,7)*1</f>
        <v>2103050</v>
      </c>
      <c r="B2247" s="15">
        <v>140428302</v>
      </c>
      <c r="C2247" s="15">
        <v>289995793</v>
      </c>
      <c r="D2247" s="16">
        <v>210305006</v>
      </c>
      <c r="E2247" s="16" t="s">
        <v>8347</v>
      </c>
      <c r="F2247" s="20" t="s">
        <v>7514</v>
      </c>
      <c r="G2247" s="17" t="s">
        <v>8348</v>
      </c>
    </row>
    <row r="2248" spans="1:7" x14ac:dyDescent="0.25">
      <c r="A2248">
        <f t="shared" si="37"/>
        <v>2103050</v>
      </c>
      <c r="B2248" s="15">
        <v>140428302</v>
      </c>
      <c r="C2248" s="15">
        <v>289995791</v>
      </c>
      <c r="D2248" s="16">
        <v>210305002</v>
      </c>
      <c r="E2248" s="16" t="s">
        <v>8347</v>
      </c>
      <c r="F2248" s="20" t="s">
        <v>7537</v>
      </c>
      <c r="G2248" s="17" t="s">
        <v>8348</v>
      </c>
    </row>
    <row r="2249" spans="1:7" x14ac:dyDescent="0.25">
      <c r="A2249">
        <f t="shared" si="37"/>
        <v>2103090</v>
      </c>
      <c r="B2249" s="15">
        <v>140640095</v>
      </c>
      <c r="C2249" s="15">
        <v>290219350</v>
      </c>
      <c r="D2249" s="16">
        <v>210309000</v>
      </c>
      <c r="E2249" s="16" t="s">
        <v>8349</v>
      </c>
      <c r="F2249" s="20" t="s">
        <v>7531</v>
      </c>
      <c r="G2249" s="17" t="s">
        <v>8350</v>
      </c>
    </row>
    <row r="2250" spans="1:7" x14ac:dyDescent="0.25">
      <c r="A2250">
        <f t="shared" si="37"/>
        <v>2103090</v>
      </c>
      <c r="B2250" s="15">
        <v>140640095</v>
      </c>
      <c r="C2250" s="15">
        <v>290219352</v>
      </c>
      <c r="D2250" s="16">
        <v>210309006</v>
      </c>
      <c r="E2250" s="16" t="s">
        <v>8349</v>
      </c>
      <c r="F2250" s="20" t="s">
        <v>7522</v>
      </c>
      <c r="G2250" s="17" t="s">
        <v>8350</v>
      </c>
    </row>
    <row r="2251" spans="1:7" x14ac:dyDescent="0.25">
      <c r="A2251">
        <f t="shared" si="37"/>
        <v>2103090</v>
      </c>
      <c r="B2251" s="15">
        <v>140640095</v>
      </c>
      <c r="C2251" s="15">
        <v>290219355</v>
      </c>
      <c r="D2251" s="16">
        <v>210309009</v>
      </c>
      <c r="E2251" s="16" t="s">
        <v>8349</v>
      </c>
      <c r="F2251" s="20" t="s">
        <v>7516</v>
      </c>
      <c r="G2251" s="17" t="s">
        <v>8350</v>
      </c>
    </row>
    <row r="2252" spans="1:7" x14ac:dyDescent="0.25">
      <c r="A2252">
        <f t="shared" si="37"/>
        <v>2103090</v>
      </c>
      <c r="B2252" s="15">
        <v>140640095</v>
      </c>
      <c r="C2252" s="15">
        <v>290219381</v>
      </c>
      <c r="D2252" s="16">
        <v>210309002</v>
      </c>
      <c r="E2252" s="16" t="s">
        <v>8349</v>
      </c>
      <c r="F2252" s="20" t="s">
        <v>7534</v>
      </c>
      <c r="G2252" s="17" t="s">
        <v>8350</v>
      </c>
    </row>
    <row r="2253" spans="1:7" x14ac:dyDescent="0.25">
      <c r="A2253">
        <f t="shared" si="37"/>
        <v>2103090</v>
      </c>
      <c r="B2253" s="15">
        <v>140640095</v>
      </c>
      <c r="C2253" s="15">
        <v>290219364</v>
      </c>
      <c r="D2253" s="16">
        <v>210309007</v>
      </c>
      <c r="E2253" s="16" t="s">
        <v>8349</v>
      </c>
      <c r="F2253" s="20" t="s">
        <v>7520</v>
      </c>
      <c r="G2253" s="17" t="s">
        <v>8350</v>
      </c>
    </row>
    <row r="2254" spans="1:7" x14ac:dyDescent="0.25">
      <c r="A2254">
        <f t="shared" si="37"/>
        <v>2103090</v>
      </c>
      <c r="B2254" s="15">
        <v>140640095</v>
      </c>
      <c r="C2254" s="15">
        <v>290219394</v>
      </c>
      <c r="D2254" s="16">
        <v>210309008</v>
      </c>
      <c r="E2254" s="16" t="s">
        <v>8349</v>
      </c>
      <c r="F2254" s="20" t="s">
        <v>7519</v>
      </c>
      <c r="G2254" s="17" t="s">
        <v>8350</v>
      </c>
    </row>
    <row r="2255" spans="1:7" x14ac:dyDescent="0.25">
      <c r="A2255">
        <f t="shared" si="37"/>
        <v>2103090</v>
      </c>
      <c r="B2255" s="15">
        <v>140640095</v>
      </c>
      <c r="C2255" s="15">
        <v>290219374</v>
      </c>
      <c r="D2255" s="16">
        <v>210309005</v>
      </c>
      <c r="E2255" s="16" t="s">
        <v>8349</v>
      </c>
      <c r="F2255" s="20" t="s">
        <v>7521</v>
      </c>
      <c r="G2255" s="17" t="s">
        <v>8350</v>
      </c>
    </row>
    <row r="2256" spans="1:7" x14ac:dyDescent="0.25">
      <c r="A2256">
        <f t="shared" si="37"/>
        <v>2103090</v>
      </c>
      <c r="B2256" s="15">
        <v>140640095</v>
      </c>
      <c r="C2256" s="15">
        <v>290219390</v>
      </c>
      <c r="D2256" s="16">
        <v>210309004</v>
      </c>
      <c r="E2256" s="16" t="s">
        <v>8349</v>
      </c>
      <c r="F2256" s="20" t="s">
        <v>7518</v>
      </c>
      <c r="G2256" s="17" t="s">
        <v>8350</v>
      </c>
    </row>
    <row r="2257" spans="1:7" x14ac:dyDescent="0.25">
      <c r="A2257">
        <f t="shared" si="37"/>
        <v>2103090</v>
      </c>
      <c r="B2257" s="15">
        <v>140640095</v>
      </c>
      <c r="C2257" s="15">
        <v>290219358</v>
      </c>
      <c r="D2257" s="16">
        <v>210309001</v>
      </c>
      <c r="E2257" s="16" t="s">
        <v>8349</v>
      </c>
      <c r="F2257" s="20" t="s">
        <v>7536</v>
      </c>
      <c r="G2257" s="17" t="s">
        <v>8350</v>
      </c>
    </row>
    <row r="2258" spans="1:7" x14ac:dyDescent="0.25">
      <c r="A2258">
        <f t="shared" si="37"/>
        <v>2103090</v>
      </c>
      <c r="B2258" s="15">
        <v>140640095</v>
      </c>
      <c r="C2258" s="15">
        <v>290219346</v>
      </c>
      <c r="D2258" s="16">
        <v>210309003</v>
      </c>
      <c r="E2258" s="16" t="s">
        <v>8349</v>
      </c>
      <c r="F2258" s="20" t="s">
        <v>7532</v>
      </c>
      <c r="G2258" s="17" t="s">
        <v>8350</v>
      </c>
    </row>
    <row r="2259" spans="1:7" x14ac:dyDescent="0.25">
      <c r="A2259">
        <f t="shared" si="37"/>
        <v>2301666</v>
      </c>
      <c r="B2259" s="15">
        <v>140640189</v>
      </c>
      <c r="C2259" s="15">
        <v>290220506</v>
      </c>
      <c r="D2259" s="16">
        <v>230166607</v>
      </c>
      <c r="E2259" s="16" t="s">
        <v>8351</v>
      </c>
      <c r="F2259" s="20" t="s">
        <v>7176</v>
      </c>
      <c r="G2259" s="17" t="s">
        <v>8352</v>
      </c>
    </row>
    <row r="2260" spans="1:7" x14ac:dyDescent="0.25">
      <c r="A2260">
        <f t="shared" si="37"/>
        <v>2301666</v>
      </c>
      <c r="B2260" s="15">
        <v>140640189</v>
      </c>
      <c r="C2260" s="15">
        <v>290220499</v>
      </c>
      <c r="D2260" s="16">
        <v>230166610</v>
      </c>
      <c r="E2260" s="16" t="s">
        <v>8351</v>
      </c>
      <c r="F2260" s="20" t="s">
        <v>7190</v>
      </c>
      <c r="G2260" s="17" t="s">
        <v>8352</v>
      </c>
    </row>
    <row r="2261" spans="1:7" x14ac:dyDescent="0.25">
      <c r="A2261">
        <f t="shared" si="37"/>
        <v>2301046</v>
      </c>
      <c r="B2261" s="15">
        <v>140640189</v>
      </c>
      <c r="C2261" s="15">
        <v>290220572</v>
      </c>
      <c r="D2261" s="16">
        <v>230104603</v>
      </c>
      <c r="E2261" s="16" t="s">
        <v>8351</v>
      </c>
      <c r="F2261" s="20" t="s">
        <v>7194</v>
      </c>
      <c r="G2261" s="17" t="s">
        <v>8353</v>
      </c>
    </row>
    <row r="2262" spans="1:7" x14ac:dyDescent="0.25">
      <c r="A2262">
        <f t="shared" si="37"/>
        <v>2301666</v>
      </c>
      <c r="B2262" s="15">
        <v>140640189</v>
      </c>
      <c r="C2262" s="15">
        <v>290220558</v>
      </c>
      <c r="D2262" s="16">
        <v>230166604</v>
      </c>
      <c r="E2262" s="16" t="s">
        <v>8351</v>
      </c>
      <c r="F2262" s="20" t="s">
        <v>7111</v>
      </c>
      <c r="G2262" s="17" t="s">
        <v>8352</v>
      </c>
    </row>
    <row r="2263" spans="1:7" x14ac:dyDescent="0.25">
      <c r="A2263">
        <f t="shared" si="37"/>
        <v>2301046</v>
      </c>
      <c r="B2263" s="15">
        <v>140640189</v>
      </c>
      <c r="C2263" s="15">
        <v>290220577</v>
      </c>
      <c r="D2263" s="16">
        <v>230104601</v>
      </c>
      <c r="E2263" s="16" t="s">
        <v>8351</v>
      </c>
      <c r="F2263" s="20" t="s">
        <v>7197</v>
      </c>
      <c r="G2263" s="17" t="s">
        <v>8353</v>
      </c>
    </row>
    <row r="2264" spans="1:7" x14ac:dyDescent="0.25">
      <c r="A2264">
        <f t="shared" si="37"/>
        <v>2301666</v>
      </c>
      <c r="B2264" s="15">
        <v>140640189</v>
      </c>
      <c r="C2264" s="15">
        <v>290220587</v>
      </c>
      <c r="D2264" s="16">
        <v>230166600</v>
      </c>
      <c r="E2264" s="16" t="s">
        <v>8351</v>
      </c>
      <c r="F2264" s="20" t="s">
        <v>7188</v>
      </c>
      <c r="G2264" s="17" t="s">
        <v>8352</v>
      </c>
    </row>
    <row r="2265" spans="1:7" x14ac:dyDescent="0.25">
      <c r="A2265">
        <f t="shared" si="37"/>
        <v>2301666</v>
      </c>
      <c r="B2265" s="15">
        <v>140640189</v>
      </c>
      <c r="C2265" s="15">
        <v>290220543</v>
      </c>
      <c r="D2265" s="16">
        <v>230166608</v>
      </c>
      <c r="E2265" s="16" t="s">
        <v>8351</v>
      </c>
      <c r="F2265" s="20" t="s">
        <v>7177</v>
      </c>
      <c r="G2265" s="17" t="s">
        <v>8352</v>
      </c>
    </row>
    <row r="2266" spans="1:7" x14ac:dyDescent="0.25">
      <c r="A2266">
        <f t="shared" si="37"/>
        <v>2301666</v>
      </c>
      <c r="B2266" s="15">
        <v>140640189</v>
      </c>
      <c r="C2266" s="15">
        <v>290220552</v>
      </c>
      <c r="D2266" s="16">
        <v>230166602</v>
      </c>
      <c r="E2266" s="16" t="s">
        <v>8351</v>
      </c>
      <c r="F2266" s="20" t="s">
        <v>7109</v>
      </c>
      <c r="G2266" s="17" t="s">
        <v>8352</v>
      </c>
    </row>
    <row r="2267" spans="1:7" x14ac:dyDescent="0.25">
      <c r="A2267">
        <f t="shared" si="37"/>
        <v>2301046</v>
      </c>
      <c r="B2267" s="15">
        <v>140640189</v>
      </c>
      <c r="C2267" s="15">
        <v>290220583</v>
      </c>
      <c r="D2267" s="16">
        <v>230104606</v>
      </c>
      <c r="E2267" s="16" t="s">
        <v>8351</v>
      </c>
      <c r="F2267" s="20" t="s">
        <v>7183</v>
      </c>
      <c r="G2267" s="17" t="s">
        <v>8353</v>
      </c>
    </row>
    <row r="2268" spans="1:7" x14ac:dyDescent="0.25">
      <c r="A2268">
        <f t="shared" si="37"/>
        <v>2301666</v>
      </c>
      <c r="B2268" s="15">
        <v>140640189</v>
      </c>
      <c r="C2268" s="15">
        <v>290220566</v>
      </c>
      <c r="D2268" s="16">
        <v>230166606</v>
      </c>
      <c r="E2268" s="16" t="s">
        <v>8351</v>
      </c>
      <c r="F2268" s="20" t="s">
        <v>7113</v>
      </c>
      <c r="G2268" s="17" t="s">
        <v>8352</v>
      </c>
    </row>
    <row r="2269" spans="1:7" x14ac:dyDescent="0.25">
      <c r="A2269">
        <f t="shared" si="37"/>
        <v>2301046</v>
      </c>
      <c r="B2269" s="15">
        <v>140640189</v>
      </c>
      <c r="C2269" s="15">
        <v>290220603</v>
      </c>
      <c r="D2269" s="16">
        <v>230104607</v>
      </c>
      <c r="E2269" s="16" t="s">
        <v>8351</v>
      </c>
      <c r="F2269" s="20" t="s">
        <v>7199</v>
      </c>
      <c r="G2269" s="17" t="s">
        <v>8353</v>
      </c>
    </row>
    <row r="2270" spans="1:7" x14ac:dyDescent="0.25">
      <c r="A2270">
        <f t="shared" si="37"/>
        <v>2301046</v>
      </c>
      <c r="B2270" s="15">
        <v>140640189</v>
      </c>
      <c r="C2270" s="15">
        <v>290220539</v>
      </c>
      <c r="D2270" s="16">
        <v>230104608</v>
      </c>
      <c r="E2270" s="16" t="s">
        <v>8351</v>
      </c>
      <c r="F2270" s="20" t="s">
        <v>7201</v>
      </c>
      <c r="G2270" s="17" t="s">
        <v>8353</v>
      </c>
    </row>
    <row r="2271" spans="1:7" x14ac:dyDescent="0.25">
      <c r="A2271">
        <f t="shared" si="37"/>
        <v>2301046</v>
      </c>
      <c r="B2271" s="15">
        <v>140640189</v>
      </c>
      <c r="C2271" s="15">
        <v>290220373</v>
      </c>
      <c r="D2271" s="16">
        <v>230104610</v>
      </c>
      <c r="E2271" s="16" t="s">
        <v>8351</v>
      </c>
      <c r="F2271" s="20" t="s">
        <v>7191</v>
      </c>
      <c r="G2271" s="17" t="s">
        <v>8353</v>
      </c>
    </row>
    <row r="2272" spans="1:7" x14ac:dyDescent="0.25">
      <c r="A2272">
        <f t="shared" si="37"/>
        <v>2301046</v>
      </c>
      <c r="B2272" s="15">
        <v>140640189</v>
      </c>
      <c r="C2272" s="15">
        <v>290220491</v>
      </c>
      <c r="D2272" s="16">
        <v>230104602</v>
      </c>
      <c r="E2272" s="16" t="s">
        <v>8351</v>
      </c>
      <c r="F2272" s="20" t="s">
        <v>7198</v>
      </c>
      <c r="G2272" s="17" t="s">
        <v>8353</v>
      </c>
    </row>
    <row r="2273" spans="1:7" x14ac:dyDescent="0.25">
      <c r="A2273">
        <f t="shared" si="37"/>
        <v>2301666</v>
      </c>
      <c r="B2273" s="15">
        <v>140640189</v>
      </c>
      <c r="C2273" s="15">
        <v>290220432</v>
      </c>
      <c r="D2273" s="16">
        <v>230166601</v>
      </c>
      <c r="E2273" s="16" t="s">
        <v>8351</v>
      </c>
      <c r="F2273" s="20" t="s">
        <v>7108</v>
      </c>
      <c r="G2273" s="17" t="s">
        <v>8352</v>
      </c>
    </row>
    <row r="2274" spans="1:7" x14ac:dyDescent="0.25">
      <c r="A2274">
        <f t="shared" si="37"/>
        <v>2301666</v>
      </c>
      <c r="B2274" s="15">
        <v>140640189</v>
      </c>
      <c r="C2274" s="15">
        <v>290220438</v>
      </c>
      <c r="D2274" s="16">
        <v>230166603</v>
      </c>
      <c r="E2274" s="16" t="s">
        <v>8351</v>
      </c>
      <c r="F2274" s="20" t="s">
        <v>7110</v>
      </c>
      <c r="G2274" s="17" t="s">
        <v>8352</v>
      </c>
    </row>
    <row r="2275" spans="1:7" x14ac:dyDescent="0.25">
      <c r="A2275">
        <f t="shared" si="37"/>
        <v>2301046</v>
      </c>
      <c r="B2275" s="15">
        <v>140640189</v>
      </c>
      <c r="C2275" s="15">
        <v>290220363</v>
      </c>
      <c r="D2275" s="16">
        <v>230104600</v>
      </c>
      <c r="E2275" s="16" t="s">
        <v>8351</v>
      </c>
      <c r="F2275" s="20" t="s">
        <v>7195</v>
      </c>
      <c r="G2275" s="17" t="s">
        <v>8353</v>
      </c>
    </row>
    <row r="2276" spans="1:7" x14ac:dyDescent="0.25">
      <c r="A2276">
        <f t="shared" si="37"/>
        <v>2301046</v>
      </c>
      <c r="B2276" s="15">
        <v>140640189</v>
      </c>
      <c r="C2276" s="15">
        <v>290220414</v>
      </c>
      <c r="D2276" s="16">
        <v>230104604</v>
      </c>
      <c r="E2276" s="16" t="s">
        <v>8351</v>
      </c>
      <c r="F2276" s="20" t="s">
        <v>7193</v>
      </c>
      <c r="G2276" s="17" t="s">
        <v>8353</v>
      </c>
    </row>
    <row r="2277" spans="1:7" x14ac:dyDescent="0.25">
      <c r="A2277">
        <f t="shared" si="37"/>
        <v>2301666</v>
      </c>
      <c r="B2277" s="15">
        <v>140640189</v>
      </c>
      <c r="C2277" s="15">
        <v>290220481</v>
      </c>
      <c r="D2277" s="16">
        <v>230166609</v>
      </c>
      <c r="E2277" s="16" t="s">
        <v>8351</v>
      </c>
      <c r="F2277" s="20" t="s">
        <v>7182</v>
      </c>
      <c r="G2277" s="17" t="s">
        <v>8352</v>
      </c>
    </row>
    <row r="2278" spans="1:7" x14ac:dyDescent="0.25">
      <c r="A2278">
        <f t="shared" si="37"/>
        <v>2301046</v>
      </c>
      <c r="B2278" s="15">
        <v>140640189</v>
      </c>
      <c r="C2278" s="15">
        <v>290220466</v>
      </c>
      <c r="D2278" s="16">
        <v>230104605</v>
      </c>
      <c r="E2278" s="16" t="s">
        <v>8351</v>
      </c>
      <c r="F2278" s="20" t="s">
        <v>7196</v>
      </c>
      <c r="G2278" s="17" t="s">
        <v>8353</v>
      </c>
    </row>
    <row r="2279" spans="1:7" x14ac:dyDescent="0.25">
      <c r="A2279">
        <f t="shared" si="37"/>
        <v>2301046</v>
      </c>
      <c r="B2279" s="15">
        <v>140640189</v>
      </c>
      <c r="C2279" s="15">
        <v>290220523</v>
      </c>
      <c r="D2279" s="16">
        <v>230104609</v>
      </c>
      <c r="E2279" s="16" t="s">
        <v>8351</v>
      </c>
      <c r="F2279" s="20" t="s">
        <v>7200</v>
      </c>
      <c r="G2279" s="17" t="s">
        <v>8353</v>
      </c>
    </row>
    <row r="2280" spans="1:7" x14ac:dyDescent="0.25">
      <c r="A2280">
        <f t="shared" si="37"/>
        <v>2301666</v>
      </c>
      <c r="B2280" s="15">
        <v>140640189</v>
      </c>
      <c r="C2280" s="15">
        <v>290220450</v>
      </c>
      <c r="D2280" s="16">
        <v>230166605</v>
      </c>
      <c r="E2280" s="16" t="s">
        <v>8351</v>
      </c>
      <c r="F2280" s="20" t="s">
        <v>7112</v>
      </c>
      <c r="G2280" s="17" t="s">
        <v>8352</v>
      </c>
    </row>
    <row r="2281" spans="1:7" x14ac:dyDescent="0.25">
      <c r="A2281">
        <f t="shared" si="37"/>
        <v>2301888</v>
      </c>
      <c r="B2281" s="15">
        <v>140640205</v>
      </c>
      <c r="C2281" s="15">
        <v>290220559</v>
      </c>
      <c r="D2281" s="16">
        <v>230188803</v>
      </c>
      <c r="E2281" s="16" t="s">
        <v>8354</v>
      </c>
      <c r="F2281" s="20" t="s">
        <v>7194</v>
      </c>
      <c r="G2281" s="17" t="s">
        <v>8355</v>
      </c>
    </row>
    <row r="2282" spans="1:7" x14ac:dyDescent="0.25">
      <c r="A2282">
        <f t="shared" si="37"/>
        <v>2301300</v>
      </c>
      <c r="B2282" s="15">
        <v>140640205</v>
      </c>
      <c r="C2282" s="15">
        <v>290220439</v>
      </c>
      <c r="D2282" s="16">
        <v>230130008</v>
      </c>
      <c r="E2282" s="16" t="s">
        <v>8354</v>
      </c>
      <c r="F2282" s="20" t="s">
        <v>8356</v>
      </c>
      <c r="G2282" s="17" t="s">
        <v>8357</v>
      </c>
    </row>
    <row r="2283" spans="1:7" x14ac:dyDescent="0.25">
      <c r="A2283">
        <f t="shared" si="37"/>
        <v>2301048</v>
      </c>
      <c r="B2283" s="15">
        <v>140640205</v>
      </c>
      <c r="C2283" s="15">
        <v>290220454</v>
      </c>
      <c r="D2283" s="16">
        <v>230104807</v>
      </c>
      <c r="E2283" s="16" t="s">
        <v>8354</v>
      </c>
      <c r="F2283" s="20" t="s">
        <v>7176</v>
      </c>
      <c r="G2283" s="17" t="s">
        <v>8358</v>
      </c>
    </row>
    <row r="2284" spans="1:7" x14ac:dyDescent="0.25">
      <c r="A2284">
        <f t="shared" si="37"/>
        <v>2301048</v>
      </c>
      <c r="B2284" s="15">
        <v>140640205</v>
      </c>
      <c r="C2284" s="15">
        <v>290220430</v>
      </c>
      <c r="D2284" s="16">
        <v>230104800</v>
      </c>
      <c r="E2284" s="16" t="s">
        <v>8354</v>
      </c>
      <c r="F2284" s="20" t="s">
        <v>7188</v>
      </c>
      <c r="G2284" s="17" t="s">
        <v>8358</v>
      </c>
    </row>
    <row r="2285" spans="1:7" x14ac:dyDescent="0.25">
      <c r="A2285">
        <f t="shared" si="37"/>
        <v>2301888</v>
      </c>
      <c r="B2285" s="15">
        <v>140640205</v>
      </c>
      <c r="C2285" s="15">
        <v>290220449</v>
      </c>
      <c r="D2285" s="16">
        <v>230188805</v>
      </c>
      <c r="E2285" s="16" t="s">
        <v>8354</v>
      </c>
      <c r="F2285" s="20" t="s">
        <v>7196</v>
      </c>
      <c r="G2285" s="17" t="s">
        <v>8355</v>
      </c>
    </row>
    <row r="2286" spans="1:7" x14ac:dyDescent="0.25">
      <c r="A2286">
        <f t="shared" si="37"/>
        <v>2301300</v>
      </c>
      <c r="B2286" s="15">
        <v>140640205</v>
      </c>
      <c r="C2286" s="15">
        <v>290220446</v>
      </c>
      <c r="D2286" s="16">
        <v>230130005</v>
      </c>
      <c r="E2286" s="16" t="s">
        <v>8354</v>
      </c>
      <c r="F2286" s="20" t="s">
        <v>7209</v>
      </c>
      <c r="G2286" s="17" t="s">
        <v>8357</v>
      </c>
    </row>
    <row r="2287" spans="1:7" x14ac:dyDescent="0.25">
      <c r="A2287">
        <f t="shared" si="37"/>
        <v>2301048</v>
      </c>
      <c r="B2287" s="15">
        <v>140640205</v>
      </c>
      <c r="C2287" s="15">
        <v>290220437</v>
      </c>
      <c r="D2287" s="16">
        <v>230104801</v>
      </c>
      <c r="E2287" s="16" t="s">
        <v>8354</v>
      </c>
      <c r="F2287" s="20" t="s">
        <v>7108</v>
      </c>
      <c r="G2287" s="17" t="s">
        <v>8358</v>
      </c>
    </row>
    <row r="2288" spans="1:7" x14ac:dyDescent="0.25">
      <c r="A2288">
        <f t="shared" si="37"/>
        <v>2301048</v>
      </c>
      <c r="B2288" s="15">
        <v>140640205</v>
      </c>
      <c r="C2288" s="15">
        <v>290220480</v>
      </c>
      <c r="D2288" s="16">
        <v>230104808</v>
      </c>
      <c r="E2288" s="16" t="s">
        <v>8354</v>
      </c>
      <c r="F2288" s="20" t="s">
        <v>7177</v>
      </c>
      <c r="G2288" s="17" t="s">
        <v>8358</v>
      </c>
    </row>
    <row r="2289" spans="1:7" x14ac:dyDescent="0.25">
      <c r="A2289">
        <f t="shared" si="37"/>
        <v>2301158</v>
      </c>
      <c r="B2289" s="15">
        <v>140640205</v>
      </c>
      <c r="C2289" s="15">
        <v>290220468</v>
      </c>
      <c r="D2289" s="16">
        <v>230115801</v>
      </c>
      <c r="E2289" s="16" t="s">
        <v>8354</v>
      </c>
      <c r="F2289" s="20" t="s">
        <v>7186</v>
      </c>
      <c r="G2289" s="17" t="s">
        <v>8359</v>
      </c>
    </row>
    <row r="2290" spans="1:7" x14ac:dyDescent="0.25">
      <c r="A2290">
        <f t="shared" si="37"/>
        <v>2301888</v>
      </c>
      <c r="B2290" s="15">
        <v>140640205</v>
      </c>
      <c r="C2290" s="15">
        <v>290220526</v>
      </c>
      <c r="D2290" s="16">
        <v>230188806</v>
      </c>
      <c r="E2290" s="16" t="s">
        <v>8354</v>
      </c>
      <c r="F2290" s="20" t="s">
        <v>7183</v>
      </c>
      <c r="G2290" s="17" t="s">
        <v>8355</v>
      </c>
    </row>
    <row r="2291" spans="1:7" x14ac:dyDescent="0.25">
      <c r="A2291">
        <f t="shared" si="37"/>
        <v>2301158</v>
      </c>
      <c r="B2291" s="15">
        <v>140640205</v>
      </c>
      <c r="C2291" s="15">
        <v>290220495</v>
      </c>
      <c r="D2291" s="16">
        <v>230115804</v>
      </c>
      <c r="E2291" s="16" t="s">
        <v>8354</v>
      </c>
      <c r="F2291" s="20" t="s">
        <v>7189</v>
      </c>
      <c r="G2291" s="17" t="s">
        <v>8359</v>
      </c>
    </row>
    <row r="2292" spans="1:7" x14ac:dyDescent="0.25">
      <c r="A2292">
        <f t="shared" si="37"/>
        <v>2301300</v>
      </c>
      <c r="B2292" s="15">
        <v>140640205</v>
      </c>
      <c r="C2292" s="15">
        <v>290220569</v>
      </c>
      <c r="D2292" s="16">
        <v>230130000</v>
      </c>
      <c r="E2292" s="16" t="s">
        <v>8354</v>
      </c>
      <c r="F2292" s="20" t="s">
        <v>8360</v>
      </c>
      <c r="G2292" s="17" t="s">
        <v>8357</v>
      </c>
    </row>
    <row r="2293" spans="1:7" x14ac:dyDescent="0.25">
      <c r="A2293">
        <f t="shared" si="37"/>
        <v>2301048</v>
      </c>
      <c r="B2293" s="15">
        <v>140640205</v>
      </c>
      <c r="C2293" s="15">
        <v>290220619</v>
      </c>
      <c r="D2293" s="16">
        <v>230104806</v>
      </c>
      <c r="E2293" s="16" t="s">
        <v>8354</v>
      </c>
      <c r="F2293" s="20" t="s">
        <v>7113</v>
      </c>
      <c r="G2293" s="17" t="s">
        <v>8358</v>
      </c>
    </row>
    <row r="2294" spans="1:7" x14ac:dyDescent="0.25">
      <c r="A2294">
        <f t="shared" si="37"/>
        <v>2301158</v>
      </c>
      <c r="B2294" s="15">
        <v>140640205</v>
      </c>
      <c r="C2294" s="15">
        <v>290220589</v>
      </c>
      <c r="D2294" s="16">
        <v>230115810</v>
      </c>
      <c r="E2294" s="16" t="s">
        <v>8354</v>
      </c>
      <c r="F2294" s="20" t="s">
        <v>7192</v>
      </c>
      <c r="G2294" s="17" t="s">
        <v>8359</v>
      </c>
    </row>
    <row r="2295" spans="1:7" x14ac:dyDescent="0.25">
      <c r="A2295">
        <f t="shared" si="37"/>
        <v>2301888</v>
      </c>
      <c r="B2295" s="15">
        <v>140640205</v>
      </c>
      <c r="C2295" s="15">
        <v>290220637</v>
      </c>
      <c r="D2295" s="16">
        <v>230188800</v>
      </c>
      <c r="E2295" s="16" t="s">
        <v>8354</v>
      </c>
      <c r="F2295" s="20" t="s">
        <v>7195</v>
      </c>
      <c r="G2295" s="17" t="s">
        <v>8355</v>
      </c>
    </row>
    <row r="2296" spans="1:7" x14ac:dyDescent="0.25">
      <c r="A2296">
        <f t="shared" si="37"/>
        <v>2301300</v>
      </c>
      <c r="B2296" s="15">
        <v>140640205</v>
      </c>
      <c r="C2296" s="15">
        <v>290220638</v>
      </c>
      <c r="D2296" s="16">
        <v>230130007</v>
      </c>
      <c r="E2296" s="16" t="s">
        <v>8354</v>
      </c>
      <c r="F2296" s="20" t="s">
        <v>8361</v>
      </c>
      <c r="G2296" s="17" t="s">
        <v>8357</v>
      </c>
    </row>
    <row r="2297" spans="1:7" x14ac:dyDescent="0.25">
      <c r="A2297">
        <f t="shared" si="37"/>
        <v>2301888</v>
      </c>
      <c r="B2297" s="15">
        <v>140640205</v>
      </c>
      <c r="C2297" s="15">
        <v>290220581</v>
      </c>
      <c r="D2297" s="16">
        <v>230188807</v>
      </c>
      <c r="E2297" s="16" t="s">
        <v>8354</v>
      </c>
      <c r="F2297" s="20" t="s">
        <v>7199</v>
      </c>
      <c r="G2297" s="17" t="s">
        <v>8355</v>
      </c>
    </row>
    <row r="2298" spans="1:7" x14ac:dyDescent="0.25">
      <c r="A2298">
        <f t="shared" si="37"/>
        <v>2301158</v>
      </c>
      <c r="B2298" s="15">
        <v>140640205</v>
      </c>
      <c r="C2298" s="15">
        <v>290220575</v>
      </c>
      <c r="D2298" s="16">
        <v>230115803</v>
      </c>
      <c r="E2298" s="16" t="s">
        <v>8354</v>
      </c>
      <c r="F2298" s="20" t="s">
        <v>7187</v>
      </c>
      <c r="G2298" s="17" t="s">
        <v>8359</v>
      </c>
    </row>
    <row r="2299" spans="1:7" x14ac:dyDescent="0.25">
      <c r="A2299">
        <f t="shared" si="37"/>
        <v>2301300</v>
      </c>
      <c r="B2299" s="15">
        <v>140640205</v>
      </c>
      <c r="C2299" s="15">
        <v>290220684</v>
      </c>
      <c r="D2299" s="16">
        <v>230130003</v>
      </c>
      <c r="E2299" s="16" t="s">
        <v>8354</v>
      </c>
      <c r="F2299" s="20" t="s">
        <v>7206</v>
      </c>
      <c r="G2299" s="17" t="s">
        <v>8357</v>
      </c>
    </row>
    <row r="2300" spans="1:7" x14ac:dyDescent="0.25">
      <c r="A2300">
        <f t="shared" si="37"/>
        <v>2301048</v>
      </c>
      <c r="B2300" s="15">
        <v>140640205</v>
      </c>
      <c r="C2300" s="15">
        <v>290220650</v>
      </c>
      <c r="D2300" s="16">
        <v>230104809</v>
      </c>
      <c r="E2300" s="16" t="s">
        <v>8354</v>
      </c>
      <c r="F2300" s="20" t="s">
        <v>7182</v>
      </c>
      <c r="G2300" s="17" t="s">
        <v>8358</v>
      </c>
    </row>
    <row r="2301" spans="1:7" x14ac:dyDescent="0.25">
      <c r="A2301">
        <f t="shared" si="37"/>
        <v>2301300</v>
      </c>
      <c r="B2301" s="15">
        <v>140640205</v>
      </c>
      <c r="C2301" s="15">
        <v>290220707</v>
      </c>
      <c r="D2301" s="16">
        <v>230130006</v>
      </c>
      <c r="E2301" s="16" t="s">
        <v>8354</v>
      </c>
      <c r="F2301" s="20" t="s">
        <v>7208</v>
      </c>
      <c r="G2301" s="17" t="s">
        <v>8357</v>
      </c>
    </row>
    <row r="2302" spans="1:7" x14ac:dyDescent="0.25">
      <c r="A2302">
        <f t="shared" si="37"/>
        <v>2301158</v>
      </c>
      <c r="B2302" s="15">
        <v>140640205</v>
      </c>
      <c r="C2302" s="15">
        <v>290220713</v>
      </c>
      <c r="D2302" s="16">
        <v>230115808</v>
      </c>
      <c r="E2302" s="16" t="s">
        <v>8354</v>
      </c>
      <c r="F2302" s="20" t="s">
        <v>7180</v>
      </c>
      <c r="G2302" s="17" t="s">
        <v>8359</v>
      </c>
    </row>
    <row r="2303" spans="1:7" x14ac:dyDescent="0.25">
      <c r="A2303">
        <f t="shared" si="37"/>
        <v>2301048</v>
      </c>
      <c r="B2303" s="15">
        <v>140640205</v>
      </c>
      <c r="C2303" s="15">
        <v>290220671</v>
      </c>
      <c r="D2303" s="16">
        <v>230104804</v>
      </c>
      <c r="E2303" s="16" t="s">
        <v>8354</v>
      </c>
      <c r="F2303" s="20" t="s">
        <v>7111</v>
      </c>
      <c r="G2303" s="17" t="s">
        <v>8358</v>
      </c>
    </row>
    <row r="2304" spans="1:7" x14ac:dyDescent="0.25">
      <c r="A2304">
        <f t="shared" si="37"/>
        <v>2301888</v>
      </c>
      <c r="B2304" s="15">
        <v>140640205</v>
      </c>
      <c r="C2304" s="15">
        <v>290220695</v>
      </c>
      <c r="D2304" s="16">
        <v>230188808</v>
      </c>
      <c r="E2304" s="16" t="s">
        <v>8354</v>
      </c>
      <c r="F2304" s="20" t="s">
        <v>7201</v>
      </c>
      <c r="G2304" s="17" t="s">
        <v>8355</v>
      </c>
    </row>
    <row r="2305" spans="1:7" x14ac:dyDescent="0.25">
      <c r="A2305">
        <f t="shared" si="37"/>
        <v>2301048</v>
      </c>
      <c r="B2305" s="15">
        <v>140640205</v>
      </c>
      <c r="C2305" s="15">
        <v>290220563</v>
      </c>
      <c r="D2305" s="16">
        <v>230104810</v>
      </c>
      <c r="E2305" s="16" t="s">
        <v>8354</v>
      </c>
      <c r="F2305" s="20" t="s">
        <v>7190</v>
      </c>
      <c r="G2305" s="17" t="s">
        <v>8358</v>
      </c>
    </row>
    <row r="2306" spans="1:7" x14ac:dyDescent="0.25">
      <c r="A2306">
        <f t="shared" si="37"/>
        <v>2301048</v>
      </c>
      <c r="B2306" s="15">
        <v>140640205</v>
      </c>
      <c r="C2306" s="15">
        <v>290220545</v>
      </c>
      <c r="D2306" s="16">
        <v>230104805</v>
      </c>
      <c r="E2306" s="16" t="s">
        <v>8354</v>
      </c>
      <c r="F2306" s="20" t="s">
        <v>7112</v>
      </c>
      <c r="G2306" s="17" t="s">
        <v>8358</v>
      </c>
    </row>
    <row r="2307" spans="1:7" x14ac:dyDescent="0.25">
      <c r="A2307">
        <f t="shared" si="37"/>
        <v>2301158</v>
      </c>
      <c r="B2307" s="15">
        <v>140640205</v>
      </c>
      <c r="C2307" s="15">
        <v>290220656</v>
      </c>
      <c r="D2307" s="16">
        <v>230115809</v>
      </c>
      <c r="E2307" s="16" t="s">
        <v>8354</v>
      </c>
      <c r="F2307" s="20" t="s">
        <v>7181</v>
      </c>
      <c r="G2307" s="17" t="s">
        <v>8359</v>
      </c>
    </row>
    <row r="2308" spans="1:7" x14ac:dyDescent="0.25">
      <c r="A2308">
        <f t="shared" si="37"/>
        <v>2301158</v>
      </c>
      <c r="B2308" s="15">
        <v>140640205</v>
      </c>
      <c r="C2308" s="15">
        <v>290220484</v>
      </c>
      <c r="D2308" s="16">
        <v>230115800</v>
      </c>
      <c r="E2308" s="16" t="s">
        <v>8354</v>
      </c>
      <c r="F2308" s="20" t="s">
        <v>7202</v>
      </c>
      <c r="G2308" s="17" t="s">
        <v>8359</v>
      </c>
    </row>
    <row r="2309" spans="1:7" x14ac:dyDescent="0.25">
      <c r="A2309">
        <f t="shared" si="37"/>
        <v>2301888</v>
      </c>
      <c r="B2309" s="15">
        <v>140640205</v>
      </c>
      <c r="C2309" s="15">
        <v>290220536</v>
      </c>
      <c r="D2309" s="16">
        <v>230188804</v>
      </c>
      <c r="E2309" s="16" t="s">
        <v>8354</v>
      </c>
      <c r="F2309" s="20" t="s">
        <v>7193</v>
      </c>
      <c r="G2309" s="17" t="s">
        <v>8355</v>
      </c>
    </row>
    <row r="2310" spans="1:7" x14ac:dyDescent="0.25">
      <c r="A2310">
        <f t="shared" si="37"/>
        <v>2301300</v>
      </c>
      <c r="B2310" s="15">
        <v>140640205</v>
      </c>
      <c r="C2310" s="15">
        <v>290220510</v>
      </c>
      <c r="D2310" s="16">
        <v>230130010</v>
      </c>
      <c r="E2310" s="16" t="s">
        <v>8354</v>
      </c>
      <c r="F2310" s="20" t="s">
        <v>8362</v>
      </c>
      <c r="G2310" s="17" t="s">
        <v>8357</v>
      </c>
    </row>
    <row r="2311" spans="1:7" x14ac:dyDescent="0.25">
      <c r="A2311">
        <f t="shared" ref="A2311:A2374" si="38">LEFT(D2311,7)*1</f>
        <v>2301048</v>
      </c>
      <c r="B2311" s="15">
        <v>140640205</v>
      </c>
      <c r="C2311" s="15">
        <v>290220659</v>
      </c>
      <c r="D2311" s="16">
        <v>230104803</v>
      </c>
      <c r="E2311" s="16" t="s">
        <v>8354</v>
      </c>
      <c r="F2311" s="20" t="s">
        <v>7110</v>
      </c>
      <c r="G2311" s="17" t="s">
        <v>8358</v>
      </c>
    </row>
    <row r="2312" spans="1:7" x14ac:dyDescent="0.25">
      <c r="A2312">
        <f t="shared" si="38"/>
        <v>2301888</v>
      </c>
      <c r="B2312" s="15">
        <v>140640205</v>
      </c>
      <c r="C2312" s="15">
        <v>290220701</v>
      </c>
      <c r="D2312" s="16">
        <v>230188809</v>
      </c>
      <c r="E2312" s="16" t="s">
        <v>8354</v>
      </c>
      <c r="F2312" s="20" t="s">
        <v>7200</v>
      </c>
      <c r="G2312" s="17" t="s">
        <v>8355</v>
      </c>
    </row>
    <row r="2313" spans="1:7" x14ac:dyDescent="0.25">
      <c r="A2313">
        <f t="shared" si="38"/>
        <v>2301300</v>
      </c>
      <c r="B2313" s="15">
        <v>140640205</v>
      </c>
      <c r="C2313" s="15">
        <v>290220531</v>
      </c>
      <c r="D2313" s="16">
        <v>230130009</v>
      </c>
      <c r="E2313" s="16" t="s">
        <v>8354</v>
      </c>
      <c r="F2313" s="20" t="s">
        <v>8363</v>
      </c>
      <c r="G2313" s="17" t="s">
        <v>8357</v>
      </c>
    </row>
    <row r="2314" spans="1:7" x14ac:dyDescent="0.25">
      <c r="A2314">
        <f t="shared" si="38"/>
        <v>2301300</v>
      </c>
      <c r="B2314" s="15">
        <v>140640205</v>
      </c>
      <c r="C2314" s="15">
        <v>290220576</v>
      </c>
      <c r="D2314" s="16">
        <v>230130001</v>
      </c>
      <c r="E2314" s="16" t="s">
        <v>8354</v>
      </c>
      <c r="F2314" s="20" t="s">
        <v>8364</v>
      </c>
      <c r="G2314" s="17" t="s">
        <v>8357</v>
      </c>
    </row>
    <row r="2315" spans="1:7" x14ac:dyDescent="0.25">
      <c r="A2315">
        <f t="shared" si="38"/>
        <v>2301300</v>
      </c>
      <c r="B2315" s="15">
        <v>140640205</v>
      </c>
      <c r="C2315" s="15">
        <v>290220487</v>
      </c>
      <c r="D2315" s="16">
        <v>230130002</v>
      </c>
      <c r="E2315" s="16" t="s">
        <v>8354</v>
      </c>
      <c r="F2315" s="20" t="s">
        <v>7207</v>
      </c>
      <c r="G2315" s="17" t="s">
        <v>8357</v>
      </c>
    </row>
    <row r="2316" spans="1:7" x14ac:dyDescent="0.25">
      <c r="A2316">
        <f t="shared" si="38"/>
        <v>2301158</v>
      </c>
      <c r="B2316" s="15">
        <v>140640205</v>
      </c>
      <c r="C2316" s="15">
        <v>290220643</v>
      </c>
      <c r="D2316" s="16">
        <v>230115802</v>
      </c>
      <c r="E2316" s="16" t="s">
        <v>8354</v>
      </c>
      <c r="F2316" s="20" t="s">
        <v>7185</v>
      </c>
      <c r="G2316" s="17" t="s">
        <v>8359</v>
      </c>
    </row>
    <row r="2317" spans="1:7" x14ac:dyDescent="0.25">
      <c r="A2317">
        <f t="shared" si="38"/>
        <v>2301888</v>
      </c>
      <c r="B2317" s="15">
        <v>140640205</v>
      </c>
      <c r="C2317" s="15">
        <v>290220703</v>
      </c>
      <c r="D2317" s="16">
        <v>230188801</v>
      </c>
      <c r="E2317" s="16" t="s">
        <v>8354</v>
      </c>
      <c r="F2317" s="20" t="s">
        <v>7197</v>
      </c>
      <c r="G2317" s="17" t="s">
        <v>8355</v>
      </c>
    </row>
    <row r="2318" spans="1:7" x14ac:dyDescent="0.25">
      <c r="A2318">
        <f t="shared" si="38"/>
        <v>2301888</v>
      </c>
      <c r="B2318" s="15">
        <v>140640205</v>
      </c>
      <c r="C2318" s="15">
        <v>290220554</v>
      </c>
      <c r="D2318" s="16">
        <v>230188810</v>
      </c>
      <c r="E2318" s="16" t="s">
        <v>8354</v>
      </c>
      <c r="F2318" s="20" t="s">
        <v>7191</v>
      </c>
      <c r="G2318" s="17" t="s">
        <v>8355</v>
      </c>
    </row>
    <row r="2319" spans="1:7" x14ac:dyDescent="0.25">
      <c r="A2319">
        <f t="shared" si="38"/>
        <v>2301158</v>
      </c>
      <c r="B2319" s="15">
        <v>140640205</v>
      </c>
      <c r="C2319" s="15">
        <v>290220516</v>
      </c>
      <c r="D2319" s="16">
        <v>230115806</v>
      </c>
      <c r="E2319" s="16" t="s">
        <v>8354</v>
      </c>
      <c r="F2319" s="20" t="s">
        <v>7178</v>
      </c>
      <c r="G2319" s="17" t="s">
        <v>8359</v>
      </c>
    </row>
    <row r="2320" spans="1:7" x14ac:dyDescent="0.25">
      <c r="A2320">
        <f t="shared" si="38"/>
        <v>2301158</v>
      </c>
      <c r="B2320" s="15">
        <v>140640205</v>
      </c>
      <c r="C2320" s="15">
        <v>290220542</v>
      </c>
      <c r="D2320" s="16">
        <v>230115807</v>
      </c>
      <c r="E2320" s="16" t="s">
        <v>8354</v>
      </c>
      <c r="F2320" s="20" t="s">
        <v>7179</v>
      </c>
      <c r="G2320" s="17" t="s">
        <v>8359</v>
      </c>
    </row>
    <row r="2321" spans="1:7" x14ac:dyDescent="0.25">
      <c r="A2321">
        <f t="shared" si="38"/>
        <v>2301888</v>
      </c>
      <c r="B2321" s="15">
        <v>140640205</v>
      </c>
      <c r="C2321" s="15">
        <v>290220459</v>
      </c>
      <c r="D2321" s="16">
        <v>230188802</v>
      </c>
      <c r="E2321" s="16" t="s">
        <v>8354</v>
      </c>
      <c r="F2321" s="20" t="s">
        <v>7198</v>
      </c>
      <c r="G2321" s="17" t="s">
        <v>8355</v>
      </c>
    </row>
    <row r="2322" spans="1:7" x14ac:dyDescent="0.25">
      <c r="A2322">
        <f t="shared" si="38"/>
        <v>2301300</v>
      </c>
      <c r="B2322" s="15">
        <v>140640205</v>
      </c>
      <c r="C2322" s="15">
        <v>290220476</v>
      </c>
      <c r="D2322" s="16">
        <v>230130004</v>
      </c>
      <c r="E2322" s="16" t="s">
        <v>8354</v>
      </c>
      <c r="F2322" s="20" t="s">
        <v>7210</v>
      </c>
      <c r="G2322" s="17" t="s">
        <v>8357</v>
      </c>
    </row>
    <row r="2323" spans="1:7" x14ac:dyDescent="0.25">
      <c r="A2323">
        <f t="shared" si="38"/>
        <v>2301158</v>
      </c>
      <c r="B2323" s="15">
        <v>140640205</v>
      </c>
      <c r="C2323" s="15">
        <v>290220646</v>
      </c>
      <c r="D2323" s="16">
        <v>230115805</v>
      </c>
      <c r="E2323" s="16" t="s">
        <v>8354</v>
      </c>
      <c r="F2323" s="20" t="s">
        <v>7184</v>
      </c>
      <c r="G2323" s="17" t="s">
        <v>8359</v>
      </c>
    </row>
    <row r="2324" spans="1:7" x14ac:dyDescent="0.25">
      <c r="A2324">
        <f t="shared" si="38"/>
        <v>2301048</v>
      </c>
      <c r="B2324" s="15">
        <v>140640205</v>
      </c>
      <c r="C2324" s="15">
        <v>290220634</v>
      </c>
      <c r="D2324" s="16">
        <v>230104802</v>
      </c>
      <c r="E2324" s="16" t="s">
        <v>8354</v>
      </c>
      <c r="F2324" s="20" t="s">
        <v>7109</v>
      </c>
      <c r="G2324" s="17" t="s">
        <v>8358</v>
      </c>
    </row>
    <row r="2325" spans="1:7" x14ac:dyDescent="0.25">
      <c r="A2325">
        <f t="shared" si="38"/>
        <v>2301900</v>
      </c>
      <c r="B2325" s="15">
        <v>140640179</v>
      </c>
      <c r="C2325" s="15">
        <v>290220834</v>
      </c>
      <c r="D2325" s="16">
        <v>230190009</v>
      </c>
      <c r="E2325" s="16" t="s">
        <v>8365</v>
      </c>
      <c r="F2325" s="20" t="s">
        <v>7182</v>
      </c>
      <c r="G2325" s="17" t="s">
        <v>8366</v>
      </c>
    </row>
    <row r="2326" spans="1:7" x14ac:dyDescent="0.25">
      <c r="A2326">
        <f t="shared" si="38"/>
        <v>2301333</v>
      </c>
      <c r="B2326" s="15">
        <v>140640179</v>
      </c>
      <c r="C2326" s="15">
        <v>290220571</v>
      </c>
      <c r="D2326" s="16">
        <v>230133309</v>
      </c>
      <c r="E2326" s="16" t="s">
        <v>8365</v>
      </c>
      <c r="F2326" s="20" t="s">
        <v>8363</v>
      </c>
      <c r="G2326" s="17" t="s">
        <v>8367</v>
      </c>
    </row>
    <row r="2327" spans="1:7" x14ac:dyDescent="0.25">
      <c r="A2327">
        <f t="shared" si="38"/>
        <v>2301900</v>
      </c>
      <c r="B2327" s="15">
        <v>140640179</v>
      </c>
      <c r="C2327" s="15">
        <v>290220308</v>
      </c>
      <c r="D2327" s="16">
        <v>230190001</v>
      </c>
      <c r="E2327" s="16" t="s">
        <v>8365</v>
      </c>
      <c r="F2327" s="20" t="s">
        <v>7108</v>
      </c>
      <c r="G2327" s="17" t="s">
        <v>8366</v>
      </c>
    </row>
    <row r="2328" spans="1:7" x14ac:dyDescent="0.25">
      <c r="A2328">
        <f t="shared" si="38"/>
        <v>2301777</v>
      </c>
      <c r="B2328" s="15">
        <v>140640179</v>
      </c>
      <c r="C2328" s="15">
        <v>290220717</v>
      </c>
      <c r="D2328" s="16">
        <v>230177710</v>
      </c>
      <c r="E2328" s="16" t="s">
        <v>8365</v>
      </c>
      <c r="F2328" s="20" t="s">
        <v>7191</v>
      </c>
      <c r="G2328" s="17" t="s">
        <v>8368</v>
      </c>
    </row>
    <row r="2329" spans="1:7" x14ac:dyDescent="0.25">
      <c r="A2329">
        <f t="shared" si="38"/>
        <v>2301333</v>
      </c>
      <c r="B2329" s="15">
        <v>140640179</v>
      </c>
      <c r="C2329" s="15">
        <v>290220642</v>
      </c>
      <c r="D2329" s="16">
        <v>230133307</v>
      </c>
      <c r="E2329" s="16" t="s">
        <v>8365</v>
      </c>
      <c r="F2329" s="20" t="s">
        <v>8361</v>
      </c>
      <c r="G2329" s="17" t="s">
        <v>8367</v>
      </c>
    </row>
    <row r="2330" spans="1:7" x14ac:dyDescent="0.25">
      <c r="A2330">
        <f t="shared" si="38"/>
        <v>2301333</v>
      </c>
      <c r="B2330" s="15">
        <v>140640179</v>
      </c>
      <c r="C2330" s="15">
        <v>290220397</v>
      </c>
      <c r="D2330" s="16">
        <v>230133304</v>
      </c>
      <c r="E2330" s="16" t="s">
        <v>8365</v>
      </c>
      <c r="F2330" s="20" t="s">
        <v>7210</v>
      </c>
      <c r="G2330" s="17" t="s">
        <v>8367</v>
      </c>
    </row>
    <row r="2331" spans="1:7" x14ac:dyDescent="0.25">
      <c r="A2331">
        <f t="shared" si="38"/>
        <v>2301900</v>
      </c>
      <c r="B2331" s="15">
        <v>140640179</v>
      </c>
      <c r="C2331" s="15">
        <v>290220514</v>
      </c>
      <c r="D2331" s="16">
        <v>230190007</v>
      </c>
      <c r="E2331" s="16" t="s">
        <v>8365</v>
      </c>
      <c r="F2331" s="20" t="s">
        <v>7176</v>
      </c>
      <c r="G2331" s="17" t="s">
        <v>8366</v>
      </c>
    </row>
    <row r="2332" spans="1:7" x14ac:dyDescent="0.25">
      <c r="A2332">
        <f t="shared" si="38"/>
        <v>2301333</v>
      </c>
      <c r="B2332" s="15">
        <v>140640179</v>
      </c>
      <c r="C2332" s="15">
        <v>290220935</v>
      </c>
      <c r="D2332" s="16">
        <v>230133300</v>
      </c>
      <c r="E2332" s="16" t="s">
        <v>8365</v>
      </c>
      <c r="F2332" s="20" t="s">
        <v>8360</v>
      </c>
      <c r="G2332" s="17" t="s">
        <v>8367</v>
      </c>
    </row>
    <row r="2333" spans="1:7" x14ac:dyDescent="0.25">
      <c r="A2333">
        <f t="shared" si="38"/>
        <v>2301900</v>
      </c>
      <c r="B2333" s="15">
        <v>140640179</v>
      </c>
      <c r="C2333" s="15">
        <v>290220678</v>
      </c>
      <c r="D2333" s="16">
        <v>230190000</v>
      </c>
      <c r="E2333" s="16" t="s">
        <v>8365</v>
      </c>
      <c r="F2333" s="20" t="s">
        <v>7188</v>
      </c>
      <c r="G2333" s="17" t="s">
        <v>8366</v>
      </c>
    </row>
    <row r="2334" spans="1:7" x14ac:dyDescent="0.25">
      <c r="A2334">
        <f t="shared" si="38"/>
        <v>2301777</v>
      </c>
      <c r="B2334" s="15">
        <v>140640179</v>
      </c>
      <c r="C2334" s="15">
        <v>290220462</v>
      </c>
      <c r="D2334" s="16">
        <v>230177708</v>
      </c>
      <c r="E2334" s="16" t="s">
        <v>8365</v>
      </c>
      <c r="F2334" s="20" t="s">
        <v>7201</v>
      </c>
      <c r="G2334" s="17" t="s">
        <v>8368</v>
      </c>
    </row>
    <row r="2335" spans="1:7" x14ac:dyDescent="0.25">
      <c r="A2335">
        <f t="shared" si="38"/>
        <v>2301777</v>
      </c>
      <c r="B2335" s="15">
        <v>140640179</v>
      </c>
      <c r="C2335" s="15">
        <v>290221452</v>
      </c>
      <c r="D2335" s="16">
        <v>230177707</v>
      </c>
      <c r="E2335" s="16" t="s">
        <v>8365</v>
      </c>
      <c r="F2335" s="20" t="s">
        <v>7199</v>
      </c>
      <c r="G2335" s="17" t="s">
        <v>8368</v>
      </c>
    </row>
    <row r="2336" spans="1:7" x14ac:dyDescent="0.25">
      <c r="A2336">
        <f t="shared" si="38"/>
        <v>2301900</v>
      </c>
      <c r="B2336" s="15">
        <v>140640179</v>
      </c>
      <c r="C2336" s="15">
        <v>290221442</v>
      </c>
      <c r="D2336" s="16">
        <v>230190010</v>
      </c>
      <c r="E2336" s="16" t="s">
        <v>8365</v>
      </c>
      <c r="F2336" s="20" t="s">
        <v>7190</v>
      </c>
      <c r="G2336" s="17" t="s">
        <v>8366</v>
      </c>
    </row>
    <row r="2337" spans="1:7" x14ac:dyDescent="0.25">
      <c r="A2337">
        <f t="shared" si="38"/>
        <v>2301333</v>
      </c>
      <c r="B2337" s="15">
        <v>140640179</v>
      </c>
      <c r="C2337" s="15">
        <v>290220966</v>
      </c>
      <c r="D2337" s="16">
        <v>230133305</v>
      </c>
      <c r="E2337" s="16" t="s">
        <v>8365</v>
      </c>
      <c r="F2337" s="20" t="s">
        <v>7209</v>
      </c>
      <c r="G2337" s="17" t="s">
        <v>8367</v>
      </c>
    </row>
    <row r="2338" spans="1:7" x14ac:dyDescent="0.25">
      <c r="A2338">
        <f t="shared" si="38"/>
        <v>2301900</v>
      </c>
      <c r="B2338" s="15">
        <v>140640179</v>
      </c>
      <c r="C2338" s="15">
        <v>290221069</v>
      </c>
      <c r="D2338" s="16">
        <v>230190008</v>
      </c>
      <c r="E2338" s="16" t="s">
        <v>8365</v>
      </c>
      <c r="F2338" s="20" t="s">
        <v>7177</v>
      </c>
      <c r="G2338" s="17" t="s">
        <v>8366</v>
      </c>
    </row>
    <row r="2339" spans="1:7" x14ac:dyDescent="0.25">
      <c r="A2339">
        <f t="shared" si="38"/>
        <v>2301333</v>
      </c>
      <c r="B2339" s="15">
        <v>140640179</v>
      </c>
      <c r="C2339" s="15">
        <v>290221434</v>
      </c>
      <c r="D2339" s="16">
        <v>230133303</v>
      </c>
      <c r="E2339" s="16" t="s">
        <v>8365</v>
      </c>
      <c r="F2339" s="20" t="s">
        <v>7206</v>
      </c>
      <c r="G2339" s="17" t="s">
        <v>8367</v>
      </c>
    </row>
    <row r="2340" spans="1:7" x14ac:dyDescent="0.25">
      <c r="A2340">
        <f t="shared" si="38"/>
        <v>2301777</v>
      </c>
      <c r="B2340" s="15">
        <v>140640179</v>
      </c>
      <c r="C2340" s="15">
        <v>290221440</v>
      </c>
      <c r="D2340" s="16">
        <v>230177704</v>
      </c>
      <c r="E2340" s="16" t="s">
        <v>8365</v>
      </c>
      <c r="F2340" s="20" t="s">
        <v>7193</v>
      </c>
      <c r="G2340" s="17" t="s">
        <v>8368</v>
      </c>
    </row>
    <row r="2341" spans="1:7" x14ac:dyDescent="0.25">
      <c r="A2341">
        <f t="shared" si="38"/>
        <v>2301333</v>
      </c>
      <c r="B2341" s="15">
        <v>140640179</v>
      </c>
      <c r="C2341" s="15">
        <v>290221096</v>
      </c>
      <c r="D2341" s="16">
        <v>230133310</v>
      </c>
      <c r="E2341" s="16" t="s">
        <v>8365</v>
      </c>
      <c r="F2341" s="20" t="s">
        <v>8362</v>
      </c>
      <c r="G2341" s="17" t="s">
        <v>8367</v>
      </c>
    </row>
    <row r="2342" spans="1:7" x14ac:dyDescent="0.25">
      <c r="A2342">
        <f t="shared" si="38"/>
        <v>2301900</v>
      </c>
      <c r="B2342" s="15">
        <v>140640179</v>
      </c>
      <c r="C2342" s="15">
        <v>290221436</v>
      </c>
      <c r="D2342" s="16">
        <v>230190003</v>
      </c>
      <c r="E2342" s="16" t="s">
        <v>8365</v>
      </c>
      <c r="F2342" s="20" t="s">
        <v>7110</v>
      </c>
      <c r="G2342" s="17" t="s">
        <v>8366</v>
      </c>
    </row>
    <row r="2343" spans="1:7" x14ac:dyDescent="0.25">
      <c r="A2343">
        <f t="shared" si="38"/>
        <v>2301900</v>
      </c>
      <c r="B2343" s="15">
        <v>140640179</v>
      </c>
      <c r="C2343" s="15">
        <v>290221028</v>
      </c>
      <c r="D2343" s="16">
        <v>230190002</v>
      </c>
      <c r="E2343" s="16" t="s">
        <v>8365</v>
      </c>
      <c r="F2343" s="20" t="s">
        <v>7109</v>
      </c>
      <c r="G2343" s="17" t="s">
        <v>8366</v>
      </c>
    </row>
    <row r="2344" spans="1:7" x14ac:dyDescent="0.25">
      <c r="A2344">
        <f t="shared" si="38"/>
        <v>2301777</v>
      </c>
      <c r="B2344" s="15">
        <v>140640179</v>
      </c>
      <c r="C2344" s="15">
        <v>290221416</v>
      </c>
      <c r="D2344" s="16">
        <v>230177706</v>
      </c>
      <c r="E2344" s="16" t="s">
        <v>8365</v>
      </c>
      <c r="F2344" s="20" t="s">
        <v>7183</v>
      </c>
      <c r="G2344" s="17" t="s">
        <v>8368</v>
      </c>
    </row>
    <row r="2345" spans="1:7" x14ac:dyDescent="0.25">
      <c r="A2345">
        <f t="shared" si="38"/>
        <v>2301777</v>
      </c>
      <c r="B2345" s="15">
        <v>140640179</v>
      </c>
      <c r="C2345" s="15">
        <v>290221438</v>
      </c>
      <c r="D2345" s="16">
        <v>230177709</v>
      </c>
      <c r="E2345" s="16" t="s">
        <v>8365</v>
      </c>
      <c r="F2345" s="20" t="s">
        <v>7200</v>
      </c>
      <c r="G2345" s="17" t="s">
        <v>8368</v>
      </c>
    </row>
    <row r="2346" spans="1:7" x14ac:dyDescent="0.25">
      <c r="A2346">
        <f t="shared" si="38"/>
        <v>2301333</v>
      </c>
      <c r="B2346" s="15">
        <v>140640179</v>
      </c>
      <c r="C2346" s="15">
        <v>290221401</v>
      </c>
      <c r="D2346" s="16">
        <v>230133306</v>
      </c>
      <c r="E2346" s="16" t="s">
        <v>8365</v>
      </c>
      <c r="F2346" s="20" t="s">
        <v>7208</v>
      </c>
      <c r="G2346" s="17" t="s">
        <v>8367</v>
      </c>
    </row>
    <row r="2347" spans="1:7" x14ac:dyDescent="0.25">
      <c r="A2347">
        <f t="shared" si="38"/>
        <v>2301333</v>
      </c>
      <c r="B2347" s="15">
        <v>140640179</v>
      </c>
      <c r="C2347" s="15">
        <v>290221405</v>
      </c>
      <c r="D2347" s="16">
        <v>230133308</v>
      </c>
      <c r="E2347" s="16" t="s">
        <v>8365</v>
      </c>
      <c r="F2347" s="20" t="s">
        <v>8356</v>
      </c>
      <c r="G2347" s="17" t="s">
        <v>8367</v>
      </c>
    </row>
    <row r="2348" spans="1:7" x14ac:dyDescent="0.25">
      <c r="A2348">
        <f t="shared" si="38"/>
        <v>2301900</v>
      </c>
      <c r="B2348" s="15">
        <v>140640179</v>
      </c>
      <c r="C2348" s="15">
        <v>290221443</v>
      </c>
      <c r="D2348" s="16">
        <v>230190006</v>
      </c>
      <c r="E2348" s="16" t="s">
        <v>8365</v>
      </c>
      <c r="F2348" s="20" t="s">
        <v>7113</v>
      </c>
      <c r="G2348" s="17" t="s">
        <v>8366</v>
      </c>
    </row>
    <row r="2349" spans="1:7" x14ac:dyDescent="0.25">
      <c r="A2349">
        <f t="shared" si="38"/>
        <v>2301333</v>
      </c>
      <c r="B2349" s="15">
        <v>140640179</v>
      </c>
      <c r="C2349" s="15">
        <v>290221390</v>
      </c>
      <c r="D2349" s="16">
        <v>230133302</v>
      </c>
      <c r="E2349" s="16" t="s">
        <v>8365</v>
      </c>
      <c r="F2349" s="20" t="s">
        <v>7207</v>
      </c>
      <c r="G2349" s="17" t="s">
        <v>8367</v>
      </c>
    </row>
    <row r="2350" spans="1:7" x14ac:dyDescent="0.25">
      <c r="A2350">
        <f t="shared" si="38"/>
        <v>2301777</v>
      </c>
      <c r="B2350" s="15">
        <v>140640179</v>
      </c>
      <c r="C2350" s="15">
        <v>290221298</v>
      </c>
      <c r="D2350" s="16">
        <v>230177700</v>
      </c>
      <c r="E2350" s="16" t="s">
        <v>8365</v>
      </c>
      <c r="F2350" s="20" t="s">
        <v>7195</v>
      </c>
      <c r="G2350" s="17" t="s">
        <v>8368</v>
      </c>
    </row>
    <row r="2351" spans="1:7" x14ac:dyDescent="0.25">
      <c r="A2351">
        <f t="shared" si="38"/>
        <v>2301777</v>
      </c>
      <c r="B2351" s="15">
        <v>140640179</v>
      </c>
      <c r="C2351" s="15">
        <v>290221374</v>
      </c>
      <c r="D2351" s="16">
        <v>230177703</v>
      </c>
      <c r="E2351" s="16" t="s">
        <v>8365</v>
      </c>
      <c r="F2351" s="20" t="s">
        <v>7194</v>
      </c>
      <c r="G2351" s="17" t="s">
        <v>8368</v>
      </c>
    </row>
    <row r="2352" spans="1:7" x14ac:dyDescent="0.25">
      <c r="A2352">
        <f t="shared" si="38"/>
        <v>2301333</v>
      </c>
      <c r="B2352" s="15">
        <v>140640179</v>
      </c>
      <c r="C2352" s="15">
        <v>290221189</v>
      </c>
      <c r="D2352" s="16">
        <v>230133301</v>
      </c>
      <c r="E2352" s="16" t="s">
        <v>8365</v>
      </c>
      <c r="F2352" s="20" t="s">
        <v>8364</v>
      </c>
      <c r="G2352" s="17" t="s">
        <v>8367</v>
      </c>
    </row>
    <row r="2353" spans="1:7" x14ac:dyDescent="0.25">
      <c r="A2353">
        <f t="shared" si="38"/>
        <v>2301777</v>
      </c>
      <c r="B2353" s="15">
        <v>140640179</v>
      </c>
      <c r="C2353" s="15">
        <v>290221445</v>
      </c>
      <c r="D2353" s="16">
        <v>230177705</v>
      </c>
      <c r="E2353" s="16" t="s">
        <v>8365</v>
      </c>
      <c r="F2353" s="20" t="s">
        <v>7196</v>
      </c>
      <c r="G2353" s="17" t="s">
        <v>8368</v>
      </c>
    </row>
    <row r="2354" spans="1:7" x14ac:dyDescent="0.25">
      <c r="A2354">
        <f t="shared" si="38"/>
        <v>2301777</v>
      </c>
      <c r="B2354" s="15">
        <v>140640179</v>
      </c>
      <c r="C2354" s="15">
        <v>290221141</v>
      </c>
      <c r="D2354" s="16">
        <v>230177702</v>
      </c>
      <c r="E2354" s="16" t="s">
        <v>8365</v>
      </c>
      <c r="F2354" s="20" t="s">
        <v>7198</v>
      </c>
      <c r="G2354" s="17" t="s">
        <v>8368</v>
      </c>
    </row>
    <row r="2355" spans="1:7" x14ac:dyDescent="0.25">
      <c r="A2355">
        <f t="shared" si="38"/>
        <v>2301777</v>
      </c>
      <c r="B2355" s="15">
        <v>140640179</v>
      </c>
      <c r="C2355" s="15">
        <v>290221344</v>
      </c>
      <c r="D2355" s="16">
        <v>230177701</v>
      </c>
      <c r="E2355" s="16" t="s">
        <v>8365</v>
      </c>
      <c r="F2355" s="20" t="s">
        <v>7197</v>
      </c>
      <c r="G2355" s="17" t="s">
        <v>8368</v>
      </c>
    </row>
    <row r="2356" spans="1:7" x14ac:dyDescent="0.25">
      <c r="A2356">
        <f t="shared" si="38"/>
        <v>2301900</v>
      </c>
      <c r="B2356" s="15">
        <v>140640179</v>
      </c>
      <c r="C2356" s="15">
        <v>290221447</v>
      </c>
      <c r="D2356" s="16">
        <v>230190005</v>
      </c>
      <c r="E2356" s="16" t="s">
        <v>8365</v>
      </c>
      <c r="F2356" s="20" t="s">
        <v>7112</v>
      </c>
      <c r="G2356" s="17" t="s">
        <v>8366</v>
      </c>
    </row>
    <row r="2357" spans="1:7" x14ac:dyDescent="0.25">
      <c r="A2357">
        <f t="shared" si="38"/>
        <v>2301900</v>
      </c>
      <c r="B2357" s="15">
        <v>140640179</v>
      </c>
      <c r="C2357" s="15">
        <v>290221429</v>
      </c>
      <c r="D2357" s="16">
        <v>230190004</v>
      </c>
      <c r="E2357" s="16" t="s">
        <v>8365</v>
      </c>
      <c r="F2357" s="20" t="s">
        <v>7111</v>
      </c>
      <c r="G2357" s="17" t="s">
        <v>8366</v>
      </c>
    </row>
    <row r="2358" spans="1:7" x14ac:dyDescent="0.25">
      <c r="A2358">
        <f t="shared" si="38"/>
        <v>2601004</v>
      </c>
      <c r="B2358" s="15">
        <v>140640180</v>
      </c>
      <c r="C2358" s="15">
        <v>290220327</v>
      </c>
      <c r="D2358" s="16">
        <v>260100402</v>
      </c>
      <c r="E2358" s="16" t="s">
        <v>8369</v>
      </c>
      <c r="F2358" s="20" t="s">
        <v>7198</v>
      </c>
      <c r="G2358" s="17" t="s">
        <v>8370</v>
      </c>
    </row>
    <row r="2359" spans="1:7" x14ac:dyDescent="0.25">
      <c r="A2359">
        <f t="shared" si="38"/>
        <v>2601004</v>
      </c>
      <c r="B2359" s="15">
        <v>140640180</v>
      </c>
      <c r="C2359" s="15">
        <v>290220322</v>
      </c>
      <c r="D2359" s="16">
        <v>260100410</v>
      </c>
      <c r="E2359" s="16" t="s">
        <v>8369</v>
      </c>
      <c r="F2359" s="20" t="s">
        <v>7191</v>
      </c>
      <c r="G2359" s="17" t="s">
        <v>8370</v>
      </c>
    </row>
    <row r="2360" spans="1:7" x14ac:dyDescent="0.25">
      <c r="A2360">
        <f t="shared" si="38"/>
        <v>2601004</v>
      </c>
      <c r="B2360" s="15">
        <v>140640180</v>
      </c>
      <c r="C2360" s="15">
        <v>290220325</v>
      </c>
      <c r="D2360" s="16">
        <v>260100401</v>
      </c>
      <c r="E2360" s="16" t="s">
        <v>8369</v>
      </c>
      <c r="F2360" s="20" t="s">
        <v>7197</v>
      </c>
      <c r="G2360" s="17" t="s">
        <v>8370</v>
      </c>
    </row>
    <row r="2361" spans="1:7" x14ac:dyDescent="0.25">
      <c r="A2361">
        <f t="shared" si="38"/>
        <v>2601003</v>
      </c>
      <c r="B2361" s="15">
        <v>140640180</v>
      </c>
      <c r="C2361" s="15">
        <v>290220319</v>
      </c>
      <c r="D2361" s="16">
        <v>260100308</v>
      </c>
      <c r="E2361" s="16" t="s">
        <v>8369</v>
      </c>
      <c r="F2361" s="20" t="s">
        <v>7177</v>
      </c>
      <c r="G2361" s="17" t="s">
        <v>8371</v>
      </c>
    </row>
    <row r="2362" spans="1:7" x14ac:dyDescent="0.25">
      <c r="A2362">
        <f t="shared" si="38"/>
        <v>2601003</v>
      </c>
      <c r="B2362" s="15">
        <v>140640180</v>
      </c>
      <c r="C2362" s="15">
        <v>290220309</v>
      </c>
      <c r="D2362" s="16">
        <v>260100300</v>
      </c>
      <c r="E2362" s="16" t="s">
        <v>8369</v>
      </c>
      <c r="F2362" s="20" t="s">
        <v>7188</v>
      </c>
      <c r="G2362" s="17" t="s">
        <v>8371</v>
      </c>
    </row>
    <row r="2363" spans="1:7" x14ac:dyDescent="0.25">
      <c r="A2363">
        <f t="shared" si="38"/>
        <v>2601004</v>
      </c>
      <c r="B2363" s="15">
        <v>140640180</v>
      </c>
      <c r="C2363" s="15">
        <v>290220324</v>
      </c>
      <c r="D2363" s="16">
        <v>260100400</v>
      </c>
      <c r="E2363" s="16" t="s">
        <v>8369</v>
      </c>
      <c r="F2363" s="20" t="s">
        <v>7195</v>
      </c>
      <c r="G2363" s="17" t="s">
        <v>8370</v>
      </c>
    </row>
    <row r="2364" spans="1:7" x14ac:dyDescent="0.25">
      <c r="A2364">
        <f t="shared" si="38"/>
        <v>2601004</v>
      </c>
      <c r="B2364" s="15">
        <v>140640180</v>
      </c>
      <c r="C2364" s="15">
        <v>290220329</v>
      </c>
      <c r="D2364" s="16">
        <v>260100404</v>
      </c>
      <c r="E2364" s="16" t="s">
        <v>8369</v>
      </c>
      <c r="F2364" s="20" t="s">
        <v>7193</v>
      </c>
      <c r="G2364" s="17" t="s">
        <v>8370</v>
      </c>
    </row>
    <row r="2365" spans="1:7" x14ac:dyDescent="0.25">
      <c r="A2365">
        <f t="shared" si="38"/>
        <v>2601750</v>
      </c>
      <c r="B2365" s="15">
        <v>140640180</v>
      </c>
      <c r="C2365" s="15">
        <v>290220342</v>
      </c>
      <c r="D2365" s="16">
        <v>260175003</v>
      </c>
      <c r="E2365" s="16" t="s">
        <v>8369</v>
      </c>
      <c r="F2365" s="20" t="s">
        <v>7187</v>
      </c>
      <c r="G2365" s="17" t="s">
        <v>8372</v>
      </c>
    </row>
    <row r="2366" spans="1:7" x14ac:dyDescent="0.25">
      <c r="A2366">
        <f t="shared" si="38"/>
        <v>2601750</v>
      </c>
      <c r="B2366" s="15">
        <v>140640180</v>
      </c>
      <c r="C2366" s="15">
        <v>290220338</v>
      </c>
      <c r="D2366" s="16">
        <v>260175010</v>
      </c>
      <c r="E2366" s="16" t="s">
        <v>8369</v>
      </c>
      <c r="F2366" s="20" t="s">
        <v>7192</v>
      </c>
      <c r="G2366" s="17" t="s">
        <v>8372</v>
      </c>
    </row>
    <row r="2367" spans="1:7" x14ac:dyDescent="0.25">
      <c r="A2367">
        <f t="shared" si="38"/>
        <v>2601750</v>
      </c>
      <c r="B2367" s="15">
        <v>140640180</v>
      </c>
      <c r="C2367" s="15">
        <v>290220339</v>
      </c>
      <c r="D2367" s="16">
        <v>260175000</v>
      </c>
      <c r="E2367" s="16" t="s">
        <v>8369</v>
      </c>
      <c r="F2367" s="20" t="s">
        <v>7202</v>
      </c>
      <c r="G2367" s="17" t="s">
        <v>8372</v>
      </c>
    </row>
    <row r="2368" spans="1:7" x14ac:dyDescent="0.25">
      <c r="A2368">
        <f t="shared" si="38"/>
        <v>2601004</v>
      </c>
      <c r="B2368" s="15">
        <v>140640180</v>
      </c>
      <c r="C2368" s="15">
        <v>290220337</v>
      </c>
      <c r="D2368" s="16">
        <v>260100409</v>
      </c>
      <c r="E2368" s="16" t="s">
        <v>8369</v>
      </c>
      <c r="F2368" s="20" t="s">
        <v>7200</v>
      </c>
      <c r="G2368" s="17" t="s">
        <v>8370</v>
      </c>
    </row>
    <row r="2369" spans="1:7" x14ac:dyDescent="0.25">
      <c r="A2369">
        <f t="shared" si="38"/>
        <v>2601750</v>
      </c>
      <c r="B2369" s="15">
        <v>140640180</v>
      </c>
      <c r="C2369" s="15">
        <v>290220341</v>
      </c>
      <c r="D2369" s="16">
        <v>260175002</v>
      </c>
      <c r="E2369" s="16" t="s">
        <v>8369</v>
      </c>
      <c r="F2369" s="20" t="s">
        <v>7185</v>
      </c>
      <c r="G2369" s="17" t="s">
        <v>8372</v>
      </c>
    </row>
    <row r="2370" spans="1:7" x14ac:dyDescent="0.25">
      <c r="A2370">
        <f t="shared" si="38"/>
        <v>2601750</v>
      </c>
      <c r="B2370" s="15">
        <v>140640180</v>
      </c>
      <c r="C2370" s="15">
        <v>290220340</v>
      </c>
      <c r="D2370" s="16">
        <v>260175001</v>
      </c>
      <c r="E2370" s="16" t="s">
        <v>8369</v>
      </c>
      <c r="F2370" s="20" t="s">
        <v>7186</v>
      </c>
      <c r="G2370" s="17" t="s">
        <v>8372</v>
      </c>
    </row>
    <row r="2371" spans="1:7" x14ac:dyDescent="0.25">
      <c r="A2371">
        <f t="shared" si="38"/>
        <v>2601750</v>
      </c>
      <c r="B2371" s="15">
        <v>140640180</v>
      </c>
      <c r="C2371" s="15">
        <v>290220345</v>
      </c>
      <c r="D2371" s="16">
        <v>260175006</v>
      </c>
      <c r="E2371" s="16" t="s">
        <v>8369</v>
      </c>
      <c r="F2371" s="20" t="s">
        <v>7178</v>
      </c>
      <c r="G2371" s="17" t="s">
        <v>8372</v>
      </c>
    </row>
    <row r="2372" spans="1:7" x14ac:dyDescent="0.25">
      <c r="A2372">
        <f t="shared" si="38"/>
        <v>2601004</v>
      </c>
      <c r="B2372" s="15">
        <v>140640180</v>
      </c>
      <c r="C2372" s="15">
        <v>290220335</v>
      </c>
      <c r="D2372" s="16">
        <v>260100407</v>
      </c>
      <c r="E2372" s="16" t="s">
        <v>8369</v>
      </c>
      <c r="F2372" s="20" t="s">
        <v>7199</v>
      </c>
      <c r="G2372" s="17" t="s">
        <v>8370</v>
      </c>
    </row>
    <row r="2373" spans="1:7" x14ac:dyDescent="0.25">
      <c r="A2373">
        <f t="shared" si="38"/>
        <v>2601004</v>
      </c>
      <c r="B2373" s="15">
        <v>140640180</v>
      </c>
      <c r="C2373" s="15">
        <v>290220330</v>
      </c>
      <c r="D2373" s="16">
        <v>260100405</v>
      </c>
      <c r="E2373" s="16" t="s">
        <v>8369</v>
      </c>
      <c r="F2373" s="20" t="s">
        <v>7196</v>
      </c>
      <c r="G2373" s="17" t="s">
        <v>8370</v>
      </c>
    </row>
    <row r="2374" spans="1:7" x14ac:dyDescent="0.25">
      <c r="A2374">
        <f t="shared" si="38"/>
        <v>2601004</v>
      </c>
      <c r="B2374" s="15">
        <v>140640180</v>
      </c>
      <c r="C2374" s="15">
        <v>290220333</v>
      </c>
      <c r="D2374" s="16">
        <v>260100406</v>
      </c>
      <c r="E2374" s="16" t="s">
        <v>8369</v>
      </c>
      <c r="F2374" s="20" t="s">
        <v>7183</v>
      </c>
      <c r="G2374" s="17" t="s">
        <v>8370</v>
      </c>
    </row>
    <row r="2375" spans="1:7" x14ac:dyDescent="0.25">
      <c r="A2375">
        <f t="shared" ref="A2375:A2438" si="39">LEFT(D2375,7)*1</f>
        <v>2601750</v>
      </c>
      <c r="B2375" s="15">
        <v>140640180</v>
      </c>
      <c r="C2375" s="15">
        <v>290220343</v>
      </c>
      <c r="D2375" s="16">
        <v>260175004</v>
      </c>
      <c r="E2375" s="16" t="s">
        <v>8369</v>
      </c>
      <c r="F2375" s="20" t="s">
        <v>7189</v>
      </c>
      <c r="G2375" s="17" t="s">
        <v>8372</v>
      </c>
    </row>
    <row r="2376" spans="1:7" x14ac:dyDescent="0.25">
      <c r="A2376">
        <f t="shared" si="39"/>
        <v>2601004</v>
      </c>
      <c r="B2376" s="15">
        <v>140640180</v>
      </c>
      <c r="C2376" s="15">
        <v>290220336</v>
      </c>
      <c r="D2376" s="16">
        <v>260100408</v>
      </c>
      <c r="E2376" s="16" t="s">
        <v>8369</v>
      </c>
      <c r="F2376" s="20" t="s">
        <v>7201</v>
      </c>
      <c r="G2376" s="17" t="s">
        <v>8370</v>
      </c>
    </row>
    <row r="2377" spans="1:7" x14ac:dyDescent="0.25">
      <c r="A2377">
        <f t="shared" si="39"/>
        <v>2601750</v>
      </c>
      <c r="B2377" s="15">
        <v>140640180</v>
      </c>
      <c r="C2377" s="15">
        <v>290220351</v>
      </c>
      <c r="D2377" s="16">
        <v>260175009</v>
      </c>
      <c r="E2377" s="16" t="s">
        <v>8369</v>
      </c>
      <c r="F2377" s="20" t="s">
        <v>7181</v>
      </c>
      <c r="G2377" s="17" t="s">
        <v>8372</v>
      </c>
    </row>
    <row r="2378" spans="1:7" x14ac:dyDescent="0.25">
      <c r="A2378">
        <f t="shared" si="39"/>
        <v>2601750</v>
      </c>
      <c r="B2378" s="15">
        <v>140640180</v>
      </c>
      <c r="C2378" s="15">
        <v>290220348</v>
      </c>
      <c r="D2378" s="16">
        <v>260175008</v>
      </c>
      <c r="E2378" s="16" t="s">
        <v>8369</v>
      </c>
      <c r="F2378" s="20" t="s">
        <v>7180</v>
      </c>
      <c r="G2378" s="17" t="s">
        <v>8372</v>
      </c>
    </row>
    <row r="2379" spans="1:7" x14ac:dyDescent="0.25">
      <c r="A2379">
        <f t="shared" si="39"/>
        <v>2601750</v>
      </c>
      <c r="B2379" s="15">
        <v>140640180</v>
      </c>
      <c r="C2379" s="15">
        <v>290220346</v>
      </c>
      <c r="D2379" s="16">
        <v>260175007</v>
      </c>
      <c r="E2379" s="16" t="s">
        <v>8369</v>
      </c>
      <c r="F2379" s="20" t="s">
        <v>7179</v>
      </c>
      <c r="G2379" s="17" t="s">
        <v>8372</v>
      </c>
    </row>
    <row r="2380" spans="1:7" x14ac:dyDescent="0.25">
      <c r="A2380">
        <f t="shared" si="39"/>
        <v>2601003</v>
      </c>
      <c r="B2380" s="15">
        <v>140640180</v>
      </c>
      <c r="C2380" s="15">
        <v>290220314</v>
      </c>
      <c r="D2380" s="16">
        <v>260100305</v>
      </c>
      <c r="E2380" s="16" t="s">
        <v>8369</v>
      </c>
      <c r="F2380" s="20" t="s">
        <v>7112</v>
      </c>
      <c r="G2380" s="17" t="s">
        <v>8371</v>
      </c>
    </row>
    <row r="2381" spans="1:7" x14ac:dyDescent="0.25">
      <c r="A2381">
        <f t="shared" si="39"/>
        <v>2601003</v>
      </c>
      <c r="B2381" s="15">
        <v>140640180</v>
      </c>
      <c r="C2381" s="15">
        <v>290220318</v>
      </c>
      <c r="D2381" s="16">
        <v>260100307</v>
      </c>
      <c r="E2381" s="16" t="s">
        <v>8369</v>
      </c>
      <c r="F2381" s="20" t="s">
        <v>7176</v>
      </c>
      <c r="G2381" s="17" t="s">
        <v>8371</v>
      </c>
    </row>
    <row r="2382" spans="1:7" x14ac:dyDescent="0.25">
      <c r="A2382">
        <f t="shared" si="39"/>
        <v>2601750</v>
      </c>
      <c r="B2382" s="15">
        <v>140640180</v>
      </c>
      <c r="C2382" s="15">
        <v>290220344</v>
      </c>
      <c r="D2382" s="16">
        <v>260175005</v>
      </c>
      <c r="E2382" s="16" t="s">
        <v>8369</v>
      </c>
      <c r="F2382" s="20" t="s">
        <v>7184</v>
      </c>
      <c r="G2382" s="17" t="s">
        <v>8372</v>
      </c>
    </row>
    <row r="2383" spans="1:7" x14ac:dyDescent="0.25">
      <c r="A2383">
        <f t="shared" si="39"/>
        <v>2601004</v>
      </c>
      <c r="B2383" s="15">
        <v>140640180</v>
      </c>
      <c r="C2383" s="15">
        <v>290220328</v>
      </c>
      <c r="D2383" s="16">
        <v>260100403</v>
      </c>
      <c r="E2383" s="16" t="s">
        <v>8369</v>
      </c>
      <c r="F2383" s="20" t="s">
        <v>7194</v>
      </c>
      <c r="G2383" s="17" t="s">
        <v>8370</v>
      </c>
    </row>
    <row r="2384" spans="1:7" x14ac:dyDescent="0.25">
      <c r="A2384">
        <f t="shared" si="39"/>
        <v>2601003</v>
      </c>
      <c r="B2384" s="15">
        <v>140640180</v>
      </c>
      <c r="C2384" s="15">
        <v>290220311</v>
      </c>
      <c r="D2384" s="16">
        <v>260100302</v>
      </c>
      <c r="E2384" s="16" t="s">
        <v>8369</v>
      </c>
      <c r="F2384" s="20" t="s">
        <v>7109</v>
      </c>
      <c r="G2384" s="17" t="s">
        <v>8371</v>
      </c>
    </row>
    <row r="2385" spans="1:7" x14ac:dyDescent="0.25">
      <c r="A2385">
        <f t="shared" si="39"/>
        <v>2601003</v>
      </c>
      <c r="B2385" s="15">
        <v>140640180</v>
      </c>
      <c r="C2385" s="15">
        <v>290220303</v>
      </c>
      <c r="D2385" s="16">
        <v>260100301</v>
      </c>
      <c r="E2385" s="16" t="s">
        <v>8369</v>
      </c>
      <c r="F2385" s="20" t="s">
        <v>7108</v>
      </c>
      <c r="G2385" s="17" t="s">
        <v>8371</v>
      </c>
    </row>
    <row r="2386" spans="1:7" x14ac:dyDescent="0.25">
      <c r="A2386">
        <f t="shared" si="39"/>
        <v>2601003</v>
      </c>
      <c r="B2386" s="15">
        <v>140640180</v>
      </c>
      <c r="C2386" s="15">
        <v>290220313</v>
      </c>
      <c r="D2386" s="16">
        <v>260100304</v>
      </c>
      <c r="E2386" s="16" t="s">
        <v>8369</v>
      </c>
      <c r="F2386" s="20" t="s">
        <v>7111</v>
      </c>
      <c r="G2386" s="17" t="s">
        <v>8371</v>
      </c>
    </row>
    <row r="2387" spans="1:7" x14ac:dyDescent="0.25">
      <c r="A2387">
        <f t="shared" si="39"/>
        <v>2601003</v>
      </c>
      <c r="B2387" s="15">
        <v>140640180</v>
      </c>
      <c r="C2387" s="15">
        <v>290220307</v>
      </c>
      <c r="D2387" s="16">
        <v>260100310</v>
      </c>
      <c r="E2387" s="16" t="s">
        <v>8369</v>
      </c>
      <c r="F2387" s="20" t="s">
        <v>7190</v>
      </c>
      <c r="G2387" s="17" t="s">
        <v>8371</v>
      </c>
    </row>
    <row r="2388" spans="1:7" x14ac:dyDescent="0.25">
      <c r="A2388">
        <f t="shared" si="39"/>
        <v>2601003</v>
      </c>
      <c r="B2388" s="15">
        <v>140640180</v>
      </c>
      <c r="C2388" s="15">
        <v>290220312</v>
      </c>
      <c r="D2388" s="16">
        <v>260100303</v>
      </c>
      <c r="E2388" s="16" t="s">
        <v>8369</v>
      </c>
      <c r="F2388" s="20" t="s">
        <v>7110</v>
      </c>
      <c r="G2388" s="17" t="s">
        <v>8371</v>
      </c>
    </row>
    <row r="2389" spans="1:7" x14ac:dyDescent="0.25">
      <c r="A2389">
        <f t="shared" si="39"/>
        <v>2601003</v>
      </c>
      <c r="B2389" s="15">
        <v>140640180</v>
      </c>
      <c r="C2389" s="15">
        <v>290220316</v>
      </c>
      <c r="D2389" s="16">
        <v>260100306</v>
      </c>
      <c r="E2389" s="16" t="s">
        <v>8369</v>
      </c>
      <c r="F2389" s="20" t="s">
        <v>7113</v>
      </c>
      <c r="G2389" s="17" t="s">
        <v>8371</v>
      </c>
    </row>
    <row r="2390" spans="1:7" x14ac:dyDescent="0.25">
      <c r="A2390">
        <f t="shared" si="39"/>
        <v>2601003</v>
      </c>
      <c r="B2390" s="15">
        <v>140640180</v>
      </c>
      <c r="C2390" s="15">
        <v>290220320</v>
      </c>
      <c r="D2390" s="16">
        <v>260100309</v>
      </c>
      <c r="E2390" s="16" t="s">
        <v>8369</v>
      </c>
      <c r="F2390" s="20" t="s">
        <v>7182</v>
      </c>
      <c r="G2390" s="17" t="s">
        <v>8371</v>
      </c>
    </row>
    <row r="2391" spans="1:7" x14ac:dyDescent="0.25">
      <c r="A2391">
        <f t="shared" si="39"/>
        <v>2601003</v>
      </c>
      <c r="B2391" s="15">
        <v>140610851</v>
      </c>
      <c r="C2391" s="15">
        <v>290188371</v>
      </c>
      <c r="D2391" s="16">
        <v>260100300</v>
      </c>
      <c r="E2391" s="16" t="s">
        <v>8373</v>
      </c>
      <c r="F2391" s="20" t="s">
        <v>7188</v>
      </c>
      <c r="G2391" s="17" t="s">
        <v>8371</v>
      </c>
    </row>
    <row r="2392" spans="1:7" x14ac:dyDescent="0.25">
      <c r="A2392">
        <f t="shared" si="39"/>
        <v>2601004</v>
      </c>
      <c r="B2392" s="15">
        <v>140610851</v>
      </c>
      <c r="C2392" s="15">
        <v>290188399</v>
      </c>
      <c r="D2392" s="16">
        <v>260100405</v>
      </c>
      <c r="E2392" s="16" t="s">
        <v>8373</v>
      </c>
      <c r="F2392" s="20" t="s">
        <v>7196</v>
      </c>
      <c r="G2392" s="17" t="s">
        <v>8370</v>
      </c>
    </row>
    <row r="2393" spans="1:7" x14ac:dyDescent="0.25">
      <c r="A2393">
        <f t="shared" si="39"/>
        <v>2601003</v>
      </c>
      <c r="B2393" s="15">
        <v>140610851</v>
      </c>
      <c r="C2393" s="15">
        <v>290188379</v>
      </c>
      <c r="D2393" s="16">
        <v>260100305</v>
      </c>
      <c r="E2393" s="16" t="s">
        <v>8373</v>
      </c>
      <c r="F2393" s="20" t="s">
        <v>7112</v>
      </c>
      <c r="G2393" s="17" t="s">
        <v>8371</v>
      </c>
    </row>
    <row r="2394" spans="1:7" x14ac:dyDescent="0.25">
      <c r="A2394">
        <f t="shared" si="39"/>
        <v>2601003</v>
      </c>
      <c r="B2394" s="15">
        <v>140610851</v>
      </c>
      <c r="C2394" s="15">
        <v>290188381</v>
      </c>
      <c r="D2394" s="16">
        <v>260100306</v>
      </c>
      <c r="E2394" s="16" t="s">
        <v>8373</v>
      </c>
      <c r="F2394" s="20" t="s">
        <v>7113</v>
      </c>
      <c r="G2394" s="17" t="s">
        <v>8371</v>
      </c>
    </row>
    <row r="2395" spans="1:7" x14ac:dyDescent="0.25">
      <c r="A2395">
        <f t="shared" si="39"/>
        <v>2601003</v>
      </c>
      <c r="B2395" s="15">
        <v>140610851</v>
      </c>
      <c r="C2395" s="15">
        <v>290188369</v>
      </c>
      <c r="D2395" s="16">
        <v>260100310</v>
      </c>
      <c r="E2395" s="16" t="s">
        <v>8373</v>
      </c>
      <c r="F2395" s="20" t="s">
        <v>7190</v>
      </c>
      <c r="G2395" s="17" t="s">
        <v>8371</v>
      </c>
    </row>
    <row r="2396" spans="1:7" x14ac:dyDescent="0.25">
      <c r="A2396">
        <f t="shared" si="39"/>
        <v>2601004</v>
      </c>
      <c r="B2396" s="15">
        <v>140610851</v>
      </c>
      <c r="C2396" s="15">
        <v>290188406</v>
      </c>
      <c r="D2396" s="16">
        <v>260100409</v>
      </c>
      <c r="E2396" s="16" t="s">
        <v>8373</v>
      </c>
      <c r="F2396" s="20" t="s">
        <v>7200</v>
      </c>
      <c r="G2396" s="17" t="s">
        <v>8370</v>
      </c>
    </row>
    <row r="2397" spans="1:7" x14ac:dyDescent="0.25">
      <c r="A2397">
        <f t="shared" si="39"/>
        <v>2601750</v>
      </c>
      <c r="B2397" s="15">
        <v>140610851</v>
      </c>
      <c r="C2397" s="15">
        <v>290188413</v>
      </c>
      <c r="D2397" s="16">
        <v>260175001</v>
      </c>
      <c r="E2397" s="16" t="s">
        <v>8373</v>
      </c>
      <c r="F2397" s="20" t="s">
        <v>7186</v>
      </c>
      <c r="G2397" s="17" t="s">
        <v>8372</v>
      </c>
    </row>
    <row r="2398" spans="1:7" x14ac:dyDescent="0.25">
      <c r="A2398">
        <f t="shared" si="39"/>
        <v>2601004</v>
      </c>
      <c r="B2398" s="15">
        <v>140610851</v>
      </c>
      <c r="C2398" s="15">
        <v>290188394</v>
      </c>
      <c r="D2398" s="16">
        <v>260100403</v>
      </c>
      <c r="E2398" s="16" t="s">
        <v>8373</v>
      </c>
      <c r="F2398" s="20" t="s">
        <v>7194</v>
      </c>
      <c r="G2398" s="17" t="s">
        <v>8370</v>
      </c>
    </row>
    <row r="2399" spans="1:7" x14ac:dyDescent="0.25">
      <c r="A2399">
        <f t="shared" si="39"/>
        <v>2601750</v>
      </c>
      <c r="B2399" s="15">
        <v>140610851</v>
      </c>
      <c r="C2399" s="15">
        <v>290188414</v>
      </c>
      <c r="D2399" s="16">
        <v>260175002</v>
      </c>
      <c r="E2399" s="16" t="s">
        <v>8373</v>
      </c>
      <c r="F2399" s="20" t="s">
        <v>7185</v>
      </c>
      <c r="G2399" s="17" t="s">
        <v>8372</v>
      </c>
    </row>
    <row r="2400" spans="1:7" x14ac:dyDescent="0.25">
      <c r="A2400">
        <f t="shared" si="39"/>
        <v>2601003</v>
      </c>
      <c r="B2400" s="15">
        <v>140610851</v>
      </c>
      <c r="C2400" s="15">
        <v>290188386</v>
      </c>
      <c r="D2400" s="16">
        <v>260100309</v>
      </c>
      <c r="E2400" s="16" t="s">
        <v>8373</v>
      </c>
      <c r="F2400" s="20" t="s">
        <v>7182</v>
      </c>
      <c r="G2400" s="17" t="s">
        <v>8371</v>
      </c>
    </row>
    <row r="2401" spans="1:7" x14ac:dyDescent="0.25">
      <c r="A2401">
        <f t="shared" si="39"/>
        <v>2601003</v>
      </c>
      <c r="B2401" s="15">
        <v>140610851</v>
      </c>
      <c r="C2401" s="15">
        <v>290188368</v>
      </c>
      <c r="D2401" s="16">
        <v>260100301</v>
      </c>
      <c r="E2401" s="16" t="s">
        <v>8373</v>
      </c>
      <c r="F2401" s="20" t="s">
        <v>7108</v>
      </c>
      <c r="G2401" s="17" t="s">
        <v>8371</v>
      </c>
    </row>
    <row r="2402" spans="1:7" x14ac:dyDescent="0.25">
      <c r="A2402">
        <f t="shared" si="39"/>
        <v>2601004</v>
      </c>
      <c r="B2402" s="15">
        <v>140610851</v>
      </c>
      <c r="C2402" s="15">
        <v>290188397</v>
      </c>
      <c r="D2402" s="16">
        <v>260100404</v>
      </c>
      <c r="E2402" s="16" t="s">
        <v>8373</v>
      </c>
      <c r="F2402" s="20" t="s">
        <v>7193</v>
      </c>
      <c r="G2402" s="17" t="s">
        <v>8370</v>
      </c>
    </row>
    <row r="2403" spans="1:7" x14ac:dyDescent="0.25">
      <c r="A2403">
        <f t="shared" si="39"/>
        <v>2601750</v>
      </c>
      <c r="B2403" s="15">
        <v>140610851</v>
      </c>
      <c r="C2403" s="15">
        <v>290188427</v>
      </c>
      <c r="D2403" s="16">
        <v>260175009</v>
      </c>
      <c r="E2403" s="16" t="s">
        <v>8373</v>
      </c>
      <c r="F2403" s="20" t="s">
        <v>7181</v>
      </c>
      <c r="G2403" s="17" t="s">
        <v>8372</v>
      </c>
    </row>
    <row r="2404" spans="1:7" x14ac:dyDescent="0.25">
      <c r="A2404">
        <f t="shared" si="39"/>
        <v>2601004</v>
      </c>
      <c r="B2404" s="15">
        <v>140610851</v>
      </c>
      <c r="C2404" s="15">
        <v>290188401</v>
      </c>
      <c r="D2404" s="16">
        <v>260100406</v>
      </c>
      <c r="E2404" s="16" t="s">
        <v>8373</v>
      </c>
      <c r="F2404" s="20" t="s">
        <v>7183</v>
      </c>
      <c r="G2404" s="17" t="s">
        <v>8370</v>
      </c>
    </row>
    <row r="2405" spans="1:7" x14ac:dyDescent="0.25">
      <c r="A2405">
        <f t="shared" si="39"/>
        <v>2601003</v>
      </c>
      <c r="B2405" s="15">
        <v>140610851</v>
      </c>
      <c r="C2405" s="15">
        <v>290188384</v>
      </c>
      <c r="D2405" s="16">
        <v>260100308</v>
      </c>
      <c r="E2405" s="16" t="s">
        <v>8373</v>
      </c>
      <c r="F2405" s="20" t="s">
        <v>7177</v>
      </c>
      <c r="G2405" s="17" t="s">
        <v>8371</v>
      </c>
    </row>
    <row r="2406" spans="1:7" x14ac:dyDescent="0.25">
      <c r="A2406">
        <f t="shared" si="39"/>
        <v>2601750</v>
      </c>
      <c r="B2406" s="15">
        <v>140610851</v>
      </c>
      <c r="C2406" s="15">
        <v>290188425</v>
      </c>
      <c r="D2406" s="16">
        <v>260175008</v>
      </c>
      <c r="E2406" s="16" t="s">
        <v>8373</v>
      </c>
      <c r="F2406" s="20" t="s">
        <v>7180</v>
      </c>
      <c r="G2406" s="17" t="s">
        <v>8372</v>
      </c>
    </row>
    <row r="2407" spans="1:7" x14ac:dyDescent="0.25">
      <c r="A2407">
        <f t="shared" si="39"/>
        <v>2601750</v>
      </c>
      <c r="B2407" s="15">
        <v>140610851</v>
      </c>
      <c r="C2407" s="15">
        <v>290188423</v>
      </c>
      <c r="D2407" s="16">
        <v>260175007</v>
      </c>
      <c r="E2407" s="16" t="s">
        <v>8373</v>
      </c>
      <c r="F2407" s="20" t="s">
        <v>7179</v>
      </c>
      <c r="G2407" s="17" t="s">
        <v>8372</v>
      </c>
    </row>
    <row r="2408" spans="1:7" x14ac:dyDescent="0.25">
      <c r="A2408">
        <f t="shared" si="39"/>
        <v>2601750</v>
      </c>
      <c r="B2408" s="15">
        <v>140610851</v>
      </c>
      <c r="C2408" s="15">
        <v>290188421</v>
      </c>
      <c r="D2408" s="16">
        <v>260175006</v>
      </c>
      <c r="E2408" s="16" t="s">
        <v>8373</v>
      </c>
      <c r="F2408" s="20" t="s">
        <v>7178</v>
      </c>
      <c r="G2408" s="17" t="s">
        <v>8372</v>
      </c>
    </row>
    <row r="2409" spans="1:7" x14ac:dyDescent="0.25">
      <c r="A2409">
        <f t="shared" si="39"/>
        <v>2601750</v>
      </c>
      <c r="B2409" s="15">
        <v>140610851</v>
      </c>
      <c r="C2409" s="15">
        <v>290188416</v>
      </c>
      <c r="D2409" s="16">
        <v>260175003</v>
      </c>
      <c r="E2409" s="16" t="s">
        <v>8373</v>
      </c>
      <c r="F2409" s="20" t="s">
        <v>7187</v>
      </c>
      <c r="G2409" s="17" t="s">
        <v>8372</v>
      </c>
    </row>
    <row r="2410" spans="1:7" x14ac:dyDescent="0.25">
      <c r="A2410">
        <f t="shared" si="39"/>
        <v>2601750</v>
      </c>
      <c r="B2410" s="15">
        <v>140610851</v>
      </c>
      <c r="C2410" s="15">
        <v>290188408</v>
      </c>
      <c r="D2410" s="16">
        <v>260175010</v>
      </c>
      <c r="E2410" s="16" t="s">
        <v>8373</v>
      </c>
      <c r="F2410" s="20" t="s">
        <v>7192</v>
      </c>
      <c r="G2410" s="17" t="s">
        <v>8372</v>
      </c>
    </row>
    <row r="2411" spans="1:7" x14ac:dyDescent="0.25">
      <c r="A2411">
        <f t="shared" si="39"/>
        <v>2601004</v>
      </c>
      <c r="B2411" s="15">
        <v>140610851</v>
      </c>
      <c r="C2411" s="15">
        <v>290188390</v>
      </c>
      <c r="D2411" s="16">
        <v>260100401</v>
      </c>
      <c r="E2411" s="16" t="s">
        <v>8373</v>
      </c>
      <c r="F2411" s="20" t="s">
        <v>7197</v>
      </c>
      <c r="G2411" s="17" t="s">
        <v>8370</v>
      </c>
    </row>
    <row r="2412" spans="1:7" x14ac:dyDescent="0.25">
      <c r="A2412">
        <f t="shared" si="39"/>
        <v>2601004</v>
      </c>
      <c r="B2412" s="15">
        <v>140610851</v>
      </c>
      <c r="C2412" s="15">
        <v>290188404</v>
      </c>
      <c r="D2412" s="16">
        <v>260100408</v>
      </c>
      <c r="E2412" s="16" t="s">
        <v>8373</v>
      </c>
      <c r="F2412" s="20" t="s">
        <v>7201</v>
      </c>
      <c r="G2412" s="17" t="s">
        <v>8370</v>
      </c>
    </row>
    <row r="2413" spans="1:7" x14ac:dyDescent="0.25">
      <c r="A2413">
        <f t="shared" si="39"/>
        <v>2601004</v>
      </c>
      <c r="B2413" s="15">
        <v>140610851</v>
      </c>
      <c r="C2413" s="15">
        <v>290188389</v>
      </c>
      <c r="D2413" s="16">
        <v>260100400</v>
      </c>
      <c r="E2413" s="16" t="s">
        <v>8373</v>
      </c>
      <c r="F2413" s="20" t="s">
        <v>7195</v>
      </c>
      <c r="G2413" s="17" t="s">
        <v>8370</v>
      </c>
    </row>
    <row r="2414" spans="1:7" x14ac:dyDescent="0.25">
      <c r="A2414">
        <f t="shared" si="39"/>
        <v>2601004</v>
      </c>
      <c r="B2414" s="15">
        <v>140610851</v>
      </c>
      <c r="C2414" s="15">
        <v>290188402</v>
      </c>
      <c r="D2414" s="16">
        <v>260100407</v>
      </c>
      <c r="E2414" s="16" t="s">
        <v>8373</v>
      </c>
      <c r="F2414" s="20" t="s">
        <v>7199</v>
      </c>
      <c r="G2414" s="17" t="s">
        <v>8370</v>
      </c>
    </row>
    <row r="2415" spans="1:7" x14ac:dyDescent="0.25">
      <c r="A2415">
        <f t="shared" si="39"/>
        <v>2601004</v>
      </c>
      <c r="B2415" s="15">
        <v>140610851</v>
      </c>
      <c r="C2415" s="15">
        <v>290188392</v>
      </c>
      <c r="D2415" s="16">
        <v>260100402</v>
      </c>
      <c r="E2415" s="16" t="s">
        <v>8373</v>
      </c>
      <c r="F2415" s="20" t="s">
        <v>7198</v>
      </c>
      <c r="G2415" s="17" t="s">
        <v>8370</v>
      </c>
    </row>
    <row r="2416" spans="1:7" x14ac:dyDescent="0.25">
      <c r="A2416">
        <f t="shared" si="39"/>
        <v>2601003</v>
      </c>
      <c r="B2416" s="15">
        <v>140610851</v>
      </c>
      <c r="C2416" s="15">
        <v>290188373</v>
      </c>
      <c r="D2416" s="16">
        <v>260100302</v>
      </c>
      <c r="E2416" s="16" t="s">
        <v>8373</v>
      </c>
      <c r="F2416" s="20" t="s">
        <v>7109</v>
      </c>
      <c r="G2416" s="17" t="s">
        <v>8371</v>
      </c>
    </row>
    <row r="2417" spans="1:7" x14ac:dyDescent="0.25">
      <c r="A2417">
        <f t="shared" si="39"/>
        <v>2601750</v>
      </c>
      <c r="B2417" s="15">
        <v>140610851</v>
      </c>
      <c r="C2417" s="15">
        <v>290188411</v>
      </c>
      <c r="D2417" s="16">
        <v>260175000</v>
      </c>
      <c r="E2417" s="16" t="s">
        <v>8373</v>
      </c>
      <c r="F2417" s="20" t="s">
        <v>7202</v>
      </c>
      <c r="G2417" s="17" t="s">
        <v>8372</v>
      </c>
    </row>
    <row r="2418" spans="1:7" x14ac:dyDescent="0.25">
      <c r="A2418">
        <f t="shared" si="39"/>
        <v>2601003</v>
      </c>
      <c r="B2418" s="15">
        <v>140610851</v>
      </c>
      <c r="C2418" s="15">
        <v>290188375</v>
      </c>
      <c r="D2418" s="16">
        <v>260100303</v>
      </c>
      <c r="E2418" s="16" t="s">
        <v>8373</v>
      </c>
      <c r="F2418" s="20" t="s">
        <v>7110</v>
      </c>
      <c r="G2418" s="17" t="s">
        <v>8371</v>
      </c>
    </row>
    <row r="2419" spans="1:7" x14ac:dyDescent="0.25">
      <c r="A2419">
        <f t="shared" si="39"/>
        <v>2601750</v>
      </c>
      <c r="B2419" s="15">
        <v>140610851</v>
      </c>
      <c r="C2419" s="15">
        <v>290188417</v>
      </c>
      <c r="D2419" s="16">
        <v>260175004</v>
      </c>
      <c r="E2419" s="16" t="s">
        <v>8373</v>
      </c>
      <c r="F2419" s="20" t="s">
        <v>7189</v>
      </c>
      <c r="G2419" s="17" t="s">
        <v>8372</v>
      </c>
    </row>
    <row r="2420" spans="1:7" x14ac:dyDescent="0.25">
      <c r="A2420">
        <f t="shared" si="39"/>
        <v>2601003</v>
      </c>
      <c r="B2420" s="15">
        <v>140610851</v>
      </c>
      <c r="C2420" s="15">
        <v>290188382</v>
      </c>
      <c r="D2420" s="16">
        <v>260100307</v>
      </c>
      <c r="E2420" s="16" t="s">
        <v>8373</v>
      </c>
      <c r="F2420" s="20" t="s">
        <v>7176</v>
      </c>
      <c r="G2420" s="17" t="s">
        <v>8371</v>
      </c>
    </row>
    <row r="2421" spans="1:7" x14ac:dyDescent="0.25">
      <c r="A2421">
        <f t="shared" si="39"/>
        <v>2601003</v>
      </c>
      <c r="B2421" s="15">
        <v>140610851</v>
      </c>
      <c r="C2421" s="15">
        <v>290188377</v>
      </c>
      <c r="D2421" s="16">
        <v>260100304</v>
      </c>
      <c r="E2421" s="16" t="s">
        <v>8373</v>
      </c>
      <c r="F2421" s="20" t="s">
        <v>7111</v>
      </c>
      <c r="G2421" s="17" t="s">
        <v>8371</v>
      </c>
    </row>
    <row r="2422" spans="1:7" x14ac:dyDescent="0.25">
      <c r="A2422">
        <f t="shared" si="39"/>
        <v>2601750</v>
      </c>
      <c r="B2422" s="15">
        <v>140610851</v>
      </c>
      <c r="C2422" s="15">
        <v>290188419</v>
      </c>
      <c r="D2422" s="16">
        <v>260175005</v>
      </c>
      <c r="E2422" s="16" t="s">
        <v>8373</v>
      </c>
      <c r="F2422" s="20" t="s">
        <v>7184</v>
      </c>
      <c r="G2422" s="17" t="s">
        <v>8372</v>
      </c>
    </row>
    <row r="2423" spans="1:7" x14ac:dyDescent="0.25">
      <c r="A2423">
        <f t="shared" si="39"/>
        <v>2601004</v>
      </c>
      <c r="B2423" s="15">
        <v>140610851</v>
      </c>
      <c r="C2423" s="15">
        <v>290188388</v>
      </c>
      <c r="D2423" s="16">
        <v>260100410</v>
      </c>
      <c r="E2423" s="16" t="s">
        <v>8373</v>
      </c>
      <c r="F2423" s="20" t="s">
        <v>7191</v>
      </c>
      <c r="G2423" s="17" t="s">
        <v>8370</v>
      </c>
    </row>
    <row r="2424" spans="1:7" x14ac:dyDescent="0.25">
      <c r="A2424">
        <f t="shared" si="39"/>
        <v>2301158</v>
      </c>
      <c r="B2424" s="15">
        <v>140640135</v>
      </c>
      <c r="C2424" s="15">
        <v>290220080</v>
      </c>
      <c r="D2424" s="16">
        <v>230115804</v>
      </c>
      <c r="E2424" s="16" t="s">
        <v>8374</v>
      </c>
      <c r="F2424" s="20" t="s">
        <v>7189</v>
      </c>
      <c r="G2424" s="17" t="s">
        <v>8359</v>
      </c>
    </row>
    <row r="2425" spans="1:7" x14ac:dyDescent="0.25">
      <c r="A2425">
        <f t="shared" si="39"/>
        <v>2301048</v>
      </c>
      <c r="B2425" s="15">
        <v>140640135</v>
      </c>
      <c r="C2425" s="15">
        <v>290219970</v>
      </c>
      <c r="D2425" s="16">
        <v>230104807</v>
      </c>
      <c r="E2425" s="16" t="s">
        <v>8374</v>
      </c>
      <c r="F2425" s="20" t="s">
        <v>7176</v>
      </c>
      <c r="G2425" s="17" t="s">
        <v>8358</v>
      </c>
    </row>
    <row r="2426" spans="1:7" x14ac:dyDescent="0.25">
      <c r="A2426">
        <f t="shared" si="39"/>
        <v>2301300</v>
      </c>
      <c r="B2426" s="15">
        <v>140640135</v>
      </c>
      <c r="C2426" s="15">
        <v>290220060</v>
      </c>
      <c r="D2426" s="16">
        <v>230130002</v>
      </c>
      <c r="E2426" s="16" t="s">
        <v>8374</v>
      </c>
      <c r="F2426" s="20" t="s">
        <v>7207</v>
      </c>
      <c r="G2426" s="17" t="s">
        <v>8357</v>
      </c>
    </row>
    <row r="2427" spans="1:7" x14ac:dyDescent="0.25">
      <c r="A2427">
        <f t="shared" si="39"/>
        <v>2301158</v>
      </c>
      <c r="B2427" s="15">
        <v>140640135</v>
      </c>
      <c r="C2427" s="15">
        <v>290219985</v>
      </c>
      <c r="D2427" s="16">
        <v>230115801</v>
      </c>
      <c r="E2427" s="16" t="s">
        <v>8374</v>
      </c>
      <c r="F2427" s="20" t="s">
        <v>7186</v>
      </c>
      <c r="G2427" s="17" t="s">
        <v>8359</v>
      </c>
    </row>
    <row r="2428" spans="1:7" x14ac:dyDescent="0.25">
      <c r="A2428">
        <f t="shared" si="39"/>
        <v>2301300</v>
      </c>
      <c r="B2428" s="15">
        <v>140640135</v>
      </c>
      <c r="C2428" s="15">
        <v>290220024</v>
      </c>
      <c r="D2428" s="16">
        <v>230130004</v>
      </c>
      <c r="E2428" s="16" t="s">
        <v>8374</v>
      </c>
      <c r="F2428" s="20" t="s">
        <v>7210</v>
      </c>
      <c r="G2428" s="17" t="s">
        <v>8357</v>
      </c>
    </row>
    <row r="2429" spans="1:7" x14ac:dyDescent="0.25">
      <c r="A2429">
        <f t="shared" si="39"/>
        <v>2301888</v>
      </c>
      <c r="B2429" s="15">
        <v>140640135</v>
      </c>
      <c r="C2429" s="15">
        <v>290219978</v>
      </c>
      <c r="D2429" s="16">
        <v>230188802</v>
      </c>
      <c r="E2429" s="16" t="s">
        <v>8374</v>
      </c>
      <c r="F2429" s="20" t="s">
        <v>7198</v>
      </c>
      <c r="G2429" s="17" t="s">
        <v>8355</v>
      </c>
    </row>
    <row r="2430" spans="1:7" x14ac:dyDescent="0.25">
      <c r="A2430">
        <f t="shared" si="39"/>
        <v>2301158</v>
      </c>
      <c r="B2430" s="15">
        <v>140640135</v>
      </c>
      <c r="C2430" s="15">
        <v>290220053</v>
      </c>
      <c r="D2430" s="16">
        <v>230115800</v>
      </c>
      <c r="E2430" s="16" t="s">
        <v>8374</v>
      </c>
      <c r="F2430" s="20" t="s">
        <v>7202</v>
      </c>
      <c r="G2430" s="17" t="s">
        <v>8359</v>
      </c>
    </row>
    <row r="2431" spans="1:7" x14ac:dyDescent="0.25">
      <c r="A2431">
        <f t="shared" si="39"/>
        <v>2301048</v>
      </c>
      <c r="B2431" s="15">
        <v>140640135</v>
      </c>
      <c r="C2431" s="15">
        <v>290220042</v>
      </c>
      <c r="D2431" s="16">
        <v>230104808</v>
      </c>
      <c r="E2431" s="16" t="s">
        <v>8374</v>
      </c>
      <c r="F2431" s="20" t="s">
        <v>7177</v>
      </c>
      <c r="G2431" s="17" t="s">
        <v>8358</v>
      </c>
    </row>
    <row r="2432" spans="1:7" x14ac:dyDescent="0.25">
      <c r="A2432">
        <f t="shared" si="39"/>
        <v>2301300</v>
      </c>
      <c r="B2432" s="15">
        <v>140640135</v>
      </c>
      <c r="C2432" s="15">
        <v>290220106</v>
      </c>
      <c r="D2432" s="16">
        <v>230130010</v>
      </c>
      <c r="E2432" s="16" t="s">
        <v>8374</v>
      </c>
      <c r="F2432" s="20" t="s">
        <v>8362</v>
      </c>
      <c r="G2432" s="17" t="s">
        <v>8357</v>
      </c>
    </row>
    <row r="2433" spans="1:7" x14ac:dyDescent="0.25">
      <c r="A2433">
        <f t="shared" si="39"/>
        <v>2301888</v>
      </c>
      <c r="B2433" s="15">
        <v>140640135</v>
      </c>
      <c r="C2433" s="15">
        <v>290220204</v>
      </c>
      <c r="D2433" s="16">
        <v>230188804</v>
      </c>
      <c r="E2433" s="16" t="s">
        <v>8374</v>
      </c>
      <c r="F2433" s="20" t="s">
        <v>7193</v>
      </c>
      <c r="G2433" s="17" t="s">
        <v>8355</v>
      </c>
    </row>
    <row r="2434" spans="1:7" x14ac:dyDescent="0.25">
      <c r="A2434">
        <f t="shared" si="39"/>
        <v>2301888</v>
      </c>
      <c r="B2434" s="15">
        <v>140640135</v>
      </c>
      <c r="C2434" s="15">
        <v>290220235</v>
      </c>
      <c r="D2434" s="16">
        <v>230188810</v>
      </c>
      <c r="E2434" s="16" t="s">
        <v>8374</v>
      </c>
      <c r="F2434" s="20" t="s">
        <v>7191</v>
      </c>
      <c r="G2434" s="17" t="s">
        <v>8355</v>
      </c>
    </row>
    <row r="2435" spans="1:7" x14ac:dyDescent="0.25">
      <c r="A2435">
        <f t="shared" si="39"/>
        <v>2301048</v>
      </c>
      <c r="B2435" s="15">
        <v>140640135</v>
      </c>
      <c r="C2435" s="15">
        <v>290220273</v>
      </c>
      <c r="D2435" s="16">
        <v>230104810</v>
      </c>
      <c r="E2435" s="16" t="s">
        <v>8374</v>
      </c>
      <c r="F2435" s="20" t="s">
        <v>7190</v>
      </c>
      <c r="G2435" s="17" t="s">
        <v>8358</v>
      </c>
    </row>
    <row r="2436" spans="1:7" x14ac:dyDescent="0.25">
      <c r="A2436">
        <f t="shared" si="39"/>
        <v>2301300</v>
      </c>
      <c r="B2436" s="15">
        <v>140640135</v>
      </c>
      <c r="C2436" s="15">
        <v>290220193</v>
      </c>
      <c r="D2436" s="16">
        <v>230130009</v>
      </c>
      <c r="E2436" s="16" t="s">
        <v>8374</v>
      </c>
      <c r="F2436" s="20" t="s">
        <v>8363</v>
      </c>
      <c r="G2436" s="17" t="s">
        <v>8357</v>
      </c>
    </row>
    <row r="2437" spans="1:7" x14ac:dyDescent="0.25">
      <c r="A2437">
        <f t="shared" si="39"/>
        <v>2301888</v>
      </c>
      <c r="B2437" s="15">
        <v>140640135</v>
      </c>
      <c r="C2437" s="15">
        <v>290220142</v>
      </c>
      <c r="D2437" s="16">
        <v>230188806</v>
      </c>
      <c r="E2437" s="16" t="s">
        <v>8374</v>
      </c>
      <c r="F2437" s="20" t="s">
        <v>7183</v>
      </c>
      <c r="G2437" s="17" t="s">
        <v>8355</v>
      </c>
    </row>
    <row r="2438" spans="1:7" x14ac:dyDescent="0.25">
      <c r="A2438">
        <f t="shared" si="39"/>
        <v>2301158</v>
      </c>
      <c r="B2438" s="15">
        <v>140640135</v>
      </c>
      <c r="C2438" s="15">
        <v>290220130</v>
      </c>
      <c r="D2438" s="16">
        <v>230115806</v>
      </c>
      <c r="E2438" s="16" t="s">
        <v>8374</v>
      </c>
      <c r="F2438" s="20" t="s">
        <v>7178</v>
      </c>
      <c r="G2438" s="17" t="s">
        <v>8359</v>
      </c>
    </row>
    <row r="2439" spans="1:7" x14ac:dyDescent="0.25">
      <c r="A2439">
        <f t="shared" ref="A2439:A2467" si="40">LEFT(D2439,7)*1</f>
        <v>2301158</v>
      </c>
      <c r="B2439" s="15">
        <v>140640135</v>
      </c>
      <c r="C2439" s="15">
        <v>290220541</v>
      </c>
      <c r="D2439" s="16">
        <v>230115809</v>
      </c>
      <c r="E2439" s="16" t="s">
        <v>8374</v>
      </c>
      <c r="F2439" s="20" t="s">
        <v>7181</v>
      </c>
      <c r="G2439" s="17" t="s">
        <v>8359</v>
      </c>
    </row>
    <row r="2440" spans="1:7" x14ac:dyDescent="0.25">
      <c r="A2440">
        <f t="shared" si="40"/>
        <v>2301300</v>
      </c>
      <c r="B2440" s="15">
        <v>140640135</v>
      </c>
      <c r="C2440" s="15">
        <v>290220306</v>
      </c>
      <c r="D2440" s="16">
        <v>230130001</v>
      </c>
      <c r="E2440" s="16" t="s">
        <v>8374</v>
      </c>
      <c r="F2440" s="20" t="s">
        <v>8364</v>
      </c>
      <c r="G2440" s="17" t="s">
        <v>8357</v>
      </c>
    </row>
    <row r="2441" spans="1:7" x14ac:dyDescent="0.25">
      <c r="A2441">
        <f t="shared" si="40"/>
        <v>2301158</v>
      </c>
      <c r="B2441" s="15">
        <v>140640135</v>
      </c>
      <c r="C2441" s="15">
        <v>290220586</v>
      </c>
      <c r="D2441" s="16">
        <v>230115808</v>
      </c>
      <c r="E2441" s="16" t="s">
        <v>8374</v>
      </c>
      <c r="F2441" s="20" t="s">
        <v>7180</v>
      </c>
      <c r="G2441" s="17" t="s">
        <v>8359</v>
      </c>
    </row>
    <row r="2442" spans="1:7" x14ac:dyDescent="0.25">
      <c r="A2442">
        <f t="shared" si="40"/>
        <v>2301300</v>
      </c>
      <c r="B2442" s="15">
        <v>140640135</v>
      </c>
      <c r="C2442" s="15">
        <v>290220580</v>
      </c>
      <c r="D2442" s="16">
        <v>230130006</v>
      </c>
      <c r="E2442" s="16" t="s">
        <v>8374</v>
      </c>
      <c r="F2442" s="20" t="s">
        <v>7208</v>
      </c>
      <c r="G2442" s="17" t="s">
        <v>8357</v>
      </c>
    </row>
    <row r="2443" spans="1:7" x14ac:dyDescent="0.25">
      <c r="A2443">
        <f t="shared" si="40"/>
        <v>2301888</v>
      </c>
      <c r="B2443" s="15">
        <v>140640135</v>
      </c>
      <c r="C2443" s="15">
        <v>290220567</v>
      </c>
      <c r="D2443" s="16">
        <v>230188809</v>
      </c>
      <c r="E2443" s="16" t="s">
        <v>8374</v>
      </c>
      <c r="F2443" s="20" t="s">
        <v>7200</v>
      </c>
      <c r="G2443" s="17" t="s">
        <v>8355</v>
      </c>
    </row>
    <row r="2444" spans="1:7" x14ac:dyDescent="0.25">
      <c r="A2444">
        <f t="shared" si="40"/>
        <v>2301888</v>
      </c>
      <c r="B2444" s="15">
        <v>140640135</v>
      </c>
      <c r="C2444" s="15">
        <v>290220574</v>
      </c>
      <c r="D2444" s="16">
        <v>230188801</v>
      </c>
      <c r="E2444" s="16" t="s">
        <v>8374</v>
      </c>
      <c r="F2444" s="20" t="s">
        <v>7197</v>
      </c>
      <c r="G2444" s="17" t="s">
        <v>8355</v>
      </c>
    </row>
    <row r="2445" spans="1:7" x14ac:dyDescent="0.25">
      <c r="A2445">
        <f t="shared" si="40"/>
        <v>2301158</v>
      </c>
      <c r="B2445" s="15">
        <v>140640135</v>
      </c>
      <c r="C2445" s="15">
        <v>290220362</v>
      </c>
      <c r="D2445" s="16">
        <v>230115810</v>
      </c>
      <c r="E2445" s="16" t="s">
        <v>8374</v>
      </c>
      <c r="F2445" s="20" t="s">
        <v>7192</v>
      </c>
      <c r="G2445" s="17" t="s">
        <v>8359</v>
      </c>
    </row>
    <row r="2446" spans="1:7" x14ac:dyDescent="0.25">
      <c r="A2446">
        <f t="shared" si="40"/>
        <v>2301888</v>
      </c>
      <c r="B2446" s="15">
        <v>140640135</v>
      </c>
      <c r="C2446" s="15">
        <v>290220453</v>
      </c>
      <c r="D2446" s="16">
        <v>230188800</v>
      </c>
      <c r="E2446" s="16" t="s">
        <v>8374</v>
      </c>
      <c r="F2446" s="20" t="s">
        <v>7195</v>
      </c>
      <c r="G2446" s="17" t="s">
        <v>8355</v>
      </c>
    </row>
    <row r="2447" spans="1:7" x14ac:dyDescent="0.25">
      <c r="A2447">
        <f t="shared" si="40"/>
        <v>2301888</v>
      </c>
      <c r="B2447" s="15">
        <v>140640135</v>
      </c>
      <c r="C2447" s="15">
        <v>290220247</v>
      </c>
      <c r="D2447" s="16">
        <v>230188803</v>
      </c>
      <c r="E2447" s="16" t="s">
        <v>8374</v>
      </c>
      <c r="F2447" s="20" t="s">
        <v>7194</v>
      </c>
      <c r="G2447" s="17" t="s">
        <v>8355</v>
      </c>
    </row>
    <row r="2448" spans="1:7" x14ac:dyDescent="0.25">
      <c r="A2448">
        <f t="shared" si="40"/>
        <v>2301300</v>
      </c>
      <c r="B2448" s="15">
        <v>140640135</v>
      </c>
      <c r="C2448" s="15">
        <v>290219950</v>
      </c>
      <c r="D2448" s="16">
        <v>230130005</v>
      </c>
      <c r="E2448" s="16" t="s">
        <v>8374</v>
      </c>
      <c r="F2448" s="20" t="s">
        <v>7209</v>
      </c>
      <c r="G2448" s="17" t="s">
        <v>8357</v>
      </c>
    </row>
    <row r="2449" spans="1:7" x14ac:dyDescent="0.25">
      <c r="A2449">
        <f t="shared" si="40"/>
        <v>2301158</v>
      </c>
      <c r="B2449" s="15">
        <v>140640135</v>
      </c>
      <c r="C2449" s="15">
        <v>290220525</v>
      </c>
      <c r="D2449" s="16">
        <v>230115805</v>
      </c>
      <c r="E2449" s="16" t="s">
        <v>8374</v>
      </c>
      <c r="F2449" s="20" t="s">
        <v>7184</v>
      </c>
      <c r="G2449" s="17" t="s">
        <v>8359</v>
      </c>
    </row>
    <row r="2450" spans="1:7" x14ac:dyDescent="0.25">
      <c r="A2450">
        <f t="shared" si="40"/>
        <v>2301048</v>
      </c>
      <c r="B2450" s="15">
        <v>140640135</v>
      </c>
      <c r="C2450" s="15">
        <v>290219905</v>
      </c>
      <c r="D2450" s="16">
        <v>230104800</v>
      </c>
      <c r="E2450" s="16" t="s">
        <v>8374</v>
      </c>
      <c r="F2450" s="20" t="s">
        <v>7188</v>
      </c>
      <c r="G2450" s="17" t="s">
        <v>8358</v>
      </c>
    </row>
    <row r="2451" spans="1:7" x14ac:dyDescent="0.25">
      <c r="A2451">
        <f t="shared" si="40"/>
        <v>2301888</v>
      </c>
      <c r="B2451" s="15">
        <v>140640135</v>
      </c>
      <c r="C2451" s="15">
        <v>290220350</v>
      </c>
      <c r="D2451" s="16">
        <v>230188807</v>
      </c>
      <c r="E2451" s="16" t="s">
        <v>8374</v>
      </c>
      <c r="F2451" s="20" t="s">
        <v>7199</v>
      </c>
      <c r="G2451" s="17" t="s">
        <v>8355</v>
      </c>
    </row>
    <row r="2452" spans="1:7" x14ac:dyDescent="0.25">
      <c r="A2452">
        <f t="shared" si="40"/>
        <v>2301300</v>
      </c>
      <c r="B2452" s="15">
        <v>140640135</v>
      </c>
      <c r="C2452" s="15">
        <v>290220470</v>
      </c>
      <c r="D2452" s="16">
        <v>230130007</v>
      </c>
      <c r="E2452" s="16" t="s">
        <v>8374</v>
      </c>
      <c r="F2452" s="20" t="s">
        <v>8361</v>
      </c>
      <c r="G2452" s="17" t="s">
        <v>8357</v>
      </c>
    </row>
    <row r="2453" spans="1:7" x14ac:dyDescent="0.25">
      <c r="A2453">
        <f t="shared" si="40"/>
        <v>2301048</v>
      </c>
      <c r="B2453" s="15">
        <v>140640135</v>
      </c>
      <c r="C2453" s="15">
        <v>290220427</v>
      </c>
      <c r="D2453" s="16">
        <v>230104802</v>
      </c>
      <c r="E2453" s="16" t="s">
        <v>8374</v>
      </c>
      <c r="F2453" s="20" t="s">
        <v>7109</v>
      </c>
      <c r="G2453" s="17" t="s">
        <v>8358</v>
      </c>
    </row>
    <row r="2454" spans="1:7" x14ac:dyDescent="0.25">
      <c r="A2454">
        <f t="shared" si="40"/>
        <v>2301300</v>
      </c>
      <c r="B2454" s="15">
        <v>140640135</v>
      </c>
      <c r="C2454" s="15">
        <v>290220560</v>
      </c>
      <c r="D2454" s="16">
        <v>230130003</v>
      </c>
      <c r="E2454" s="16" t="s">
        <v>8374</v>
      </c>
      <c r="F2454" s="20" t="s">
        <v>7206</v>
      </c>
      <c r="G2454" s="17" t="s">
        <v>8357</v>
      </c>
    </row>
    <row r="2455" spans="1:7" x14ac:dyDescent="0.25">
      <c r="A2455">
        <f t="shared" si="40"/>
        <v>2301300</v>
      </c>
      <c r="B2455" s="15">
        <v>140640135</v>
      </c>
      <c r="C2455" s="15">
        <v>290220292</v>
      </c>
      <c r="D2455" s="16">
        <v>230130000</v>
      </c>
      <c r="E2455" s="16" t="s">
        <v>8374</v>
      </c>
      <c r="F2455" s="20" t="s">
        <v>8360</v>
      </c>
      <c r="G2455" s="17" t="s">
        <v>8357</v>
      </c>
    </row>
    <row r="2456" spans="1:7" x14ac:dyDescent="0.25">
      <c r="A2456">
        <f t="shared" si="40"/>
        <v>2301158</v>
      </c>
      <c r="B2456" s="15">
        <v>140640135</v>
      </c>
      <c r="C2456" s="15">
        <v>290220482</v>
      </c>
      <c r="D2456" s="16">
        <v>230115802</v>
      </c>
      <c r="E2456" s="16" t="s">
        <v>8374</v>
      </c>
      <c r="F2456" s="20" t="s">
        <v>7185</v>
      </c>
      <c r="G2456" s="17" t="s">
        <v>8359</v>
      </c>
    </row>
    <row r="2457" spans="1:7" x14ac:dyDescent="0.25">
      <c r="A2457">
        <f t="shared" si="40"/>
        <v>2301048</v>
      </c>
      <c r="B2457" s="15">
        <v>140640135</v>
      </c>
      <c r="C2457" s="15">
        <v>290219927</v>
      </c>
      <c r="D2457" s="16">
        <v>230104801</v>
      </c>
      <c r="E2457" s="16" t="s">
        <v>8374</v>
      </c>
      <c r="F2457" s="20" t="s">
        <v>7108</v>
      </c>
      <c r="G2457" s="17" t="s">
        <v>8358</v>
      </c>
    </row>
    <row r="2458" spans="1:7" x14ac:dyDescent="0.25">
      <c r="A2458">
        <f t="shared" si="40"/>
        <v>2301048</v>
      </c>
      <c r="B2458" s="15">
        <v>140640135</v>
      </c>
      <c r="C2458" s="15">
        <v>290220229</v>
      </c>
      <c r="D2458" s="16">
        <v>230104805</v>
      </c>
      <c r="E2458" s="16" t="s">
        <v>8374</v>
      </c>
      <c r="F2458" s="20" t="s">
        <v>7112</v>
      </c>
      <c r="G2458" s="17" t="s">
        <v>8358</v>
      </c>
    </row>
    <row r="2459" spans="1:7" x14ac:dyDescent="0.25">
      <c r="A2459">
        <f t="shared" si="40"/>
        <v>2301888</v>
      </c>
      <c r="B2459" s="15">
        <v>140640135</v>
      </c>
      <c r="C2459" s="15">
        <v>290219962</v>
      </c>
      <c r="D2459" s="16">
        <v>230188805</v>
      </c>
      <c r="E2459" s="16" t="s">
        <v>8374</v>
      </c>
      <c r="F2459" s="20" t="s">
        <v>7196</v>
      </c>
      <c r="G2459" s="17" t="s">
        <v>8355</v>
      </c>
    </row>
    <row r="2460" spans="1:7" x14ac:dyDescent="0.25">
      <c r="A2460">
        <f t="shared" si="40"/>
        <v>2301158</v>
      </c>
      <c r="B2460" s="15">
        <v>140640135</v>
      </c>
      <c r="C2460" s="15">
        <v>290220299</v>
      </c>
      <c r="D2460" s="16">
        <v>230115803</v>
      </c>
      <c r="E2460" s="16" t="s">
        <v>8374</v>
      </c>
      <c r="F2460" s="20" t="s">
        <v>7187</v>
      </c>
      <c r="G2460" s="17" t="s">
        <v>8359</v>
      </c>
    </row>
    <row r="2461" spans="1:7" x14ac:dyDescent="0.25">
      <c r="A2461">
        <f t="shared" si="40"/>
        <v>2301048</v>
      </c>
      <c r="B2461" s="15">
        <v>140640135</v>
      </c>
      <c r="C2461" s="15">
        <v>290220534</v>
      </c>
      <c r="D2461" s="16">
        <v>230104809</v>
      </c>
      <c r="E2461" s="16" t="s">
        <v>8374</v>
      </c>
      <c r="F2461" s="20" t="s">
        <v>7182</v>
      </c>
      <c r="G2461" s="13" t="s">
        <v>8358</v>
      </c>
    </row>
    <row r="2462" spans="1:7" x14ac:dyDescent="0.25">
      <c r="A2462">
        <f t="shared" si="40"/>
        <v>2301048</v>
      </c>
      <c r="B2462" s="15">
        <v>140640135</v>
      </c>
      <c r="C2462" s="15">
        <v>290220370</v>
      </c>
      <c r="D2462" s="16">
        <v>230104806</v>
      </c>
      <c r="E2462" s="16" t="s">
        <v>8374</v>
      </c>
      <c r="F2462" s="20" t="s">
        <v>7113</v>
      </c>
      <c r="G2462" s="17" t="s">
        <v>8358</v>
      </c>
    </row>
    <row r="2463" spans="1:7" x14ac:dyDescent="0.25">
      <c r="A2463">
        <f t="shared" si="40"/>
        <v>2301048</v>
      </c>
      <c r="B2463" s="15">
        <v>140640135</v>
      </c>
      <c r="C2463" s="15">
        <v>290220550</v>
      </c>
      <c r="D2463" s="16">
        <v>230104803</v>
      </c>
      <c r="E2463" s="16" t="s">
        <v>8374</v>
      </c>
      <c r="F2463" s="20" t="s">
        <v>7110</v>
      </c>
      <c r="G2463" s="17" t="s">
        <v>8358</v>
      </c>
    </row>
    <row r="2464" spans="1:7" x14ac:dyDescent="0.25">
      <c r="A2464">
        <f t="shared" si="40"/>
        <v>2301158</v>
      </c>
      <c r="B2464" s="15">
        <v>140640135</v>
      </c>
      <c r="C2464" s="15">
        <v>290220224</v>
      </c>
      <c r="D2464" s="16">
        <v>230115807</v>
      </c>
      <c r="E2464" s="16" t="s">
        <v>8374</v>
      </c>
      <c r="F2464" s="20" t="s">
        <v>7179</v>
      </c>
      <c r="G2464" s="13" t="s">
        <v>8359</v>
      </c>
    </row>
    <row r="2465" spans="1:7" x14ac:dyDescent="0.25">
      <c r="A2465">
        <f t="shared" si="40"/>
        <v>2301888</v>
      </c>
      <c r="B2465" s="15">
        <v>140640135</v>
      </c>
      <c r="C2465" s="15">
        <v>290220562</v>
      </c>
      <c r="D2465" s="16">
        <v>230188808</v>
      </c>
      <c r="E2465" s="16" t="s">
        <v>8374</v>
      </c>
      <c r="F2465" s="20" t="s">
        <v>7201</v>
      </c>
      <c r="G2465" s="17" t="s">
        <v>8355</v>
      </c>
    </row>
    <row r="2466" spans="1:7" x14ac:dyDescent="0.25">
      <c r="A2466">
        <f t="shared" si="40"/>
        <v>2301300</v>
      </c>
      <c r="B2466" s="15">
        <v>140640135</v>
      </c>
      <c r="C2466" s="15">
        <v>290219936</v>
      </c>
      <c r="D2466" s="16">
        <v>230130008</v>
      </c>
      <c r="E2466" s="16" t="s">
        <v>8374</v>
      </c>
      <c r="F2466" s="20" t="s">
        <v>8356</v>
      </c>
      <c r="G2466" s="17" t="s">
        <v>8357</v>
      </c>
    </row>
    <row r="2467" spans="1:7" x14ac:dyDescent="0.25">
      <c r="A2467">
        <f t="shared" si="40"/>
        <v>2301048</v>
      </c>
      <c r="B2467" s="15">
        <v>140640135</v>
      </c>
      <c r="C2467" s="15">
        <v>290220556</v>
      </c>
      <c r="D2467" s="16">
        <v>230104804</v>
      </c>
      <c r="E2467" s="16" t="s">
        <v>8374</v>
      </c>
      <c r="F2467" s="20" t="s">
        <v>7111</v>
      </c>
      <c r="G2467" s="17" t="s">
        <v>8358</v>
      </c>
    </row>
    <row r="2468" spans="1:7" x14ac:dyDescent="0.25">
      <c r="B2468" s="15"/>
      <c r="C2468" s="15"/>
      <c r="D2468" s="16"/>
      <c r="E2468" s="16"/>
      <c r="F2468" s="20"/>
      <c r="G2468" s="17"/>
    </row>
    <row r="2469" spans="1:7" x14ac:dyDescent="0.25">
      <c r="B2469" s="15"/>
      <c r="C2469" s="15"/>
      <c r="D2469" s="16"/>
      <c r="E2469" s="16"/>
      <c r="F2469" s="20"/>
      <c r="G2469" s="17"/>
    </row>
    <row r="2470" spans="1:7" x14ac:dyDescent="0.25">
      <c r="B2470" s="15"/>
      <c r="C2470" s="15"/>
      <c r="D2470" s="16"/>
      <c r="E2470" s="16"/>
      <c r="F2470" s="20"/>
      <c r="G2470" s="17"/>
    </row>
    <row r="2471" spans="1:7" x14ac:dyDescent="0.25">
      <c r="B2471" s="15"/>
      <c r="C2471" s="15"/>
      <c r="D2471" s="16"/>
      <c r="E2471" s="16"/>
      <c r="F2471" s="20"/>
      <c r="G2471" s="17"/>
    </row>
    <row r="2472" spans="1:7" x14ac:dyDescent="0.25">
      <c r="B2472" s="15"/>
      <c r="C2472" s="15"/>
      <c r="D2472" s="16"/>
      <c r="E2472" s="16"/>
      <c r="F2472" s="20"/>
      <c r="G2472" s="17"/>
    </row>
    <row r="2473" spans="1:7" x14ac:dyDescent="0.25">
      <c r="B2473" s="15"/>
      <c r="C2473" s="15"/>
      <c r="D2473" s="16"/>
      <c r="E2473" s="16"/>
      <c r="F2473" s="20"/>
      <c r="G2473" s="17"/>
    </row>
    <row r="2474" spans="1:7" x14ac:dyDescent="0.25">
      <c r="B2474" s="15"/>
      <c r="C2474" s="15"/>
      <c r="D2474" s="16"/>
      <c r="E2474" s="16"/>
      <c r="F2474" s="20"/>
      <c r="G2474" s="17"/>
    </row>
    <row r="2475" spans="1:7" x14ac:dyDescent="0.25">
      <c r="B2475" s="15"/>
      <c r="C2475" s="15"/>
      <c r="D2475" s="16"/>
      <c r="E2475" s="16"/>
      <c r="F2475" s="20"/>
      <c r="G2475" s="17"/>
    </row>
    <row r="2476" spans="1:7" x14ac:dyDescent="0.25">
      <c r="B2476" s="15"/>
      <c r="C2476" s="15"/>
      <c r="D2476" s="16"/>
      <c r="E2476" s="16"/>
      <c r="F2476" s="20"/>
      <c r="G2476" s="17"/>
    </row>
    <row r="2477" spans="1:7" x14ac:dyDescent="0.25">
      <c r="B2477" s="15"/>
      <c r="C2477" s="15"/>
      <c r="D2477" s="16"/>
      <c r="E2477" s="16"/>
      <c r="F2477" s="20"/>
      <c r="G2477" s="17"/>
    </row>
    <row r="2478" spans="1:7" x14ac:dyDescent="0.25">
      <c r="B2478" s="15"/>
      <c r="C2478" s="15"/>
      <c r="D2478" s="16"/>
      <c r="E2478" s="16"/>
      <c r="F2478" s="20"/>
      <c r="G2478" s="17"/>
    </row>
    <row r="2479" spans="1:7" x14ac:dyDescent="0.25">
      <c r="B2479" s="15"/>
      <c r="C2479" s="15"/>
      <c r="D2479" s="16"/>
      <c r="E2479" s="16"/>
      <c r="F2479" s="20"/>
      <c r="G2479" s="17"/>
    </row>
    <row r="2480" spans="1:7" x14ac:dyDescent="0.25">
      <c r="B2480" s="15"/>
      <c r="C2480" s="15"/>
      <c r="D2480" s="16"/>
      <c r="E2480" s="16"/>
      <c r="F2480" s="20"/>
      <c r="G2480" s="17"/>
    </row>
    <row r="2481" spans="2:7" x14ac:dyDescent="0.25">
      <c r="B2481" s="15"/>
      <c r="C2481" s="15"/>
      <c r="D2481" s="16"/>
      <c r="E2481" s="16"/>
      <c r="F2481" s="20"/>
      <c r="G2481" s="17"/>
    </row>
    <row r="2482" spans="2:7" x14ac:dyDescent="0.25">
      <c r="B2482" s="15"/>
      <c r="C2482" s="15"/>
      <c r="D2482" s="16"/>
      <c r="E2482" s="16"/>
      <c r="F2482" s="20"/>
      <c r="G2482" s="17"/>
    </row>
    <row r="2483" spans="2:7" x14ac:dyDescent="0.25">
      <c r="B2483" s="15"/>
      <c r="C2483" s="15"/>
      <c r="D2483" s="16"/>
      <c r="E2483" s="16"/>
      <c r="F2483" s="20"/>
      <c r="G2483" s="17"/>
    </row>
    <row r="2484" spans="2:7" x14ac:dyDescent="0.25">
      <c r="B2484" s="15"/>
      <c r="C2484" s="15"/>
      <c r="D2484" s="16"/>
      <c r="E2484" s="16"/>
      <c r="F2484" s="20"/>
      <c r="G2484" s="17"/>
    </row>
    <row r="2485" spans="2:7" x14ac:dyDescent="0.25">
      <c r="B2485" s="15"/>
      <c r="C2485" s="15"/>
      <c r="D2485" s="16"/>
      <c r="E2485" s="16"/>
      <c r="F2485" s="20"/>
      <c r="G2485" s="17"/>
    </row>
    <row r="2486" spans="2:7" x14ac:dyDescent="0.25">
      <c r="B2486" s="15"/>
      <c r="C2486" s="15"/>
      <c r="D2486" s="16"/>
      <c r="E2486" s="16"/>
      <c r="F2486" s="20"/>
      <c r="G2486" s="17"/>
    </row>
    <row r="2487" spans="2:7" x14ac:dyDescent="0.25">
      <c r="B2487" s="15"/>
      <c r="C2487" s="15"/>
      <c r="D2487" s="16"/>
      <c r="E2487" s="16"/>
      <c r="F2487" s="20"/>
      <c r="G2487" s="17"/>
    </row>
    <row r="2488" spans="2:7" x14ac:dyDescent="0.25">
      <c r="B2488" s="15"/>
      <c r="C2488" s="15"/>
      <c r="D2488" s="16"/>
      <c r="E2488" s="16"/>
      <c r="F2488" s="20"/>
      <c r="G2488" s="17"/>
    </row>
    <row r="2489" spans="2:7" x14ac:dyDescent="0.25">
      <c r="B2489" s="15"/>
      <c r="C2489" s="15"/>
      <c r="D2489" s="16"/>
      <c r="E2489" s="16"/>
      <c r="F2489" s="20"/>
      <c r="G2489" s="17"/>
    </row>
    <row r="2490" spans="2:7" x14ac:dyDescent="0.25">
      <c r="B2490" s="15"/>
      <c r="C2490" s="15"/>
      <c r="D2490" s="16"/>
      <c r="E2490" s="16"/>
      <c r="F2490" s="20"/>
      <c r="G2490" s="17"/>
    </row>
    <row r="2491" spans="2:7" x14ac:dyDescent="0.25">
      <c r="B2491" s="15"/>
      <c r="C2491" s="15"/>
      <c r="D2491" s="16"/>
      <c r="E2491" s="16"/>
      <c r="F2491" s="20"/>
      <c r="G2491" s="17"/>
    </row>
    <row r="2492" spans="2:7" x14ac:dyDescent="0.25">
      <c r="B2492" s="15"/>
      <c r="C2492" s="15"/>
      <c r="D2492" s="16"/>
      <c r="E2492" s="16"/>
      <c r="F2492" s="20"/>
      <c r="G2492" s="17"/>
    </row>
    <row r="2493" spans="2:7" x14ac:dyDescent="0.25">
      <c r="B2493" s="15"/>
      <c r="C2493" s="15"/>
      <c r="D2493" s="16"/>
      <c r="E2493" s="16"/>
      <c r="F2493" s="20"/>
      <c r="G2493" s="17"/>
    </row>
    <row r="2494" spans="2:7" x14ac:dyDescent="0.25">
      <c r="B2494" s="15"/>
      <c r="C2494" s="15"/>
      <c r="D2494" s="16"/>
      <c r="E2494" s="16"/>
      <c r="F2494" s="20"/>
      <c r="G2494" s="17"/>
    </row>
    <row r="2495" spans="2:7" x14ac:dyDescent="0.25">
      <c r="B2495" s="15"/>
      <c r="C2495" s="15"/>
      <c r="D2495" s="16"/>
      <c r="E2495" s="16"/>
      <c r="F2495" s="20"/>
      <c r="G2495" s="17"/>
    </row>
    <row r="2496" spans="2:7" x14ac:dyDescent="0.25">
      <c r="B2496" s="15"/>
      <c r="C2496" s="15"/>
      <c r="D2496" s="16"/>
      <c r="E2496" s="16"/>
      <c r="F2496" s="20"/>
      <c r="G2496" s="17"/>
    </row>
    <row r="2497" spans="2:7" x14ac:dyDescent="0.25">
      <c r="B2497" s="15"/>
      <c r="C2497" s="15"/>
      <c r="D2497" s="16"/>
      <c r="E2497" s="16"/>
      <c r="F2497" s="20"/>
      <c r="G2497" s="17"/>
    </row>
    <row r="2498" spans="2:7" x14ac:dyDescent="0.25">
      <c r="B2498" s="15"/>
      <c r="C2498" s="15"/>
      <c r="D2498" s="16"/>
      <c r="E2498" s="16"/>
      <c r="F2498" s="20"/>
      <c r="G2498" s="17"/>
    </row>
    <row r="2499" spans="2:7" x14ac:dyDescent="0.25">
      <c r="B2499" s="15"/>
      <c r="C2499" s="15"/>
      <c r="D2499" s="16"/>
      <c r="E2499" s="16"/>
      <c r="F2499" s="20"/>
      <c r="G2499" s="17"/>
    </row>
    <row r="2500" spans="2:7" x14ac:dyDescent="0.25">
      <c r="B2500" s="15"/>
      <c r="C2500" s="15"/>
      <c r="D2500" s="16"/>
      <c r="E2500" s="16"/>
      <c r="F2500" s="20"/>
      <c r="G2500" s="17"/>
    </row>
    <row r="2501" spans="2:7" x14ac:dyDescent="0.25">
      <c r="B2501" s="15"/>
      <c r="C2501" s="15"/>
      <c r="D2501" s="16"/>
      <c r="E2501" s="16"/>
      <c r="F2501" s="20"/>
      <c r="G2501" s="17"/>
    </row>
    <row r="2502" spans="2:7" x14ac:dyDescent="0.25">
      <c r="B2502" s="15"/>
      <c r="C2502" s="15"/>
      <c r="D2502" s="16"/>
      <c r="E2502" s="16"/>
      <c r="F2502" s="20"/>
      <c r="G2502" s="17"/>
    </row>
    <row r="2503" spans="2:7" x14ac:dyDescent="0.25">
      <c r="B2503" s="15"/>
      <c r="C2503" s="15"/>
      <c r="D2503" s="16"/>
      <c r="E2503" s="16"/>
      <c r="F2503" s="20"/>
      <c r="G2503" s="17"/>
    </row>
    <row r="2504" spans="2:7" x14ac:dyDescent="0.25">
      <c r="B2504" s="15"/>
      <c r="C2504" s="15"/>
      <c r="D2504" s="16"/>
      <c r="E2504" s="16"/>
      <c r="F2504" s="20"/>
      <c r="G2504" s="17"/>
    </row>
    <row r="2505" spans="2:7" x14ac:dyDescent="0.25">
      <c r="B2505" s="15"/>
      <c r="C2505" s="15"/>
      <c r="D2505" s="16"/>
      <c r="E2505" s="16"/>
      <c r="F2505" s="20"/>
      <c r="G2505" s="17"/>
    </row>
    <row r="2506" spans="2:7" x14ac:dyDescent="0.25">
      <c r="B2506" s="15"/>
      <c r="C2506" s="15"/>
      <c r="D2506" s="16"/>
      <c r="E2506" s="16"/>
      <c r="F2506" s="20"/>
      <c r="G2506" s="13"/>
    </row>
    <row r="2507" spans="2:7" x14ac:dyDescent="0.25">
      <c r="B2507" s="15"/>
      <c r="C2507" s="15"/>
      <c r="D2507" s="16"/>
      <c r="E2507" s="16"/>
      <c r="F2507" s="20"/>
      <c r="G2507" s="13"/>
    </row>
    <row r="2508" spans="2:7" x14ac:dyDescent="0.25">
      <c r="B2508" s="15"/>
      <c r="C2508" s="15"/>
      <c r="D2508" s="16"/>
      <c r="E2508" s="16"/>
      <c r="F2508" s="20"/>
      <c r="G2508" s="13"/>
    </row>
    <row r="2509" spans="2:7" x14ac:dyDescent="0.25">
      <c r="B2509" s="15"/>
      <c r="C2509" s="15"/>
      <c r="D2509" s="16"/>
      <c r="E2509" s="16"/>
      <c r="F2509" s="20"/>
      <c r="G2509" s="13"/>
    </row>
    <row r="2510" spans="2:7" x14ac:dyDescent="0.25">
      <c r="B2510" s="15"/>
      <c r="C2510" s="15"/>
      <c r="D2510" s="16"/>
      <c r="E2510" s="16"/>
      <c r="F2510" s="20"/>
      <c r="G2510" s="13"/>
    </row>
    <row r="2511" spans="2:7" x14ac:dyDescent="0.25">
      <c r="B2511" s="15"/>
      <c r="C2511" s="15"/>
      <c r="D2511" s="16"/>
      <c r="E2511" s="16"/>
      <c r="F2511" s="20"/>
      <c r="G2511" s="13"/>
    </row>
    <row r="2512" spans="2:7" x14ac:dyDescent="0.25">
      <c r="B2512" s="15"/>
      <c r="C2512" s="15"/>
      <c r="D2512" s="16"/>
      <c r="E2512" s="16"/>
      <c r="F2512" s="20"/>
      <c r="G2512" s="13"/>
    </row>
    <row r="2513" spans="2:7" x14ac:dyDescent="0.25">
      <c r="B2513" s="15"/>
      <c r="C2513" s="15"/>
      <c r="D2513" s="16"/>
      <c r="E2513" s="16"/>
      <c r="F2513" s="20"/>
      <c r="G2513" s="13"/>
    </row>
    <row r="2514" spans="2:7" x14ac:dyDescent="0.25">
      <c r="B2514" s="15"/>
      <c r="C2514" s="15"/>
      <c r="D2514" s="16"/>
      <c r="E2514" s="16"/>
      <c r="F2514" s="20"/>
      <c r="G2514" s="13"/>
    </row>
    <row r="2515" spans="2:7" x14ac:dyDescent="0.25">
      <c r="B2515" s="15"/>
      <c r="C2515" s="15"/>
      <c r="D2515" s="16"/>
      <c r="E2515" s="16"/>
      <c r="F2515" s="20"/>
      <c r="G2515" s="13"/>
    </row>
    <row r="2516" spans="2:7" x14ac:dyDescent="0.25">
      <c r="B2516" s="15"/>
      <c r="C2516" s="15"/>
      <c r="D2516" s="16"/>
      <c r="E2516" s="16"/>
      <c r="F2516" s="20"/>
      <c r="G2516" s="13"/>
    </row>
    <row r="2517" spans="2:7" x14ac:dyDescent="0.25">
      <c r="B2517" s="15"/>
      <c r="C2517" s="15"/>
      <c r="D2517" s="16"/>
      <c r="E2517" s="16"/>
      <c r="F2517" s="20"/>
      <c r="G2517" s="13"/>
    </row>
    <row r="2518" spans="2:7" x14ac:dyDescent="0.25">
      <c r="B2518" s="15"/>
      <c r="C2518" s="15"/>
      <c r="D2518" s="16"/>
      <c r="E2518" s="16"/>
      <c r="F2518" s="20"/>
      <c r="G2518" s="13"/>
    </row>
    <row r="2519" spans="2:7" x14ac:dyDescent="0.25">
      <c r="B2519" s="15"/>
      <c r="C2519" s="15"/>
      <c r="D2519" s="16"/>
      <c r="E2519" s="16"/>
      <c r="F2519" s="20"/>
      <c r="G2519" s="13"/>
    </row>
    <row r="2520" spans="2:7" x14ac:dyDescent="0.25">
      <c r="B2520" s="15"/>
      <c r="C2520" s="15"/>
      <c r="D2520" s="16"/>
      <c r="E2520" s="16"/>
      <c r="F2520" s="20"/>
      <c r="G2520" s="13"/>
    </row>
    <row r="2521" spans="2:7" x14ac:dyDescent="0.25">
      <c r="B2521" s="15"/>
      <c r="C2521" s="15"/>
      <c r="D2521" s="16"/>
      <c r="E2521" s="16"/>
      <c r="F2521" s="20"/>
      <c r="G2521" s="13"/>
    </row>
    <row r="2522" spans="2:7" x14ac:dyDescent="0.25">
      <c r="B2522" s="15"/>
      <c r="C2522" s="15"/>
      <c r="D2522" s="16"/>
      <c r="E2522" s="16"/>
      <c r="F2522" s="20"/>
      <c r="G2522" s="13"/>
    </row>
    <row r="2523" spans="2:7" x14ac:dyDescent="0.25">
      <c r="B2523" s="15"/>
      <c r="C2523" s="15"/>
      <c r="D2523" s="16"/>
      <c r="E2523" s="16"/>
      <c r="F2523" s="20"/>
      <c r="G2523" s="13"/>
    </row>
    <row r="2524" spans="2:7" x14ac:dyDescent="0.25">
      <c r="B2524" s="15"/>
      <c r="C2524" s="15"/>
      <c r="D2524" s="16"/>
      <c r="E2524" s="16"/>
      <c r="F2524" s="20"/>
      <c r="G2524" s="17"/>
    </row>
    <row r="2525" spans="2:7" x14ac:dyDescent="0.25">
      <c r="B2525" s="15"/>
      <c r="C2525" s="15"/>
      <c r="D2525" s="16"/>
      <c r="E2525" s="16"/>
      <c r="F2525" s="20"/>
      <c r="G2525" s="17"/>
    </row>
    <row r="2526" spans="2:7" x14ac:dyDescent="0.25">
      <c r="B2526" s="15"/>
      <c r="C2526" s="15"/>
      <c r="D2526" s="16"/>
      <c r="E2526" s="16"/>
      <c r="F2526" s="20"/>
      <c r="G2526" s="17"/>
    </row>
    <row r="2527" spans="2:7" x14ac:dyDescent="0.25">
      <c r="B2527" s="15"/>
      <c r="C2527" s="15"/>
      <c r="D2527" s="16"/>
      <c r="E2527" s="16"/>
      <c r="F2527" s="20"/>
      <c r="G2527" s="17"/>
    </row>
    <row r="2528" spans="2:7" x14ac:dyDescent="0.25">
      <c r="B2528" s="15"/>
      <c r="C2528" s="15"/>
      <c r="D2528" s="16"/>
      <c r="E2528" s="16"/>
      <c r="F2528" s="20"/>
      <c r="G2528" s="17"/>
    </row>
    <row r="2529" spans="2:7" x14ac:dyDescent="0.25">
      <c r="B2529" s="15"/>
      <c r="C2529" s="15"/>
      <c r="D2529" s="16"/>
      <c r="E2529" s="16"/>
      <c r="F2529" s="20"/>
      <c r="G2529" s="17"/>
    </row>
    <row r="2530" spans="2:7" x14ac:dyDescent="0.25">
      <c r="B2530" s="15"/>
      <c r="C2530" s="15"/>
      <c r="D2530" s="16"/>
      <c r="E2530" s="16"/>
      <c r="F2530" s="20"/>
      <c r="G2530" s="17"/>
    </row>
    <row r="2531" spans="2:7" x14ac:dyDescent="0.25">
      <c r="B2531" s="15"/>
      <c r="C2531" s="15"/>
      <c r="D2531" s="16"/>
      <c r="E2531" s="16"/>
      <c r="F2531" s="20"/>
      <c r="G2531" s="17"/>
    </row>
    <row r="2532" spans="2:7" x14ac:dyDescent="0.25">
      <c r="B2532" s="15"/>
      <c r="C2532" s="15"/>
      <c r="D2532" s="16"/>
      <c r="E2532" s="16"/>
      <c r="F2532" s="20"/>
      <c r="G2532" s="17"/>
    </row>
    <row r="2533" spans="2:7" x14ac:dyDescent="0.25">
      <c r="B2533" s="15"/>
      <c r="C2533" s="15"/>
      <c r="D2533" s="16"/>
      <c r="E2533" s="16"/>
      <c r="F2533" s="20"/>
      <c r="G2533" s="17"/>
    </row>
    <row r="2534" spans="2:7" x14ac:dyDescent="0.25">
      <c r="B2534" s="15"/>
      <c r="C2534" s="15"/>
      <c r="D2534" s="16"/>
      <c r="E2534" s="16"/>
      <c r="F2534" s="20"/>
      <c r="G2534" s="17"/>
    </row>
    <row r="2535" spans="2:7" x14ac:dyDescent="0.25">
      <c r="B2535" s="15"/>
      <c r="C2535" s="15"/>
      <c r="D2535" s="16"/>
      <c r="E2535" s="16"/>
      <c r="F2535" s="20"/>
      <c r="G2535" s="17"/>
    </row>
    <row r="2536" spans="2:7" x14ac:dyDescent="0.25">
      <c r="B2536" s="15"/>
      <c r="C2536" s="15"/>
      <c r="D2536" s="16"/>
      <c r="E2536" s="16"/>
      <c r="F2536" s="20"/>
      <c r="G2536" s="17"/>
    </row>
    <row r="2537" spans="2:7" x14ac:dyDescent="0.25">
      <c r="B2537" s="15"/>
      <c r="C2537" s="15"/>
      <c r="D2537" s="16"/>
      <c r="E2537" s="16"/>
      <c r="F2537" s="20"/>
      <c r="G2537" s="17"/>
    </row>
    <row r="2538" spans="2:7" x14ac:dyDescent="0.25">
      <c r="B2538" s="15"/>
      <c r="C2538" s="15"/>
      <c r="D2538" s="16"/>
      <c r="E2538" s="16"/>
      <c r="F2538" s="20"/>
      <c r="G2538" s="17"/>
    </row>
    <row r="2539" spans="2:7" x14ac:dyDescent="0.25">
      <c r="B2539" s="15"/>
      <c r="C2539" s="15"/>
      <c r="D2539" s="16"/>
      <c r="E2539" s="16"/>
      <c r="F2539" s="20"/>
      <c r="G2539" s="17"/>
    </row>
    <row r="2540" spans="2:7" x14ac:dyDescent="0.25">
      <c r="B2540" s="15"/>
      <c r="C2540" s="15"/>
      <c r="D2540" s="16"/>
      <c r="E2540" s="16"/>
      <c r="F2540" s="20"/>
      <c r="G2540" s="17"/>
    </row>
    <row r="2541" spans="2:7" x14ac:dyDescent="0.25">
      <c r="B2541" s="15"/>
      <c r="C2541" s="15"/>
      <c r="D2541" s="16"/>
      <c r="E2541" s="16"/>
      <c r="F2541" s="20"/>
      <c r="G2541" s="17"/>
    </row>
    <row r="2542" spans="2:7" x14ac:dyDescent="0.25">
      <c r="B2542" s="15"/>
      <c r="C2542" s="15"/>
      <c r="D2542" s="16"/>
      <c r="E2542" s="16"/>
      <c r="F2542" s="20"/>
      <c r="G2542" s="17"/>
    </row>
    <row r="2543" spans="2:7" x14ac:dyDescent="0.25">
      <c r="B2543" s="15"/>
      <c r="C2543" s="15"/>
      <c r="D2543" s="16"/>
      <c r="E2543" s="16"/>
      <c r="F2543" s="20"/>
      <c r="G2543" s="17"/>
    </row>
    <row r="2544" spans="2:7" x14ac:dyDescent="0.25">
      <c r="B2544" s="15"/>
      <c r="C2544" s="15"/>
      <c r="D2544" s="16"/>
      <c r="E2544" s="16"/>
      <c r="F2544" s="20"/>
      <c r="G2544" s="17"/>
    </row>
    <row r="2545" spans="2:7" x14ac:dyDescent="0.25">
      <c r="B2545" s="15"/>
      <c r="C2545" s="15"/>
      <c r="D2545" s="16"/>
      <c r="E2545" s="16"/>
      <c r="F2545" s="20"/>
      <c r="G2545" s="17"/>
    </row>
    <row r="2546" spans="2:7" x14ac:dyDescent="0.25">
      <c r="B2546" s="15"/>
      <c r="C2546" s="15"/>
      <c r="D2546" s="16"/>
      <c r="E2546" s="16"/>
      <c r="F2546" s="20"/>
      <c r="G2546" s="17"/>
    </row>
    <row r="2547" spans="2:7" x14ac:dyDescent="0.25">
      <c r="B2547" s="15"/>
      <c r="C2547" s="15"/>
      <c r="D2547" s="16"/>
      <c r="E2547" s="16"/>
      <c r="F2547" s="20"/>
      <c r="G2547" s="17"/>
    </row>
    <row r="2548" spans="2:7" x14ac:dyDescent="0.25">
      <c r="B2548" s="15"/>
      <c r="C2548" s="15"/>
      <c r="D2548" s="16"/>
      <c r="E2548" s="16"/>
      <c r="F2548" s="20"/>
      <c r="G2548" s="17"/>
    </row>
    <row r="2549" spans="2:7" x14ac:dyDescent="0.25">
      <c r="B2549" s="15"/>
      <c r="C2549" s="15"/>
      <c r="D2549" s="16"/>
      <c r="E2549" s="16"/>
      <c r="F2549" s="20"/>
      <c r="G2549" s="17"/>
    </row>
    <row r="2550" spans="2:7" x14ac:dyDescent="0.25">
      <c r="B2550" s="15"/>
      <c r="C2550" s="15"/>
      <c r="D2550" s="16"/>
      <c r="E2550" s="16"/>
      <c r="F2550" s="20"/>
      <c r="G2550" s="17"/>
    </row>
    <row r="2551" spans="2:7" x14ac:dyDescent="0.25">
      <c r="B2551" s="15"/>
      <c r="C2551" s="15"/>
      <c r="D2551" s="16"/>
      <c r="E2551" s="16"/>
      <c r="F2551" s="20"/>
      <c r="G2551" s="17"/>
    </row>
    <row r="2552" spans="2:7" x14ac:dyDescent="0.25">
      <c r="B2552" s="15"/>
      <c r="C2552" s="15"/>
      <c r="D2552" s="16"/>
      <c r="E2552" s="16"/>
      <c r="F2552" s="20"/>
      <c r="G2552" s="17"/>
    </row>
    <row r="2553" spans="2:7" x14ac:dyDescent="0.25">
      <c r="B2553" s="15"/>
      <c r="C2553" s="15"/>
      <c r="D2553" s="16"/>
      <c r="E2553" s="16"/>
      <c r="F2553" s="20"/>
      <c r="G2553" s="17"/>
    </row>
    <row r="2554" spans="2:7" x14ac:dyDescent="0.25">
      <c r="B2554" s="15"/>
      <c r="C2554" s="15"/>
      <c r="D2554" s="16"/>
      <c r="E2554" s="16"/>
      <c r="F2554" s="20"/>
      <c r="G2554" s="17"/>
    </row>
    <row r="2555" spans="2:7" x14ac:dyDescent="0.25">
      <c r="B2555" s="15"/>
      <c r="C2555" s="15"/>
      <c r="D2555" s="16"/>
      <c r="E2555" s="16"/>
      <c r="F2555" s="20"/>
      <c r="G2555" s="17"/>
    </row>
    <row r="2556" spans="2:7" x14ac:dyDescent="0.25">
      <c r="B2556" s="15"/>
      <c r="C2556" s="15"/>
      <c r="D2556" s="16"/>
      <c r="E2556" s="16"/>
      <c r="F2556" s="20"/>
      <c r="G2556" s="17"/>
    </row>
    <row r="2557" spans="2:7" x14ac:dyDescent="0.25">
      <c r="B2557" s="15"/>
      <c r="C2557" s="15"/>
      <c r="D2557" s="16"/>
      <c r="E2557" s="16"/>
      <c r="F2557" s="20"/>
      <c r="G2557" s="17"/>
    </row>
    <row r="2558" spans="2:7" x14ac:dyDescent="0.25">
      <c r="B2558" s="15"/>
      <c r="C2558" s="15"/>
      <c r="D2558" s="16"/>
      <c r="E2558" s="16"/>
      <c r="F2558" s="20"/>
      <c r="G2558" s="17"/>
    </row>
    <row r="2559" spans="2:7" x14ac:dyDescent="0.25">
      <c r="B2559" s="15"/>
      <c r="C2559" s="15"/>
      <c r="D2559" s="16"/>
      <c r="E2559" s="16"/>
      <c r="F2559" s="20"/>
      <c r="G2559" s="17"/>
    </row>
    <row r="2560" spans="2:7" x14ac:dyDescent="0.25">
      <c r="B2560" s="15"/>
      <c r="C2560" s="15"/>
      <c r="D2560" s="16"/>
      <c r="E2560" s="16"/>
      <c r="F2560" s="20"/>
      <c r="G2560" s="17"/>
    </row>
    <row r="2561" spans="2:7" x14ac:dyDescent="0.25">
      <c r="B2561" s="15"/>
      <c r="C2561" s="15"/>
      <c r="D2561" s="16"/>
      <c r="E2561" s="16"/>
      <c r="F2561" s="20"/>
      <c r="G2561" s="17"/>
    </row>
    <row r="2562" spans="2:7" x14ac:dyDescent="0.25">
      <c r="B2562" s="15"/>
      <c r="C2562" s="15"/>
      <c r="D2562" s="16"/>
      <c r="E2562" s="16"/>
      <c r="F2562" s="20"/>
      <c r="G2562" s="17"/>
    </row>
    <row r="2563" spans="2:7" x14ac:dyDescent="0.25">
      <c r="B2563" s="15"/>
      <c r="C2563" s="15"/>
      <c r="D2563" s="16"/>
      <c r="E2563" s="16"/>
      <c r="F2563" s="20"/>
      <c r="G2563" s="17"/>
    </row>
    <row r="2564" spans="2:7" x14ac:dyDescent="0.25">
      <c r="B2564" s="15"/>
      <c r="C2564" s="15"/>
      <c r="D2564" s="16"/>
      <c r="E2564" s="16"/>
      <c r="F2564" s="20"/>
      <c r="G2564" s="17"/>
    </row>
    <row r="2565" spans="2:7" x14ac:dyDescent="0.25">
      <c r="B2565" s="15"/>
      <c r="C2565" s="15"/>
      <c r="D2565" s="16"/>
      <c r="E2565" s="16"/>
      <c r="F2565" s="20"/>
      <c r="G2565" s="17"/>
    </row>
    <row r="2566" spans="2:7" x14ac:dyDescent="0.25">
      <c r="B2566" s="15"/>
      <c r="C2566" s="15"/>
      <c r="D2566" s="16"/>
      <c r="E2566" s="16"/>
      <c r="F2566" s="20"/>
      <c r="G2566" s="17"/>
    </row>
    <row r="2567" spans="2:7" x14ac:dyDescent="0.25">
      <c r="B2567" s="15"/>
      <c r="C2567" s="15"/>
      <c r="D2567" s="16"/>
      <c r="E2567" s="16"/>
      <c r="F2567" s="20"/>
      <c r="G2567" s="17"/>
    </row>
    <row r="2568" spans="2:7" x14ac:dyDescent="0.25">
      <c r="B2568" s="15"/>
      <c r="C2568" s="15"/>
      <c r="D2568" s="16"/>
      <c r="E2568" s="16"/>
      <c r="F2568" s="20"/>
      <c r="G2568" s="17"/>
    </row>
    <row r="2569" spans="2:7" x14ac:dyDescent="0.25">
      <c r="B2569" s="15"/>
      <c r="C2569" s="15"/>
      <c r="D2569" s="16"/>
      <c r="E2569" s="16"/>
      <c r="F2569" s="20"/>
      <c r="G2569" s="17"/>
    </row>
    <row r="2570" spans="2:7" x14ac:dyDescent="0.25">
      <c r="B2570" s="15"/>
      <c r="C2570" s="15"/>
      <c r="D2570" s="16"/>
      <c r="E2570" s="16"/>
      <c r="F2570" s="20"/>
      <c r="G2570" s="17"/>
    </row>
    <row r="2571" spans="2:7" x14ac:dyDescent="0.25">
      <c r="B2571" s="15"/>
      <c r="C2571" s="15"/>
      <c r="D2571" s="16"/>
      <c r="E2571" s="16"/>
      <c r="F2571" s="20"/>
      <c r="G2571" s="17"/>
    </row>
    <row r="2572" spans="2:7" x14ac:dyDescent="0.25">
      <c r="B2572" s="15"/>
      <c r="C2572" s="15"/>
      <c r="D2572" s="16"/>
      <c r="E2572" s="16"/>
      <c r="F2572" s="20"/>
      <c r="G2572" s="17"/>
    </row>
    <row r="2573" spans="2:7" x14ac:dyDescent="0.25">
      <c r="B2573" s="15"/>
      <c r="C2573" s="15"/>
      <c r="D2573" s="16"/>
      <c r="E2573" s="16"/>
      <c r="F2573" s="20"/>
      <c r="G2573" s="17"/>
    </row>
    <row r="2574" spans="2:7" x14ac:dyDescent="0.25">
      <c r="B2574" s="15"/>
      <c r="C2574" s="15"/>
      <c r="D2574" s="16"/>
      <c r="E2574" s="16"/>
      <c r="F2574" s="20"/>
      <c r="G2574" s="17"/>
    </row>
    <row r="2575" spans="2:7" x14ac:dyDescent="0.25">
      <c r="B2575" s="15"/>
      <c r="C2575" s="15"/>
      <c r="D2575" s="16"/>
      <c r="E2575" s="16"/>
      <c r="F2575" s="20"/>
      <c r="G2575" s="17"/>
    </row>
    <row r="2576" spans="2:7" x14ac:dyDescent="0.25">
      <c r="B2576" s="15"/>
      <c r="C2576" s="15"/>
      <c r="D2576" s="16"/>
      <c r="E2576" s="16"/>
      <c r="F2576" s="20"/>
      <c r="G2576" s="17"/>
    </row>
    <row r="2577" spans="2:7" x14ac:dyDescent="0.25">
      <c r="B2577" s="15"/>
      <c r="C2577" s="15"/>
      <c r="D2577" s="16"/>
      <c r="E2577" s="16"/>
      <c r="F2577" s="20"/>
      <c r="G2577" s="17"/>
    </row>
    <row r="2578" spans="2:7" x14ac:dyDescent="0.25">
      <c r="B2578" s="15"/>
      <c r="C2578" s="15"/>
      <c r="D2578" s="16"/>
      <c r="E2578" s="16"/>
      <c r="F2578" s="20"/>
      <c r="G2578" s="17"/>
    </row>
    <row r="2579" spans="2:7" x14ac:dyDescent="0.25">
      <c r="B2579" s="15"/>
      <c r="C2579" s="15"/>
      <c r="D2579" s="16"/>
      <c r="E2579" s="16"/>
      <c r="F2579" s="20"/>
      <c r="G2579" s="17"/>
    </row>
    <row r="2580" spans="2:7" x14ac:dyDescent="0.25">
      <c r="B2580" s="15"/>
      <c r="C2580" s="15"/>
      <c r="D2580" s="16"/>
      <c r="E2580" s="16"/>
      <c r="F2580" s="20"/>
      <c r="G2580" s="17"/>
    </row>
    <row r="2581" spans="2:7" x14ac:dyDescent="0.25">
      <c r="B2581" s="15"/>
      <c r="C2581" s="15"/>
      <c r="D2581" s="16"/>
      <c r="E2581" s="16"/>
      <c r="F2581" s="20"/>
      <c r="G2581" s="17"/>
    </row>
    <row r="2582" spans="2:7" x14ac:dyDescent="0.25">
      <c r="B2582" s="15"/>
      <c r="C2582" s="15"/>
      <c r="D2582" s="16"/>
      <c r="E2582" s="16"/>
      <c r="F2582" s="20"/>
      <c r="G2582" s="17"/>
    </row>
    <row r="2583" spans="2:7" x14ac:dyDescent="0.25">
      <c r="B2583" s="15"/>
      <c r="C2583" s="15"/>
      <c r="D2583" s="16"/>
      <c r="E2583" s="16"/>
      <c r="F2583" s="20"/>
      <c r="G2583" s="17"/>
    </row>
    <row r="2584" spans="2:7" x14ac:dyDescent="0.25">
      <c r="B2584" s="15"/>
      <c r="C2584" s="15"/>
      <c r="D2584" s="16"/>
      <c r="E2584" s="16"/>
      <c r="F2584" s="20"/>
      <c r="G2584" s="17"/>
    </row>
    <row r="2585" spans="2:7" x14ac:dyDescent="0.25">
      <c r="B2585" s="15"/>
      <c r="C2585" s="15"/>
      <c r="D2585" s="16"/>
      <c r="E2585" s="16"/>
      <c r="F2585" s="20"/>
      <c r="G2585" s="17"/>
    </row>
    <row r="2586" spans="2:7" x14ac:dyDescent="0.25">
      <c r="B2586" s="15"/>
      <c r="C2586" s="15"/>
      <c r="D2586" s="16"/>
      <c r="E2586" s="16"/>
      <c r="F2586" s="20"/>
      <c r="G2586" s="17"/>
    </row>
    <row r="2587" spans="2:7" x14ac:dyDescent="0.25">
      <c r="B2587" s="15"/>
      <c r="C2587" s="15"/>
      <c r="D2587" s="16"/>
      <c r="E2587" s="16"/>
      <c r="F2587" s="20"/>
      <c r="G2587" s="17"/>
    </row>
    <row r="2588" spans="2:7" x14ac:dyDescent="0.25">
      <c r="B2588" s="15"/>
      <c r="C2588" s="15"/>
      <c r="D2588" s="16"/>
      <c r="E2588" s="16"/>
      <c r="F2588" s="20"/>
      <c r="G2588" s="17"/>
    </row>
    <row r="2589" spans="2:7" x14ac:dyDescent="0.25">
      <c r="B2589" s="15"/>
      <c r="C2589" s="15"/>
      <c r="D2589" s="16"/>
      <c r="E2589" s="16"/>
      <c r="F2589" s="20"/>
      <c r="G2589" s="17"/>
    </row>
    <row r="2590" spans="2:7" x14ac:dyDescent="0.25">
      <c r="B2590" s="15"/>
      <c r="C2590" s="15"/>
      <c r="D2590" s="16"/>
      <c r="E2590" s="16"/>
      <c r="F2590" s="20"/>
      <c r="G2590" s="17"/>
    </row>
    <row r="2591" spans="2:7" x14ac:dyDescent="0.25">
      <c r="B2591" s="15"/>
      <c r="C2591" s="15"/>
      <c r="D2591" s="16"/>
      <c r="E2591" s="16"/>
      <c r="F2591" s="20"/>
      <c r="G2591" s="17"/>
    </row>
    <row r="2592" spans="2:7" x14ac:dyDescent="0.25">
      <c r="B2592" s="15"/>
      <c r="C2592" s="15"/>
      <c r="D2592" s="16"/>
      <c r="E2592" s="16"/>
      <c r="F2592" s="20"/>
      <c r="G2592" s="17"/>
    </row>
    <row r="2593" spans="2:7" x14ac:dyDescent="0.25">
      <c r="B2593" s="15"/>
      <c r="C2593" s="15"/>
      <c r="D2593" s="16"/>
      <c r="E2593" s="16"/>
      <c r="F2593" s="20"/>
      <c r="G2593" s="17"/>
    </row>
    <row r="2594" spans="2:7" x14ac:dyDescent="0.25">
      <c r="B2594" s="15"/>
      <c r="C2594" s="15"/>
      <c r="D2594" s="16"/>
      <c r="E2594" s="16"/>
      <c r="F2594" s="20"/>
      <c r="G2594" s="17"/>
    </row>
    <row r="2595" spans="2:7" x14ac:dyDescent="0.25">
      <c r="B2595" s="15"/>
      <c r="C2595" s="15"/>
      <c r="D2595" s="16"/>
      <c r="E2595" s="16"/>
      <c r="F2595" s="20"/>
      <c r="G2595" s="17"/>
    </row>
    <row r="2596" spans="2:7" x14ac:dyDescent="0.25">
      <c r="B2596" s="15"/>
      <c r="C2596" s="15"/>
      <c r="D2596" s="16"/>
      <c r="E2596" s="16"/>
      <c r="F2596" s="20"/>
      <c r="G2596" s="17"/>
    </row>
    <row r="2597" spans="2:7" x14ac:dyDescent="0.25">
      <c r="B2597" s="15"/>
      <c r="C2597" s="15"/>
      <c r="D2597" s="16"/>
      <c r="E2597" s="16"/>
      <c r="F2597" s="20"/>
      <c r="G2597" s="17"/>
    </row>
    <row r="2598" spans="2:7" x14ac:dyDescent="0.25">
      <c r="B2598" s="15"/>
      <c r="C2598" s="15"/>
      <c r="D2598" s="16"/>
      <c r="E2598" s="16"/>
      <c r="F2598" s="20"/>
      <c r="G2598" s="17"/>
    </row>
    <row r="2599" spans="2:7" x14ac:dyDescent="0.25">
      <c r="B2599" s="15"/>
      <c r="C2599" s="15"/>
      <c r="D2599" s="16"/>
      <c r="E2599" s="16"/>
      <c r="F2599" s="20"/>
      <c r="G2599" s="17"/>
    </row>
    <row r="2600" spans="2:7" x14ac:dyDescent="0.25">
      <c r="B2600" s="15"/>
      <c r="C2600" s="15"/>
      <c r="D2600" s="16"/>
      <c r="E2600" s="16"/>
      <c r="F2600" s="20"/>
      <c r="G2600" s="17"/>
    </row>
    <row r="2601" spans="2:7" x14ac:dyDescent="0.25">
      <c r="B2601" s="15"/>
      <c r="C2601" s="15"/>
      <c r="D2601" s="16"/>
      <c r="E2601" s="16"/>
      <c r="F2601" s="20"/>
      <c r="G2601" s="17"/>
    </row>
    <row r="2602" spans="2:7" x14ac:dyDescent="0.25">
      <c r="B2602" s="15"/>
      <c r="C2602" s="15"/>
      <c r="D2602" s="16"/>
      <c r="E2602" s="16"/>
      <c r="F2602" s="20"/>
      <c r="G2602" s="17"/>
    </row>
    <row r="2603" spans="2:7" x14ac:dyDescent="0.25">
      <c r="B2603" s="15"/>
      <c r="C2603" s="15"/>
      <c r="D2603" s="16"/>
      <c r="E2603" s="16"/>
      <c r="F2603" s="20"/>
      <c r="G2603" s="17"/>
    </row>
    <row r="2604" spans="2:7" x14ac:dyDescent="0.25">
      <c r="B2604" s="15"/>
      <c r="C2604" s="15"/>
      <c r="D2604" s="16"/>
      <c r="E2604" s="16"/>
      <c r="F2604" s="20"/>
      <c r="G2604" s="17"/>
    </row>
    <row r="2605" spans="2:7" x14ac:dyDescent="0.25">
      <c r="B2605" s="15"/>
      <c r="C2605" s="15"/>
      <c r="D2605" s="16"/>
      <c r="E2605" s="16"/>
      <c r="F2605" s="20"/>
      <c r="G2605" s="17"/>
    </row>
    <row r="2606" spans="2:7" x14ac:dyDescent="0.25">
      <c r="B2606" s="15"/>
      <c r="C2606" s="15"/>
      <c r="D2606" s="16"/>
      <c r="E2606" s="16"/>
      <c r="F2606" s="20"/>
      <c r="G2606" s="17"/>
    </row>
    <row r="2607" spans="2:7" x14ac:dyDescent="0.25">
      <c r="B2607" s="15"/>
      <c r="C2607" s="15"/>
      <c r="D2607" s="16"/>
      <c r="E2607" s="16"/>
      <c r="F2607" s="20"/>
      <c r="G2607" s="17"/>
    </row>
    <row r="2608" spans="2:7" x14ac:dyDescent="0.25">
      <c r="B2608" s="15"/>
      <c r="C2608" s="15"/>
      <c r="D2608" s="16"/>
      <c r="E2608" s="16"/>
      <c r="F2608" s="20"/>
      <c r="G2608" s="17"/>
    </row>
    <row r="2609" spans="2:7" x14ac:dyDescent="0.25">
      <c r="B2609" s="15"/>
      <c r="C2609" s="15"/>
      <c r="D2609" s="16"/>
      <c r="E2609" s="16"/>
      <c r="F2609" s="20"/>
      <c r="G2609" s="17"/>
    </row>
    <row r="2610" spans="2:7" x14ac:dyDescent="0.25">
      <c r="B2610" s="15"/>
      <c r="C2610" s="15"/>
      <c r="D2610" s="16"/>
      <c r="E2610" s="16"/>
      <c r="F2610" s="20"/>
      <c r="G2610" s="17"/>
    </row>
    <row r="2611" spans="2:7" x14ac:dyDescent="0.25">
      <c r="B2611" s="15"/>
      <c r="C2611" s="15"/>
      <c r="D2611" s="16"/>
      <c r="E2611" s="16"/>
      <c r="F2611" s="20"/>
      <c r="G2611" s="17"/>
    </row>
    <row r="2612" spans="2:7" x14ac:dyDescent="0.25">
      <c r="B2612" s="15"/>
      <c r="C2612" s="15"/>
      <c r="D2612" s="16"/>
      <c r="E2612" s="16"/>
      <c r="F2612" s="20"/>
      <c r="G2612" s="17"/>
    </row>
    <row r="2613" spans="2:7" x14ac:dyDescent="0.25">
      <c r="B2613" s="15"/>
      <c r="C2613" s="15"/>
      <c r="D2613" s="16"/>
      <c r="E2613" s="16"/>
      <c r="F2613" s="20"/>
      <c r="G2613" s="17"/>
    </row>
    <row r="2614" spans="2:7" x14ac:dyDescent="0.25">
      <c r="B2614" s="15"/>
      <c r="C2614" s="15"/>
      <c r="D2614" s="16"/>
      <c r="E2614" s="16"/>
      <c r="F2614" s="20"/>
      <c r="G2614" s="17"/>
    </row>
    <row r="2615" spans="2:7" x14ac:dyDescent="0.25">
      <c r="B2615" s="15"/>
      <c r="C2615" s="15"/>
      <c r="D2615" s="16"/>
      <c r="E2615" s="16"/>
      <c r="F2615" s="20"/>
      <c r="G2615" s="17"/>
    </row>
    <row r="2616" spans="2:7" x14ac:dyDescent="0.25">
      <c r="B2616" s="15"/>
      <c r="C2616" s="15"/>
      <c r="D2616" s="16"/>
      <c r="E2616" s="16"/>
      <c r="F2616" s="20"/>
      <c r="G2616" s="17"/>
    </row>
    <row r="2617" spans="2:7" x14ac:dyDescent="0.25">
      <c r="B2617" s="15"/>
      <c r="C2617" s="15"/>
      <c r="D2617" s="16"/>
      <c r="E2617" s="16"/>
      <c r="F2617" s="20"/>
      <c r="G2617" s="17"/>
    </row>
    <row r="2618" spans="2:7" x14ac:dyDescent="0.25">
      <c r="B2618" s="15"/>
      <c r="C2618" s="15"/>
      <c r="D2618" s="16"/>
      <c r="E2618" s="16"/>
      <c r="F2618" s="20"/>
      <c r="G2618" s="17"/>
    </row>
    <row r="2619" spans="2:7" x14ac:dyDescent="0.25">
      <c r="B2619" s="15"/>
      <c r="C2619" s="15"/>
      <c r="D2619" s="16"/>
      <c r="E2619" s="16"/>
      <c r="F2619" s="20"/>
      <c r="G2619" s="17"/>
    </row>
    <row r="2620" spans="2:7" x14ac:dyDescent="0.25">
      <c r="B2620" s="15"/>
      <c r="C2620" s="15"/>
      <c r="D2620" s="16"/>
      <c r="E2620" s="16"/>
      <c r="F2620" s="20"/>
      <c r="G2620" s="17"/>
    </row>
    <row r="2621" spans="2:7" x14ac:dyDescent="0.25">
      <c r="B2621" s="15"/>
      <c r="C2621" s="15"/>
      <c r="D2621" s="16"/>
      <c r="E2621" s="16"/>
      <c r="F2621" s="20"/>
      <c r="G2621" s="17"/>
    </row>
    <row r="2622" spans="2:7" x14ac:dyDescent="0.25">
      <c r="B2622" s="15"/>
      <c r="C2622" s="15"/>
      <c r="D2622" s="16"/>
      <c r="E2622" s="16"/>
      <c r="F2622" s="20"/>
      <c r="G2622" s="17"/>
    </row>
    <row r="2623" spans="2:7" x14ac:dyDescent="0.25">
      <c r="B2623" s="15"/>
      <c r="C2623" s="15"/>
      <c r="D2623" s="16"/>
      <c r="E2623" s="16"/>
      <c r="F2623" s="20"/>
      <c r="G2623" s="17"/>
    </row>
    <row r="2624" spans="2:7" x14ac:dyDescent="0.25">
      <c r="B2624" s="15"/>
      <c r="C2624" s="15"/>
      <c r="D2624" s="16"/>
      <c r="E2624" s="16"/>
      <c r="F2624" s="20"/>
      <c r="G2624" s="17"/>
    </row>
    <row r="2625" spans="2:7" x14ac:dyDescent="0.25">
      <c r="B2625" s="15"/>
      <c r="C2625" s="15"/>
      <c r="D2625" s="16"/>
      <c r="E2625" s="16"/>
      <c r="F2625" s="20"/>
      <c r="G2625" s="17"/>
    </row>
    <row r="2626" spans="2:7" x14ac:dyDescent="0.25">
      <c r="B2626" s="15"/>
      <c r="C2626" s="15"/>
      <c r="D2626" s="16"/>
      <c r="E2626" s="16"/>
      <c r="F2626" s="20"/>
      <c r="G2626" s="17"/>
    </row>
    <row r="2627" spans="2:7" x14ac:dyDescent="0.25">
      <c r="B2627" s="15"/>
      <c r="C2627" s="15"/>
      <c r="D2627" s="16"/>
      <c r="E2627" s="16"/>
      <c r="F2627" s="20"/>
      <c r="G2627" s="17"/>
    </row>
    <row r="2628" spans="2:7" x14ac:dyDescent="0.25">
      <c r="B2628" s="15"/>
      <c r="C2628" s="15"/>
      <c r="D2628" s="16"/>
      <c r="E2628" s="16"/>
      <c r="F2628" s="20"/>
      <c r="G2628" s="17"/>
    </row>
    <row r="2629" spans="2:7" x14ac:dyDescent="0.25">
      <c r="B2629" s="15"/>
      <c r="C2629" s="15"/>
      <c r="D2629" s="16"/>
      <c r="E2629" s="16"/>
      <c r="F2629" s="20"/>
      <c r="G2629" s="17"/>
    </row>
    <row r="2630" spans="2:7" x14ac:dyDescent="0.25">
      <c r="B2630" s="15"/>
      <c r="C2630" s="15"/>
      <c r="D2630" s="16"/>
      <c r="E2630" s="16"/>
      <c r="F2630" s="20"/>
      <c r="G2630" s="17"/>
    </row>
    <row r="2631" spans="2:7" x14ac:dyDescent="0.25">
      <c r="B2631" s="15"/>
      <c r="C2631" s="15"/>
      <c r="D2631" s="16"/>
      <c r="E2631" s="16"/>
      <c r="F2631" s="20"/>
      <c r="G2631" s="17"/>
    </row>
    <row r="2632" spans="2:7" x14ac:dyDescent="0.25">
      <c r="B2632" s="15"/>
      <c r="C2632" s="15"/>
      <c r="D2632" s="16"/>
      <c r="E2632" s="16"/>
      <c r="F2632" s="20"/>
      <c r="G2632" s="17"/>
    </row>
    <row r="2633" spans="2:7" x14ac:dyDescent="0.25">
      <c r="B2633" s="15"/>
      <c r="C2633" s="15"/>
      <c r="D2633" s="16"/>
      <c r="E2633" s="16"/>
      <c r="F2633" s="20"/>
      <c r="G2633" s="17"/>
    </row>
    <row r="2634" spans="2:7" x14ac:dyDescent="0.25">
      <c r="B2634" s="15"/>
      <c r="C2634" s="15"/>
      <c r="D2634" s="16"/>
      <c r="E2634" s="16"/>
      <c r="F2634" s="20"/>
      <c r="G2634" s="17"/>
    </row>
    <row r="2635" spans="2:7" x14ac:dyDescent="0.25">
      <c r="B2635" s="15"/>
      <c r="C2635" s="15"/>
      <c r="D2635" s="16"/>
      <c r="E2635" s="16"/>
      <c r="F2635" s="20"/>
      <c r="G2635" s="17"/>
    </row>
    <row r="2636" spans="2:7" x14ac:dyDescent="0.25">
      <c r="B2636" s="15"/>
      <c r="C2636" s="15"/>
      <c r="D2636" s="16"/>
      <c r="E2636" s="16"/>
      <c r="F2636" s="20"/>
      <c r="G2636" s="17"/>
    </row>
    <row r="2637" spans="2:7" x14ac:dyDescent="0.25">
      <c r="B2637" s="15"/>
      <c r="C2637" s="15"/>
      <c r="D2637" s="16"/>
      <c r="E2637" s="16"/>
      <c r="F2637" s="20"/>
      <c r="G2637" s="17"/>
    </row>
    <row r="2638" spans="2:7" x14ac:dyDescent="0.25">
      <c r="B2638" s="15"/>
      <c r="C2638" s="15"/>
      <c r="D2638" s="16"/>
      <c r="E2638" s="16"/>
      <c r="F2638" s="20"/>
      <c r="G2638" s="17"/>
    </row>
    <row r="2639" spans="2:7" x14ac:dyDescent="0.25">
      <c r="B2639" s="15"/>
      <c r="C2639" s="15"/>
      <c r="D2639" s="16"/>
      <c r="E2639" s="16"/>
      <c r="F2639" s="20"/>
      <c r="G2639" s="17"/>
    </row>
    <row r="2640" spans="2:7" x14ac:dyDescent="0.25">
      <c r="B2640" s="15"/>
      <c r="C2640" s="15"/>
      <c r="D2640" s="16"/>
      <c r="E2640" s="16"/>
      <c r="F2640" s="20"/>
      <c r="G2640" s="17"/>
    </row>
    <row r="2641" spans="2:7" x14ac:dyDescent="0.25">
      <c r="B2641" s="15"/>
      <c r="C2641" s="15"/>
      <c r="D2641" s="16"/>
      <c r="E2641" s="16"/>
      <c r="F2641" s="20"/>
      <c r="G2641" s="17"/>
    </row>
    <row r="2642" spans="2:7" x14ac:dyDescent="0.25">
      <c r="B2642" s="15"/>
      <c r="C2642" s="15"/>
      <c r="D2642" s="16"/>
      <c r="E2642" s="16"/>
      <c r="F2642" s="20"/>
      <c r="G2642" s="17"/>
    </row>
    <row r="2643" spans="2:7" x14ac:dyDescent="0.25">
      <c r="B2643" s="15"/>
      <c r="C2643" s="15"/>
      <c r="D2643" s="16"/>
      <c r="E2643" s="16"/>
      <c r="F2643" s="20"/>
      <c r="G2643" s="17"/>
    </row>
    <row r="2644" spans="2:7" x14ac:dyDescent="0.25">
      <c r="B2644" s="15"/>
      <c r="C2644" s="15"/>
      <c r="D2644" s="16"/>
      <c r="E2644" s="16"/>
      <c r="F2644" s="20"/>
      <c r="G2644" s="17"/>
    </row>
    <row r="2645" spans="2:7" x14ac:dyDescent="0.25">
      <c r="B2645" s="15"/>
      <c r="C2645" s="15"/>
      <c r="D2645" s="16"/>
      <c r="E2645" s="16"/>
      <c r="F2645" s="20"/>
      <c r="G2645" s="17"/>
    </row>
    <row r="2646" spans="2:7" x14ac:dyDescent="0.25">
      <c r="B2646" s="15"/>
      <c r="C2646" s="15"/>
      <c r="D2646" s="16"/>
      <c r="E2646" s="16"/>
      <c r="F2646" s="20"/>
      <c r="G2646" s="17"/>
    </row>
    <row r="2647" spans="2:7" x14ac:dyDescent="0.25">
      <c r="B2647" s="15"/>
      <c r="C2647" s="15"/>
      <c r="D2647" s="16"/>
      <c r="E2647" s="16"/>
      <c r="F2647" s="20"/>
      <c r="G2647" s="17"/>
    </row>
    <row r="2648" spans="2:7" x14ac:dyDescent="0.25">
      <c r="B2648" s="15"/>
      <c r="C2648" s="15"/>
      <c r="D2648" s="16"/>
      <c r="E2648" s="16"/>
      <c r="F2648" s="20"/>
      <c r="G2648" s="17"/>
    </row>
    <row r="2649" spans="2:7" x14ac:dyDescent="0.25">
      <c r="B2649" s="15"/>
      <c r="C2649" s="15"/>
      <c r="D2649" s="16"/>
      <c r="E2649" s="16"/>
      <c r="F2649" s="20"/>
      <c r="G2649" s="17"/>
    </row>
    <row r="2650" spans="2:7" x14ac:dyDescent="0.25">
      <c r="B2650" s="15"/>
      <c r="C2650" s="15"/>
      <c r="D2650" s="16"/>
      <c r="E2650" s="16"/>
      <c r="F2650" s="20"/>
      <c r="G2650" s="17"/>
    </row>
    <row r="2651" spans="2:7" x14ac:dyDescent="0.25">
      <c r="B2651" s="15"/>
      <c r="C2651" s="15"/>
      <c r="D2651" s="16"/>
      <c r="E2651" s="16"/>
      <c r="F2651" s="20"/>
      <c r="G2651" s="17"/>
    </row>
    <row r="2652" spans="2:7" x14ac:dyDescent="0.25">
      <c r="B2652" s="15"/>
      <c r="C2652" s="15"/>
      <c r="D2652" s="16"/>
      <c r="E2652" s="16"/>
      <c r="F2652" s="20"/>
      <c r="G2652" s="17"/>
    </row>
    <row r="2653" spans="2:7" x14ac:dyDescent="0.25">
      <c r="B2653" s="15"/>
      <c r="C2653" s="15"/>
      <c r="D2653" s="16"/>
      <c r="E2653" s="16"/>
      <c r="F2653" s="20"/>
      <c r="G2653" s="17"/>
    </row>
    <row r="2654" spans="2:7" x14ac:dyDescent="0.25">
      <c r="B2654" s="15"/>
      <c r="C2654" s="15"/>
      <c r="D2654" s="16"/>
      <c r="E2654" s="16"/>
      <c r="F2654" s="20"/>
      <c r="G2654" s="17"/>
    </row>
    <row r="2655" spans="2:7" x14ac:dyDescent="0.25">
      <c r="B2655" s="15"/>
      <c r="C2655" s="15"/>
      <c r="D2655" s="16"/>
      <c r="E2655" s="16"/>
      <c r="F2655" s="20"/>
      <c r="G2655" s="17"/>
    </row>
    <row r="2656" spans="2:7" x14ac:dyDescent="0.25">
      <c r="B2656" s="15"/>
      <c r="C2656" s="15"/>
      <c r="D2656" s="16"/>
      <c r="E2656" s="16"/>
      <c r="F2656" s="20"/>
      <c r="G2656" s="17"/>
    </row>
    <row r="2657" spans="2:7" x14ac:dyDescent="0.25">
      <c r="B2657" s="15"/>
      <c r="C2657" s="15"/>
      <c r="D2657" s="16"/>
      <c r="E2657" s="16"/>
      <c r="F2657" s="20"/>
      <c r="G2657" s="17"/>
    </row>
    <row r="2658" spans="2:7" x14ac:dyDescent="0.25">
      <c r="B2658" s="15"/>
      <c r="C2658" s="15"/>
      <c r="D2658" s="16"/>
      <c r="E2658" s="16"/>
      <c r="F2658" s="20"/>
      <c r="G2658" s="17"/>
    </row>
    <row r="2659" spans="2:7" x14ac:dyDescent="0.25">
      <c r="B2659" s="15"/>
      <c r="C2659" s="15"/>
      <c r="D2659" s="16"/>
      <c r="E2659" s="16"/>
      <c r="F2659" s="20"/>
      <c r="G2659" s="17"/>
    </row>
    <row r="2660" spans="2:7" x14ac:dyDescent="0.25">
      <c r="B2660" s="15"/>
      <c r="C2660" s="15"/>
      <c r="D2660" s="16"/>
      <c r="E2660" s="16"/>
      <c r="F2660" s="20"/>
      <c r="G2660" s="17"/>
    </row>
    <row r="2661" spans="2:7" x14ac:dyDescent="0.25">
      <c r="B2661" s="15"/>
      <c r="C2661" s="15"/>
      <c r="D2661" s="16"/>
      <c r="E2661" s="16"/>
      <c r="F2661" s="20"/>
      <c r="G2661" s="17"/>
    </row>
    <row r="2662" spans="2:7" x14ac:dyDescent="0.25">
      <c r="B2662" s="15"/>
      <c r="C2662" s="15"/>
      <c r="D2662" s="16"/>
      <c r="E2662" s="16"/>
      <c r="F2662" s="20"/>
      <c r="G2662" s="17"/>
    </row>
    <row r="2663" spans="2:7" x14ac:dyDescent="0.25">
      <c r="B2663" s="15"/>
      <c r="C2663" s="15"/>
      <c r="D2663" s="16"/>
      <c r="E2663" s="16"/>
      <c r="F2663" s="20"/>
      <c r="G2663" s="17"/>
    </row>
    <row r="2664" spans="2:7" x14ac:dyDescent="0.25">
      <c r="B2664" s="15"/>
      <c r="C2664" s="15"/>
      <c r="D2664" s="16"/>
      <c r="E2664" s="16"/>
      <c r="F2664" s="20"/>
      <c r="G2664" s="17"/>
    </row>
    <row r="2665" spans="2:7" x14ac:dyDescent="0.25">
      <c r="B2665" s="15"/>
      <c r="C2665" s="15"/>
      <c r="D2665" s="16"/>
      <c r="E2665" s="16"/>
      <c r="F2665" s="20"/>
      <c r="G2665" s="17"/>
    </row>
    <row r="2666" spans="2:7" x14ac:dyDescent="0.25">
      <c r="B2666" s="15"/>
      <c r="C2666" s="15"/>
      <c r="D2666" s="16"/>
      <c r="E2666" s="16"/>
      <c r="F2666" s="20"/>
      <c r="G2666" s="17"/>
    </row>
    <row r="2667" spans="2:7" x14ac:dyDescent="0.25">
      <c r="B2667" s="15"/>
      <c r="C2667" s="15"/>
      <c r="D2667" s="16"/>
      <c r="E2667" s="16"/>
      <c r="F2667" s="20"/>
      <c r="G2667" s="17"/>
    </row>
    <row r="2668" spans="2:7" x14ac:dyDescent="0.25">
      <c r="B2668" s="15"/>
      <c r="C2668" s="15"/>
      <c r="D2668" s="16"/>
      <c r="E2668" s="16"/>
      <c r="F2668" s="20"/>
      <c r="G2668" s="17"/>
    </row>
    <row r="2669" spans="2:7" x14ac:dyDescent="0.25">
      <c r="B2669" s="15"/>
      <c r="C2669" s="15"/>
      <c r="D2669" s="16"/>
      <c r="E2669" s="16"/>
      <c r="F2669" s="20"/>
      <c r="G2669" s="17"/>
    </row>
    <row r="2670" spans="2:7" x14ac:dyDescent="0.25">
      <c r="B2670" s="15"/>
      <c r="C2670" s="15"/>
      <c r="D2670" s="16"/>
      <c r="E2670" s="16"/>
      <c r="F2670" s="20"/>
      <c r="G2670" s="17"/>
    </row>
    <row r="2671" spans="2:7" x14ac:dyDescent="0.25">
      <c r="B2671" s="15"/>
      <c r="C2671" s="15"/>
      <c r="D2671" s="16"/>
      <c r="E2671" s="16"/>
      <c r="F2671" s="20"/>
      <c r="G2671" s="17"/>
    </row>
    <row r="2672" spans="2:7" x14ac:dyDescent="0.25">
      <c r="B2672" s="15"/>
      <c r="C2672" s="15"/>
      <c r="D2672" s="16"/>
      <c r="E2672" s="16"/>
      <c r="F2672" s="20"/>
      <c r="G2672" s="17"/>
    </row>
    <row r="2673" spans="2:7" x14ac:dyDescent="0.25">
      <c r="B2673" s="15"/>
      <c r="C2673" s="15"/>
      <c r="D2673" s="16"/>
      <c r="E2673" s="16"/>
      <c r="F2673" s="20"/>
      <c r="G2673" s="17"/>
    </row>
    <row r="2674" spans="2:7" x14ac:dyDescent="0.25">
      <c r="B2674" s="15"/>
      <c r="C2674" s="15"/>
      <c r="D2674" s="16"/>
      <c r="E2674" s="16"/>
      <c r="F2674" s="20"/>
      <c r="G2674" s="17"/>
    </row>
    <row r="2675" spans="2:7" x14ac:dyDescent="0.25">
      <c r="B2675" s="15"/>
      <c r="C2675" s="15"/>
      <c r="D2675" s="16"/>
      <c r="E2675" s="16"/>
      <c r="F2675" s="20"/>
      <c r="G2675" s="17"/>
    </row>
    <row r="2676" spans="2:7" x14ac:dyDescent="0.25">
      <c r="B2676" s="15"/>
      <c r="C2676" s="15"/>
      <c r="D2676" s="16"/>
      <c r="E2676" s="16"/>
      <c r="F2676" s="20"/>
      <c r="G2676" s="17"/>
    </row>
    <row r="2677" spans="2:7" x14ac:dyDescent="0.25">
      <c r="B2677" s="15"/>
      <c r="C2677" s="15"/>
      <c r="D2677" s="16"/>
      <c r="E2677" s="16"/>
      <c r="F2677" s="20"/>
      <c r="G2677" s="17"/>
    </row>
    <row r="2678" spans="2:7" x14ac:dyDescent="0.25">
      <c r="B2678" s="15"/>
      <c r="C2678" s="15"/>
      <c r="D2678" s="16"/>
      <c r="E2678" s="16"/>
      <c r="F2678" s="20"/>
      <c r="G2678" s="17"/>
    </row>
    <row r="2679" spans="2:7" x14ac:dyDescent="0.25">
      <c r="B2679" s="15"/>
      <c r="C2679" s="15"/>
      <c r="D2679" s="16"/>
      <c r="E2679" s="16"/>
      <c r="F2679" s="20"/>
      <c r="G2679" s="17"/>
    </row>
    <row r="2680" spans="2:7" x14ac:dyDescent="0.25">
      <c r="B2680" s="15"/>
      <c r="C2680" s="15"/>
      <c r="D2680" s="16"/>
      <c r="E2680" s="16"/>
      <c r="F2680" s="20"/>
      <c r="G2680" s="17"/>
    </row>
    <row r="2681" spans="2:7" x14ac:dyDescent="0.25">
      <c r="B2681" s="15"/>
      <c r="C2681" s="15"/>
      <c r="D2681" s="16"/>
      <c r="E2681" s="16"/>
      <c r="F2681" s="20"/>
      <c r="G2681" s="17"/>
    </row>
    <row r="2682" spans="2:7" x14ac:dyDescent="0.25">
      <c r="B2682" s="15"/>
      <c r="C2682" s="15"/>
      <c r="D2682" s="16"/>
      <c r="E2682" s="16"/>
      <c r="F2682" s="20"/>
      <c r="G2682" s="17"/>
    </row>
    <row r="2683" spans="2:7" x14ac:dyDescent="0.25">
      <c r="B2683" s="15"/>
      <c r="C2683" s="15"/>
      <c r="D2683" s="16"/>
      <c r="E2683" s="16"/>
      <c r="F2683" s="20"/>
      <c r="G2683" s="17"/>
    </row>
    <row r="2684" spans="2:7" x14ac:dyDescent="0.25">
      <c r="B2684" s="15"/>
      <c r="C2684" s="15"/>
      <c r="D2684" s="16"/>
      <c r="E2684" s="16"/>
      <c r="F2684" s="20"/>
      <c r="G2684" s="17"/>
    </row>
    <row r="2685" spans="2:7" x14ac:dyDescent="0.25">
      <c r="B2685" s="15"/>
      <c r="C2685" s="15"/>
      <c r="D2685" s="16"/>
      <c r="E2685" s="16"/>
      <c r="F2685" s="20"/>
      <c r="G2685" s="17"/>
    </row>
    <row r="2686" spans="2:7" x14ac:dyDescent="0.25">
      <c r="B2686" s="15"/>
      <c r="C2686" s="15"/>
      <c r="D2686" s="16"/>
      <c r="E2686" s="16"/>
      <c r="F2686" s="20"/>
      <c r="G2686" s="17"/>
    </row>
    <row r="2687" spans="2:7" x14ac:dyDescent="0.25">
      <c r="B2687" s="15"/>
      <c r="C2687" s="15"/>
      <c r="D2687" s="16"/>
      <c r="E2687" s="16"/>
      <c r="F2687" s="20"/>
      <c r="G2687" s="17"/>
    </row>
    <row r="2688" spans="2:7" x14ac:dyDescent="0.25">
      <c r="B2688" s="15"/>
      <c r="C2688" s="15"/>
      <c r="D2688" s="16"/>
      <c r="E2688" s="16"/>
      <c r="F2688" s="20"/>
      <c r="G2688" s="17"/>
    </row>
    <row r="2689" spans="2:7" x14ac:dyDescent="0.25">
      <c r="B2689" s="15"/>
      <c r="C2689" s="15"/>
      <c r="D2689" s="16"/>
      <c r="E2689" s="16"/>
      <c r="F2689" s="20"/>
      <c r="G2689" s="17"/>
    </row>
    <row r="2690" spans="2:7" x14ac:dyDescent="0.25">
      <c r="B2690" s="15"/>
      <c r="C2690" s="15"/>
      <c r="D2690" s="16"/>
      <c r="E2690" s="16"/>
      <c r="F2690" s="20"/>
      <c r="G2690" s="17"/>
    </row>
    <row r="2691" spans="2:7" x14ac:dyDescent="0.25">
      <c r="B2691" s="15"/>
      <c r="C2691" s="15"/>
      <c r="D2691" s="16"/>
      <c r="E2691" s="16"/>
      <c r="F2691" s="20"/>
      <c r="G2691" s="17"/>
    </row>
    <row r="2692" spans="2:7" x14ac:dyDescent="0.25">
      <c r="B2692" s="15"/>
      <c r="C2692" s="15"/>
      <c r="D2692" s="16"/>
      <c r="E2692" s="16"/>
      <c r="F2692" s="20"/>
      <c r="G2692" s="17"/>
    </row>
    <row r="2693" spans="2:7" x14ac:dyDescent="0.25">
      <c r="B2693" s="15"/>
      <c r="C2693" s="15"/>
      <c r="D2693" s="16"/>
      <c r="E2693" s="16"/>
      <c r="F2693" s="20"/>
      <c r="G2693" s="17"/>
    </row>
    <row r="2694" spans="2:7" x14ac:dyDescent="0.25">
      <c r="B2694" s="15"/>
      <c r="C2694" s="15"/>
      <c r="D2694" s="16"/>
      <c r="E2694" s="16"/>
      <c r="F2694" s="20"/>
      <c r="G2694" s="17"/>
    </row>
    <row r="2695" spans="2:7" x14ac:dyDescent="0.25">
      <c r="B2695" s="15"/>
      <c r="C2695" s="15"/>
      <c r="D2695" s="16"/>
      <c r="E2695" s="16"/>
      <c r="F2695" s="20"/>
      <c r="G2695" s="17"/>
    </row>
    <row r="2696" spans="2:7" x14ac:dyDescent="0.25">
      <c r="B2696" s="15"/>
      <c r="C2696" s="15"/>
      <c r="D2696" s="16"/>
      <c r="E2696" s="16"/>
      <c r="F2696" s="20"/>
      <c r="G2696" s="17"/>
    </row>
    <row r="2697" spans="2:7" x14ac:dyDescent="0.25">
      <c r="B2697" s="15"/>
      <c r="C2697" s="15"/>
      <c r="D2697" s="16"/>
      <c r="E2697" s="16"/>
      <c r="F2697" s="20"/>
      <c r="G2697" s="17"/>
    </row>
    <row r="2698" spans="2:7" x14ac:dyDescent="0.25">
      <c r="B2698" s="15"/>
      <c r="C2698" s="15"/>
      <c r="D2698" s="16"/>
      <c r="E2698" s="16"/>
      <c r="F2698" s="20"/>
      <c r="G2698" s="17"/>
    </row>
    <row r="2699" spans="2:7" x14ac:dyDescent="0.25">
      <c r="B2699" s="15"/>
      <c r="C2699" s="15"/>
      <c r="D2699" s="16"/>
      <c r="E2699" s="16"/>
      <c r="F2699" s="20"/>
      <c r="G2699" s="17"/>
    </row>
    <row r="2700" spans="2:7" x14ac:dyDescent="0.25">
      <c r="B2700" s="15"/>
      <c r="C2700" s="15"/>
      <c r="D2700" s="16"/>
      <c r="E2700" s="16"/>
      <c r="F2700" s="20"/>
      <c r="G2700" s="17"/>
    </row>
    <row r="2701" spans="2:7" x14ac:dyDescent="0.25">
      <c r="B2701" s="15"/>
      <c r="C2701" s="15"/>
      <c r="D2701" s="16"/>
      <c r="E2701" s="16"/>
      <c r="F2701" s="20"/>
      <c r="G2701" s="17"/>
    </row>
    <row r="2702" spans="2:7" x14ac:dyDescent="0.25">
      <c r="B2702" s="15"/>
      <c r="C2702" s="15"/>
      <c r="D2702" s="16"/>
      <c r="E2702" s="16"/>
      <c r="F2702" s="20"/>
      <c r="G2702" s="17"/>
    </row>
    <row r="2703" spans="2:7" x14ac:dyDescent="0.25">
      <c r="B2703" s="15"/>
      <c r="C2703" s="15"/>
      <c r="D2703" s="16"/>
      <c r="E2703" s="16"/>
      <c r="F2703" s="20"/>
      <c r="G2703" s="17"/>
    </row>
    <row r="2704" spans="2:7" x14ac:dyDescent="0.25">
      <c r="B2704" s="15"/>
      <c r="C2704" s="15"/>
      <c r="D2704" s="16"/>
      <c r="E2704" s="16"/>
      <c r="F2704" s="20"/>
      <c r="G2704" s="17"/>
    </row>
    <row r="2705" spans="2:7" x14ac:dyDescent="0.25">
      <c r="B2705" s="15"/>
      <c r="C2705" s="15"/>
      <c r="D2705" s="16"/>
      <c r="E2705" s="16"/>
      <c r="F2705" s="20"/>
      <c r="G2705" s="17"/>
    </row>
    <row r="2706" spans="2:7" x14ac:dyDescent="0.25">
      <c r="B2706" s="15"/>
      <c r="C2706" s="15"/>
      <c r="D2706" s="16"/>
      <c r="E2706" s="16"/>
      <c r="F2706" s="20"/>
      <c r="G2706" s="17"/>
    </row>
    <row r="2707" spans="2:7" x14ac:dyDescent="0.25">
      <c r="B2707" s="15"/>
      <c r="C2707" s="15"/>
      <c r="D2707" s="16"/>
      <c r="E2707" s="16"/>
      <c r="F2707" s="20"/>
      <c r="G2707" s="17"/>
    </row>
    <row r="2708" spans="2:7" x14ac:dyDescent="0.25">
      <c r="B2708" s="15"/>
      <c r="C2708" s="15"/>
      <c r="D2708" s="16"/>
      <c r="E2708" s="16"/>
      <c r="F2708" s="20"/>
      <c r="G2708" s="17"/>
    </row>
    <row r="2709" spans="2:7" x14ac:dyDescent="0.25">
      <c r="B2709" s="15"/>
      <c r="C2709" s="15"/>
      <c r="D2709" s="16"/>
      <c r="E2709" s="16"/>
      <c r="F2709" s="20"/>
      <c r="G2709" s="17"/>
    </row>
    <row r="2710" spans="2:7" x14ac:dyDescent="0.25">
      <c r="B2710" s="15"/>
      <c r="C2710" s="15"/>
      <c r="D2710" s="16"/>
      <c r="E2710" s="16"/>
      <c r="F2710" s="20"/>
      <c r="G2710" s="17"/>
    </row>
    <row r="2711" spans="2:7" x14ac:dyDescent="0.25">
      <c r="B2711" s="15"/>
      <c r="C2711" s="15"/>
      <c r="D2711" s="16"/>
      <c r="E2711" s="16"/>
      <c r="F2711" s="20"/>
      <c r="G2711" s="17"/>
    </row>
    <row r="2712" spans="2:7" x14ac:dyDescent="0.25">
      <c r="B2712" s="15"/>
      <c r="C2712" s="15"/>
      <c r="D2712" s="16"/>
      <c r="E2712" s="16"/>
      <c r="F2712" s="20"/>
      <c r="G2712" s="17"/>
    </row>
    <row r="2713" spans="2:7" x14ac:dyDescent="0.25">
      <c r="B2713" s="15"/>
      <c r="C2713" s="15"/>
      <c r="D2713" s="16"/>
      <c r="E2713" s="16"/>
      <c r="F2713" s="20"/>
      <c r="G2713" s="17"/>
    </row>
    <row r="2714" spans="2:7" x14ac:dyDescent="0.25">
      <c r="B2714" s="15"/>
      <c r="C2714" s="15"/>
      <c r="D2714" s="16"/>
      <c r="E2714" s="16"/>
      <c r="F2714" s="20"/>
      <c r="G2714" s="17"/>
    </row>
    <row r="2715" spans="2:7" x14ac:dyDescent="0.25">
      <c r="B2715" s="15"/>
      <c r="C2715" s="15"/>
      <c r="D2715" s="16"/>
      <c r="E2715" s="16"/>
      <c r="F2715" s="20"/>
      <c r="G2715" s="17"/>
    </row>
    <row r="2716" spans="2:7" x14ac:dyDescent="0.25">
      <c r="B2716" s="15"/>
      <c r="C2716" s="15"/>
      <c r="D2716" s="16"/>
      <c r="E2716" s="16"/>
      <c r="F2716" s="20"/>
      <c r="G2716" s="17"/>
    </row>
    <row r="2717" spans="2:7" x14ac:dyDescent="0.25">
      <c r="B2717" s="15"/>
      <c r="C2717" s="15"/>
      <c r="D2717" s="16"/>
      <c r="E2717" s="16"/>
      <c r="F2717" s="20"/>
      <c r="G2717" s="17"/>
    </row>
    <row r="2718" spans="2:7" x14ac:dyDescent="0.25">
      <c r="B2718" s="15"/>
      <c r="C2718" s="15"/>
      <c r="D2718" s="16"/>
      <c r="E2718" s="16"/>
      <c r="F2718" s="20"/>
      <c r="G2718" s="17"/>
    </row>
    <row r="2719" spans="2:7" x14ac:dyDescent="0.25">
      <c r="B2719" s="15"/>
      <c r="C2719" s="15"/>
      <c r="D2719" s="16"/>
      <c r="E2719" s="16"/>
      <c r="F2719" s="20"/>
      <c r="G2719" s="17"/>
    </row>
    <row r="2720" spans="2:7" x14ac:dyDescent="0.25">
      <c r="B2720" s="15"/>
      <c r="C2720" s="15"/>
      <c r="D2720" s="16"/>
      <c r="E2720" s="16"/>
      <c r="F2720" s="20"/>
      <c r="G2720" s="17"/>
    </row>
    <row r="2721" spans="2:7" x14ac:dyDescent="0.25">
      <c r="B2721" s="15"/>
      <c r="C2721" s="15"/>
      <c r="D2721" s="16"/>
      <c r="E2721" s="16"/>
      <c r="F2721" s="20"/>
      <c r="G2721" s="17"/>
    </row>
    <row r="2722" spans="2:7" x14ac:dyDescent="0.25">
      <c r="B2722" s="15"/>
      <c r="C2722" s="15"/>
      <c r="D2722" s="16"/>
      <c r="E2722" s="16"/>
      <c r="F2722" s="20"/>
      <c r="G2722" s="17"/>
    </row>
    <row r="2723" spans="2:7" x14ac:dyDescent="0.25">
      <c r="B2723" s="15"/>
      <c r="C2723" s="15"/>
      <c r="D2723" s="16"/>
      <c r="E2723" s="16"/>
      <c r="F2723" s="20"/>
      <c r="G2723" s="17"/>
    </row>
    <row r="2724" spans="2:7" x14ac:dyDescent="0.25">
      <c r="B2724" s="15"/>
      <c r="C2724" s="15"/>
      <c r="D2724" s="16"/>
      <c r="E2724" s="16"/>
      <c r="F2724" s="20"/>
      <c r="G2724" s="17"/>
    </row>
    <row r="2725" spans="2:7" x14ac:dyDescent="0.25">
      <c r="B2725" s="15"/>
      <c r="C2725" s="15"/>
      <c r="D2725" s="16"/>
      <c r="E2725" s="16"/>
      <c r="F2725" s="20"/>
      <c r="G2725" s="17"/>
    </row>
    <row r="2726" spans="2:7" x14ac:dyDescent="0.25">
      <c r="B2726" s="15"/>
      <c r="C2726" s="15"/>
      <c r="D2726" s="16"/>
      <c r="E2726" s="16"/>
      <c r="F2726" s="20"/>
      <c r="G2726" s="17"/>
    </row>
    <row r="2727" spans="2:7" x14ac:dyDescent="0.25">
      <c r="B2727" s="15"/>
      <c r="C2727" s="15"/>
      <c r="D2727" s="16"/>
      <c r="E2727" s="16"/>
      <c r="F2727" s="20"/>
      <c r="G2727" s="17"/>
    </row>
    <row r="2728" spans="2:7" x14ac:dyDescent="0.25">
      <c r="B2728" s="15"/>
      <c r="C2728" s="15"/>
      <c r="D2728" s="16"/>
      <c r="E2728" s="16"/>
      <c r="F2728" s="20"/>
      <c r="G2728" s="17"/>
    </row>
    <row r="2729" spans="2:7" x14ac:dyDescent="0.25">
      <c r="B2729" s="15"/>
      <c r="C2729" s="15"/>
      <c r="D2729" s="16"/>
      <c r="E2729" s="16"/>
      <c r="F2729" s="20"/>
      <c r="G2729" s="17"/>
    </row>
    <row r="2730" spans="2:7" x14ac:dyDescent="0.25">
      <c r="B2730" s="15"/>
      <c r="C2730" s="15"/>
      <c r="D2730" s="16"/>
      <c r="E2730" s="16"/>
      <c r="F2730" s="20"/>
      <c r="G2730" s="17"/>
    </row>
    <row r="2731" spans="2:7" x14ac:dyDescent="0.25">
      <c r="B2731" s="15"/>
      <c r="C2731" s="15"/>
      <c r="D2731" s="16"/>
      <c r="E2731" s="16"/>
      <c r="F2731" s="20"/>
      <c r="G2731" s="17"/>
    </row>
    <row r="2732" spans="2:7" x14ac:dyDescent="0.25">
      <c r="B2732" s="15"/>
      <c r="C2732" s="15"/>
      <c r="D2732" s="16"/>
      <c r="E2732" s="16"/>
      <c r="F2732" s="20"/>
      <c r="G2732" s="17"/>
    </row>
    <row r="2733" spans="2:7" x14ac:dyDescent="0.25">
      <c r="B2733" s="15"/>
      <c r="C2733" s="15"/>
      <c r="D2733" s="16"/>
      <c r="E2733" s="16"/>
      <c r="F2733" s="20"/>
      <c r="G2733" s="17"/>
    </row>
    <row r="2734" spans="2:7" x14ac:dyDescent="0.25">
      <c r="B2734" s="15"/>
      <c r="C2734" s="15"/>
      <c r="D2734" s="16"/>
      <c r="E2734" s="16"/>
      <c r="F2734" s="20"/>
      <c r="G2734" s="17"/>
    </row>
    <row r="2735" spans="2:7" x14ac:dyDescent="0.25">
      <c r="B2735" s="15"/>
      <c r="C2735" s="15"/>
      <c r="D2735" s="16"/>
      <c r="E2735" s="16"/>
      <c r="F2735" s="20"/>
      <c r="G2735" s="17"/>
    </row>
    <row r="2736" spans="2:7" x14ac:dyDescent="0.25">
      <c r="B2736" s="15"/>
      <c r="C2736" s="15"/>
      <c r="D2736" s="16"/>
      <c r="E2736" s="16"/>
      <c r="F2736" s="20"/>
      <c r="G2736" s="17"/>
    </row>
    <row r="2737" spans="2:7" x14ac:dyDescent="0.25">
      <c r="B2737" s="15"/>
      <c r="C2737" s="15"/>
      <c r="D2737" s="16"/>
      <c r="E2737" s="16"/>
      <c r="F2737" s="20"/>
      <c r="G2737" s="17"/>
    </row>
    <row r="2738" spans="2:7" x14ac:dyDescent="0.25">
      <c r="B2738" s="15"/>
      <c r="C2738" s="15"/>
      <c r="D2738" s="16"/>
      <c r="E2738" s="16"/>
      <c r="F2738" s="20"/>
      <c r="G2738" s="17"/>
    </row>
    <row r="2739" spans="2:7" x14ac:dyDescent="0.25">
      <c r="B2739" s="15"/>
      <c r="C2739" s="15"/>
      <c r="D2739" s="16"/>
      <c r="E2739" s="16"/>
      <c r="F2739" s="20"/>
      <c r="G2739" s="17"/>
    </row>
    <row r="2740" spans="2:7" x14ac:dyDescent="0.25">
      <c r="B2740" s="15"/>
      <c r="C2740" s="15"/>
      <c r="D2740" s="16"/>
      <c r="E2740" s="16"/>
      <c r="F2740" s="20"/>
      <c r="G2740" s="17"/>
    </row>
    <row r="2741" spans="2:7" x14ac:dyDescent="0.25">
      <c r="B2741" s="15"/>
      <c r="C2741" s="15"/>
      <c r="D2741" s="16"/>
      <c r="E2741" s="16"/>
      <c r="F2741" s="20"/>
      <c r="G2741" s="17"/>
    </row>
    <row r="2742" spans="2:7" x14ac:dyDescent="0.25">
      <c r="B2742" s="15"/>
      <c r="C2742" s="15"/>
      <c r="D2742" s="16"/>
      <c r="E2742" s="16"/>
      <c r="F2742" s="20"/>
      <c r="G2742" s="17"/>
    </row>
    <row r="2743" spans="2:7" x14ac:dyDescent="0.25">
      <c r="B2743" s="15"/>
      <c r="C2743" s="15"/>
      <c r="D2743" s="16"/>
      <c r="E2743" s="16"/>
      <c r="F2743" s="20"/>
      <c r="G2743" s="17"/>
    </row>
    <row r="2744" spans="2:7" x14ac:dyDescent="0.25">
      <c r="B2744" s="15"/>
      <c r="C2744" s="15"/>
      <c r="D2744" s="16"/>
      <c r="E2744" s="16"/>
      <c r="F2744" s="20"/>
      <c r="G2744" s="17"/>
    </row>
    <row r="2745" spans="2:7" x14ac:dyDescent="0.25">
      <c r="B2745" s="15"/>
      <c r="C2745" s="15"/>
      <c r="D2745" s="16"/>
      <c r="E2745" s="16"/>
      <c r="F2745" s="20"/>
      <c r="G2745" s="17"/>
    </row>
    <row r="2746" spans="2:7" x14ac:dyDescent="0.25">
      <c r="B2746" s="15"/>
      <c r="C2746" s="15"/>
      <c r="D2746" s="16"/>
      <c r="E2746" s="16"/>
      <c r="F2746" s="20"/>
      <c r="G2746" s="17"/>
    </row>
    <row r="2747" spans="2:7" x14ac:dyDescent="0.25">
      <c r="B2747" s="15"/>
      <c r="C2747" s="15"/>
      <c r="D2747" s="16"/>
      <c r="E2747" s="16"/>
      <c r="F2747" s="20"/>
      <c r="G2747" s="17"/>
    </row>
    <row r="2748" spans="2:7" x14ac:dyDescent="0.25">
      <c r="B2748" s="15"/>
      <c r="C2748" s="15"/>
      <c r="D2748" s="16"/>
      <c r="E2748" s="16"/>
      <c r="F2748" s="20"/>
      <c r="G2748" s="17"/>
    </row>
    <row r="2749" spans="2:7" x14ac:dyDescent="0.25">
      <c r="B2749" s="15"/>
      <c r="C2749" s="15"/>
      <c r="D2749" s="16"/>
      <c r="E2749" s="16"/>
      <c r="F2749" s="20"/>
      <c r="G2749" s="17"/>
    </row>
    <row r="2750" spans="2:7" x14ac:dyDescent="0.25">
      <c r="B2750" s="15"/>
      <c r="C2750" s="15"/>
      <c r="D2750" s="16"/>
      <c r="E2750" s="16"/>
      <c r="F2750" s="20"/>
      <c r="G2750" s="17"/>
    </row>
    <row r="2751" spans="2:7" x14ac:dyDescent="0.25">
      <c r="B2751" s="15"/>
      <c r="C2751" s="15"/>
      <c r="D2751" s="16"/>
      <c r="E2751" s="16"/>
      <c r="F2751" s="20"/>
      <c r="G2751" s="17"/>
    </row>
    <row r="2752" spans="2:7" x14ac:dyDescent="0.25">
      <c r="B2752" s="15"/>
      <c r="C2752" s="15"/>
      <c r="D2752" s="16"/>
      <c r="E2752" s="16"/>
      <c r="F2752" s="20"/>
      <c r="G2752" s="17"/>
    </row>
    <row r="2753" spans="2:7" x14ac:dyDescent="0.25">
      <c r="B2753" s="15"/>
      <c r="C2753" s="15"/>
      <c r="D2753" s="16"/>
      <c r="E2753" s="16"/>
      <c r="F2753" s="20"/>
      <c r="G2753" s="17"/>
    </row>
    <row r="2754" spans="2:7" x14ac:dyDescent="0.25">
      <c r="B2754" s="15"/>
      <c r="C2754" s="15"/>
      <c r="D2754" s="16"/>
      <c r="E2754" s="16"/>
      <c r="F2754" s="20"/>
      <c r="G2754" s="17"/>
    </row>
    <row r="2755" spans="2:7" x14ac:dyDescent="0.25">
      <c r="B2755" s="15"/>
      <c r="C2755" s="15"/>
      <c r="D2755" s="16"/>
      <c r="E2755" s="16"/>
      <c r="F2755" s="20"/>
      <c r="G2755" s="17"/>
    </row>
    <row r="2756" spans="2:7" x14ac:dyDescent="0.25">
      <c r="B2756" s="15"/>
      <c r="C2756" s="15"/>
      <c r="D2756" s="16"/>
      <c r="E2756" s="16"/>
      <c r="F2756" s="20"/>
      <c r="G2756" s="17"/>
    </row>
    <row r="2757" spans="2:7" x14ac:dyDescent="0.25">
      <c r="B2757" s="15"/>
      <c r="C2757" s="15"/>
      <c r="D2757" s="16"/>
      <c r="E2757" s="16"/>
      <c r="F2757" s="20"/>
      <c r="G2757" s="17"/>
    </row>
    <row r="2758" spans="2:7" x14ac:dyDescent="0.25">
      <c r="B2758" s="15"/>
      <c r="C2758" s="15"/>
      <c r="D2758" s="16"/>
      <c r="E2758" s="16"/>
      <c r="F2758" s="20"/>
      <c r="G2758" s="17"/>
    </row>
    <row r="2759" spans="2:7" x14ac:dyDescent="0.25">
      <c r="B2759" s="15"/>
      <c r="C2759" s="15"/>
      <c r="D2759" s="16"/>
      <c r="E2759" s="16"/>
      <c r="F2759" s="20"/>
      <c r="G2759" s="17"/>
    </row>
    <row r="2760" spans="2:7" x14ac:dyDescent="0.25">
      <c r="B2760" s="15"/>
      <c r="C2760" s="15"/>
      <c r="D2760" s="16"/>
      <c r="E2760" s="16"/>
      <c r="F2760" s="20"/>
      <c r="G2760" s="17"/>
    </row>
    <row r="2761" spans="2:7" x14ac:dyDescent="0.25">
      <c r="B2761" s="15"/>
      <c r="C2761" s="15"/>
      <c r="D2761" s="16"/>
      <c r="E2761" s="16"/>
      <c r="F2761" s="20"/>
      <c r="G2761" s="17"/>
    </row>
    <row r="2762" spans="2:7" x14ac:dyDescent="0.25">
      <c r="B2762" s="15"/>
      <c r="C2762" s="15"/>
      <c r="D2762" s="16"/>
      <c r="E2762" s="16"/>
      <c r="F2762" s="20"/>
      <c r="G2762" s="17"/>
    </row>
    <row r="2763" spans="2:7" x14ac:dyDescent="0.25">
      <c r="B2763" s="15"/>
      <c r="C2763" s="15"/>
      <c r="D2763" s="16"/>
      <c r="E2763" s="16"/>
      <c r="F2763" s="20"/>
      <c r="G2763" s="17"/>
    </row>
    <row r="2764" spans="2:7" x14ac:dyDescent="0.25">
      <c r="B2764" s="15"/>
      <c r="C2764" s="15"/>
      <c r="D2764" s="16"/>
      <c r="E2764" s="16"/>
      <c r="F2764" s="20"/>
      <c r="G2764" s="17"/>
    </row>
    <row r="2765" spans="2:7" x14ac:dyDescent="0.25">
      <c r="B2765" s="15"/>
      <c r="C2765" s="15"/>
      <c r="D2765" s="16"/>
      <c r="E2765" s="16"/>
      <c r="F2765" s="20"/>
      <c r="G2765" s="17"/>
    </row>
    <row r="2766" spans="2:7" x14ac:dyDescent="0.25">
      <c r="B2766" s="15"/>
      <c r="C2766" s="15"/>
      <c r="D2766" s="16"/>
      <c r="E2766" s="16"/>
      <c r="F2766" s="20"/>
      <c r="G2766" s="17"/>
    </row>
    <row r="2767" spans="2:7" x14ac:dyDescent="0.25">
      <c r="B2767" s="15"/>
      <c r="C2767" s="15"/>
      <c r="D2767" s="16"/>
      <c r="E2767" s="16"/>
      <c r="F2767" s="20"/>
      <c r="G2767" s="17"/>
    </row>
    <row r="2768" spans="2:7" x14ac:dyDescent="0.25">
      <c r="B2768" s="15"/>
      <c r="C2768" s="15"/>
      <c r="D2768" s="16"/>
      <c r="E2768" s="16"/>
      <c r="F2768" s="20"/>
      <c r="G2768" s="17"/>
    </row>
    <row r="2769" spans="2:7" x14ac:dyDescent="0.25">
      <c r="B2769" s="15"/>
      <c r="C2769" s="15"/>
      <c r="D2769" s="16"/>
      <c r="E2769" s="16"/>
      <c r="F2769" s="20"/>
      <c r="G2769" s="17"/>
    </row>
    <row r="2770" spans="2:7" x14ac:dyDescent="0.25">
      <c r="B2770" s="15"/>
      <c r="C2770" s="15"/>
      <c r="D2770" s="16"/>
      <c r="E2770" s="16"/>
      <c r="F2770" s="20"/>
      <c r="G2770" s="17"/>
    </row>
    <row r="2771" spans="2:7" x14ac:dyDescent="0.25">
      <c r="B2771" s="15"/>
      <c r="C2771" s="15"/>
      <c r="D2771" s="16"/>
      <c r="E2771" s="16"/>
      <c r="F2771" s="20"/>
      <c r="G2771" s="17"/>
    </row>
    <row r="2772" spans="2:7" x14ac:dyDescent="0.25">
      <c r="B2772" s="15"/>
      <c r="C2772" s="15"/>
      <c r="D2772" s="16"/>
      <c r="E2772" s="16"/>
      <c r="F2772" s="20"/>
      <c r="G2772" s="17"/>
    </row>
    <row r="2773" spans="2:7" x14ac:dyDescent="0.25">
      <c r="B2773" s="15"/>
      <c r="C2773" s="15"/>
      <c r="D2773" s="16"/>
      <c r="E2773" s="16"/>
      <c r="F2773" s="20"/>
      <c r="G2773" s="17"/>
    </row>
    <row r="2774" spans="2:7" x14ac:dyDescent="0.25">
      <c r="B2774" s="15"/>
      <c r="C2774" s="15"/>
      <c r="D2774" s="16"/>
      <c r="E2774" s="16"/>
      <c r="F2774" s="20"/>
      <c r="G2774" s="17"/>
    </row>
    <row r="2775" spans="2:7" x14ac:dyDescent="0.25">
      <c r="B2775" s="15"/>
      <c r="C2775" s="15"/>
      <c r="D2775" s="16"/>
      <c r="E2775" s="16"/>
      <c r="F2775" s="20"/>
      <c r="G2775" s="17"/>
    </row>
    <row r="2776" spans="2:7" x14ac:dyDescent="0.25">
      <c r="B2776" s="15"/>
      <c r="C2776" s="15"/>
      <c r="D2776" s="16"/>
      <c r="E2776" s="16"/>
      <c r="F2776" s="20"/>
      <c r="G2776" s="17"/>
    </row>
    <row r="2777" spans="2:7" x14ac:dyDescent="0.25">
      <c r="B2777" s="15"/>
      <c r="C2777" s="15"/>
      <c r="D2777" s="16"/>
      <c r="E2777" s="16"/>
      <c r="F2777" s="20"/>
      <c r="G2777" s="17"/>
    </row>
    <row r="2778" spans="2:7" x14ac:dyDescent="0.25">
      <c r="B2778" s="15"/>
      <c r="C2778" s="15"/>
      <c r="D2778" s="16"/>
      <c r="E2778" s="16"/>
      <c r="F2778" s="20"/>
      <c r="G2778" s="17"/>
    </row>
    <row r="2779" spans="2:7" x14ac:dyDescent="0.25">
      <c r="B2779" s="15"/>
      <c r="C2779" s="15"/>
      <c r="D2779" s="16"/>
      <c r="E2779" s="16"/>
      <c r="F2779" s="20"/>
      <c r="G2779" s="17"/>
    </row>
    <row r="2780" spans="2:7" x14ac:dyDescent="0.25">
      <c r="B2780" s="15"/>
      <c r="C2780" s="15"/>
      <c r="D2780" s="16"/>
      <c r="E2780" s="16"/>
      <c r="F2780" s="20"/>
      <c r="G2780" s="17"/>
    </row>
    <row r="2781" spans="2:7" x14ac:dyDescent="0.25">
      <c r="B2781" s="15"/>
      <c r="C2781" s="15"/>
      <c r="D2781" s="16"/>
      <c r="E2781" s="16"/>
      <c r="F2781" s="20"/>
      <c r="G2781" s="17"/>
    </row>
    <row r="2782" spans="2:7" x14ac:dyDescent="0.25">
      <c r="B2782" s="15"/>
      <c r="C2782" s="15"/>
      <c r="D2782" s="16"/>
      <c r="E2782" s="16"/>
      <c r="F2782" s="20"/>
      <c r="G2782" s="17"/>
    </row>
    <row r="2783" spans="2:7" x14ac:dyDescent="0.25">
      <c r="B2783" s="15"/>
      <c r="C2783" s="15"/>
      <c r="D2783" s="16"/>
      <c r="E2783" s="16"/>
      <c r="F2783" s="20"/>
      <c r="G2783" s="17"/>
    </row>
    <row r="2784" spans="2:7" x14ac:dyDescent="0.25">
      <c r="B2784" s="15"/>
      <c r="C2784" s="15"/>
      <c r="D2784" s="16"/>
      <c r="E2784" s="16"/>
      <c r="F2784" s="20"/>
      <c r="G2784" s="17"/>
    </row>
    <row r="2785" spans="2:7" x14ac:dyDescent="0.25">
      <c r="B2785" s="15"/>
      <c r="C2785" s="15"/>
      <c r="D2785" s="16"/>
      <c r="E2785" s="16"/>
      <c r="F2785" s="20"/>
      <c r="G2785" s="17"/>
    </row>
    <row r="2786" spans="2:7" x14ac:dyDescent="0.25">
      <c r="B2786" s="15"/>
      <c r="C2786" s="15"/>
      <c r="D2786" s="16"/>
      <c r="E2786" s="16"/>
      <c r="F2786" s="20"/>
      <c r="G2786" s="17"/>
    </row>
    <row r="2787" spans="2:7" x14ac:dyDescent="0.25">
      <c r="B2787" s="15"/>
      <c r="C2787" s="15"/>
      <c r="D2787" s="16"/>
      <c r="E2787" s="16"/>
      <c r="F2787" s="20"/>
      <c r="G2787" s="17"/>
    </row>
    <row r="2788" spans="2:7" x14ac:dyDescent="0.25">
      <c r="B2788" s="15"/>
      <c r="C2788" s="15"/>
      <c r="D2788" s="16"/>
      <c r="E2788" s="16"/>
      <c r="F2788" s="20"/>
      <c r="G2788" s="17"/>
    </row>
    <row r="2789" spans="2:7" x14ac:dyDescent="0.25">
      <c r="B2789" s="15"/>
      <c r="C2789" s="15"/>
      <c r="D2789" s="16"/>
      <c r="E2789" s="16"/>
      <c r="F2789" s="20"/>
      <c r="G2789" s="17"/>
    </row>
    <row r="2790" spans="2:7" x14ac:dyDescent="0.25">
      <c r="B2790" s="15"/>
      <c r="C2790" s="15"/>
      <c r="D2790" s="16"/>
      <c r="E2790" s="16"/>
      <c r="F2790" s="20"/>
      <c r="G2790" s="17"/>
    </row>
    <row r="2791" spans="2:7" x14ac:dyDescent="0.25">
      <c r="B2791" s="15"/>
      <c r="C2791" s="15"/>
      <c r="D2791" s="16"/>
      <c r="E2791" s="16"/>
      <c r="F2791" s="20"/>
      <c r="G2791" s="17"/>
    </row>
    <row r="2792" spans="2:7" x14ac:dyDescent="0.25">
      <c r="B2792" s="15"/>
      <c r="C2792" s="15"/>
      <c r="D2792" s="16"/>
      <c r="E2792" s="16"/>
      <c r="F2792" s="20"/>
      <c r="G2792" s="17"/>
    </row>
    <row r="2793" spans="2:7" x14ac:dyDescent="0.25">
      <c r="B2793" s="15"/>
      <c r="C2793" s="15"/>
      <c r="D2793" s="16"/>
      <c r="E2793" s="16"/>
      <c r="F2793" s="20"/>
      <c r="G2793" s="17"/>
    </row>
    <row r="2794" spans="2:7" x14ac:dyDescent="0.25">
      <c r="B2794" s="15"/>
      <c r="C2794" s="15"/>
      <c r="D2794" s="16"/>
      <c r="E2794" s="16"/>
      <c r="F2794" s="20"/>
      <c r="G2794" s="17"/>
    </row>
    <row r="2795" spans="2:7" x14ac:dyDescent="0.25">
      <c r="B2795" s="15"/>
      <c r="C2795" s="15"/>
      <c r="D2795" s="16"/>
      <c r="E2795" s="16"/>
      <c r="F2795" s="20"/>
      <c r="G2795" s="17"/>
    </row>
    <row r="2796" spans="2:7" x14ac:dyDescent="0.25">
      <c r="B2796" s="15"/>
      <c r="C2796" s="15"/>
      <c r="D2796" s="16"/>
      <c r="E2796" s="16"/>
      <c r="F2796" s="20"/>
      <c r="G2796" s="17"/>
    </row>
    <row r="2797" spans="2:7" x14ac:dyDescent="0.25">
      <c r="B2797" s="15"/>
      <c r="C2797" s="15"/>
      <c r="D2797" s="16"/>
      <c r="E2797" s="16"/>
      <c r="F2797" s="20"/>
      <c r="G2797" s="17"/>
    </row>
    <row r="2798" spans="2:7" x14ac:dyDescent="0.25">
      <c r="B2798" s="15"/>
      <c r="C2798" s="15"/>
      <c r="D2798" s="16"/>
      <c r="E2798" s="16"/>
      <c r="F2798" s="20"/>
      <c r="G2798" s="17"/>
    </row>
    <row r="2799" spans="2:7" x14ac:dyDescent="0.25">
      <c r="B2799" s="15"/>
      <c r="C2799" s="15"/>
      <c r="D2799" s="16"/>
      <c r="E2799" s="16"/>
      <c r="F2799" s="20"/>
      <c r="G2799" s="17"/>
    </row>
    <row r="2800" spans="2:7" x14ac:dyDescent="0.25">
      <c r="B2800" s="15"/>
      <c r="C2800" s="15"/>
      <c r="D2800" s="16"/>
      <c r="E2800" s="16"/>
      <c r="F2800" s="20"/>
      <c r="G2800" s="17"/>
    </row>
    <row r="2801" spans="2:7" x14ac:dyDescent="0.25">
      <c r="B2801" s="15"/>
      <c r="C2801" s="15"/>
      <c r="D2801" s="16"/>
      <c r="E2801" s="16"/>
      <c r="F2801" s="20"/>
      <c r="G2801" s="17"/>
    </row>
    <row r="2802" spans="2:7" x14ac:dyDescent="0.25">
      <c r="B2802" s="15"/>
      <c r="C2802" s="15"/>
      <c r="D2802" s="16"/>
      <c r="E2802" s="16"/>
      <c r="F2802" s="20"/>
      <c r="G2802" s="17"/>
    </row>
    <row r="2803" spans="2:7" x14ac:dyDescent="0.25">
      <c r="B2803" s="15"/>
      <c r="C2803" s="15"/>
      <c r="D2803" s="16"/>
      <c r="E2803" s="16"/>
      <c r="F2803" s="20"/>
      <c r="G2803" s="17"/>
    </row>
    <row r="2804" spans="2:7" x14ac:dyDescent="0.25">
      <c r="B2804" s="15"/>
      <c r="C2804" s="15"/>
      <c r="D2804" s="16"/>
      <c r="E2804" s="16"/>
      <c r="F2804" s="20"/>
      <c r="G2804" s="17"/>
    </row>
    <row r="2805" spans="2:7" x14ac:dyDescent="0.25">
      <c r="B2805" s="15"/>
      <c r="C2805" s="15"/>
      <c r="D2805" s="16"/>
      <c r="E2805" s="16"/>
      <c r="F2805" s="20"/>
      <c r="G2805" s="17"/>
    </row>
    <row r="2806" spans="2:7" x14ac:dyDescent="0.25">
      <c r="B2806" s="15"/>
      <c r="C2806" s="15"/>
      <c r="D2806" s="16"/>
      <c r="E2806" s="16"/>
      <c r="F2806" s="20"/>
      <c r="G2806" s="17"/>
    </row>
    <row r="2807" spans="2:7" x14ac:dyDescent="0.25">
      <c r="B2807" s="15"/>
      <c r="C2807" s="15"/>
      <c r="D2807" s="16"/>
      <c r="E2807" s="16"/>
      <c r="F2807" s="20"/>
      <c r="G2807" s="17"/>
    </row>
    <row r="2808" spans="2:7" x14ac:dyDescent="0.25">
      <c r="B2808" s="15"/>
      <c r="C2808" s="15"/>
      <c r="D2808" s="16"/>
      <c r="E2808" s="16"/>
      <c r="F2808" s="20"/>
      <c r="G2808" s="17"/>
    </row>
    <row r="2809" spans="2:7" x14ac:dyDescent="0.25">
      <c r="B2809" s="15"/>
      <c r="C2809" s="15"/>
      <c r="D2809" s="16"/>
      <c r="E2809" s="16"/>
      <c r="F2809" s="20"/>
      <c r="G2809" s="17"/>
    </row>
    <row r="2810" spans="2:7" x14ac:dyDescent="0.25">
      <c r="B2810" s="15"/>
      <c r="C2810" s="15"/>
      <c r="D2810" s="16"/>
      <c r="E2810" s="16"/>
      <c r="F2810" s="20"/>
      <c r="G2810" s="17"/>
    </row>
    <row r="2811" spans="2:7" x14ac:dyDescent="0.25">
      <c r="B2811" s="15"/>
      <c r="C2811" s="15"/>
      <c r="D2811" s="16"/>
      <c r="E2811" s="16"/>
      <c r="F2811" s="20"/>
      <c r="G2811" s="17"/>
    </row>
    <row r="2812" spans="2:7" x14ac:dyDescent="0.25">
      <c r="B2812" s="15"/>
      <c r="C2812" s="15"/>
      <c r="D2812" s="16"/>
      <c r="E2812" s="16"/>
      <c r="F2812" s="20"/>
      <c r="G2812" s="17"/>
    </row>
    <row r="2813" spans="2:7" x14ac:dyDescent="0.25">
      <c r="B2813" s="15"/>
      <c r="C2813" s="15"/>
      <c r="D2813" s="16"/>
      <c r="E2813" s="16"/>
      <c r="F2813" s="20"/>
      <c r="G2813" s="17"/>
    </row>
    <row r="2814" spans="2:7" x14ac:dyDescent="0.25">
      <c r="B2814" s="15"/>
      <c r="C2814" s="15"/>
      <c r="D2814" s="16"/>
      <c r="E2814" s="16"/>
      <c r="F2814" s="20"/>
      <c r="G2814" s="17"/>
    </row>
    <row r="2815" spans="2:7" x14ac:dyDescent="0.25">
      <c r="B2815" s="15"/>
      <c r="C2815" s="15"/>
      <c r="D2815" s="16"/>
      <c r="E2815" s="16"/>
      <c r="F2815" s="20"/>
      <c r="G2815" s="17"/>
    </row>
    <row r="2816" spans="2:7" x14ac:dyDescent="0.25">
      <c r="B2816" s="15"/>
      <c r="C2816" s="15"/>
      <c r="D2816" s="16"/>
      <c r="E2816" s="16"/>
      <c r="F2816" s="20"/>
      <c r="G2816" s="17"/>
    </row>
    <row r="2817" spans="2:7" x14ac:dyDescent="0.25">
      <c r="B2817" s="15"/>
      <c r="C2817" s="15"/>
      <c r="D2817" s="16"/>
      <c r="E2817" s="16"/>
      <c r="F2817" s="20"/>
      <c r="G2817" s="17"/>
    </row>
    <row r="2818" spans="2:7" x14ac:dyDescent="0.25">
      <c r="B2818" s="15"/>
      <c r="C2818" s="15"/>
      <c r="D2818" s="16"/>
      <c r="E2818" s="16"/>
      <c r="F2818" s="20"/>
      <c r="G2818" s="17"/>
    </row>
    <row r="2819" spans="2:7" x14ac:dyDescent="0.25">
      <c r="B2819" s="15"/>
      <c r="C2819" s="15"/>
      <c r="D2819" s="16"/>
      <c r="E2819" s="16"/>
      <c r="F2819" s="20"/>
      <c r="G2819" s="17"/>
    </row>
    <row r="2820" spans="2:7" x14ac:dyDescent="0.25">
      <c r="B2820" s="15"/>
      <c r="C2820" s="15"/>
      <c r="D2820" s="16"/>
      <c r="E2820" s="16"/>
      <c r="F2820" s="20"/>
      <c r="G2820" s="17"/>
    </row>
    <row r="2821" spans="2:7" x14ac:dyDescent="0.25">
      <c r="B2821" s="15"/>
      <c r="C2821" s="15"/>
      <c r="D2821" s="16"/>
      <c r="E2821" s="16"/>
      <c r="F2821" s="20"/>
      <c r="G2821" s="17"/>
    </row>
    <row r="2822" spans="2:7" x14ac:dyDescent="0.25">
      <c r="B2822" s="15"/>
      <c r="C2822" s="15"/>
      <c r="D2822" s="16"/>
      <c r="E2822" s="16"/>
      <c r="F2822" s="20"/>
      <c r="G2822" s="17"/>
    </row>
    <row r="2823" spans="2:7" x14ac:dyDescent="0.25">
      <c r="B2823" s="15"/>
      <c r="C2823" s="15"/>
      <c r="D2823" s="16"/>
      <c r="E2823" s="16"/>
      <c r="F2823" s="20"/>
      <c r="G2823" s="17"/>
    </row>
    <row r="2824" spans="2:7" x14ac:dyDescent="0.25">
      <c r="B2824" s="15"/>
      <c r="C2824" s="15"/>
      <c r="D2824" s="16"/>
      <c r="E2824" s="16"/>
      <c r="F2824" s="20"/>
      <c r="G2824" s="17"/>
    </row>
    <row r="2825" spans="2:7" x14ac:dyDescent="0.25">
      <c r="B2825" s="15"/>
      <c r="C2825" s="15"/>
      <c r="D2825" s="16"/>
      <c r="E2825" s="16"/>
      <c r="F2825" s="20"/>
      <c r="G2825" s="17"/>
    </row>
    <row r="2826" spans="2:7" x14ac:dyDescent="0.25">
      <c r="B2826" s="15"/>
      <c r="C2826" s="15"/>
      <c r="D2826" s="16"/>
      <c r="E2826" s="16"/>
      <c r="F2826" s="20"/>
      <c r="G2826" s="17"/>
    </row>
    <row r="2827" spans="2:7" x14ac:dyDescent="0.25">
      <c r="B2827" s="15"/>
      <c r="C2827" s="15"/>
      <c r="D2827" s="16"/>
      <c r="E2827" s="16"/>
      <c r="F2827" s="20"/>
      <c r="G2827" s="17"/>
    </row>
    <row r="2828" spans="2:7" x14ac:dyDescent="0.25">
      <c r="B2828" s="15"/>
      <c r="C2828" s="15"/>
      <c r="D2828" s="16"/>
      <c r="E2828" s="16"/>
      <c r="F2828" s="20"/>
      <c r="G2828" s="17"/>
    </row>
    <row r="2829" spans="2:7" x14ac:dyDescent="0.25">
      <c r="B2829" s="15"/>
      <c r="C2829" s="15"/>
      <c r="D2829" s="16"/>
      <c r="E2829" s="16"/>
      <c r="F2829" s="20"/>
      <c r="G2829" s="17"/>
    </row>
    <row r="2830" spans="2:7" x14ac:dyDescent="0.25">
      <c r="B2830" s="15"/>
      <c r="C2830" s="15"/>
      <c r="D2830" s="16"/>
      <c r="E2830" s="16"/>
      <c r="F2830" s="20"/>
      <c r="G2830" s="17"/>
    </row>
    <row r="2831" spans="2:7" x14ac:dyDescent="0.25">
      <c r="B2831" s="15"/>
      <c r="C2831" s="15"/>
      <c r="D2831" s="16"/>
      <c r="E2831" s="16"/>
      <c r="F2831" s="20"/>
      <c r="G2831" s="17"/>
    </row>
    <row r="2832" spans="2:7" x14ac:dyDescent="0.25">
      <c r="B2832" s="15"/>
      <c r="C2832" s="15"/>
      <c r="D2832" s="16"/>
      <c r="E2832" s="16"/>
      <c r="F2832" s="20"/>
      <c r="G2832" s="17"/>
    </row>
    <row r="2833" spans="2:7" x14ac:dyDescent="0.25">
      <c r="B2833" s="15"/>
      <c r="C2833" s="15"/>
      <c r="D2833" s="16"/>
      <c r="E2833" s="16"/>
      <c r="F2833" s="20"/>
      <c r="G2833" s="17"/>
    </row>
    <row r="2834" spans="2:7" x14ac:dyDescent="0.25">
      <c r="B2834" s="15"/>
      <c r="C2834" s="15"/>
      <c r="D2834" s="16"/>
      <c r="E2834" s="16"/>
      <c r="F2834" s="20"/>
      <c r="G2834" s="17"/>
    </row>
    <row r="2835" spans="2:7" x14ac:dyDescent="0.25">
      <c r="B2835" s="15"/>
      <c r="C2835" s="15"/>
      <c r="D2835" s="16"/>
      <c r="E2835" s="16"/>
      <c r="F2835" s="20"/>
      <c r="G2835" s="17"/>
    </row>
    <row r="2836" spans="2:7" x14ac:dyDescent="0.25">
      <c r="B2836" s="15"/>
      <c r="C2836" s="15"/>
      <c r="D2836" s="16"/>
      <c r="E2836" s="16"/>
      <c r="F2836" s="20"/>
      <c r="G2836" s="17"/>
    </row>
    <row r="2837" spans="2:7" x14ac:dyDescent="0.25">
      <c r="B2837" s="15"/>
      <c r="C2837" s="15"/>
      <c r="D2837" s="16"/>
      <c r="E2837" s="16"/>
      <c r="F2837" s="20"/>
      <c r="G2837" s="17"/>
    </row>
    <row r="2838" spans="2:7" x14ac:dyDescent="0.25">
      <c r="B2838" s="15"/>
      <c r="C2838" s="15"/>
      <c r="D2838" s="16"/>
      <c r="E2838" s="16"/>
      <c r="F2838" s="20"/>
      <c r="G2838" s="17"/>
    </row>
    <row r="2839" spans="2:7" x14ac:dyDescent="0.25">
      <c r="B2839" s="15"/>
      <c r="C2839" s="15"/>
      <c r="D2839" s="16"/>
      <c r="E2839" s="16"/>
      <c r="F2839" s="20"/>
      <c r="G2839" s="17"/>
    </row>
    <row r="2840" spans="2:7" x14ac:dyDescent="0.25">
      <c r="B2840" s="15"/>
      <c r="C2840" s="15"/>
      <c r="D2840" s="16"/>
      <c r="E2840" s="16"/>
      <c r="F2840" s="20"/>
      <c r="G2840" s="17"/>
    </row>
    <row r="2841" spans="2:7" x14ac:dyDescent="0.25">
      <c r="B2841" s="15"/>
      <c r="C2841" s="15"/>
      <c r="D2841" s="16"/>
      <c r="E2841" s="16"/>
      <c r="F2841" s="20"/>
      <c r="G2841" s="17"/>
    </row>
    <row r="2842" spans="2:7" x14ac:dyDescent="0.25">
      <c r="B2842" s="15"/>
      <c r="C2842" s="15"/>
      <c r="D2842" s="16"/>
      <c r="E2842" s="16"/>
      <c r="F2842" s="20"/>
      <c r="G2842" s="17"/>
    </row>
    <row r="2843" spans="2:7" x14ac:dyDescent="0.25">
      <c r="B2843" s="15"/>
      <c r="C2843" s="15"/>
      <c r="D2843" s="16"/>
      <c r="E2843" s="16"/>
      <c r="F2843" s="20"/>
      <c r="G2843" s="17"/>
    </row>
    <row r="2844" spans="2:7" x14ac:dyDescent="0.25">
      <c r="B2844" s="15"/>
      <c r="C2844" s="15"/>
      <c r="D2844" s="16"/>
      <c r="E2844" s="16"/>
      <c r="F2844" s="20"/>
      <c r="G2844" s="17"/>
    </row>
    <row r="2845" spans="2:7" x14ac:dyDescent="0.25">
      <c r="B2845" s="15"/>
      <c r="C2845" s="15"/>
      <c r="D2845" s="16"/>
      <c r="E2845" s="16"/>
      <c r="F2845" s="20"/>
      <c r="G2845" s="17"/>
    </row>
    <row r="2846" spans="2:7" x14ac:dyDescent="0.25">
      <c r="B2846" s="15"/>
      <c r="C2846" s="15"/>
      <c r="D2846" s="16"/>
      <c r="E2846" s="16"/>
      <c r="F2846" s="20"/>
      <c r="G2846" s="17"/>
    </row>
    <row r="2847" spans="2:7" x14ac:dyDescent="0.25">
      <c r="B2847" s="15"/>
      <c r="C2847" s="15"/>
      <c r="D2847" s="16"/>
      <c r="E2847" s="16"/>
      <c r="F2847" s="20"/>
      <c r="G2847" s="17"/>
    </row>
    <row r="2848" spans="2:7" x14ac:dyDescent="0.25">
      <c r="B2848" s="15"/>
      <c r="C2848" s="15"/>
      <c r="D2848" s="16"/>
      <c r="E2848" s="16"/>
      <c r="F2848" s="20"/>
      <c r="G2848" s="17"/>
    </row>
    <row r="2849" spans="2:7" x14ac:dyDescent="0.25">
      <c r="B2849" s="15"/>
      <c r="C2849" s="15"/>
      <c r="D2849" s="16"/>
      <c r="E2849" s="16"/>
      <c r="F2849" s="20"/>
      <c r="G2849" s="17"/>
    </row>
    <row r="2850" spans="2:7" x14ac:dyDescent="0.25">
      <c r="B2850" s="15"/>
      <c r="C2850" s="15"/>
      <c r="D2850" s="16"/>
      <c r="E2850" s="16"/>
      <c r="F2850" s="20"/>
      <c r="G2850" s="17"/>
    </row>
    <row r="2851" spans="2:7" x14ac:dyDescent="0.25">
      <c r="B2851" s="15"/>
      <c r="C2851" s="15"/>
      <c r="D2851" s="16"/>
      <c r="E2851" s="16"/>
      <c r="F2851" s="20"/>
      <c r="G2851" s="17"/>
    </row>
    <row r="2852" spans="2:7" x14ac:dyDescent="0.25">
      <c r="B2852" s="15"/>
      <c r="C2852" s="15"/>
      <c r="D2852" s="16"/>
      <c r="E2852" s="16"/>
      <c r="F2852" s="20"/>
      <c r="G2852" s="17"/>
    </row>
    <row r="2853" spans="2:7" x14ac:dyDescent="0.25">
      <c r="B2853" s="15"/>
      <c r="C2853" s="15"/>
      <c r="D2853" s="16"/>
      <c r="E2853" s="16"/>
      <c r="F2853" s="20"/>
      <c r="G2853" s="17"/>
    </row>
    <row r="2854" spans="2:7" x14ac:dyDescent="0.25">
      <c r="B2854" s="15"/>
      <c r="C2854" s="15"/>
      <c r="D2854" s="16"/>
      <c r="E2854" s="16"/>
      <c r="F2854" s="20"/>
      <c r="G2854" s="17"/>
    </row>
    <row r="2855" spans="2:7" x14ac:dyDescent="0.25">
      <c r="B2855" s="15"/>
      <c r="C2855" s="15"/>
      <c r="D2855" s="16"/>
      <c r="E2855" s="16"/>
      <c r="F2855" s="20"/>
      <c r="G2855" s="17"/>
    </row>
    <row r="2856" spans="2:7" x14ac:dyDescent="0.25">
      <c r="B2856" s="15"/>
      <c r="C2856" s="15"/>
      <c r="D2856" s="16"/>
      <c r="E2856" s="16"/>
      <c r="F2856" s="20"/>
      <c r="G2856" s="17"/>
    </row>
    <row r="2857" spans="2:7" x14ac:dyDescent="0.25">
      <c r="B2857" s="15"/>
      <c r="C2857" s="15"/>
      <c r="D2857" s="16"/>
      <c r="E2857" s="16"/>
      <c r="F2857" s="20"/>
      <c r="G2857" s="17"/>
    </row>
    <row r="2858" spans="2:7" x14ac:dyDescent="0.25">
      <c r="B2858" s="15"/>
      <c r="C2858" s="15"/>
      <c r="D2858" s="16"/>
      <c r="E2858" s="16"/>
      <c r="F2858" s="20"/>
      <c r="G2858" s="17"/>
    </row>
    <row r="2859" spans="2:7" x14ac:dyDescent="0.25">
      <c r="B2859" s="15"/>
      <c r="C2859" s="15"/>
      <c r="D2859" s="16"/>
      <c r="E2859" s="16"/>
      <c r="F2859" s="20"/>
      <c r="G2859" s="17"/>
    </row>
    <row r="2860" spans="2:7" x14ac:dyDescent="0.25">
      <c r="B2860" s="15"/>
      <c r="C2860" s="15"/>
      <c r="D2860" s="16"/>
      <c r="E2860" s="16"/>
      <c r="F2860" s="20"/>
      <c r="G2860" s="17"/>
    </row>
    <row r="2861" spans="2:7" x14ac:dyDescent="0.25">
      <c r="B2861" s="15"/>
      <c r="C2861" s="15"/>
      <c r="D2861" s="16"/>
      <c r="E2861" s="16"/>
      <c r="F2861" s="20"/>
      <c r="G2861" s="17"/>
    </row>
    <row r="2862" spans="2:7" x14ac:dyDescent="0.25">
      <c r="B2862" s="15"/>
      <c r="C2862" s="15"/>
      <c r="D2862" s="16"/>
      <c r="E2862" s="16"/>
      <c r="F2862" s="20"/>
      <c r="G2862" s="17"/>
    </row>
    <row r="2863" spans="2:7" x14ac:dyDescent="0.25">
      <c r="B2863" s="15"/>
      <c r="C2863" s="15"/>
      <c r="D2863" s="16"/>
      <c r="E2863" s="16"/>
      <c r="F2863" s="20"/>
      <c r="G2863" s="17"/>
    </row>
    <row r="2864" spans="2:7" x14ac:dyDescent="0.25">
      <c r="B2864" s="15"/>
      <c r="C2864" s="15"/>
      <c r="D2864" s="16"/>
      <c r="E2864" s="16"/>
      <c r="F2864" s="20"/>
      <c r="G2864" s="17"/>
    </row>
    <row r="2865" spans="2:7" x14ac:dyDescent="0.25">
      <c r="B2865" s="15"/>
      <c r="C2865" s="15"/>
      <c r="D2865" s="16"/>
      <c r="E2865" s="16"/>
      <c r="F2865" s="20"/>
      <c r="G2865" s="17"/>
    </row>
    <row r="2866" spans="2:7" x14ac:dyDescent="0.25">
      <c r="B2866" s="15"/>
      <c r="C2866" s="15"/>
      <c r="D2866" s="16"/>
      <c r="E2866" s="16"/>
      <c r="F2866" s="20"/>
      <c r="G2866" s="17"/>
    </row>
    <row r="2867" spans="2:7" x14ac:dyDescent="0.25">
      <c r="B2867" s="15"/>
      <c r="C2867" s="15"/>
      <c r="D2867" s="16"/>
      <c r="E2867" s="16"/>
      <c r="F2867" s="20"/>
      <c r="G2867" s="17"/>
    </row>
    <row r="2868" spans="2:7" x14ac:dyDescent="0.25">
      <c r="B2868" s="15"/>
      <c r="C2868" s="15"/>
      <c r="D2868" s="16"/>
      <c r="E2868" s="16"/>
      <c r="F2868" s="20"/>
      <c r="G2868" s="17"/>
    </row>
    <row r="2869" spans="2:7" x14ac:dyDescent="0.25">
      <c r="B2869" s="15"/>
      <c r="C2869" s="15"/>
      <c r="D2869" s="16"/>
      <c r="E2869" s="16"/>
      <c r="F2869" s="20"/>
      <c r="G2869" s="17"/>
    </row>
    <row r="2870" spans="2:7" x14ac:dyDescent="0.25">
      <c r="B2870" s="15"/>
      <c r="C2870" s="15"/>
      <c r="D2870" s="16"/>
      <c r="E2870" s="16"/>
      <c r="F2870" s="20"/>
      <c r="G2870" s="17"/>
    </row>
    <row r="2871" spans="2:7" x14ac:dyDescent="0.25">
      <c r="B2871" s="15"/>
      <c r="C2871" s="15"/>
      <c r="D2871" s="16"/>
      <c r="E2871" s="16"/>
      <c r="F2871" s="20"/>
      <c r="G2871" s="17"/>
    </row>
    <row r="2872" spans="2:7" x14ac:dyDescent="0.25">
      <c r="B2872" s="15"/>
      <c r="C2872" s="15"/>
      <c r="D2872" s="16"/>
      <c r="E2872" s="16"/>
      <c r="F2872" s="20"/>
      <c r="G2872" s="17"/>
    </row>
    <row r="2873" spans="2:7" x14ac:dyDescent="0.25">
      <c r="B2873" s="15"/>
      <c r="C2873" s="15"/>
      <c r="D2873" s="16"/>
      <c r="E2873" s="16"/>
      <c r="F2873" s="20"/>
      <c r="G2873" s="17"/>
    </row>
    <row r="2874" spans="2:7" x14ac:dyDescent="0.25">
      <c r="B2874" s="15"/>
      <c r="C2874" s="15"/>
      <c r="D2874" s="16"/>
      <c r="E2874" s="16"/>
      <c r="F2874" s="20"/>
      <c r="G2874" s="17"/>
    </row>
    <row r="2875" spans="2:7" x14ac:dyDescent="0.25">
      <c r="B2875" s="15"/>
      <c r="C2875" s="15"/>
      <c r="D2875" s="16"/>
      <c r="E2875" s="16"/>
      <c r="F2875" s="20"/>
      <c r="G2875" s="17"/>
    </row>
    <row r="2876" spans="2:7" x14ac:dyDescent="0.25">
      <c r="B2876" s="15"/>
      <c r="C2876" s="15"/>
      <c r="D2876" s="16"/>
      <c r="E2876" s="16"/>
      <c r="F2876" s="20"/>
      <c r="G2876" s="17"/>
    </row>
    <row r="2877" spans="2:7" x14ac:dyDescent="0.25">
      <c r="B2877" s="15"/>
      <c r="C2877" s="15"/>
      <c r="D2877" s="16"/>
      <c r="E2877" s="16"/>
      <c r="F2877" s="20"/>
      <c r="G2877" s="17"/>
    </row>
    <row r="2878" spans="2:7" x14ac:dyDescent="0.25">
      <c r="B2878" s="15"/>
      <c r="C2878" s="15"/>
      <c r="D2878" s="16"/>
      <c r="E2878" s="16"/>
      <c r="F2878" s="20"/>
      <c r="G2878" s="17"/>
    </row>
    <row r="2879" spans="2:7" x14ac:dyDescent="0.25">
      <c r="B2879" s="15"/>
      <c r="C2879" s="15"/>
      <c r="D2879" s="16"/>
      <c r="E2879" s="16"/>
      <c r="F2879" s="20"/>
      <c r="G2879" s="17"/>
    </row>
    <row r="2880" spans="2:7" x14ac:dyDescent="0.25">
      <c r="B2880" s="15"/>
      <c r="C2880" s="15"/>
      <c r="D2880" s="16"/>
      <c r="E2880" s="16"/>
      <c r="F2880" s="20"/>
      <c r="G2880" s="17"/>
    </row>
    <row r="2881" spans="2:7" x14ac:dyDescent="0.25">
      <c r="B2881" s="15"/>
      <c r="C2881" s="15"/>
      <c r="D2881" s="16"/>
      <c r="E2881" s="16"/>
      <c r="F2881" s="20"/>
      <c r="G2881" s="17"/>
    </row>
    <row r="2882" spans="2:7" x14ac:dyDescent="0.25">
      <c r="B2882" s="15"/>
      <c r="C2882" s="15"/>
      <c r="D2882" s="16"/>
      <c r="E2882" s="16"/>
      <c r="F2882" s="20"/>
      <c r="G2882" s="17"/>
    </row>
    <row r="2883" spans="2:7" x14ac:dyDescent="0.25">
      <c r="B2883" s="15"/>
      <c r="C2883" s="15"/>
      <c r="D2883" s="16"/>
      <c r="E2883" s="16"/>
      <c r="F2883" s="20"/>
      <c r="G2883" s="17"/>
    </row>
    <row r="2884" spans="2:7" x14ac:dyDescent="0.25">
      <c r="B2884" s="15"/>
      <c r="C2884" s="15"/>
      <c r="D2884" s="16"/>
      <c r="E2884" s="16"/>
      <c r="F2884" s="20"/>
      <c r="G2884" s="17"/>
    </row>
    <row r="2885" spans="2:7" x14ac:dyDescent="0.25">
      <c r="B2885" s="15"/>
      <c r="C2885" s="15"/>
      <c r="D2885" s="16"/>
      <c r="E2885" s="16"/>
      <c r="F2885" s="20"/>
      <c r="G2885" s="17"/>
    </row>
    <row r="2886" spans="2:7" x14ac:dyDescent="0.25">
      <c r="B2886" s="15"/>
      <c r="C2886" s="15"/>
      <c r="D2886" s="16"/>
      <c r="E2886" s="16"/>
      <c r="F2886" s="20"/>
      <c r="G2886" s="17"/>
    </row>
    <row r="2887" spans="2:7" x14ac:dyDescent="0.25">
      <c r="B2887" s="15"/>
      <c r="C2887" s="15"/>
      <c r="D2887" s="16"/>
      <c r="E2887" s="16"/>
      <c r="F2887" s="20"/>
      <c r="G2887" s="17"/>
    </row>
    <row r="2888" spans="2:7" x14ac:dyDescent="0.25">
      <c r="B2888" s="15"/>
      <c r="C2888" s="15"/>
      <c r="D2888" s="16"/>
      <c r="E2888" s="16"/>
      <c r="F2888" s="20"/>
      <c r="G2888" s="17"/>
    </row>
    <row r="2889" spans="2:7" x14ac:dyDescent="0.25">
      <c r="B2889" s="15"/>
      <c r="C2889" s="15"/>
      <c r="D2889" s="16"/>
      <c r="E2889" s="16"/>
      <c r="F2889" s="20"/>
      <c r="G2889" s="17"/>
    </row>
    <row r="2890" spans="2:7" x14ac:dyDescent="0.25">
      <c r="B2890" s="15"/>
      <c r="C2890" s="15"/>
      <c r="D2890" s="16"/>
      <c r="E2890" s="16"/>
      <c r="F2890" s="20"/>
      <c r="G2890" s="17"/>
    </row>
    <row r="2891" spans="2:7" x14ac:dyDescent="0.25">
      <c r="B2891" s="15"/>
      <c r="C2891" s="15"/>
      <c r="D2891" s="16"/>
      <c r="E2891" s="16"/>
      <c r="F2891" s="20"/>
      <c r="G2891" s="17"/>
    </row>
    <row r="2892" spans="2:7" x14ac:dyDescent="0.25">
      <c r="B2892" s="15"/>
      <c r="C2892" s="15"/>
      <c r="D2892" s="16"/>
      <c r="E2892" s="16"/>
      <c r="F2892" s="20"/>
      <c r="G2892" s="17"/>
    </row>
    <row r="2893" spans="2:7" x14ac:dyDescent="0.25">
      <c r="B2893" s="15"/>
      <c r="C2893" s="15"/>
      <c r="D2893" s="16"/>
      <c r="E2893" s="16"/>
      <c r="F2893" s="20"/>
      <c r="G2893" s="17"/>
    </row>
    <row r="2894" spans="2:7" x14ac:dyDescent="0.25">
      <c r="B2894" s="15"/>
      <c r="C2894" s="15"/>
      <c r="D2894" s="16"/>
      <c r="E2894" s="16"/>
      <c r="F2894" s="20"/>
      <c r="G2894" s="17"/>
    </row>
    <row r="2895" spans="2:7" x14ac:dyDescent="0.25">
      <c r="B2895" s="15"/>
      <c r="C2895" s="15"/>
      <c r="D2895" s="16"/>
      <c r="E2895" s="16"/>
      <c r="F2895" s="20"/>
      <c r="G2895" s="17"/>
    </row>
    <row r="2896" spans="2:7" x14ac:dyDescent="0.25">
      <c r="B2896" s="15"/>
      <c r="C2896" s="15"/>
      <c r="D2896" s="16"/>
      <c r="E2896" s="16"/>
      <c r="F2896" s="20"/>
      <c r="G2896" s="17"/>
    </row>
    <row r="2897" spans="2:7" x14ac:dyDescent="0.25">
      <c r="B2897" s="15"/>
      <c r="C2897" s="15"/>
      <c r="D2897" s="16"/>
      <c r="E2897" s="16"/>
      <c r="F2897" s="20"/>
      <c r="G2897" s="17"/>
    </row>
    <row r="2898" spans="2:7" x14ac:dyDescent="0.25">
      <c r="B2898" s="15"/>
      <c r="C2898" s="15"/>
      <c r="D2898" s="16"/>
      <c r="E2898" s="16"/>
      <c r="F2898" s="20"/>
      <c r="G2898" s="17"/>
    </row>
    <row r="2899" spans="2:7" x14ac:dyDescent="0.25">
      <c r="B2899" s="15"/>
      <c r="C2899" s="15"/>
      <c r="D2899" s="16"/>
      <c r="E2899" s="16"/>
      <c r="F2899" s="20"/>
      <c r="G2899" s="17"/>
    </row>
    <row r="2900" spans="2:7" x14ac:dyDescent="0.25">
      <c r="B2900" s="15"/>
      <c r="C2900" s="15"/>
      <c r="D2900" s="16"/>
      <c r="E2900" s="16"/>
      <c r="F2900" s="20"/>
      <c r="G2900" s="17"/>
    </row>
    <row r="2901" spans="2:7" x14ac:dyDescent="0.25">
      <c r="B2901" s="15"/>
      <c r="C2901" s="15"/>
      <c r="D2901" s="16"/>
      <c r="E2901" s="16"/>
      <c r="F2901" s="20"/>
      <c r="G2901" s="17"/>
    </row>
    <row r="2902" spans="2:7" x14ac:dyDescent="0.25">
      <c r="B2902" s="15"/>
      <c r="C2902" s="15"/>
      <c r="D2902" s="16"/>
      <c r="E2902" s="16"/>
      <c r="F2902" s="20"/>
      <c r="G2902" s="17"/>
    </row>
    <row r="2903" spans="2:7" x14ac:dyDescent="0.25">
      <c r="B2903" s="15"/>
      <c r="C2903" s="15"/>
      <c r="D2903" s="16"/>
      <c r="E2903" s="16"/>
      <c r="F2903" s="20"/>
      <c r="G2903" s="17"/>
    </row>
    <row r="2904" spans="2:7" x14ac:dyDescent="0.25">
      <c r="B2904" s="15"/>
      <c r="C2904" s="15"/>
      <c r="D2904" s="16"/>
      <c r="E2904" s="16"/>
      <c r="F2904" s="20"/>
      <c r="G2904" s="17"/>
    </row>
    <row r="2905" spans="2:7" x14ac:dyDescent="0.25">
      <c r="B2905" s="15"/>
      <c r="C2905" s="15"/>
      <c r="D2905" s="16"/>
      <c r="E2905" s="16"/>
      <c r="F2905" s="20"/>
      <c r="G2905" s="17"/>
    </row>
    <row r="2906" spans="2:7" x14ac:dyDescent="0.25">
      <c r="B2906" s="15"/>
      <c r="C2906" s="15"/>
      <c r="D2906" s="16"/>
      <c r="E2906" s="16"/>
      <c r="F2906" s="20"/>
      <c r="G2906" s="17"/>
    </row>
    <row r="2907" spans="2:7" x14ac:dyDescent="0.25">
      <c r="B2907" s="15"/>
      <c r="C2907" s="15"/>
      <c r="D2907" s="16"/>
      <c r="E2907" s="16"/>
      <c r="F2907" s="20"/>
      <c r="G2907" s="17"/>
    </row>
    <row r="2908" spans="2:7" x14ac:dyDescent="0.25">
      <c r="B2908" s="15"/>
      <c r="C2908" s="15"/>
      <c r="D2908" s="16"/>
      <c r="E2908" s="16"/>
      <c r="F2908" s="20"/>
      <c r="G2908" s="17"/>
    </row>
    <row r="2909" spans="2:7" x14ac:dyDescent="0.25">
      <c r="B2909" s="15"/>
      <c r="C2909" s="15"/>
      <c r="D2909" s="16"/>
      <c r="E2909" s="16"/>
      <c r="F2909" s="20"/>
      <c r="G2909" s="17"/>
    </row>
    <row r="2910" spans="2:7" x14ac:dyDescent="0.25">
      <c r="B2910" s="15"/>
      <c r="C2910" s="15"/>
      <c r="D2910" s="16"/>
      <c r="E2910" s="16"/>
      <c r="F2910" s="20"/>
      <c r="G2910" s="17"/>
    </row>
    <row r="2911" spans="2:7" x14ac:dyDescent="0.25">
      <c r="B2911" s="15"/>
      <c r="C2911" s="15"/>
      <c r="D2911" s="16"/>
      <c r="E2911" s="16"/>
      <c r="F2911" s="20"/>
      <c r="G2911" s="17"/>
    </row>
    <row r="2912" spans="2:7" x14ac:dyDescent="0.25">
      <c r="B2912" s="15"/>
      <c r="C2912" s="15"/>
      <c r="D2912" s="16"/>
      <c r="E2912" s="16"/>
      <c r="F2912" s="20"/>
      <c r="G2912" s="17"/>
    </row>
    <row r="2913" spans="2:7" x14ac:dyDescent="0.25">
      <c r="B2913" s="15"/>
      <c r="C2913" s="15"/>
      <c r="D2913" s="16"/>
      <c r="E2913" s="16"/>
      <c r="F2913" s="20"/>
      <c r="G2913" s="17"/>
    </row>
    <row r="2914" spans="2:7" x14ac:dyDescent="0.25">
      <c r="B2914" s="15"/>
      <c r="C2914" s="15"/>
      <c r="D2914" s="16"/>
      <c r="E2914" s="16"/>
      <c r="F2914" s="20"/>
      <c r="G2914" s="17"/>
    </row>
    <row r="2915" spans="2:7" x14ac:dyDescent="0.25">
      <c r="B2915" s="15"/>
      <c r="C2915" s="15"/>
      <c r="D2915" s="16"/>
      <c r="E2915" s="16"/>
      <c r="F2915" s="20"/>
      <c r="G2915" s="17"/>
    </row>
    <row r="2916" spans="2:7" x14ac:dyDescent="0.25">
      <c r="B2916" s="15"/>
      <c r="C2916" s="15"/>
      <c r="D2916" s="16"/>
      <c r="E2916" s="16"/>
      <c r="F2916" s="20"/>
      <c r="G2916" s="17"/>
    </row>
    <row r="2917" spans="2:7" x14ac:dyDescent="0.25">
      <c r="B2917" s="15"/>
      <c r="C2917" s="15"/>
      <c r="D2917" s="16"/>
      <c r="E2917" s="16"/>
      <c r="F2917" s="20"/>
      <c r="G2917" s="17"/>
    </row>
    <row r="2918" spans="2:7" x14ac:dyDescent="0.25">
      <c r="B2918" s="15"/>
      <c r="C2918" s="15"/>
      <c r="D2918" s="16"/>
      <c r="E2918" s="16"/>
      <c r="F2918" s="20"/>
      <c r="G2918" s="17"/>
    </row>
    <row r="2919" spans="2:7" x14ac:dyDescent="0.25">
      <c r="B2919" s="15"/>
      <c r="C2919" s="15"/>
      <c r="D2919" s="16"/>
      <c r="E2919" s="16"/>
      <c r="F2919" s="20"/>
      <c r="G2919" s="17"/>
    </row>
    <row r="2920" spans="2:7" x14ac:dyDescent="0.25">
      <c r="B2920" s="15"/>
      <c r="C2920" s="15"/>
      <c r="D2920" s="16"/>
      <c r="E2920" s="16"/>
      <c r="F2920" s="20"/>
      <c r="G2920" s="17"/>
    </row>
    <row r="2921" spans="2:7" x14ac:dyDescent="0.25">
      <c r="B2921" s="15"/>
      <c r="C2921" s="15"/>
      <c r="D2921" s="16"/>
      <c r="E2921" s="16"/>
      <c r="F2921" s="20"/>
      <c r="G2921" s="17"/>
    </row>
    <row r="2922" spans="2:7" x14ac:dyDescent="0.25">
      <c r="B2922" s="15"/>
      <c r="C2922" s="15"/>
      <c r="D2922" s="16"/>
      <c r="E2922" s="16"/>
      <c r="F2922" s="20"/>
      <c r="G2922" s="17"/>
    </row>
    <row r="2923" spans="2:7" x14ac:dyDescent="0.25">
      <c r="B2923" s="15"/>
      <c r="C2923" s="15"/>
      <c r="D2923" s="16"/>
      <c r="E2923" s="16"/>
      <c r="F2923" s="20"/>
      <c r="G2923" s="17"/>
    </row>
    <row r="2924" spans="2:7" x14ac:dyDescent="0.25">
      <c r="B2924" s="15"/>
      <c r="C2924" s="15"/>
      <c r="D2924" s="16"/>
      <c r="E2924" s="16"/>
      <c r="F2924" s="20"/>
      <c r="G2924" s="17"/>
    </row>
    <row r="2925" spans="2:7" x14ac:dyDescent="0.25">
      <c r="B2925" s="15"/>
      <c r="C2925" s="15"/>
      <c r="D2925" s="16"/>
      <c r="E2925" s="16"/>
      <c r="F2925" s="20"/>
      <c r="G2925" s="17"/>
    </row>
    <row r="2926" spans="2:7" x14ac:dyDescent="0.25">
      <c r="B2926" s="15"/>
      <c r="C2926" s="15"/>
      <c r="D2926" s="16"/>
      <c r="E2926" s="16"/>
      <c r="F2926" s="20"/>
      <c r="G2926" s="17"/>
    </row>
    <row r="2927" spans="2:7" x14ac:dyDescent="0.25">
      <c r="B2927" s="15"/>
      <c r="C2927" s="15"/>
      <c r="D2927" s="16"/>
      <c r="E2927" s="16"/>
      <c r="F2927" s="20"/>
      <c r="G2927" s="17"/>
    </row>
    <row r="2928" spans="2:7" x14ac:dyDescent="0.25">
      <c r="B2928" s="15"/>
      <c r="C2928" s="15"/>
      <c r="D2928" s="16"/>
      <c r="E2928" s="16"/>
      <c r="F2928" s="20"/>
      <c r="G2928" s="17"/>
    </row>
    <row r="2929" spans="2:7" x14ac:dyDescent="0.25">
      <c r="B2929" s="15"/>
      <c r="C2929" s="15"/>
      <c r="D2929" s="16"/>
      <c r="E2929" s="16"/>
      <c r="F2929" s="20"/>
      <c r="G2929" s="17"/>
    </row>
    <row r="2930" spans="2:7" x14ac:dyDescent="0.25">
      <c r="B2930" s="15"/>
      <c r="C2930" s="15"/>
      <c r="D2930" s="16"/>
      <c r="E2930" s="16"/>
      <c r="F2930" s="20"/>
      <c r="G2930" s="17"/>
    </row>
    <row r="2931" spans="2:7" x14ac:dyDescent="0.25">
      <c r="B2931" s="15"/>
      <c r="C2931" s="15"/>
      <c r="D2931" s="16"/>
      <c r="E2931" s="16"/>
      <c r="F2931" s="20"/>
      <c r="G2931" s="17"/>
    </row>
    <row r="2932" spans="2:7" x14ac:dyDescent="0.25">
      <c r="B2932" s="15"/>
      <c r="C2932" s="15"/>
      <c r="D2932" s="16"/>
      <c r="E2932" s="16"/>
      <c r="F2932" s="20"/>
      <c r="G2932" s="17"/>
    </row>
    <row r="2933" spans="2:7" x14ac:dyDescent="0.25">
      <c r="B2933" s="15"/>
      <c r="C2933" s="15"/>
      <c r="D2933" s="16"/>
      <c r="E2933" s="16"/>
      <c r="F2933" s="20"/>
      <c r="G2933" s="17"/>
    </row>
    <row r="2934" spans="2:7" x14ac:dyDescent="0.25">
      <c r="B2934" s="15"/>
      <c r="C2934" s="15"/>
      <c r="D2934" s="16"/>
      <c r="E2934" s="16"/>
      <c r="F2934" s="20"/>
      <c r="G2934" s="17"/>
    </row>
    <row r="2935" spans="2:7" x14ac:dyDescent="0.25">
      <c r="B2935" s="15"/>
      <c r="C2935" s="15"/>
      <c r="D2935" s="16"/>
      <c r="E2935" s="16"/>
      <c r="F2935" s="20"/>
      <c r="G2935" s="17"/>
    </row>
    <row r="2936" spans="2:7" x14ac:dyDescent="0.25">
      <c r="B2936" s="15"/>
      <c r="C2936" s="15"/>
      <c r="D2936" s="16"/>
      <c r="E2936" s="16"/>
      <c r="F2936" s="20"/>
      <c r="G2936" s="17"/>
    </row>
    <row r="2937" spans="2:7" x14ac:dyDescent="0.25">
      <c r="B2937" s="15"/>
      <c r="C2937" s="15"/>
      <c r="D2937" s="16"/>
      <c r="E2937" s="16"/>
      <c r="F2937" s="20"/>
      <c r="G2937" s="17"/>
    </row>
    <row r="2938" spans="2:7" x14ac:dyDescent="0.25">
      <c r="B2938" s="15"/>
      <c r="C2938" s="15"/>
      <c r="D2938" s="16"/>
      <c r="E2938" s="16"/>
      <c r="F2938" s="20"/>
      <c r="G2938" s="17"/>
    </row>
    <row r="2939" spans="2:7" x14ac:dyDescent="0.25">
      <c r="B2939" s="15"/>
      <c r="C2939" s="15"/>
      <c r="D2939" s="16"/>
      <c r="E2939" s="16"/>
      <c r="F2939" s="20"/>
      <c r="G2939" s="17"/>
    </row>
    <row r="2940" spans="2:7" x14ac:dyDescent="0.25">
      <c r="B2940" s="15"/>
      <c r="C2940" s="15"/>
      <c r="D2940" s="16"/>
      <c r="E2940" s="16"/>
      <c r="F2940" s="20"/>
      <c r="G2940" s="17"/>
    </row>
    <row r="2941" spans="2:7" x14ac:dyDescent="0.25">
      <c r="B2941" s="15"/>
      <c r="C2941" s="15"/>
      <c r="D2941" s="16"/>
      <c r="E2941" s="16"/>
      <c r="F2941" s="20"/>
      <c r="G2941" s="17"/>
    </row>
    <row r="2942" spans="2:7" x14ac:dyDescent="0.25">
      <c r="B2942" s="15"/>
      <c r="C2942" s="15"/>
      <c r="D2942" s="16"/>
      <c r="E2942" s="16"/>
      <c r="F2942" s="20"/>
      <c r="G2942" s="17"/>
    </row>
    <row r="2943" spans="2:7" x14ac:dyDescent="0.25">
      <c r="B2943" s="15"/>
      <c r="C2943" s="15"/>
      <c r="D2943" s="16"/>
      <c r="E2943" s="16"/>
      <c r="F2943" s="20"/>
      <c r="G2943" s="17"/>
    </row>
    <row r="2944" spans="2:7" x14ac:dyDescent="0.25">
      <c r="B2944" s="15"/>
      <c r="C2944" s="15"/>
      <c r="D2944" s="16"/>
      <c r="E2944" s="16"/>
      <c r="F2944" s="20"/>
      <c r="G2944" s="17"/>
    </row>
    <row r="2945" spans="2:7" x14ac:dyDescent="0.25">
      <c r="B2945" s="15"/>
      <c r="C2945" s="15"/>
      <c r="D2945" s="16"/>
      <c r="E2945" s="16"/>
      <c r="F2945" s="20"/>
      <c r="G2945" s="17"/>
    </row>
    <row r="2946" spans="2:7" x14ac:dyDescent="0.25">
      <c r="B2946" s="15"/>
      <c r="C2946" s="15"/>
      <c r="D2946" s="16"/>
      <c r="E2946" s="16"/>
      <c r="F2946" s="20"/>
      <c r="G2946" s="17"/>
    </row>
    <row r="2947" spans="2:7" x14ac:dyDescent="0.25">
      <c r="B2947" s="15"/>
      <c r="C2947" s="15"/>
      <c r="D2947" s="16"/>
      <c r="E2947" s="16"/>
      <c r="F2947" s="20"/>
      <c r="G2947" s="17"/>
    </row>
    <row r="2948" spans="2:7" x14ac:dyDescent="0.25">
      <c r="B2948" s="15"/>
      <c r="C2948" s="15"/>
      <c r="D2948" s="16"/>
      <c r="E2948" s="16"/>
      <c r="F2948" s="20"/>
      <c r="G2948" s="17"/>
    </row>
    <row r="2949" spans="2:7" x14ac:dyDescent="0.25">
      <c r="B2949" s="15"/>
      <c r="C2949" s="15"/>
      <c r="D2949" s="16"/>
      <c r="E2949" s="16"/>
      <c r="F2949" s="20"/>
      <c r="G2949" s="17"/>
    </row>
    <row r="2950" spans="2:7" x14ac:dyDescent="0.25">
      <c r="B2950" s="15"/>
      <c r="C2950" s="15"/>
      <c r="D2950" s="16"/>
      <c r="E2950" s="16"/>
      <c r="F2950" s="20"/>
      <c r="G2950" s="17"/>
    </row>
    <row r="2951" spans="2:7" x14ac:dyDescent="0.25">
      <c r="B2951" s="15"/>
      <c r="C2951" s="15"/>
      <c r="D2951" s="16"/>
      <c r="E2951" s="16"/>
      <c r="F2951" s="20"/>
      <c r="G2951" s="17"/>
    </row>
    <row r="2952" spans="2:7" x14ac:dyDescent="0.25">
      <c r="B2952" s="15"/>
      <c r="C2952" s="15"/>
      <c r="D2952" s="16"/>
      <c r="E2952" s="16"/>
      <c r="F2952" s="20"/>
      <c r="G2952" s="17"/>
    </row>
    <row r="2953" spans="2:7" x14ac:dyDescent="0.25">
      <c r="B2953" s="15"/>
      <c r="C2953" s="15"/>
      <c r="D2953" s="16"/>
      <c r="E2953" s="16"/>
      <c r="F2953" s="20"/>
      <c r="G2953" s="17"/>
    </row>
    <row r="2954" spans="2:7" x14ac:dyDescent="0.25">
      <c r="B2954" s="15"/>
      <c r="C2954" s="15"/>
      <c r="D2954" s="16"/>
      <c r="E2954" s="16"/>
      <c r="F2954" s="20"/>
      <c r="G2954" s="17"/>
    </row>
    <row r="2955" spans="2:7" x14ac:dyDescent="0.25">
      <c r="B2955" s="15"/>
      <c r="C2955" s="15"/>
      <c r="D2955" s="16"/>
      <c r="E2955" s="16"/>
      <c r="F2955" s="20"/>
      <c r="G2955" s="17"/>
    </row>
    <row r="2956" spans="2:7" x14ac:dyDescent="0.25">
      <c r="B2956" s="15"/>
      <c r="C2956" s="15"/>
      <c r="D2956" s="16"/>
      <c r="E2956" s="16"/>
      <c r="F2956" s="20"/>
      <c r="G2956" s="17"/>
    </row>
    <row r="2957" spans="2:7" x14ac:dyDescent="0.25">
      <c r="B2957" s="15"/>
      <c r="C2957" s="15"/>
      <c r="D2957" s="16"/>
      <c r="E2957" s="16"/>
      <c r="F2957" s="20"/>
      <c r="G2957" s="17"/>
    </row>
    <row r="2958" spans="2:7" x14ac:dyDescent="0.25">
      <c r="B2958" s="15"/>
      <c r="C2958" s="15"/>
      <c r="D2958" s="16"/>
      <c r="E2958" s="16"/>
      <c r="F2958" s="20"/>
      <c r="G2958" s="17"/>
    </row>
    <row r="2959" spans="2:7" x14ac:dyDescent="0.25">
      <c r="B2959" s="15"/>
      <c r="C2959" s="15"/>
      <c r="D2959" s="16"/>
      <c r="E2959" s="16"/>
      <c r="F2959" s="20"/>
      <c r="G2959" s="17"/>
    </row>
    <row r="2960" spans="2:7" x14ac:dyDescent="0.25">
      <c r="B2960" s="15"/>
      <c r="C2960" s="15"/>
      <c r="D2960" s="16"/>
      <c r="E2960" s="16"/>
      <c r="F2960" s="20"/>
      <c r="G2960" s="17"/>
    </row>
    <row r="2961" spans="2:7" x14ac:dyDescent="0.25">
      <c r="B2961" s="15"/>
      <c r="C2961" s="15"/>
      <c r="D2961" s="16"/>
      <c r="E2961" s="16"/>
      <c r="F2961" s="20"/>
      <c r="G2961" s="17"/>
    </row>
    <row r="2962" spans="2:7" x14ac:dyDescent="0.25">
      <c r="B2962" s="15"/>
      <c r="C2962" s="15"/>
      <c r="D2962" s="16"/>
      <c r="E2962" s="16"/>
      <c r="F2962" s="20"/>
      <c r="G2962" s="17"/>
    </row>
    <row r="2963" spans="2:7" x14ac:dyDescent="0.25">
      <c r="B2963" s="15"/>
      <c r="C2963" s="15"/>
      <c r="D2963" s="16"/>
      <c r="E2963" s="16"/>
      <c r="F2963" s="20"/>
      <c r="G2963" s="17"/>
    </row>
    <row r="2964" spans="2:7" x14ac:dyDescent="0.25">
      <c r="B2964" s="15"/>
      <c r="C2964" s="15"/>
      <c r="D2964" s="16"/>
      <c r="E2964" s="16"/>
      <c r="F2964" s="20"/>
      <c r="G2964" s="17"/>
    </row>
    <row r="2965" spans="2:7" x14ac:dyDescent="0.25">
      <c r="B2965" s="15"/>
      <c r="C2965" s="15"/>
      <c r="D2965" s="16"/>
      <c r="E2965" s="16"/>
      <c r="F2965" s="20"/>
      <c r="G2965" s="17"/>
    </row>
    <row r="2966" spans="2:7" x14ac:dyDescent="0.25">
      <c r="B2966" s="15"/>
      <c r="C2966" s="15"/>
      <c r="D2966" s="16"/>
      <c r="E2966" s="16"/>
      <c r="F2966" s="20"/>
      <c r="G2966" s="17"/>
    </row>
    <row r="2967" spans="2:7" x14ac:dyDescent="0.25">
      <c r="B2967" s="15"/>
      <c r="C2967" s="15"/>
      <c r="D2967" s="16"/>
      <c r="E2967" s="16"/>
      <c r="F2967" s="20"/>
      <c r="G2967" s="17"/>
    </row>
    <row r="2968" spans="2:7" x14ac:dyDescent="0.25">
      <c r="B2968" s="15"/>
      <c r="C2968" s="15"/>
      <c r="D2968" s="16"/>
      <c r="E2968" s="16"/>
      <c r="F2968" s="20"/>
      <c r="G2968" s="17"/>
    </row>
    <row r="2969" spans="2:7" x14ac:dyDescent="0.25">
      <c r="B2969" s="15"/>
      <c r="C2969" s="15"/>
      <c r="D2969" s="16"/>
      <c r="E2969" s="16"/>
      <c r="F2969" s="20"/>
      <c r="G2969" s="17"/>
    </row>
    <row r="2970" spans="2:7" x14ac:dyDescent="0.25">
      <c r="B2970" s="15"/>
      <c r="C2970" s="15"/>
      <c r="D2970" s="16"/>
      <c r="E2970" s="16"/>
      <c r="F2970" s="20"/>
      <c r="G2970" s="17"/>
    </row>
    <row r="2971" spans="2:7" x14ac:dyDescent="0.25">
      <c r="B2971" s="15"/>
      <c r="C2971" s="15"/>
      <c r="D2971" s="16"/>
      <c r="E2971" s="16"/>
      <c r="F2971" s="20"/>
      <c r="G2971" s="17"/>
    </row>
    <row r="2972" spans="2:7" x14ac:dyDescent="0.25">
      <c r="B2972" s="15"/>
      <c r="C2972" s="15"/>
      <c r="D2972" s="16"/>
      <c r="E2972" s="16"/>
      <c r="F2972" s="20"/>
      <c r="G2972" s="17"/>
    </row>
    <row r="2973" spans="2:7" x14ac:dyDescent="0.25">
      <c r="B2973" s="15"/>
      <c r="C2973" s="15"/>
      <c r="D2973" s="16"/>
      <c r="E2973" s="16"/>
      <c r="F2973" s="20"/>
      <c r="G2973" s="17"/>
    </row>
    <row r="2974" spans="2:7" x14ac:dyDescent="0.25">
      <c r="B2974" s="15"/>
      <c r="C2974" s="15"/>
      <c r="D2974" s="16"/>
      <c r="E2974" s="16"/>
      <c r="F2974" s="20"/>
      <c r="G2974" s="17"/>
    </row>
    <row r="2975" spans="2:7" x14ac:dyDescent="0.25">
      <c r="B2975" s="15"/>
      <c r="C2975" s="15"/>
      <c r="D2975" s="16"/>
      <c r="E2975" s="16"/>
      <c r="F2975" s="20"/>
      <c r="G2975" s="17"/>
    </row>
    <row r="2976" spans="2:7" x14ac:dyDescent="0.25">
      <c r="B2976" s="15"/>
      <c r="C2976" s="15"/>
      <c r="D2976" s="16"/>
      <c r="E2976" s="16"/>
      <c r="F2976" s="20"/>
      <c r="G2976" s="17"/>
    </row>
    <row r="2977" spans="2:7" x14ac:dyDescent="0.25">
      <c r="B2977" s="15"/>
      <c r="C2977" s="15"/>
      <c r="D2977" s="16"/>
      <c r="E2977" s="16"/>
      <c r="F2977" s="20"/>
      <c r="G2977" s="17"/>
    </row>
    <row r="2978" spans="2:7" x14ac:dyDescent="0.25">
      <c r="B2978" s="15"/>
      <c r="C2978" s="15"/>
      <c r="D2978" s="16"/>
      <c r="E2978" s="16"/>
      <c r="F2978" s="20"/>
      <c r="G2978" s="17"/>
    </row>
    <row r="2979" spans="2:7" x14ac:dyDescent="0.25">
      <c r="B2979" s="15"/>
      <c r="C2979" s="15"/>
      <c r="D2979" s="16"/>
      <c r="E2979" s="16"/>
      <c r="F2979" s="20"/>
      <c r="G2979" s="17"/>
    </row>
    <row r="2980" spans="2:7" x14ac:dyDescent="0.25">
      <c r="B2980" s="15"/>
      <c r="C2980" s="15"/>
      <c r="D2980" s="16"/>
      <c r="E2980" s="16"/>
      <c r="F2980" s="20"/>
      <c r="G2980" s="17"/>
    </row>
    <row r="2981" spans="2:7" x14ac:dyDescent="0.25">
      <c r="B2981" s="15"/>
      <c r="C2981" s="15"/>
      <c r="D2981" s="16"/>
      <c r="E2981" s="16"/>
      <c r="F2981" s="20"/>
      <c r="G2981" s="17"/>
    </row>
    <row r="2982" spans="2:7" x14ac:dyDescent="0.25">
      <c r="B2982" s="15"/>
      <c r="C2982" s="15"/>
      <c r="D2982" s="16"/>
      <c r="E2982" s="16"/>
      <c r="F2982" s="20"/>
      <c r="G2982" s="17"/>
    </row>
    <row r="2983" spans="2:7" x14ac:dyDescent="0.25">
      <c r="B2983" s="15"/>
      <c r="C2983" s="15"/>
      <c r="D2983" s="16"/>
      <c r="E2983" s="16"/>
      <c r="F2983" s="20"/>
      <c r="G2983" s="17"/>
    </row>
    <row r="2984" spans="2:7" x14ac:dyDescent="0.25">
      <c r="B2984" s="15"/>
      <c r="C2984" s="15"/>
      <c r="D2984" s="16"/>
      <c r="E2984" s="16"/>
      <c r="F2984" s="20"/>
      <c r="G2984" s="17"/>
    </row>
    <row r="2985" spans="2:7" x14ac:dyDescent="0.25">
      <c r="B2985" s="15"/>
      <c r="C2985" s="15"/>
      <c r="D2985" s="16"/>
      <c r="E2985" s="16"/>
      <c r="F2985" s="20"/>
      <c r="G2985" s="17"/>
    </row>
    <row r="2986" spans="2:7" x14ac:dyDescent="0.25">
      <c r="B2986" s="15"/>
      <c r="C2986" s="15"/>
      <c r="D2986" s="16"/>
      <c r="E2986" s="16"/>
      <c r="F2986" s="20"/>
      <c r="G2986" s="17"/>
    </row>
    <row r="2987" spans="2:7" x14ac:dyDescent="0.25">
      <c r="B2987" s="15"/>
      <c r="C2987" s="15"/>
      <c r="D2987" s="16"/>
      <c r="E2987" s="16"/>
      <c r="F2987" s="20"/>
      <c r="G2987" s="17"/>
    </row>
    <row r="2988" spans="2:7" x14ac:dyDescent="0.25">
      <c r="B2988" s="15"/>
      <c r="C2988" s="15"/>
      <c r="D2988" s="16"/>
      <c r="E2988" s="16"/>
      <c r="F2988" s="20"/>
      <c r="G2988" s="17"/>
    </row>
    <row r="2989" spans="2:7" x14ac:dyDescent="0.25">
      <c r="B2989" s="15"/>
      <c r="C2989" s="15"/>
      <c r="D2989" s="16"/>
      <c r="E2989" s="16"/>
      <c r="F2989" s="20"/>
      <c r="G2989" s="17"/>
    </row>
    <row r="2990" spans="2:7" x14ac:dyDescent="0.25">
      <c r="B2990" s="15"/>
      <c r="C2990" s="15"/>
      <c r="D2990" s="16"/>
      <c r="E2990" s="16"/>
      <c r="F2990" s="20"/>
      <c r="G2990" s="17"/>
    </row>
    <row r="2991" spans="2:7" x14ac:dyDescent="0.25">
      <c r="B2991" s="15"/>
      <c r="C2991" s="15"/>
      <c r="D2991" s="16"/>
      <c r="E2991" s="16"/>
      <c r="F2991" s="20"/>
      <c r="G2991" s="17"/>
    </row>
    <row r="2992" spans="2:7" x14ac:dyDescent="0.25">
      <c r="B2992" s="15"/>
      <c r="C2992" s="15"/>
      <c r="D2992" s="16"/>
      <c r="E2992" s="16"/>
      <c r="F2992" s="20"/>
      <c r="G2992" s="17"/>
    </row>
    <row r="2993" spans="2:7" x14ac:dyDescent="0.25">
      <c r="B2993" s="15"/>
      <c r="C2993" s="15"/>
      <c r="D2993" s="16"/>
      <c r="E2993" s="16"/>
      <c r="F2993" s="20"/>
      <c r="G2993" s="17"/>
    </row>
    <row r="2994" spans="2:7" x14ac:dyDescent="0.25">
      <c r="B2994" s="15"/>
      <c r="C2994" s="15"/>
      <c r="D2994" s="16"/>
      <c r="E2994" s="16"/>
      <c r="F2994" s="20"/>
      <c r="G2994" s="17"/>
    </row>
    <row r="2995" spans="2:7" x14ac:dyDescent="0.25">
      <c r="B2995" s="15"/>
      <c r="C2995" s="15"/>
      <c r="D2995" s="16"/>
      <c r="E2995" s="16"/>
      <c r="F2995" s="20"/>
      <c r="G2995" s="17"/>
    </row>
    <row r="2996" spans="2:7" x14ac:dyDescent="0.25">
      <c r="B2996" s="15"/>
      <c r="C2996" s="15"/>
      <c r="D2996" s="16"/>
      <c r="E2996" s="16"/>
      <c r="F2996" s="20"/>
      <c r="G2996" s="17"/>
    </row>
    <row r="2997" spans="2:7" x14ac:dyDescent="0.25">
      <c r="B2997" s="15"/>
      <c r="C2997" s="15"/>
      <c r="D2997" s="16"/>
      <c r="E2997" s="16"/>
      <c r="F2997" s="20"/>
      <c r="G2997" s="17"/>
    </row>
    <row r="2998" spans="2:7" x14ac:dyDescent="0.25">
      <c r="B2998" s="15"/>
      <c r="C2998" s="15"/>
      <c r="D2998" s="16"/>
      <c r="E2998" s="16"/>
      <c r="F2998" s="20"/>
      <c r="G2998" s="17"/>
    </row>
    <row r="2999" spans="2:7" x14ac:dyDescent="0.25">
      <c r="B2999" s="15"/>
      <c r="C2999" s="15"/>
      <c r="D2999" s="16"/>
      <c r="E2999" s="16"/>
      <c r="F2999" s="20"/>
      <c r="G2999" s="17"/>
    </row>
    <row r="3000" spans="2:7" x14ac:dyDescent="0.25">
      <c r="B3000" s="15"/>
      <c r="C3000" s="15"/>
      <c r="D3000" s="16"/>
      <c r="E3000" s="16"/>
      <c r="F3000" s="20"/>
      <c r="G3000" s="17"/>
    </row>
    <row r="3001" spans="2:7" x14ac:dyDescent="0.25">
      <c r="B3001" s="15"/>
      <c r="C3001" s="15"/>
      <c r="D3001" s="16"/>
      <c r="E3001" s="16"/>
      <c r="F3001" s="20"/>
      <c r="G3001" s="17"/>
    </row>
    <row r="3002" spans="2:7" x14ac:dyDescent="0.25">
      <c r="B3002" s="15"/>
      <c r="C3002" s="15"/>
      <c r="D3002" s="16"/>
      <c r="E3002" s="16"/>
      <c r="F3002" s="20"/>
      <c r="G3002" s="17"/>
    </row>
    <row r="3003" spans="2:7" x14ac:dyDescent="0.25">
      <c r="B3003" s="15"/>
      <c r="C3003" s="15"/>
      <c r="D3003" s="16"/>
      <c r="E3003" s="16"/>
      <c r="F3003" s="20"/>
      <c r="G3003" s="17"/>
    </row>
    <row r="3004" spans="2:7" x14ac:dyDescent="0.25">
      <c r="B3004" s="15"/>
      <c r="C3004" s="15"/>
      <c r="D3004" s="16"/>
      <c r="E3004" s="16"/>
      <c r="F3004" s="20"/>
      <c r="G3004" s="17"/>
    </row>
    <row r="3005" spans="2:7" x14ac:dyDescent="0.25">
      <c r="B3005" s="15"/>
      <c r="C3005" s="15"/>
      <c r="D3005" s="16"/>
      <c r="E3005" s="16"/>
      <c r="F3005" s="20"/>
      <c r="G3005" s="17"/>
    </row>
    <row r="3006" spans="2:7" x14ac:dyDescent="0.25">
      <c r="B3006" s="15"/>
      <c r="C3006" s="15"/>
      <c r="D3006" s="16"/>
      <c r="E3006" s="16"/>
      <c r="F3006" s="20"/>
      <c r="G3006" s="17"/>
    </row>
    <row r="3007" spans="2:7" x14ac:dyDescent="0.25">
      <c r="B3007" s="15"/>
      <c r="C3007" s="15"/>
      <c r="D3007" s="16"/>
      <c r="E3007" s="16"/>
      <c r="F3007" s="20"/>
      <c r="G3007" s="17"/>
    </row>
    <row r="3008" spans="2:7" x14ac:dyDescent="0.25">
      <c r="B3008" s="15"/>
      <c r="C3008" s="15"/>
      <c r="D3008" s="16"/>
      <c r="E3008" s="16"/>
      <c r="F3008" s="20"/>
      <c r="G3008" s="17"/>
    </row>
    <row r="3009" spans="2:7" x14ac:dyDescent="0.25">
      <c r="B3009" s="15"/>
      <c r="C3009" s="15"/>
      <c r="D3009" s="16"/>
      <c r="E3009" s="16"/>
      <c r="F3009" s="20"/>
      <c r="G3009" s="17"/>
    </row>
    <row r="3010" spans="2:7" x14ac:dyDescent="0.25">
      <c r="B3010" s="15"/>
      <c r="C3010" s="15"/>
      <c r="D3010" s="16"/>
      <c r="E3010" s="16"/>
      <c r="F3010" s="20"/>
      <c r="G3010" s="17"/>
    </row>
    <row r="3011" spans="2:7" x14ac:dyDescent="0.25">
      <c r="B3011" s="15"/>
      <c r="C3011" s="15"/>
      <c r="D3011" s="16"/>
      <c r="E3011" s="16"/>
      <c r="F3011" s="20"/>
      <c r="G3011" s="17"/>
    </row>
    <row r="3012" spans="2:7" x14ac:dyDescent="0.25">
      <c r="B3012" s="15"/>
      <c r="C3012" s="15"/>
      <c r="D3012" s="16"/>
      <c r="E3012" s="16"/>
      <c r="F3012" s="20"/>
      <c r="G3012" s="17"/>
    </row>
    <row r="3013" spans="2:7" x14ac:dyDescent="0.25">
      <c r="B3013" s="15"/>
      <c r="C3013" s="15"/>
      <c r="D3013" s="16"/>
      <c r="E3013" s="16"/>
      <c r="F3013" s="20"/>
      <c r="G3013" s="17"/>
    </row>
    <row r="3014" spans="2:7" x14ac:dyDescent="0.25">
      <c r="B3014" s="15"/>
      <c r="C3014" s="15"/>
      <c r="D3014" s="16"/>
      <c r="E3014" s="16"/>
      <c r="F3014" s="20"/>
      <c r="G3014" s="17"/>
    </row>
    <row r="3015" spans="2:7" x14ac:dyDescent="0.25">
      <c r="B3015" s="15"/>
      <c r="C3015" s="15"/>
      <c r="D3015" s="16"/>
      <c r="E3015" s="16"/>
      <c r="F3015" s="20"/>
      <c r="G3015" s="17"/>
    </row>
    <row r="3016" spans="2:7" x14ac:dyDescent="0.25">
      <c r="B3016" s="15"/>
      <c r="C3016" s="15"/>
      <c r="D3016" s="16"/>
      <c r="E3016" s="16"/>
      <c r="F3016" s="20"/>
      <c r="G3016" s="17"/>
    </row>
    <row r="3017" spans="2:7" x14ac:dyDescent="0.25">
      <c r="B3017" s="15"/>
      <c r="C3017" s="15"/>
      <c r="D3017" s="16"/>
      <c r="E3017" s="16"/>
      <c r="F3017" s="20"/>
      <c r="G3017" s="17"/>
    </row>
    <row r="3018" spans="2:7" x14ac:dyDescent="0.25">
      <c r="B3018" s="15"/>
      <c r="C3018" s="15"/>
      <c r="D3018" s="16"/>
      <c r="E3018" s="16"/>
      <c r="F3018" s="20"/>
      <c r="G3018" s="17"/>
    </row>
    <row r="3019" spans="2:7" x14ac:dyDescent="0.25">
      <c r="B3019" s="15"/>
      <c r="C3019" s="15"/>
      <c r="D3019" s="16"/>
      <c r="E3019" s="16"/>
      <c r="F3019" s="20"/>
      <c r="G3019" s="17"/>
    </row>
    <row r="3020" spans="2:7" x14ac:dyDescent="0.25">
      <c r="B3020" s="15"/>
      <c r="C3020" s="15"/>
      <c r="D3020" s="16"/>
      <c r="E3020" s="16"/>
      <c r="F3020" s="20"/>
      <c r="G3020" s="17"/>
    </row>
    <row r="3021" spans="2:7" x14ac:dyDescent="0.25">
      <c r="B3021" s="15"/>
      <c r="C3021" s="15"/>
      <c r="D3021" s="16"/>
      <c r="E3021" s="16"/>
      <c r="F3021" s="20"/>
      <c r="G3021" s="17"/>
    </row>
    <row r="3022" spans="2:7" x14ac:dyDescent="0.25">
      <c r="B3022" s="15"/>
      <c r="C3022" s="15"/>
      <c r="D3022" s="16"/>
      <c r="E3022" s="16"/>
      <c r="F3022" s="20"/>
      <c r="G3022" s="17"/>
    </row>
    <row r="3023" spans="2:7" x14ac:dyDescent="0.25">
      <c r="B3023" s="15"/>
      <c r="C3023" s="15"/>
      <c r="D3023" s="16"/>
      <c r="E3023" s="16"/>
      <c r="F3023" s="20"/>
      <c r="G3023" s="17"/>
    </row>
    <row r="3024" spans="2:7" x14ac:dyDescent="0.25">
      <c r="B3024" s="15"/>
      <c r="C3024" s="15"/>
      <c r="D3024" s="16"/>
      <c r="E3024" s="16"/>
      <c r="F3024" s="20"/>
      <c r="G3024" s="17"/>
    </row>
    <row r="3025" spans="2:7" x14ac:dyDescent="0.25">
      <c r="B3025" s="15"/>
      <c r="C3025" s="15"/>
      <c r="D3025" s="16"/>
      <c r="E3025" s="16"/>
      <c r="F3025" s="20"/>
      <c r="G3025" s="17"/>
    </row>
    <row r="3026" spans="2:7" x14ac:dyDescent="0.25">
      <c r="B3026" s="15"/>
      <c r="C3026" s="15"/>
      <c r="D3026" s="16"/>
      <c r="E3026" s="16"/>
      <c r="F3026" s="20"/>
      <c r="G3026" s="17"/>
    </row>
    <row r="3027" spans="2:7" x14ac:dyDescent="0.25">
      <c r="B3027" s="15"/>
      <c r="C3027" s="15"/>
      <c r="D3027" s="16"/>
      <c r="E3027" s="16"/>
      <c r="F3027" s="20"/>
      <c r="G3027" s="17"/>
    </row>
    <row r="3028" spans="2:7" x14ac:dyDescent="0.25">
      <c r="B3028" s="15"/>
      <c r="C3028" s="15"/>
      <c r="D3028" s="16"/>
      <c r="E3028" s="16"/>
      <c r="F3028" s="20"/>
      <c r="G3028" s="17"/>
    </row>
    <row r="3029" spans="2:7" x14ac:dyDescent="0.25">
      <c r="B3029" s="15"/>
      <c r="C3029" s="15"/>
      <c r="D3029" s="16"/>
      <c r="E3029" s="16"/>
      <c r="F3029" s="20"/>
      <c r="G3029" s="17"/>
    </row>
    <row r="3030" spans="2:7" x14ac:dyDescent="0.25">
      <c r="B3030" s="15"/>
      <c r="C3030" s="15"/>
      <c r="D3030" s="16"/>
      <c r="E3030" s="16"/>
      <c r="F3030" s="20"/>
      <c r="G3030" s="17"/>
    </row>
    <row r="3031" spans="2:7" x14ac:dyDescent="0.25">
      <c r="B3031" s="15"/>
      <c r="C3031" s="15"/>
      <c r="D3031" s="16"/>
      <c r="E3031" s="16"/>
      <c r="F3031" s="20"/>
      <c r="G3031" s="17"/>
    </row>
    <row r="3032" spans="2:7" x14ac:dyDescent="0.25">
      <c r="B3032" s="15"/>
      <c r="C3032" s="15"/>
      <c r="D3032" s="16"/>
      <c r="E3032" s="16"/>
      <c r="F3032" s="20"/>
      <c r="G3032" s="17"/>
    </row>
    <row r="3033" spans="2:7" x14ac:dyDescent="0.25">
      <c r="B3033" s="15"/>
      <c r="C3033" s="15"/>
      <c r="D3033" s="16"/>
      <c r="E3033" s="16"/>
      <c r="F3033" s="20"/>
      <c r="G3033" s="17"/>
    </row>
    <row r="3034" spans="2:7" x14ac:dyDescent="0.25">
      <c r="B3034" s="15"/>
      <c r="C3034" s="15"/>
      <c r="D3034" s="16"/>
      <c r="E3034" s="16"/>
      <c r="F3034" s="20"/>
      <c r="G3034" s="17"/>
    </row>
    <row r="3035" spans="2:7" x14ac:dyDescent="0.25">
      <c r="B3035" s="15"/>
      <c r="C3035" s="15"/>
      <c r="D3035" s="16"/>
      <c r="E3035" s="16"/>
      <c r="F3035" s="20"/>
      <c r="G3035" s="17"/>
    </row>
    <row r="3036" spans="2:7" x14ac:dyDescent="0.25">
      <c r="B3036" s="15"/>
      <c r="C3036" s="15"/>
      <c r="D3036" s="16"/>
      <c r="E3036" s="16"/>
      <c r="F3036" s="20"/>
      <c r="G3036" s="17"/>
    </row>
    <row r="3037" spans="2:7" x14ac:dyDescent="0.25">
      <c r="B3037" s="15"/>
      <c r="C3037" s="15"/>
      <c r="D3037" s="16"/>
      <c r="E3037" s="16"/>
      <c r="F3037" s="20"/>
      <c r="G3037" s="17"/>
    </row>
    <row r="3038" spans="2:7" x14ac:dyDescent="0.25">
      <c r="B3038" s="15"/>
      <c r="C3038" s="15"/>
      <c r="D3038" s="16"/>
      <c r="E3038" s="16"/>
      <c r="F3038" s="20"/>
      <c r="G3038" s="17"/>
    </row>
    <row r="3039" spans="2:7" x14ac:dyDescent="0.25">
      <c r="B3039" s="15"/>
      <c r="C3039" s="15"/>
      <c r="D3039" s="16"/>
      <c r="E3039" s="16"/>
      <c r="F3039" s="20"/>
      <c r="G3039" s="17"/>
    </row>
    <row r="3040" spans="2:7" x14ac:dyDescent="0.25">
      <c r="B3040" s="15"/>
      <c r="C3040" s="15"/>
      <c r="D3040" s="16"/>
      <c r="E3040" s="16"/>
      <c r="F3040" s="20"/>
      <c r="G3040" s="17"/>
    </row>
    <row r="3041" spans="2:7" x14ac:dyDescent="0.25">
      <c r="B3041" s="15"/>
      <c r="C3041" s="15"/>
      <c r="D3041" s="16"/>
      <c r="E3041" s="16"/>
      <c r="F3041" s="20"/>
      <c r="G3041" s="17"/>
    </row>
    <row r="3042" spans="2:7" x14ac:dyDescent="0.25">
      <c r="B3042" s="15"/>
      <c r="C3042" s="15"/>
      <c r="D3042" s="16"/>
      <c r="E3042" s="16"/>
      <c r="F3042" s="20"/>
      <c r="G3042" s="17"/>
    </row>
    <row r="3043" spans="2:7" x14ac:dyDescent="0.25">
      <c r="B3043" s="15"/>
      <c r="C3043" s="15"/>
      <c r="D3043" s="16"/>
      <c r="E3043" s="16"/>
      <c r="F3043" s="20"/>
      <c r="G3043" s="17"/>
    </row>
    <row r="3044" spans="2:7" x14ac:dyDescent="0.25">
      <c r="B3044" s="15"/>
      <c r="C3044" s="15"/>
      <c r="D3044" s="16"/>
      <c r="E3044" s="16"/>
      <c r="F3044" s="20"/>
      <c r="G3044" s="17"/>
    </row>
    <row r="3045" spans="2:7" x14ac:dyDescent="0.25">
      <c r="B3045" s="15"/>
      <c r="C3045" s="15"/>
      <c r="D3045" s="16"/>
      <c r="E3045" s="16"/>
      <c r="F3045" s="20"/>
      <c r="G3045" s="17"/>
    </row>
    <row r="3046" spans="2:7" x14ac:dyDescent="0.25">
      <c r="B3046" s="15"/>
      <c r="C3046" s="15"/>
      <c r="D3046" s="16"/>
      <c r="E3046" s="16"/>
      <c r="F3046" s="20"/>
      <c r="G3046" s="17"/>
    </row>
    <row r="3047" spans="2:7" x14ac:dyDescent="0.25">
      <c r="B3047" s="15"/>
      <c r="C3047" s="15"/>
      <c r="D3047" s="16"/>
      <c r="E3047" s="16"/>
      <c r="F3047" s="20"/>
      <c r="G3047" s="17"/>
    </row>
    <row r="3048" spans="2:7" x14ac:dyDescent="0.25">
      <c r="B3048" s="15"/>
      <c r="C3048" s="15"/>
      <c r="D3048" s="16"/>
      <c r="E3048" s="16"/>
      <c r="F3048" s="20"/>
      <c r="G3048" s="17"/>
    </row>
    <row r="3049" spans="2:7" x14ac:dyDescent="0.25">
      <c r="B3049" s="15"/>
      <c r="C3049" s="15"/>
      <c r="D3049" s="16"/>
      <c r="E3049" s="16"/>
      <c r="F3049" s="20"/>
      <c r="G3049" s="17"/>
    </row>
    <row r="3050" spans="2:7" x14ac:dyDescent="0.25">
      <c r="B3050" s="15"/>
      <c r="C3050" s="15"/>
      <c r="D3050" s="16"/>
      <c r="E3050" s="16"/>
      <c r="F3050" s="20"/>
      <c r="G3050" s="17"/>
    </row>
    <row r="3051" spans="2:7" x14ac:dyDescent="0.25">
      <c r="B3051" s="15"/>
      <c r="C3051" s="15"/>
      <c r="D3051" s="16"/>
      <c r="E3051" s="16"/>
      <c r="F3051" s="20"/>
      <c r="G3051" s="17"/>
    </row>
    <row r="3052" spans="2:7" x14ac:dyDescent="0.25">
      <c r="B3052" s="15"/>
      <c r="C3052" s="15"/>
      <c r="D3052" s="16"/>
      <c r="E3052" s="16"/>
      <c r="F3052" s="20"/>
      <c r="G3052" s="17"/>
    </row>
    <row r="3053" spans="2:7" x14ac:dyDescent="0.25">
      <c r="B3053" s="15"/>
      <c r="C3053" s="15"/>
      <c r="D3053" s="16"/>
      <c r="E3053" s="16"/>
      <c r="F3053" s="20"/>
      <c r="G3053" s="17"/>
    </row>
    <row r="3054" spans="2:7" x14ac:dyDescent="0.25">
      <c r="B3054" s="15"/>
      <c r="C3054" s="15"/>
      <c r="D3054" s="16"/>
      <c r="E3054" s="16"/>
      <c r="F3054" s="20"/>
      <c r="G3054" s="17"/>
    </row>
    <row r="3055" spans="2:7" x14ac:dyDescent="0.25">
      <c r="B3055" s="15"/>
      <c r="C3055" s="15"/>
      <c r="D3055" s="16"/>
      <c r="E3055" s="16"/>
      <c r="F3055" s="20"/>
      <c r="G3055" s="17"/>
    </row>
    <row r="3056" spans="2:7" x14ac:dyDescent="0.25">
      <c r="B3056" s="15"/>
      <c r="C3056" s="15"/>
      <c r="D3056" s="16"/>
      <c r="E3056" s="16"/>
      <c r="F3056" s="20"/>
      <c r="G3056" s="17"/>
    </row>
    <row r="3057" spans="2:7" x14ac:dyDescent="0.25">
      <c r="B3057" s="15"/>
      <c r="C3057" s="15"/>
      <c r="D3057" s="16"/>
      <c r="E3057" s="16"/>
      <c r="F3057" s="20"/>
      <c r="G3057" s="17"/>
    </row>
    <row r="3058" spans="2:7" x14ac:dyDescent="0.25">
      <c r="B3058" s="15"/>
      <c r="C3058" s="15"/>
      <c r="D3058" s="16"/>
      <c r="E3058" s="16"/>
      <c r="F3058" s="20"/>
      <c r="G3058" s="17"/>
    </row>
    <row r="3059" spans="2:7" x14ac:dyDescent="0.25">
      <c r="B3059" s="15"/>
      <c r="C3059" s="15"/>
      <c r="D3059" s="16"/>
      <c r="E3059" s="16"/>
      <c r="F3059" s="20"/>
      <c r="G3059" s="17"/>
    </row>
    <row r="3060" spans="2:7" x14ac:dyDescent="0.25">
      <c r="B3060" s="15"/>
      <c r="C3060" s="15"/>
      <c r="D3060" s="16"/>
      <c r="E3060" s="16"/>
      <c r="F3060" s="20"/>
      <c r="G3060" s="17"/>
    </row>
    <row r="3061" spans="2:7" x14ac:dyDescent="0.25">
      <c r="B3061" s="15"/>
      <c r="C3061" s="15"/>
      <c r="D3061" s="16"/>
      <c r="E3061" s="16"/>
      <c r="F3061" s="20"/>
      <c r="G3061" s="17"/>
    </row>
    <row r="3062" spans="2:7" x14ac:dyDescent="0.25">
      <c r="B3062" s="15"/>
      <c r="C3062" s="15"/>
      <c r="D3062" s="16"/>
      <c r="E3062" s="16"/>
      <c r="F3062" s="20"/>
      <c r="G3062" s="17"/>
    </row>
    <row r="3063" spans="2:7" x14ac:dyDescent="0.25">
      <c r="B3063" s="15"/>
      <c r="C3063" s="15"/>
      <c r="D3063" s="16"/>
      <c r="E3063" s="16"/>
      <c r="F3063" s="20"/>
      <c r="G3063" s="17"/>
    </row>
    <row r="3064" spans="2:7" x14ac:dyDescent="0.25">
      <c r="B3064" s="15"/>
      <c r="C3064" s="15"/>
      <c r="D3064" s="16"/>
      <c r="E3064" s="16"/>
      <c r="F3064" s="20"/>
      <c r="G3064" s="17"/>
    </row>
    <row r="3065" spans="2:7" x14ac:dyDescent="0.25">
      <c r="B3065" s="15"/>
      <c r="C3065" s="15"/>
      <c r="D3065" s="16"/>
      <c r="E3065" s="16"/>
      <c r="F3065" s="20"/>
      <c r="G3065" s="17"/>
    </row>
    <row r="3066" spans="2:7" x14ac:dyDescent="0.25">
      <c r="B3066" s="15"/>
      <c r="C3066" s="15"/>
      <c r="D3066" s="16"/>
      <c r="E3066" s="16"/>
      <c r="F3066" s="20"/>
      <c r="G3066" s="17"/>
    </row>
    <row r="3067" spans="2:7" x14ac:dyDescent="0.25">
      <c r="B3067" s="15"/>
      <c r="C3067" s="15"/>
      <c r="D3067" s="16"/>
      <c r="E3067" s="16"/>
      <c r="F3067" s="20"/>
      <c r="G3067" s="17"/>
    </row>
    <row r="3068" spans="2:7" x14ac:dyDescent="0.25">
      <c r="B3068" s="15"/>
      <c r="C3068" s="15"/>
      <c r="D3068" s="16"/>
      <c r="E3068" s="16"/>
      <c r="F3068" s="20"/>
      <c r="G3068" s="17"/>
    </row>
    <row r="3069" spans="2:7" x14ac:dyDescent="0.25">
      <c r="B3069" s="15"/>
      <c r="C3069" s="15"/>
      <c r="D3069" s="16"/>
      <c r="E3069" s="16"/>
      <c r="F3069" s="20"/>
      <c r="G3069" s="17"/>
    </row>
    <row r="3070" spans="2:7" x14ac:dyDescent="0.25">
      <c r="B3070" s="15"/>
      <c r="C3070" s="15"/>
      <c r="D3070" s="16"/>
      <c r="E3070" s="16"/>
      <c r="F3070" s="20"/>
      <c r="G3070" s="17"/>
    </row>
    <row r="3071" spans="2:7" x14ac:dyDescent="0.25">
      <c r="B3071" s="15"/>
      <c r="C3071" s="15"/>
      <c r="D3071" s="16"/>
      <c r="E3071" s="16"/>
      <c r="F3071" s="20"/>
      <c r="G3071" s="17"/>
    </row>
    <row r="3072" spans="2:7" x14ac:dyDescent="0.25">
      <c r="B3072" s="15"/>
      <c r="C3072" s="15"/>
      <c r="D3072" s="16"/>
      <c r="E3072" s="16"/>
      <c r="F3072" s="20"/>
      <c r="G3072" s="17"/>
    </row>
    <row r="3073" spans="2:7" x14ac:dyDescent="0.25">
      <c r="B3073" s="15"/>
      <c r="C3073" s="15"/>
      <c r="D3073" s="16"/>
      <c r="E3073" s="16"/>
      <c r="F3073" s="20"/>
      <c r="G3073" s="17"/>
    </row>
    <row r="3074" spans="2:7" x14ac:dyDescent="0.25">
      <c r="B3074" s="15"/>
      <c r="C3074" s="15"/>
      <c r="D3074" s="16"/>
      <c r="E3074" s="16"/>
      <c r="F3074" s="20"/>
      <c r="G3074" s="17"/>
    </row>
    <row r="3075" spans="2:7" x14ac:dyDescent="0.25">
      <c r="B3075" s="15"/>
      <c r="C3075" s="15"/>
      <c r="D3075" s="16"/>
      <c r="E3075" s="16"/>
      <c r="F3075" s="20"/>
      <c r="G3075" s="17"/>
    </row>
    <row r="3076" spans="2:7" x14ac:dyDescent="0.25">
      <c r="B3076" s="15"/>
      <c r="C3076" s="15"/>
      <c r="D3076" s="16"/>
      <c r="E3076" s="16"/>
      <c r="F3076" s="20"/>
      <c r="G3076" s="17"/>
    </row>
    <row r="3077" spans="2:7" x14ac:dyDescent="0.25">
      <c r="B3077" s="15"/>
      <c r="C3077" s="15"/>
      <c r="D3077" s="16"/>
      <c r="E3077" s="16"/>
      <c r="F3077" s="20"/>
      <c r="G3077" s="17"/>
    </row>
    <row r="3078" spans="2:7" x14ac:dyDescent="0.25">
      <c r="B3078" s="15"/>
      <c r="C3078" s="15"/>
      <c r="D3078" s="16"/>
      <c r="E3078" s="16"/>
      <c r="F3078" s="20"/>
      <c r="G3078" s="17"/>
    </row>
    <row r="3079" spans="2:7" x14ac:dyDescent="0.25">
      <c r="B3079" s="15"/>
      <c r="C3079" s="15"/>
      <c r="D3079" s="16"/>
      <c r="E3079" s="16"/>
      <c r="F3079" s="20"/>
      <c r="G3079" s="17"/>
    </row>
    <row r="3080" spans="2:7" x14ac:dyDescent="0.25">
      <c r="B3080" s="15"/>
      <c r="C3080" s="15"/>
      <c r="D3080" s="16"/>
      <c r="E3080" s="16"/>
      <c r="F3080" s="20"/>
      <c r="G3080" s="17"/>
    </row>
    <row r="3081" spans="2:7" x14ac:dyDescent="0.25">
      <c r="B3081" s="15"/>
      <c r="C3081" s="15"/>
      <c r="D3081" s="16"/>
      <c r="E3081" s="16"/>
      <c r="F3081" s="20"/>
      <c r="G3081" s="17"/>
    </row>
    <row r="3082" spans="2:7" x14ac:dyDescent="0.25">
      <c r="B3082" s="15"/>
      <c r="C3082" s="15"/>
      <c r="D3082" s="16"/>
      <c r="E3082" s="16"/>
      <c r="F3082" s="20"/>
      <c r="G3082" s="17"/>
    </row>
    <row r="3083" spans="2:7" x14ac:dyDescent="0.25">
      <c r="B3083" s="15"/>
      <c r="C3083" s="15"/>
      <c r="D3083" s="16"/>
      <c r="E3083" s="16"/>
      <c r="F3083" s="20"/>
      <c r="G3083" s="17"/>
    </row>
    <row r="3084" spans="2:7" x14ac:dyDescent="0.25">
      <c r="B3084" s="15"/>
      <c r="C3084" s="15"/>
      <c r="D3084" s="16"/>
      <c r="E3084" s="16"/>
      <c r="F3084" s="20"/>
      <c r="G3084" s="17"/>
    </row>
    <row r="3085" spans="2:7" x14ac:dyDescent="0.25">
      <c r="B3085" s="15"/>
      <c r="C3085" s="15"/>
      <c r="D3085" s="16"/>
      <c r="E3085" s="16"/>
      <c r="F3085" s="20"/>
      <c r="G3085" s="17"/>
    </row>
    <row r="3086" spans="2:7" x14ac:dyDescent="0.25">
      <c r="B3086" s="15"/>
      <c r="C3086" s="15"/>
      <c r="D3086" s="16"/>
      <c r="E3086" s="16"/>
      <c r="F3086" s="20"/>
      <c r="G3086" s="17"/>
    </row>
    <row r="3087" spans="2:7" x14ac:dyDescent="0.25">
      <c r="B3087" s="15"/>
      <c r="C3087" s="15"/>
      <c r="D3087" s="16"/>
      <c r="E3087" s="16"/>
      <c r="F3087" s="20"/>
      <c r="G3087" s="17"/>
    </row>
    <row r="3088" spans="2:7" x14ac:dyDescent="0.25">
      <c r="B3088" s="15"/>
      <c r="C3088" s="15"/>
      <c r="D3088" s="16"/>
      <c r="E3088" s="16"/>
      <c r="F3088" s="20"/>
      <c r="G3088" s="17"/>
    </row>
    <row r="3089" spans="2:7" x14ac:dyDescent="0.25">
      <c r="B3089" s="15"/>
      <c r="C3089" s="15"/>
      <c r="D3089" s="16"/>
      <c r="E3089" s="16"/>
      <c r="F3089" s="20"/>
      <c r="G3089" s="17"/>
    </row>
    <row r="3090" spans="2:7" x14ac:dyDescent="0.25">
      <c r="B3090" s="15"/>
      <c r="C3090" s="15"/>
      <c r="D3090" s="16"/>
      <c r="E3090" s="16"/>
      <c r="F3090" s="20"/>
      <c r="G3090" s="17"/>
    </row>
    <row r="3091" spans="2:7" x14ac:dyDescent="0.25">
      <c r="B3091" s="15"/>
      <c r="C3091" s="15"/>
      <c r="D3091" s="16"/>
      <c r="E3091" s="16"/>
      <c r="F3091" s="20"/>
      <c r="G3091" s="17"/>
    </row>
    <row r="3092" spans="2:7" x14ac:dyDescent="0.25">
      <c r="B3092" s="15"/>
      <c r="C3092" s="15"/>
      <c r="D3092" s="16"/>
      <c r="E3092" s="16"/>
      <c r="F3092" s="20"/>
      <c r="G3092" s="17"/>
    </row>
    <row r="3093" spans="2:7" x14ac:dyDescent="0.25">
      <c r="B3093" s="15"/>
      <c r="C3093" s="15"/>
      <c r="D3093" s="16"/>
      <c r="E3093" s="16"/>
      <c r="F3093" s="20"/>
      <c r="G3093" s="17"/>
    </row>
    <row r="3094" spans="2:7" x14ac:dyDescent="0.25">
      <c r="B3094" s="15"/>
      <c r="C3094" s="15"/>
      <c r="D3094" s="16"/>
      <c r="E3094" s="16"/>
      <c r="F3094" s="20"/>
      <c r="G3094" s="17"/>
    </row>
    <row r="3095" spans="2:7" x14ac:dyDescent="0.25">
      <c r="B3095" s="15"/>
      <c r="C3095" s="15"/>
      <c r="D3095" s="16"/>
      <c r="E3095" s="16"/>
      <c r="F3095" s="20"/>
      <c r="G3095" s="17"/>
    </row>
    <row r="3096" spans="2:7" x14ac:dyDescent="0.25">
      <c r="B3096" s="15"/>
      <c r="C3096" s="15"/>
      <c r="D3096" s="16"/>
      <c r="E3096" s="16"/>
      <c r="F3096" s="20"/>
      <c r="G3096" s="17"/>
    </row>
    <row r="3097" spans="2:7" x14ac:dyDescent="0.25">
      <c r="B3097" s="15"/>
      <c r="C3097" s="15"/>
      <c r="D3097" s="16"/>
      <c r="E3097" s="16"/>
      <c r="F3097" s="20"/>
      <c r="G3097" s="17"/>
    </row>
    <row r="3098" spans="2:7" x14ac:dyDescent="0.25">
      <c r="B3098" s="15"/>
      <c r="C3098" s="15"/>
      <c r="D3098" s="16"/>
      <c r="E3098" s="16"/>
      <c r="F3098" s="20"/>
      <c r="G3098" s="17"/>
    </row>
    <row r="3099" spans="2:7" x14ac:dyDescent="0.25">
      <c r="B3099" s="15"/>
      <c r="C3099" s="15"/>
      <c r="D3099" s="16"/>
      <c r="E3099" s="16"/>
      <c r="F3099" s="20"/>
      <c r="G3099" s="17"/>
    </row>
    <row r="3100" spans="2:7" x14ac:dyDescent="0.25">
      <c r="B3100" s="15"/>
      <c r="C3100" s="15"/>
      <c r="D3100" s="16"/>
      <c r="E3100" s="16"/>
      <c r="F3100" s="20"/>
      <c r="G3100" s="17"/>
    </row>
    <row r="3101" spans="2:7" x14ac:dyDescent="0.25">
      <c r="B3101" s="15"/>
      <c r="C3101" s="15"/>
      <c r="D3101" s="16"/>
      <c r="E3101" s="16"/>
      <c r="F3101" s="20"/>
      <c r="G3101" s="17"/>
    </row>
    <row r="3102" spans="2:7" x14ac:dyDescent="0.25">
      <c r="B3102" s="15"/>
      <c r="C3102" s="15"/>
      <c r="D3102" s="16"/>
      <c r="E3102" s="16"/>
      <c r="F3102" s="20"/>
      <c r="G3102" s="17"/>
    </row>
    <row r="3103" spans="2:7" x14ac:dyDescent="0.25">
      <c r="B3103" s="15"/>
      <c r="C3103" s="15"/>
      <c r="D3103" s="16"/>
      <c r="E3103" s="16"/>
      <c r="F3103" s="20"/>
      <c r="G3103" s="17"/>
    </row>
    <row r="3104" spans="2:7" x14ac:dyDescent="0.25">
      <c r="B3104" s="15"/>
      <c r="C3104" s="15"/>
      <c r="D3104" s="16"/>
      <c r="E3104" s="16"/>
      <c r="F3104" s="20"/>
      <c r="G3104" s="17"/>
    </row>
    <row r="3105" spans="2:7" x14ac:dyDescent="0.25">
      <c r="B3105" s="15"/>
      <c r="C3105" s="15"/>
      <c r="D3105" s="16"/>
      <c r="E3105" s="16"/>
      <c r="F3105" s="20"/>
      <c r="G3105" s="17"/>
    </row>
    <row r="3106" spans="2:7" x14ac:dyDescent="0.25">
      <c r="B3106" s="15"/>
      <c r="C3106" s="15"/>
      <c r="D3106" s="16"/>
      <c r="E3106" s="16"/>
      <c r="F3106" s="20"/>
      <c r="G3106" s="17"/>
    </row>
    <row r="3107" spans="2:7" x14ac:dyDescent="0.25">
      <c r="B3107" s="15"/>
      <c r="C3107" s="15"/>
      <c r="D3107" s="16"/>
      <c r="E3107" s="16"/>
      <c r="F3107" s="20"/>
      <c r="G3107" s="17"/>
    </row>
    <row r="3108" spans="2:7" x14ac:dyDescent="0.25">
      <c r="B3108" s="15"/>
      <c r="C3108" s="15"/>
      <c r="D3108" s="16"/>
      <c r="E3108" s="16"/>
      <c r="F3108" s="20"/>
      <c r="G3108" s="17"/>
    </row>
    <row r="3109" spans="2:7" x14ac:dyDescent="0.25">
      <c r="B3109" s="15"/>
      <c r="C3109" s="15"/>
      <c r="D3109" s="16"/>
      <c r="E3109" s="16"/>
      <c r="F3109" s="20"/>
      <c r="G3109" s="17"/>
    </row>
    <row r="3110" spans="2:7" x14ac:dyDescent="0.25">
      <c r="B3110" s="15"/>
      <c r="C3110" s="15"/>
      <c r="D3110" s="16"/>
      <c r="E3110" s="16"/>
      <c r="F3110" s="20"/>
      <c r="G3110" s="17"/>
    </row>
    <row r="3111" spans="2:7" x14ac:dyDescent="0.25">
      <c r="B3111" s="15"/>
      <c r="C3111" s="15"/>
      <c r="D3111" s="16"/>
      <c r="E3111" s="16"/>
      <c r="F3111" s="20"/>
      <c r="G3111" s="17"/>
    </row>
    <row r="3112" spans="2:7" x14ac:dyDescent="0.25">
      <c r="B3112" s="15"/>
      <c r="C3112" s="15"/>
      <c r="D3112" s="16"/>
      <c r="E3112" s="16"/>
      <c r="F3112" s="20"/>
      <c r="G3112" s="17"/>
    </row>
    <row r="3113" spans="2:7" x14ac:dyDescent="0.25">
      <c r="B3113" s="15"/>
      <c r="C3113" s="15"/>
      <c r="D3113" s="16"/>
      <c r="E3113" s="16"/>
      <c r="F3113" s="20"/>
      <c r="G3113" s="17"/>
    </row>
    <row r="3114" spans="2:7" x14ac:dyDescent="0.25">
      <c r="B3114" s="15"/>
      <c r="C3114" s="15"/>
      <c r="D3114" s="16"/>
      <c r="E3114" s="16"/>
      <c r="F3114" s="20"/>
      <c r="G3114" s="17"/>
    </row>
    <row r="3115" spans="2:7" x14ac:dyDescent="0.25">
      <c r="B3115" s="15"/>
      <c r="C3115" s="15"/>
      <c r="D3115" s="16"/>
      <c r="E3115" s="16"/>
      <c r="F3115" s="20"/>
      <c r="G3115" s="17"/>
    </row>
    <row r="3116" spans="2:7" x14ac:dyDescent="0.25">
      <c r="B3116" s="15"/>
      <c r="C3116" s="15"/>
      <c r="D3116" s="16"/>
      <c r="E3116" s="16"/>
      <c r="F3116" s="20"/>
      <c r="G3116" s="17"/>
    </row>
    <row r="3117" spans="2:7" x14ac:dyDescent="0.25">
      <c r="B3117" s="15"/>
      <c r="C3117" s="15"/>
      <c r="D3117" s="16"/>
      <c r="E3117" s="16"/>
      <c r="F3117" s="20"/>
      <c r="G3117" s="17"/>
    </row>
    <row r="3118" spans="2:7" x14ac:dyDescent="0.25">
      <c r="B3118" s="15"/>
      <c r="C3118" s="15"/>
      <c r="D3118" s="16"/>
      <c r="E3118" s="16"/>
      <c r="F3118" s="20"/>
      <c r="G3118" s="17"/>
    </row>
    <row r="3119" spans="2:7" x14ac:dyDescent="0.25">
      <c r="B3119" s="15"/>
      <c r="C3119" s="15"/>
      <c r="D3119" s="16"/>
      <c r="E3119" s="16"/>
      <c r="F3119" s="20"/>
      <c r="G3119" s="17"/>
    </row>
    <row r="3120" spans="2:7" x14ac:dyDescent="0.25">
      <c r="B3120" s="15"/>
      <c r="C3120" s="15"/>
      <c r="D3120" s="16"/>
      <c r="E3120" s="16"/>
      <c r="F3120" s="20"/>
      <c r="G3120" s="17"/>
    </row>
    <row r="3121" spans="2:7" x14ac:dyDescent="0.25">
      <c r="B3121" s="15"/>
      <c r="C3121" s="15"/>
      <c r="D3121" s="16"/>
      <c r="E3121" s="16"/>
      <c r="F3121" s="20"/>
      <c r="G3121" s="17"/>
    </row>
    <row r="3122" spans="2:7" x14ac:dyDescent="0.25">
      <c r="B3122" s="15"/>
      <c r="C3122" s="15"/>
      <c r="D3122" s="16"/>
      <c r="E3122" s="16"/>
      <c r="F3122" s="20"/>
      <c r="G3122" s="17"/>
    </row>
    <row r="3123" spans="2:7" x14ac:dyDescent="0.25">
      <c r="B3123" s="15"/>
      <c r="C3123" s="15"/>
      <c r="D3123" s="16"/>
      <c r="E3123" s="16"/>
      <c r="F3123" s="20"/>
      <c r="G3123" s="17"/>
    </row>
    <row r="3124" spans="2:7" x14ac:dyDescent="0.25">
      <c r="B3124" s="15"/>
      <c r="C3124" s="15"/>
      <c r="D3124" s="16"/>
      <c r="E3124" s="16"/>
      <c r="F3124" s="20"/>
      <c r="G3124" s="17"/>
    </row>
    <row r="3125" spans="2:7" x14ac:dyDescent="0.25">
      <c r="B3125" s="15"/>
      <c r="C3125" s="15"/>
      <c r="D3125" s="16"/>
      <c r="E3125" s="16"/>
      <c r="F3125" s="20"/>
      <c r="G3125" s="17"/>
    </row>
    <row r="3126" spans="2:7" x14ac:dyDescent="0.25">
      <c r="B3126" s="15"/>
      <c r="C3126" s="15"/>
      <c r="D3126" s="16"/>
      <c r="E3126" s="16"/>
      <c r="F3126" s="20"/>
      <c r="G3126" s="17"/>
    </row>
    <row r="3127" spans="2:7" x14ac:dyDescent="0.25">
      <c r="B3127" s="15"/>
      <c r="C3127" s="15"/>
      <c r="D3127" s="16"/>
      <c r="E3127" s="16"/>
      <c r="F3127" s="20"/>
      <c r="G3127" s="17"/>
    </row>
    <row r="3128" spans="2:7" x14ac:dyDescent="0.25">
      <c r="B3128" s="15"/>
      <c r="C3128" s="15"/>
      <c r="D3128" s="16"/>
      <c r="E3128" s="16"/>
      <c r="F3128" s="20"/>
      <c r="G3128" s="17"/>
    </row>
    <row r="3129" spans="2:7" x14ac:dyDescent="0.25">
      <c r="B3129" s="15"/>
      <c r="C3129" s="15"/>
      <c r="D3129" s="16"/>
      <c r="E3129" s="16"/>
      <c r="F3129" s="20"/>
      <c r="G3129" s="17"/>
    </row>
    <row r="3130" spans="2:7" x14ac:dyDescent="0.25">
      <c r="B3130" s="15"/>
      <c r="C3130" s="15"/>
      <c r="D3130" s="16"/>
      <c r="E3130" s="16"/>
      <c r="F3130" s="20"/>
      <c r="G3130" s="17"/>
    </row>
    <row r="3131" spans="2:7" x14ac:dyDescent="0.25">
      <c r="B3131" s="15"/>
      <c r="C3131" s="15"/>
      <c r="D3131" s="16"/>
      <c r="E3131" s="16"/>
      <c r="F3131" s="20"/>
      <c r="G3131" s="17"/>
    </row>
    <row r="3132" spans="2:7" x14ac:dyDescent="0.25">
      <c r="B3132" s="15"/>
      <c r="C3132" s="15"/>
      <c r="D3132" s="16"/>
      <c r="E3132" s="16"/>
      <c r="F3132" s="20"/>
      <c r="G3132" s="17"/>
    </row>
    <row r="3133" spans="2:7" x14ac:dyDescent="0.25">
      <c r="B3133" s="15"/>
      <c r="C3133" s="15"/>
      <c r="D3133" s="16"/>
      <c r="E3133" s="16"/>
      <c r="F3133" s="20"/>
      <c r="G3133" s="17"/>
    </row>
    <row r="3134" spans="2:7" x14ac:dyDescent="0.25">
      <c r="B3134" s="15"/>
      <c r="C3134" s="15"/>
      <c r="D3134" s="16"/>
      <c r="E3134" s="16"/>
      <c r="F3134" s="20"/>
      <c r="G3134" s="17"/>
    </row>
    <row r="3135" spans="2:7" x14ac:dyDescent="0.25">
      <c r="B3135" s="15"/>
      <c r="C3135" s="15"/>
      <c r="D3135" s="16"/>
      <c r="E3135" s="16"/>
      <c r="F3135" s="20"/>
      <c r="G3135" s="17"/>
    </row>
    <row r="3136" spans="2:7" x14ac:dyDescent="0.25">
      <c r="B3136" s="15"/>
      <c r="C3136" s="15"/>
      <c r="D3136" s="16"/>
      <c r="E3136" s="16"/>
      <c r="F3136" s="20"/>
      <c r="G3136" s="17"/>
    </row>
    <row r="3137" spans="2:7" x14ac:dyDescent="0.25">
      <c r="B3137" s="15"/>
      <c r="C3137" s="15"/>
      <c r="D3137" s="16"/>
      <c r="E3137" s="16"/>
      <c r="F3137" s="20"/>
      <c r="G3137" s="17"/>
    </row>
    <row r="3138" spans="2:7" x14ac:dyDescent="0.25">
      <c r="B3138" s="15"/>
      <c r="C3138" s="15"/>
      <c r="D3138" s="16"/>
      <c r="E3138" s="16"/>
      <c r="F3138" s="20"/>
      <c r="G3138" s="17"/>
    </row>
    <row r="3139" spans="2:7" x14ac:dyDescent="0.25">
      <c r="B3139" s="15"/>
      <c r="C3139" s="15"/>
      <c r="D3139" s="16"/>
      <c r="E3139" s="16"/>
      <c r="F3139" s="20"/>
      <c r="G3139" s="17"/>
    </row>
    <row r="3140" spans="2:7" x14ac:dyDescent="0.25">
      <c r="B3140" s="15"/>
      <c r="C3140" s="15"/>
      <c r="D3140" s="16"/>
      <c r="E3140" s="16"/>
      <c r="F3140" s="20"/>
      <c r="G3140" s="17"/>
    </row>
    <row r="3141" spans="2:7" x14ac:dyDescent="0.25">
      <c r="B3141" s="15"/>
      <c r="C3141" s="15"/>
      <c r="D3141" s="16"/>
      <c r="E3141" s="16"/>
      <c r="F3141" s="20"/>
      <c r="G3141" s="17"/>
    </row>
    <row r="3142" spans="2:7" x14ac:dyDescent="0.25">
      <c r="B3142" s="15"/>
      <c r="C3142" s="15"/>
      <c r="D3142" s="16"/>
      <c r="E3142" s="16"/>
      <c r="F3142" s="20"/>
      <c r="G3142" s="17"/>
    </row>
    <row r="3143" spans="2:7" x14ac:dyDescent="0.25">
      <c r="B3143" s="15"/>
      <c r="C3143" s="15"/>
      <c r="D3143" s="16"/>
      <c r="E3143" s="16"/>
      <c r="F3143" s="20"/>
      <c r="G3143" s="17"/>
    </row>
    <row r="3144" spans="2:7" x14ac:dyDescent="0.25">
      <c r="B3144" s="15"/>
      <c r="C3144" s="15"/>
      <c r="D3144" s="16"/>
      <c r="E3144" s="16"/>
      <c r="F3144" s="20"/>
      <c r="G3144" s="17"/>
    </row>
    <row r="3145" spans="2:7" x14ac:dyDescent="0.25">
      <c r="B3145" s="15"/>
      <c r="C3145" s="15"/>
      <c r="D3145" s="16"/>
      <c r="E3145" s="16"/>
      <c r="F3145" s="20"/>
      <c r="G3145" s="17"/>
    </row>
    <row r="3146" spans="2:7" x14ac:dyDescent="0.25">
      <c r="B3146" s="15"/>
      <c r="C3146" s="15"/>
      <c r="D3146" s="16"/>
      <c r="E3146" s="16"/>
      <c r="F3146" s="20"/>
      <c r="G3146" s="17"/>
    </row>
    <row r="3147" spans="2:7" x14ac:dyDescent="0.25">
      <c r="B3147" s="15"/>
      <c r="C3147" s="15"/>
      <c r="D3147" s="16"/>
      <c r="E3147" s="16"/>
      <c r="F3147" s="20"/>
      <c r="G3147" s="17"/>
    </row>
    <row r="3148" spans="2:7" x14ac:dyDescent="0.25">
      <c r="B3148" s="15"/>
      <c r="C3148" s="15"/>
      <c r="D3148" s="16"/>
      <c r="E3148" s="16"/>
      <c r="F3148" s="20"/>
      <c r="G3148" s="17"/>
    </row>
    <row r="3149" spans="2:7" x14ac:dyDescent="0.25">
      <c r="B3149" s="15"/>
      <c r="C3149" s="15"/>
      <c r="D3149" s="16"/>
      <c r="E3149" s="16"/>
      <c r="F3149" s="20"/>
      <c r="G3149" s="17"/>
    </row>
    <row r="3150" spans="2:7" x14ac:dyDescent="0.25">
      <c r="B3150" s="15"/>
      <c r="C3150" s="15"/>
      <c r="D3150" s="16"/>
      <c r="E3150" s="16"/>
      <c r="F3150" s="20"/>
      <c r="G3150" s="17"/>
    </row>
    <row r="3151" spans="2:7" x14ac:dyDescent="0.25">
      <c r="B3151" s="15"/>
      <c r="C3151" s="15"/>
      <c r="D3151" s="16"/>
      <c r="E3151" s="16"/>
      <c r="F3151" s="20"/>
      <c r="G3151" s="17"/>
    </row>
    <row r="3152" spans="2:7" x14ac:dyDescent="0.25">
      <c r="B3152" s="15"/>
      <c r="C3152" s="15"/>
      <c r="D3152" s="16"/>
      <c r="E3152" s="16"/>
      <c r="F3152" s="20"/>
      <c r="G3152" s="17"/>
    </row>
    <row r="3153" spans="2:7" x14ac:dyDescent="0.25">
      <c r="B3153" s="15"/>
      <c r="C3153" s="15"/>
      <c r="D3153" s="16"/>
      <c r="E3153" s="16"/>
      <c r="F3153" s="20"/>
      <c r="G3153" s="17"/>
    </row>
    <row r="3154" spans="2:7" x14ac:dyDescent="0.25">
      <c r="B3154" s="15"/>
      <c r="C3154" s="15"/>
      <c r="D3154" s="16"/>
      <c r="E3154" s="16"/>
      <c r="F3154" s="20"/>
      <c r="G3154" s="17"/>
    </row>
    <row r="3155" spans="2:7" x14ac:dyDescent="0.25">
      <c r="B3155" s="15"/>
      <c r="C3155" s="15"/>
      <c r="D3155" s="16"/>
      <c r="E3155" s="16"/>
      <c r="F3155" s="20"/>
      <c r="G3155" s="17"/>
    </row>
    <row r="3156" spans="2:7" x14ac:dyDescent="0.25">
      <c r="B3156" s="15"/>
      <c r="C3156" s="15"/>
      <c r="D3156" s="16"/>
      <c r="E3156" s="16"/>
      <c r="F3156" s="20"/>
      <c r="G3156" s="17"/>
    </row>
    <row r="3157" spans="2:7" x14ac:dyDescent="0.25">
      <c r="B3157" s="15"/>
      <c r="C3157" s="15"/>
      <c r="D3157" s="16"/>
      <c r="E3157" s="16"/>
      <c r="F3157" s="20"/>
      <c r="G3157" s="17"/>
    </row>
    <row r="3158" spans="2:7" x14ac:dyDescent="0.25">
      <c r="B3158" s="15"/>
      <c r="C3158" s="15"/>
      <c r="D3158" s="16"/>
      <c r="E3158" s="16"/>
      <c r="F3158" s="20"/>
      <c r="G3158" s="17"/>
    </row>
    <row r="3159" spans="2:7" x14ac:dyDescent="0.25">
      <c r="B3159" s="15"/>
      <c r="C3159" s="15"/>
      <c r="D3159" s="16"/>
      <c r="E3159" s="16"/>
      <c r="F3159" s="20"/>
      <c r="G3159" s="17"/>
    </row>
    <row r="3160" spans="2:7" x14ac:dyDescent="0.25">
      <c r="B3160" s="15"/>
      <c r="C3160" s="15"/>
      <c r="D3160" s="16"/>
      <c r="E3160" s="16"/>
      <c r="F3160" s="20"/>
      <c r="G3160" s="17"/>
    </row>
    <row r="3161" spans="2:7" x14ac:dyDescent="0.25">
      <c r="B3161" s="15"/>
      <c r="C3161" s="15"/>
      <c r="D3161" s="16"/>
      <c r="E3161" s="16"/>
      <c r="F3161" s="20"/>
      <c r="G3161" s="17"/>
    </row>
    <row r="3162" spans="2:7" x14ac:dyDescent="0.25">
      <c r="B3162" s="15"/>
      <c r="C3162" s="15"/>
      <c r="D3162" s="16"/>
      <c r="E3162" s="16"/>
      <c r="F3162" s="20"/>
      <c r="G3162" s="17"/>
    </row>
    <row r="3163" spans="2:7" x14ac:dyDescent="0.25">
      <c r="B3163" s="15"/>
      <c r="C3163" s="15"/>
      <c r="D3163" s="16"/>
      <c r="E3163" s="16"/>
      <c r="F3163" s="20"/>
      <c r="G3163" s="17"/>
    </row>
    <row r="3164" spans="2:7" x14ac:dyDescent="0.25">
      <c r="B3164" s="15"/>
      <c r="C3164" s="15"/>
      <c r="D3164" s="16"/>
      <c r="E3164" s="16"/>
      <c r="F3164" s="20"/>
      <c r="G3164" s="17"/>
    </row>
    <row r="3165" spans="2:7" x14ac:dyDescent="0.25">
      <c r="B3165" s="15"/>
      <c r="C3165" s="15"/>
      <c r="D3165" s="16"/>
      <c r="E3165" s="16"/>
      <c r="F3165" s="20"/>
      <c r="G3165" s="17"/>
    </row>
    <row r="3166" spans="2:7" x14ac:dyDescent="0.25">
      <c r="B3166" s="15"/>
      <c r="C3166" s="15"/>
      <c r="D3166" s="16"/>
      <c r="E3166" s="16"/>
      <c r="F3166" s="20"/>
      <c r="G3166" s="17"/>
    </row>
    <row r="3167" spans="2:7" x14ac:dyDescent="0.25">
      <c r="B3167" s="15"/>
      <c r="C3167" s="15"/>
      <c r="D3167" s="16"/>
      <c r="E3167" s="16"/>
      <c r="F3167" s="20"/>
      <c r="G3167" s="17"/>
    </row>
    <row r="3168" spans="2:7" x14ac:dyDescent="0.25">
      <c r="B3168" s="15"/>
      <c r="C3168" s="15"/>
      <c r="D3168" s="16"/>
      <c r="E3168" s="16"/>
      <c r="F3168" s="20"/>
      <c r="G3168" s="17"/>
    </row>
    <row r="3169" spans="2:7" x14ac:dyDescent="0.25">
      <c r="B3169" s="15"/>
      <c r="C3169" s="15"/>
      <c r="D3169" s="16"/>
      <c r="E3169" s="16"/>
      <c r="F3169" s="20"/>
      <c r="G3169" s="17"/>
    </row>
    <row r="3170" spans="2:7" x14ac:dyDescent="0.25">
      <c r="B3170" s="15"/>
      <c r="C3170" s="15"/>
      <c r="D3170" s="16"/>
      <c r="E3170" s="16"/>
      <c r="F3170" s="20"/>
      <c r="G3170" s="17"/>
    </row>
    <row r="3171" spans="2:7" x14ac:dyDescent="0.25">
      <c r="B3171" s="15"/>
      <c r="C3171" s="15"/>
      <c r="D3171" s="16"/>
      <c r="E3171" s="16"/>
      <c r="F3171" s="20"/>
      <c r="G3171" s="17"/>
    </row>
    <row r="3172" spans="2:7" x14ac:dyDescent="0.25">
      <c r="B3172" s="15"/>
      <c r="C3172" s="15"/>
      <c r="D3172" s="16"/>
      <c r="E3172" s="16"/>
      <c r="F3172" s="20"/>
      <c r="G3172" s="17"/>
    </row>
    <row r="3173" spans="2:7" x14ac:dyDescent="0.25">
      <c r="B3173" s="15"/>
      <c r="C3173" s="15"/>
      <c r="D3173" s="16"/>
      <c r="E3173" s="16"/>
      <c r="F3173" s="20"/>
      <c r="G3173" s="17"/>
    </row>
    <row r="3174" spans="2:7" x14ac:dyDescent="0.25">
      <c r="B3174" s="15"/>
      <c r="C3174" s="15"/>
      <c r="D3174" s="16"/>
      <c r="E3174" s="16"/>
      <c r="F3174" s="20"/>
      <c r="G3174" s="17"/>
    </row>
    <row r="3175" spans="2:7" x14ac:dyDescent="0.25">
      <c r="B3175" s="15"/>
      <c r="C3175" s="15"/>
      <c r="D3175" s="16"/>
      <c r="E3175" s="16"/>
      <c r="F3175" s="20"/>
      <c r="G3175" s="17"/>
    </row>
    <row r="3176" spans="2:7" x14ac:dyDescent="0.25">
      <c r="B3176" s="15"/>
      <c r="C3176" s="15"/>
      <c r="D3176" s="16"/>
      <c r="E3176" s="16"/>
      <c r="F3176" s="20"/>
      <c r="G3176" s="17"/>
    </row>
    <row r="3177" spans="2:7" x14ac:dyDescent="0.25">
      <c r="B3177" s="15"/>
      <c r="C3177" s="15"/>
      <c r="D3177" s="16"/>
      <c r="E3177" s="16"/>
      <c r="F3177" s="20"/>
      <c r="G3177" s="17"/>
    </row>
    <row r="3178" spans="2:7" x14ac:dyDescent="0.25">
      <c r="B3178" s="15"/>
      <c r="C3178" s="15"/>
      <c r="D3178" s="16"/>
      <c r="E3178" s="16"/>
      <c r="F3178" s="20"/>
      <c r="G3178" s="17"/>
    </row>
    <row r="3179" spans="2:7" x14ac:dyDescent="0.25">
      <c r="B3179" s="15"/>
      <c r="C3179" s="15"/>
      <c r="D3179" s="16"/>
      <c r="E3179" s="16"/>
      <c r="F3179" s="20"/>
      <c r="G3179" s="17"/>
    </row>
    <row r="3180" spans="2:7" x14ac:dyDescent="0.25">
      <c r="B3180" s="15"/>
      <c r="C3180" s="15"/>
      <c r="D3180" s="16"/>
      <c r="E3180" s="16"/>
      <c r="F3180" s="20"/>
      <c r="G3180" s="17"/>
    </row>
    <row r="3181" spans="2:7" x14ac:dyDescent="0.25">
      <c r="B3181" s="15"/>
      <c r="C3181" s="15"/>
      <c r="D3181" s="16"/>
      <c r="E3181" s="16"/>
      <c r="F3181" s="20"/>
      <c r="G3181" s="17"/>
    </row>
    <row r="3182" spans="2:7" x14ac:dyDescent="0.25">
      <c r="B3182" s="15"/>
      <c r="C3182" s="15"/>
      <c r="D3182" s="16"/>
      <c r="E3182" s="16"/>
      <c r="F3182" s="20"/>
      <c r="G3182" s="17"/>
    </row>
    <row r="3183" spans="2:7" x14ac:dyDescent="0.25">
      <c r="B3183" s="15"/>
      <c r="C3183" s="15"/>
      <c r="D3183" s="16"/>
      <c r="E3183" s="16"/>
      <c r="F3183" s="20"/>
      <c r="G3183" s="17"/>
    </row>
    <row r="3184" spans="2:7" x14ac:dyDescent="0.25">
      <c r="B3184" s="15"/>
      <c r="C3184" s="15"/>
      <c r="D3184" s="16"/>
      <c r="E3184" s="16"/>
      <c r="F3184" s="20"/>
      <c r="G3184" s="17"/>
    </row>
    <row r="3185" spans="2:7" x14ac:dyDescent="0.25">
      <c r="B3185" s="15"/>
      <c r="C3185" s="15"/>
      <c r="D3185" s="16"/>
      <c r="E3185" s="16"/>
      <c r="F3185" s="20"/>
      <c r="G3185" s="17"/>
    </row>
    <row r="3186" spans="2:7" x14ac:dyDescent="0.25">
      <c r="B3186" s="15"/>
      <c r="C3186" s="15"/>
      <c r="D3186" s="16"/>
      <c r="E3186" s="16"/>
      <c r="F3186" s="20"/>
      <c r="G3186" s="17"/>
    </row>
    <row r="3187" spans="2:7" x14ac:dyDescent="0.25">
      <c r="B3187" s="15"/>
      <c r="C3187" s="15"/>
      <c r="D3187" s="16"/>
      <c r="E3187" s="16"/>
      <c r="F3187" s="20"/>
      <c r="G3187" s="17"/>
    </row>
    <row r="3188" spans="2:7" x14ac:dyDescent="0.25">
      <c r="B3188" s="15"/>
      <c r="C3188" s="15"/>
      <c r="D3188" s="16"/>
      <c r="E3188" s="16"/>
      <c r="F3188" s="20"/>
      <c r="G3188" s="17"/>
    </row>
    <row r="3189" spans="2:7" x14ac:dyDescent="0.25">
      <c r="B3189" s="15"/>
      <c r="C3189" s="15"/>
      <c r="D3189" s="16"/>
      <c r="E3189" s="16"/>
      <c r="F3189" s="20"/>
      <c r="G3189" s="17"/>
    </row>
    <row r="3190" spans="2:7" x14ac:dyDescent="0.25">
      <c r="B3190" s="15"/>
      <c r="C3190" s="15"/>
      <c r="D3190" s="16"/>
      <c r="E3190" s="16"/>
      <c r="F3190" s="20"/>
      <c r="G3190" s="17"/>
    </row>
    <row r="3191" spans="2:7" x14ac:dyDescent="0.25">
      <c r="B3191" s="15"/>
      <c r="C3191" s="15"/>
      <c r="D3191" s="16"/>
      <c r="E3191" s="16"/>
      <c r="F3191" s="20"/>
      <c r="G3191" s="17"/>
    </row>
    <row r="3192" spans="2:7" x14ac:dyDescent="0.25">
      <c r="B3192" s="15"/>
      <c r="C3192" s="15"/>
      <c r="D3192" s="16"/>
      <c r="E3192" s="16"/>
      <c r="F3192" s="20"/>
      <c r="G3192" s="17"/>
    </row>
    <row r="3193" spans="2:7" x14ac:dyDescent="0.25">
      <c r="B3193" s="15"/>
      <c r="C3193" s="15"/>
      <c r="D3193" s="16"/>
      <c r="E3193" s="16"/>
      <c r="F3193" s="20"/>
      <c r="G3193" s="17"/>
    </row>
    <row r="3194" spans="2:7" x14ac:dyDescent="0.25">
      <c r="B3194" s="15"/>
      <c r="C3194" s="15"/>
      <c r="D3194" s="16"/>
      <c r="E3194" s="16"/>
      <c r="F3194" s="20"/>
      <c r="G3194" s="17"/>
    </row>
    <row r="3195" spans="2:7" x14ac:dyDescent="0.25">
      <c r="B3195" s="15"/>
      <c r="C3195" s="15"/>
      <c r="D3195" s="16"/>
      <c r="E3195" s="16"/>
      <c r="F3195" s="20"/>
      <c r="G3195" s="17"/>
    </row>
    <row r="3196" spans="2:7" x14ac:dyDescent="0.25">
      <c r="B3196" s="15"/>
      <c r="C3196" s="15"/>
      <c r="D3196" s="16"/>
      <c r="E3196" s="16"/>
      <c r="F3196" s="20"/>
      <c r="G3196" s="17"/>
    </row>
    <row r="3197" spans="2:7" x14ac:dyDescent="0.25">
      <c r="B3197" s="15"/>
      <c r="C3197" s="15"/>
      <c r="D3197" s="16"/>
      <c r="E3197" s="16"/>
      <c r="F3197" s="20"/>
      <c r="G3197" s="17"/>
    </row>
    <row r="3198" spans="2:7" x14ac:dyDescent="0.25">
      <c r="B3198" s="15"/>
      <c r="C3198" s="15"/>
      <c r="D3198" s="16"/>
      <c r="E3198" s="16"/>
      <c r="F3198" s="20"/>
      <c r="G3198" s="17"/>
    </row>
    <row r="3199" spans="2:7" x14ac:dyDescent="0.25">
      <c r="B3199" s="15"/>
      <c r="C3199" s="15"/>
      <c r="D3199" s="16"/>
      <c r="E3199" s="16"/>
      <c r="F3199" s="20"/>
      <c r="G3199" s="17"/>
    </row>
    <row r="3200" spans="2:7" x14ac:dyDescent="0.25">
      <c r="B3200" s="15"/>
      <c r="C3200" s="15"/>
      <c r="D3200" s="16"/>
      <c r="E3200" s="16"/>
      <c r="F3200" s="20"/>
      <c r="G3200" s="17"/>
    </row>
    <row r="3201" spans="2:7" x14ac:dyDescent="0.25">
      <c r="B3201" s="15"/>
      <c r="C3201" s="15"/>
      <c r="D3201" s="16"/>
      <c r="E3201" s="16"/>
      <c r="F3201" s="20"/>
      <c r="G3201" s="17"/>
    </row>
    <row r="3202" spans="2:7" x14ac:dyDescent="0.25">
      <c r="B3202" s="15"/>
      <c r="C3202" s="15"/>
      <c r="D3202" s="16"/>
      <c r="E3202" s="16"/>
      <c r="F3202" s="20"/>
      <c r="G3202" s="17"/>
    </row>
    <row r="3203" spans="2:7" x14ac:dyDescent="0.25">
      <c r="B3203" s="15"/>
      <c r="C3203" s="15"/>
      <c r="D3203" s="16"/>
      <c r="E3203" s="16"/>
      <c r="F3203" s="20"/>
      <c r="G3203" s="17"/>
    </row>
    <row r="3204" spans="2:7" x14ac:dyDescent="0.25">
      <c r="B3204" s="15"/>
      <c r="C3204" s="15"/>
      <c r="D3204" s="16"/>
      <c r="E3204" s="16"/>
      <c r="F3204" s="20"/>
      <c r="G3204" s="17"/>
    </row>
    <row r="3205" spans="2:7" x14ac:dyDescent="0.25">
      <c r="B3205" s="15"/>
      <c r="C3205" s="15"/>
      <c r="D3205" s="16"/>
      <c r="E3205" s="16"/>
      <c r="F3205" s="20"/>
      <c r="G3205" s="17"/>
    </row>
    <row r="3206" spans="2:7" x14ac:dyDescent="0.25">
      <c r="B3206" s="15"/>
      <c r="C3206" s="15"/>
      <c r="D3206" s="16"/>
      <c r="E3206" s="16"/>
      <c r="F3206" s="20"/>
      <c r="G3206" s="17"/>
    </row>
    <row r="3207" spans="2:7" x14ac:dyDescent="0.25">
      <c r="B3207" s="15"/>
      <c r="C3207" s="15"/>
      <c r="D3207" s="16"/>
      <c r="E3207" s="16"/>
      <c r="F3207" s="20"/>
      <c r="G3207" s="17"/>
    </row>
    <row r="3208" spans="2:7" x14ac:dyDescent="0.25">
      <c r="B3208" s="15"/>
      <c r="C3208" s="15"/>
      <c r="D3208" s="16"/>
      <c r="E3208" s="16"/>
      <c r="F3208" s="20"/>
      <c r="G3208" s="17"/>
    </row>
    <row r="3209" spans="2:7" x14ac:dyDescent="0.25">
      <c r="B3209" s="15"/>
      <c r="C3209" s="15"/>
      <c r="D3209" s="16"/>
      <c r="E3209" s="16"/>
      <c r="F3209" s="20"/>
      <c r="G3209" s="17"/>
    </row>
    <row r="3210" spans="2:7" x14ac:dyDescent="0.25">
      <c r="B3210" s="15"/>
      <c r="C3210" s="15"/>
      <c r="D3210" s="16"/>
      <c r="E3210" s="16"/>
      <c r="F3210" s="20"/>
      <c r="G3210" s="17"/>
    </row>
    <row r="3211" spans="2:7" x14ac:dyDescent="0.25">
      <c r="B3211" s="15"/>
      <c r="C3211" s="15"/>
      <c r="D3211" s="16"/>
      <c r="E3211" s="16"/>
      <c r="F3211" s="20"/>
      <c r="G3211" s="17"/>
    </row>
    <row r="3212" spans="2:7" x14ac:dyDescent="0.25">
      <c r="B3212" s="15"/>
      <c r="C3212" s="15"/>
      <c r="D3212" s="16"/>
      <c r="E3212" s="16"/>
      <c r="F3212" s="20"/>
      <c r="G3212" s="17"/>
    </row>
    <row r="3213" spans="2:7" x14ac:dyDescent="0.25">
      <c r="B3213" s="15"/>
      <c r="C3213" s="15"/>
      <c r="D3213" s="16"/>
      <c r="E3213" s="16"/>
      <c r="F3213" s="20"/>
      <c r="G3213" s="17"/>
    </row>
    <row r="3214" spans="2:7" x14ac:dyDescent="0.25">
      <c r="B3214" s="15"/>
      <c r="C3214" s="15"/>
      <c r="D3214" s="16"/>
      <c r="E3214" s="16"/>
      <c r="F3214" s="20"/>
      <c r="G3214" s="17"/>
    </row>
    <row r="3215" spans="2:7" x14ac:dyDescent="0.25">
      <c r="B3215" s="15"/>
      <c r="C3215" s="15"/>
      <c r="D3215" s="16"/>
      <c r="E3215" s="16"/>
      <c r="F3215" s="20"/>
      <c r="G3215" s="17"/>
    </row>
    <row r="3216" spans="2:7" x14ac:dyDescent="0.25">
      <c r="B3216" s="15"/>
      <c r="C3216" s="15"/>
      <c r="D3216" s="16"/>
      <c r="E3216" s="16"/>
      <c r="F3216" s="20"/>
      <c r="G3216" s="17"/>
    </row>
    <row r="3217" spans="2:7" x14ac:dyDescent="0.25">
      <c r="B3217" s="15"/>
      <c r="C3217" s="15"/>
      <c r="D3217" s="16"/>
      <c r="E3217" s="16"/>
      <c r="F3217" s="20"/>
      <c r="G3217" s="17"/>
    </row>
    <row r="3218" spans="2:7" x14ac:dyDescent="0.25">
      <c r="B3218" s="15"/>
      <c r="C3218" s="15"/>
      <c r="D3218" s="16"/>
      <c r="E3218" s="16"/>
      <c r="F3218" s="20"/>
      <c r="G3218" s="17"/>
    </row>
    <row r="3219" spans="2:7" x14ac:dyDescent="0.25">
      <c r="B3219" s="15"/>
      <c r="C3219" s="15"/>
      <c r="D3219" s="16"/>
      <c r="E3219" s="16"/>
      <c r="F3219" s="20"/>
      <c r="G3219" s="17"/>
    </row>
    <row r="3220" spans="2:7" x14ac:dyDescent="0.25">
      <c r="B3220" s="15"/>
      <c r="C3220" s="15"/>
      <c r="D3220" s="16"/>
      <c r="E3220" s="16"/>
      <c r="F3220" s="20"/>
      <c r="G3220" s="17"/>
    </row>
    <row r="3221" spans="2:7" x14ac:dyDescent="0.25">
      <c r="B3221" s="15"/>
      <c r="C3221" s="15"/>
      <c r="D3221" s="16"/>
      <c r="E3221" s="16"/>
      <c r="F3221" s="20"/>
      <c r="G3221" s="17"/>
    </row>
    <row r="3222" spans="2:7" x14ac:dyDescent="0.25">
      <c r="B3222" s="15"/>
      <c r="C3222" s="15"/>
      <c r="D3222" s="16"/>
      <c r="E3222" s="16"/>
      <c r="F3222" s="20"/>
      <c r="G3222" s="17"/>
    </row>
    <row r="3223" spans="2:7" x14ac:dyDescent="0.25">
      <c r="B3223" s="15"/>
      <c r="C3223" s="15"/>
      <c r="D3223" s="16"/>
      <c r="E3223" s="16"/>
      <c r="F3223" s="20"/>
      <c r="G3223" s="17"/>
    </row>
    <row r="3224" spans="2:7" x14ac:dyDescent="0.25">
      <c r="B3224" s="15"/>
      <c r="C3224" s="15"/>
      <c r="D3224" s="16"/>
      <c r="E3224" s="16"/>
      <c r="F3224" s="20"/>
      <c r="G3224" s="17"/>
    </row>
    <row r="3225" spans="2:7" x14ac:dyDescent="0.25">
      <c r="B3225" s="15"/>
      <c r="C3225" s="15"/>
      <c r="D3225" s="16"/>
      <c r="E3225" s="16"/>
      <c r="F3225" s="20"/>
      <c r="G3225" s="17"/>
    </row>
    <row r="3226" spans="2:7" x14ac:dyDescent="0.25">
      <c r="B3226" s="15"/>
      <c r="C3226" s="15"/>
      <c r="D3226" s="16"/>
      <c r="E3226" s="16"/>
      <c r="F3226" s="20"/>
      <c r="G3226" s="17"/>
    </row>
    <row r="3227" spans="2:7" x14ac:dyDescent="0.25">
      <c r="B3227" s="15"/>
      <c r="C3227" s="15"/>
      <c r="D3227" s="16"/>
      <c r="E3227" s="16"/>
      <c r="F3227" s="20"/>
      <c r="G3227" s="17"/>
    </row>
    <row r="3228" spans="2:7" x14ac:dyDescent="0.25">
      <c r="B3228" s="15"/>
      <c r="C3228" s="15"/>
      <c r="D3228" s="16"/>
      <c r="E3228" s="16"/>
      <c r="F3228" s="20"/>
      <c r="G3228" s="17"/>
    </row>
    <row r="3229" spans="2:7" x14ac:dyDescent="0.25">
      <c r="B3229" s="15"/>
      <c r="C3229" s="15"/>
      <c r="D3229" s="16"/>
      <c r="E3229" s="16"/>
      <c r="F3229" s="20"/>
      <c r="G3229" s="17"/>
    </row>
    <row r="3230" spans="2:7" x14ac:dyDescent="0.25">
      <c r="B3230" s="15"/>
      <c r="C3230" s="15"/>
      <c r="D3230" s="16"/>
      <c r="E3230" s="16"/>
      <c r="F3230" s="20"/>
      <c r="G3230" s="17"/>
    </row>
    <row r="3231" spans="2:7" x14ac:dyDescent="0.25">
      <c r="B3231" s="15"/>
      <c r="C3231" s="15"/>
      <c r="D3231" s="16"/>
      <c r="E3231" s="16"/>
      <c r="F3231" s="20"/>
      <c r="G3231" s="17"/>
    </row>
    <row r="3232" spans="2:7" x14ac:dyDescent="0.25">
      <c r="B3232" s="15"/>
      <c r="C3232" s="15"/>
      <c r="D3232" s="16"/>
      <c r="E3232" s="16"/>
      <c r="F3232" s="20"/>
      <c r="G3232" s="17"/>
    </row>
    <row r="3233" spans="2:7" x14ac:dyDescent="0.25">
      <c r="B3233" s="15"/>
      <c r="C3233" s="15"/>
      <c r="D3233" s="16"/>
      <c r="E3233" s="16"/>
      <c r="F3233" s="20"/>
      <c r="G3233" s="17"/>
    </row>
    <row r="3234" spans="2:7" x14ac:dyDescent="0.25">
      <c r="B3234" s="15"/>
      <c r="C3234" s="15"/>
      <c r="D3234" s="16"/>
      <c r="E3234" s="16"/>
      <c r="F3234" s="20"/>
      <c r="G3234" s="17"/>
    </row>
    <row r="3235" spans="2:7" x14ac:dyDescent="0.25">
      <c r="B3235" s="15"/>
      <c r="C3235" s="15"/>
      <c r="D3235" s="16"/>
      <c r="E3235" s="16"/>
      <c r="F3235" s="20"/>
      <c r="G3235" s="17"/>
    </row>
    <row r="3236" spans="2:7" x14ac:dyDescent="0.25">
      <c r="B3236" s="15"/>
      <c r="C3236" s="15"/>
      <c r="D3236" s="16"/>
      <c r="E3236" s="16"/>
      <c r="F3236" s="20"/>
      <c r="G3236" s="17"/>
    </row>
    <row r="3237" spans="2:7" x14ac:dyDescent="0.25">
      <c r="B3237" s="15"/>
      <c r="C3237" s="15"/>
      <c r="D3237" s="16"/>
      <c r="E3237" s="16"/>
      <c r="F3237" s="20"/>
      <c r="G3237" s="17"/>
    </row>
    <row r="3238" spans="2:7" x14ac:dyDescent="0.25">
      <c r="B3238" s="15"/>
      <c r="C3238" s="15"/>
      <c r="D3238" s="16"/>
      <c r="E3238" s="16"/>
      <c r="F3238" s="20"/>
      <c r="G3238" s="17"/>
    </row>
    <row r="3239" spans="2:7" x14ac:dyDescent="0.25">
      <c r="B3239" s="15"/>
      <c r="C3239" s="15"/>
      <c r="D3239" s="16"/>
      <c r="E3239" s="16"/>
      <c r="F3239" s="20"/>
      <c r="G3239" s="17"/>
    </row>
    <row r="3240" spans="2:7" x14ac:dyDescent="0.25">
      <c r="B3240" s="15"/>
      <c r="C3240" s="15"/>
      <c r="D3240" s="16"/>
      <c r="E3240" s="16"/>
      <c r="F3240" s="20"/>
      <c r="G3240" s="17"/>
    </row>
    <row r="3241" spans="2:7" x14ac:dyDescent="0.25">
      <c r="B3241" s="15"/>
      <c r="C3241" s="15"/>
      <c r="D3241" s="16"/>
      <c r="E3241" s="16"/>
      <c r="F3241" s="20"/>
      <c r="G3241" s="17"/>
    </row>
    <row r="3242" spans="2:7" x14ac:dyDescent="0.25">
      <c r="B3242" s="15"/>
      <c r="C3242" s="15"/>
      <c r="D3242" s="16"/>
      <c r="E3242" s="16"/>
      <c r="F3242" s="20"/>
      <c r="G3242" s="17"/>
    </row>
    <row r="3243" spans="2:7" x14ac:dyDescent="0.25">
      <c r="B3243" s="15"/>
      <c r="C3243" s="15"/>
      <c r="D3243" s="16"/>
      <c r="E3243" s="16"/>
      <c r="F3243" s="20"/>
      <c r="G3243" s="17"/>
    </row>
    <row r="3244" spans="2:7" x14ac:dyDescent="0.25">
      <c r="B3244" s="15"/>
      <c r="C3244" s="15"/>
      <c r="D3244" s="16"/>
      <c r="E3244" s="16"/>
      <c r="F3244" s="20"/>
      <c r="G3244" s="17"/>
    </row>
    <row r="3245" spans="2:7" x14ac:dyDescent="0.25">
      <c r="B3245" s="15"/>
      <c r="C3245" s="15"/>
      <c r="D3245" s="16"/>
      <c r="E3245" s="16"/>
      <c r="F3245" s="20"/>
      <c r="G3245" s="17"/>
    </row>
    <row r="3246" spans="2:7" x14ac:dyDescent="0.25">
      <c r="B3246" s="15"/>
      <c r="C3246" s="15"/>
      <c r="D3246" s="16"/>
      <c r="E3246" s="16"/>
      <c r="F3246" s="20"/>
      <c r="G3246" s="17"/>
    </row>
    <row r="3247" spans="2:7" x14ac:dyDescent="0.25">
      <c r="B3247" s="15"/>
      <c r="C3247" s="15"/>
      <c r="D3247" s="16"/>
      <c r="E3247" s="16"/>
      <c r="F3247" s="20"/>
      <c r="G3247" s="17"/>
    </row>
    <row r="3248" spans="2:7" x14ac:dyDescent="0.25">
      <c r="B3248" s="15"/>
      <c r="C3248" s="15"/>
      <c r="D3248" s="16"/>
      <c r="E3248" s="16"/>
      <c r="F3248" s="20"/>
      <c r="G3248" s="17"/>
    </row>
    <row r="3249" spans="2:7" x14ac:dyDescent="0.25">
      <c r="B3249" s="15"/>
      <c r="C3249" s="15"/>
      <c r="D3249" s="16"/>
      <c r="E3249" s="16"/>
      <c r="F3249" s="20"/>
      <c r="G3249" s="17"/>
    </row>
    <row r="3250" spans="2:7" x14ac:dyDescent="0.25">
      <c r="B3250" s="15"/>
      <c r="C3250" s="15"/>
      <c r="D3250" s="16"/>
      <c r="E3250" s="16"/>
      <c r="F3250" s="20"/>
      <c r="G3250" s="17"/>
    </row>
    <row r="3251" spans="2:7" x14ac:dyDescent="0.25">
      <c r="B3251" s="15"/>
      <c r="C3251" s="15"/>
      <c r="D3251" s="16"/>
      <c r="E3251" s="16"/>
      <c r="F3251" s="20"/>
      <c r="G3251" s="17"/>
    </row>
    <row r="3252" spans="2:7" x14ac:dyDescent="0.25">
      <c r="B3252" s="15"/>
      <c r="C3252" s="15"/>
      <c r="D3252" s="16"/>
      <c r="E3252" s="16"/>
      <c r="F3252" s="20"/>
      <c r="G3252" s="17"/>
    </row>
    <row r="3253" spans="2:7" x14ac:dyDescent="0.25">
      <c r="B3253" s="15"/>
      <c r="C3253" s="15"/>
      <c r="D3253" s="16"/>
      <c r="E3253" s="16"/>
      <c r="F3253" s="20"/>
      <c r="G3253" s="17"/>
    </row>
    <row r="3254" spans="2:7" x14ac:dyDescent="0.25">
      <c r="B3254" s="15"/>
      <c r="C3254" s="15"/>
      <c r="D3254" s="16"/>
      <c r="E3254" s="16"/>
      <c r="F3254" s="20"/>
      <c r="G3254" s="17"/>
    </row>
    <row r="3255" spans="2:7" x14ac:dyDescent="0.25">
      <c r="B3255" s="15"/>
      <c r="C3255" s="15"/>
      <c r="D3255" s="16"/>
      <c r="E3255" s="16"/>
      <c r="F3255" s="20"/>
      <c r="G3255" s="17"/>
    </row>
    <row r="3256" spans="2:7" x14ac:dyDescent="0.25">
      <c r="B3256" s="15"/>
      <c r="C3256" s="15"/>
      <c r="D3256" s="16"/>
      <c r="E3256" s="16"/>
      <c r="F3256" s="20"/>
      <c r="G3256" s="17"/>
    </row>
    <row r="3257" spans="2:7" x14ac:dyDescent="0.25">
      <c r="B3257" s="15"/>
      <c r="C3257" s="15"/>
      <c r="D3257" s="16"/>
      <c r="E3257" s="16"/>
      <c r="F3257" s="20"/>
      <c r="G3257" s="17"/>
    </row>
    <row r="3258" spans="2:7" x14ac:dyDescent="0.25">
      <c r="B3258" s="15"/>
      <c r="C3258" s="15"/>
      <c r="D3258" s="16"/>
      <c r="E3258" s="16"/>
      <c r="F3258" s="20"/>
      <c r="G3258" s="17"/>
    </row>
    <row r="3259" spans="2:7" x14ac:dyDescent="0.25">
      <c r="B3259" s="15"/>
      <c r="C3259" s="15"/>
      <c r="D3259" s="16"/>
      <c r="E3259" s="16"/>
      <c r="F3259" s="20"/>
      <c r="G3259" s="17"/>
    </row>
    <row r="3260" spans="2:7" x14ac:dyDescent="0.25">
      <c r="B3260" s="15"/>
      <c r="C3260" s="15"/>
      <c r="D3260" s="16"/>
      <c r="E3260" s="16"/>
      <c r="F3260" s="20"/>
      <c r="G3260" s="17"/>
    </row>
    <row r="3261" spans="2:7" x14ac:dyDescent="0.25">
      <c r="B3261" s="15"/>
      <c r="C3261" s="15"/>
      <c r="D3261" s="16"/>
      <c r="E3261" s="16"/>
      <c r="F3261" s="20"/>
      <c r="G3261" s="17"/>
    </row>
    <row r="3262" spans="2:7" x14ac:dyDescent="0.25">
      <c r="B3262" s="15"/>
      <c r="C3262" s="15"/>
      <c r="D3262" s="16"/>
      <c r="E3262" s="16"/>
      <c r="F3262" s="20"/>
      <c r="G3262" s="17"/>
    </row>
    <row r="3263" spans="2:7" x14ac:dyDescent="0.25">
      <c r="B3263" s="15"/>
      <c r="C3263" s="15"/>
      <c r="D3263" s="16"/>
      <c r="E3263" s="16"/>
      <c r="F3263" s="20"/>
      <c r="G3263" s="17"/>
    </row>
    <row r="3264" spans="2:7" x14ac:dyDescent="0.25">
      <c r="B3264" s="15"/>
      <c r="C3264" s="15"/>
      <c r="D3264" s="16"/>
      <c r="E3264" s="16"/>
      <c r="F3264" s="20"/>
      <c r="G3264" s="17"/>
    </row>
    <row r="3265" spans="2:7" x14ac:dyDescent="0.25">
      <c r="B3265" s="15"/>
      <c r="C3265" s="15"/>
      <c r="D3265" s="16"/>
      <c r="E3265" s="16"/>
      <c r="F3265" s="20"/>
      <c r="G3265" s="17"/>
    </row>
    <row r="3266" spans="2:7" x14ac:dyDescent="0.25">
      <c r="B3266" s="15"/>
      <c r="C3266" s="15"/>
      <c r="D3266" s="16"/>
      <c r="E3266" s="16"/>
      <c r="F3266" s="20"/>
      <c r="G3266" s="17"/>
    </row>
    <row r="3267" spans="2:7" x14ac:dyDescent="0.25">
      <c r="B3267" s="15"/>
      <c r="C3267" s="15"/>
      <c r="D3267" s="16"/>
      <c r="E3267" s="16"/>
      <c r="F3267" s="20"/>
      <c r="G3267" s="17"/>
    </row>
    <row r="3268" spans="2:7" x14ac:dyDescent="0.25">
      <c r="B3268" s="15"/>
      <c r="C3268" s="15"/>
      <c r="D3268" s="16"/>
      <c r="E3268" s="16"/>
      <c r="F3268" s="20"/>
      <c r="G3268" s="17"/>
    </row>
    <row r="3269" spans="2:7" x14ac:dyDescent="0.25">
      <c r="B3269" s="15"/>
      <c r="C3269" s="15"/>
      <c r="D3269" s="16"/>
      <c r="E3269" s="16"/>
      <c r="F3269" s="20"/>
      <c r="G3269" s="17"/>
    </row>
    <row r="3270" spans="2:7" x14ac:dyDescent="0.25">
      <c r="B3270" s="15"/>
      <c r="C3270" s="15"/>
      <c r="D3270" s="16"/>
      <c r="E3270" s="16"/>
      <c r="F3270" s="20"/>
      <c r="G3270" s="17"/>
    </row>
    <row r="3271" spans="2:7" x14ac:dyDescent="0.25">
      <c r="B3271" s="15"/>
      <c r="C3271" s="15"/>
      <c r="D3271" s="16"/>
      <c r="E3271" s="16"/>
      <c r="F3271" s="20"/>
      <c r="G3271" s="17"/>
    </row>
    <row r="3272" spans="2:7" x14ac:dyDescent="0.25">
      <c r="B3272" s="15"/>
      <c r="C3272" s="15"/>
      <c r="D3272" s="16"/>
      <c r="E3272" s="16"/>
      <c r="F3272" s="20"/>
      <c r="G3272" s="17"/>
    </row>
    <row r="3273" spans="2:7" x14ac:dyDescent="0.25">
      <c r="B3273" s="15"/>
      <c r="C3273" s="15"/>
      <c r="D3273" s="16"/>
      <c r="E3273" s="16"/>
      <c r="F3273" s="20"/>
      <c r="G3273" s="17"/>
    </row>
    <row r="3274" spans="2:7" x14ac:dyDescent="0.25">
      <c r="B3274" s="15"/>
      <c r="C3274" s="15"/>
      <c r="D3274" s="16"/>
      <c r="E3274" s="16"/>
      <c r="F3274" s="20"/>
      <c r="G3274" s="17"/>
    </row>
    <row r="3275" spans="2:7" x14ac:dyDescent="0.25">
      <c r="B3275" s="15"/>
      <c r="C3275" s="15"/>
      <c r="D3275" s="16"/>
      <c r="E3275" s="16"/>
      <c r="F3275" s="20"/>
      <c r="G3275" s="17"/>
    </row>
    <row r="3276" spans="2:7" x14ac:dyDescent="0.25">
      <c r="B3276" s="15"/>
      <c r="C3276" s="15"/>
      <c r="D3276" s="16"/>
      <c r="E3276" s="16"/>
      <c r="F3276" s="20"/>
      <c r="G3276" s="17"/>
    </row>
    <row r="3277" spans="2:7" x14ac:dyDescent="0.25">
      <c r="B3277" s="15"/>
      <c r="C3277" s="15"/>
      <c r="D3277" s="16"/>
      <c r="E3277" s="16"/>
      <c r="F3277" s="20"/>
      <c r="G3277" s="17"/>
    </row>
    <row r="3278" spans="2:7" x14ac:dyDescent="0.25">
      <c r="B3278" s="15"/>
      <c r="C3278" s="15"/>
      <c r="D3278" s="16"/>
      <c r="E3278" s="16"/>
      <c r="F3278" s="20"/>
      <c r="G3278" s="17"/>
    </row>
    <row r="3279" spans="2:7" x14ac:dyDescent="0.25">
      <c r="B3279" s="15"/>
      <c r="C3279" s="15"/>
      <c r="D3279" s="16"/>
      <c r="E3279" s="16"/>
      <c r="F3279" s="20"/>
      <c r="G3279" s="17"/>
    </row>
    <row r="3280" spans="2:7" x14ac:dyDescent="0.25">
      <c r="B3280" s="15"/>
      <c r="C3280" s="15"/>
      <c r="D3280" s="16"/>
      <c r="E3280" s="16"/>
      <c r="F3280" s="20"/>
      <c r="G3280" s="17"/>
    </row>
    <row r="3281" spans="2:7" x14ac:dyDescent="0.25">
      <c r="B3281" s="15"/>
      <c r="C3281" s="15"/>
      <c r="D3281" s="16"/>
      <c r="E3281" s="16"/>
      <c r="F3281" s="20"/>
      <c r="G3281" s="17"/>
    </row>
    <row r="3282" spans="2:7" x14ac:dyDescent="0.25">
      <c r="B3282" s="15"/>
      <c r="C3282" s="15"/>
      <c r="D3282" s="16"/>
      <c r="E3282" s="16"/>
      <c r="F3282" s="20"/>
      <c r="G3282" s="17"/>
    </row>
    <row r="3283" spans="2:7" x14ac:dyDescent="0.25">
      <c r="B3283" s="15"/>
      <c r="C3283" s="15"/>
      <c r="D3283" s="16"/>
      <c r="E3283" s="16"/>
      <c r="F3283" s="20"/>
      <c r="G3283" s="17"/>
    </row>
    <row r="3284" spans="2:7" x14ac:dyDescent="0.25">
      <c r="B3284" s="15"/>
      <c r="C3284" s="15"/>
      <c r="D3284" s="16"/>
      <c r="E3284" s="16"/>
      <c r="F3284" s="20"/>
      <c r="G3284" s="17"/>
    </row>
    <row r="3285" spans="2:7" x14ac:dyDescent="0.25">
      <c r="B3285" s="15"/>
      <c r="C3285" s="15"/>
      <c r="D3285" s="16"/>
      <c r="E3285" s="16"/>
      <c r="F3285" s="20"/>
      <c r="G3285" s="17"/>
    </row>
    <row r="3286" spans="2:7" x14ac:dyDescent="0.25">
      <c r="B3286" s="15"/>
      <c r="C3286" s="15"/>
      <c r="D3286" s="16"/>
      <c r="E3286" s="16"/>
      <c r="F3286" s="20"/>
      <c r="G3286" s="17"/>
    </row>
    <row r="3287" spans="2:7" x14ac:dyDescent="0.25">
      <c r="B3287" s="15"/>
      <c r="C3287" s="15"/>
      <c r="D3287" s="16"/>
      <c r="E3287" s="16"/>
      <c r="F3287" s="20"/>
      <c r="G3287" s="17"/>
    </row>
    <row r="3288" spans="2:7" x14ac:dyDescent="0.25">
      <c r="B3288" s="15"/>
      <c r="C3288" s="15"/>
      <c r="D3288" s="16"/>
      <c r="E3288" s="16"/>
      <c r="F3288" s="20"/>
      <c r="G3288" s="17"/>
    </row>
    <row r="3289" spans="2:7" x14ac:dyDescent="0.25">
      <c r="B3289" s="15"/>
      <c r="C3289" s="15"/>
      <c r="D3289" s="16"/>
      <c r="E3289" s="16"/>
      <c r="F3289" s="20"/>
      <c r="G3289" s="17"/>
    </row>
    <row r="3290" spans="2:7" x14ac:dyDescent="0.25">
      <c r="B3290" s="15"/>
      <c r="C3290" s="15"/>
      <c r="D3290" s="16"/>
      <c r="E3290" s="16"/>
      <c r="F3290" s="20"/>
      <c r="G3290" s="17"/>
    </row>
    <row r="3291" spans="2:7" x14ac:dyDescent="0.25">
      <c r="B3291" s="15"/>
      <c r="C3291" s="15"/>
      <c r="D3291" s="16"/>
      <c r="E3291" s="16"/>
      <c r="F3291" s="20"/>
      <c r="G3291" s="17"/>
    </row>
    <row r="3292" spans="2:7" x14ac:dyDescent="0.25">
      <c r="B3292" s="15"/>
      <c r="C3292" s="15"/>
      <c r="D3292" s="16"/>
      <c r="E3292" s="16"/>
      <c r="F3292" s="20"/>
      <c r="G3292" s="17"/>
    </row>
    <row r="3293" spans="2:7" x14ac:dyDescent="0.25">
      <c r="B3293" s="15"/>
      <c r="C3293" s="15"/>
      <c r="D3293" s="16"/>
      <c r="E3293" s="16"/>
      <c r="F3293" s="20"/>
      <c r="G3293" s="17"/>
    </row>
    <row r="3294" spans="2:7" x14ac:dyDescent="0.25">
      <c r="B3294" s="15"/>
      <c r="C3294" s="15"/>
      <c r="D3294" s="16"/>
      <c r="E3294" s="16"/>
      <c r="F3294" s="20"/>
      <c r="G3294" s="17"/>
    </row>
    <row r="3295" spans="2:7" x14ac:dyDescent="0.25">
      <c r="B3295" s="15"/>
      <c r="C3295" s="15"/>
      <c r="D3295" s="16"/>
      <c r="E3295" s="16"/>
      <c r="F3295" s="20"/>
      <c r="G3295" s="17"/>
    </row>
    <row r="3296" spans="2:7" x14ac:dyDescent="0.25">
      <c r="B3296" s="15"/>
      <c r="C3296" s="15"/>
      <c r="D3296" s="16"/>
      <c r="E3296" s="16"/>
      <c r="F3296" s="20"/>
      <c r="G3296" s="17"/>
    </row>
    <row r="3297" spans="2:7" x14ac:dyDescent="0.25">
      <c r="B3297" s="15"/>
      <c r="C3297" s="15"/>
      <c r="D3297" s="16"/>
      <c r="E3297" s="16"/>
      <c r="F3297" s="20"/>
      <c r="G3297" s="17"/>
    </row>
    <row r="3298" spans="2:7" x14ac:dyDescent="0.25">
      <c r="B3298" s="15"/>
      <c r="C3298" s="15"/>
      <c r="D3298" s="16"/>
      <c r="E3298" s="16"/>
      <c r="F3298" s="20"/>
      <c r="G3298" s="17"/>
    </row>
    <row r="3299" spans="2:7" x14ac:dyDescent="0.25">
      <c r="B3299" s="15"/>
      <c r="C3299" s="15"/>
      <c r="D3299" s="16"/>
      <c r="E3299" s="16"/>
      <c r="F3299" s="20"/>
      <c r="G3299" s="17"/>
    </row>
    <row r="3300" spans="2:7" x14ac:dyDescent="0.25">
      <c r="B3300" s="15"/>
      <c r="C3300" s="15"/>
      <c r="D3300" s="16"/>
      <c r="E3300" s="16"/>
      <c r="F3300" s="20"/>
      <c r="G3300" s="17"/>
    </row>
    <row r="3301" spans="2:7" x14ac:dyDescent="0.25">
      <c r="B3301" s="15"/>
      <c r="C3301" s="15"/>
      <c r="D3301" s="16"/>
      <c r="E3301" s="16"/>
      <c r="F3301" s="20"/>
      <c r="G3301" s="17"/>
    </row>
    <row r="3302" spans="2:7" x14ac:dyDescent="0.25">
      <c r="B3302" s="15"/>
      <c r="C3302" s="15"/>
      <c r="D3302" s="16"/>
      <c r="E3302" s="16"/>
      <c r="F3302" s="20"/>
      <c r="G3302" s="17"/>
    </row>
    <row r="3303" spans="2:7" x14ac:dyDescent="0.25">
      <c r="B3303" s="15"/>
      <c r="C3303" s="15"/>
      <c r="D3303" s="16"/>
      <c r="E3303" s="16"/>
      <c r="F3303" s="20"/>
      <c r="G3303" s="17"/>
    </row>
    <row r="3304" spans="2:7" x14ac:dyDescent="0.25">
      <c r="B3304" s="15"/>
      <c r="C3304" s="15"/>
      <c r="D3304" s="16"/>
      <c r="E3304" s="16"/>
      <c r="F3304" s="20"/>
      <c r="G3304" s="17"/>
    </row>
    <row r="3305" spans="2:7" x14ac:dyDescent="0.25">
      <c r="B3305" s="15"/>
      <c r="C3305" s="15"/>
      <c r="D3305" s="16"/>
      <c r="E3305" s="16"/>
      <c r="F3305" s="20"/>
      <c r="G3305" s="17"/>
    </row>
    <row r="3306" spans="2:7" x14ac:dyDescent="0.25">
      <c r="B3306" s="15"/>
      <c r="C3306" s="15"/>
      <c r="D3306" s="16"/>
      <c r="E3306" s="16"/>
      <c r="F3306" s="20"/>
      <c r="G3306" s="17"/>
    </row>
    <row r="3307" spans="2:7" x14ac:dyDescent="0.25">
      <c r="B3307" s="15"/>
      <c r="C3307" s="15"/>
      <c r="D3307" s="16"/>
      <c r="E3307" s="16"/>
      <c r="F3307" s="20"/>
      <c r="G3307" s="17"/>
    </row>
    <row r="3308" spans="2:7" x14ac:dyDescent="0.25">
      <c r="B3308" s="15"/>
      <c r="C3308" s="15"/>
      <c r="D3308" s="16"/>
      <c r="E3308" s="16"/>
      <c r="F3308" s="20"/>
      <c r="G3308" s="17"/>
    </row>
    <row r="3309" spans="2:7" x14ac:dyDescent="0.25">
      <c r="B3309" s="15"/>
      <c r="C3309" s="15"/>
      <c r="D3309" s="16"/>
      <c r="E3309" s="16"/>
      <c r="F3309" s="20"/>
      <c r="G3309" s="17"/>
    </row>
    <row r="3310" spans="2:7" x14ac:dyDescent="0.25">
      <c r="B3310" s="15"/>
      <c r="C3310" s="15"/>
      <c r="D3310" s="16"/>
      <c r="E3310" s="16"/>
      <c r="F3310" s="20"/>
      <c r="G3310" s="17"/>
    </row>
    <row r="3311" spans="2:7" x14ac:dyDescent="0.25">
      <c r="B3311" s="15"/>
      <c r="C3311" s="15"/>
      <c r="D3311" s="16"/>
      <c r="E3311" s="16"/>
      <c r="F3311" s="20"/>
      <c r="G3311" s="17"/>
    </row>
    <row r="3312" spans="2:7" x14ac:dyDescent="0.25">
      <c r="B3312" s="15"/>
      <c r="C3312" s="15"/>
      <c r="D3312" s="16"/>
      <c r="E3312" s="16"/>
      <c r="F3312" s="20"/>
      <c r="G3312" s="17"/>
    </row>
    <row r="3313" spans="2:7" x14ac:dyDescent="0.25">
      <c r="B3313" s="15"/>
      <c r="C3313" s="15"/>
      <c r="D3313" s="16"/>
      <c r="E3313" s="16"/>
      <c r="F3313" s="20"/>
      <c r="G3313" s="17"/>
    </row>
    <row r="3314" spans="2:7" x14ac:dyDescent="0.25">
      <c r="B3314" s="15"/>
      <c r="C3314" s="15"/>
      <c r="D3314" s="16"/>
      <c r="E3314" s="16"/>
      <c r="F3314" s="20"/>
      <c r="G3314" s="17"/>
    </row>
    <row r="3315" spans="2:7" x14ac:dyDescent="0.25">
      <c r="B3315" s="15"/>
      <c r="C3315" s="15"/>
      <c r="D3315" s="16"/>
      <c r="E3315" s="16"/>
      <c r="F3315" s="20"/>
      <c r="G3315" s="17"/>
    </row>
    <row r="3316" spans="2:7" x14ac:dyDescent="0.25">
      <c r="B3316" s="15"/>
      <c r="C3316" s="15"/>
      <c r="D3316" s="16"/>
      <c r="E3316" s="16"/>
      <c r="F3316" s="20"/>
      <c r="G3316" s="17"/>
    </row>
    <row r="3317" spans="2:7" x14ac:dyDescent="0.25">
      <c r="B3317" s="15"/>
      <c r="C3317" s="15"/>
      <c r="D3317" s="16"/>
      <c r="E3317" s="16"/>
      <c r="F3317" s="20"/>
      <c r="G3317" s="17"/>
    </row>
    <row r="3318" spans="2:7" x14ac:dyDescent="0.25">
      <c r="B3318" s="15"/>
      <c r="C3318" s="15"/>
      <c r="D3318" s="16"/>
      <c r="E3318" s="16"/>
      <c r="F3318" s="20"/>
      <c r="G3318" s="17"/>
    </row>
    <row r="3319" spans="2:7" x14ac:dyDescent="0.25">
      <c r="B3319" s="15"/>
      <c r="C3319" s="15"/>
      <c r="D3319" s="16"/>
      <c r="E3319" s="16"/>
      <c r="F3319" s="20"/>
      <c r="G3319" s="17"/>
    </row>
    <row r="3320" spans="2:7" x14ac:dyDescent="0.25">
      <c r="B3320" s="15"/>
      <c r="C3320" s="15"/>
      <c r="D3320" s="16"/>
      <c r="E3320" s="16"/>
      <c r="F3320" s="20"/>
      <c r="G3320" s="17"/>
    </row>
    <row r="3321" spans="2:7" x14ac:dyDescent="0.25">
      <c r="B3321" s="15"/>
      <c r="C3321" s="15"/>
      <c r="D3321" s="16"/>
      <c r="E3321" s="16"/>
      <c r="F3321" s="20"/>
      <c r="G3321" s="17"/>
    </row>
    <row r="3322" spans="2:7" x14ac:dyDescent="0.25">
      <c r="B3322" s="15"/>
      <c r="C3322" s="15"/>
      <c r="D3322" s="16"/>
      <c r="E3322" s="16"/>
      <c r="F3322" s="20"/>
      <c r="G3322" s="17"/>
    </row>
    <row r="3323" spans="2:7" x14ac:dyDescent="0.25">
      <c r="B3323" s="15"/>
      <c r="C3323" s="15"/>
      <c r="D3323" s="16"/>
      <c r="E3323" s="16"/>
      <c r="F3323" s="20"/>
      <c r="G3323" s="17"/>
    </row>
    <row r="3324" spans="2:7" x14ac:dyDescent="0.25">
      <c r="B3324" s="15"/>
      <c r="C3324" s="15"/>
      <c r="D3324" s="16"/>
      <c r="E3324" s="16"/>
      <c r="F3324" s="20"/>
      <c r="G3324" s="17"/>
    </row>
    <row r="3325" spans="2:7" x14ac:dyDescent="0.25">
      <c r="B3325" s="15"/>
      <c r="C3325" s="15"/>
      <c r="D3325" s="16"/>
      <c r="E3325" s="16"/>
      <c r="F3325" s="20"/>
      <c r="G3325" s="17"/>
    </row>
    <row r="3326" spans="2:7" x14ac:dyDescent="0.25">
      <c r="B3326" s="15"/>
      <c r="C3326" s="15"/>
      <c r="D3326" s="16"/>
      <c r="E3326" s="16"/>
      <c r="F3326" s="20"/>
      <c r="G3326" s="17"/>
    </row>
    <row r="3327" spans="2:7" x14ac:dyDescent="0.25">
      <c r="B3327" s="15"/>
      <c r="C3327" s="15"/>
      <c r="D3327" s="16"/>
      <c r="E3327" s="16"/>
      <c r="F3327" s="20"/>
      <c r="G3327" s="17"/>
    </row>
    <row r="3328" spans="2:7" x14ac:dyDescent="0.25">
      <c r="B3328" s="15"/>
      <c r="C3328" s="15"/>
      <c r="D3328" s="16"/>
      <c r="E3328" s="16"/>
      <c r="F3328" s="20"/>
      <c r="G3328" s="17"/>
    </row>
    <row r="3329" spans="2:7" x14ac:dyDescent="0.25">
      <c r="B3329" s="15"/>
      <c r="C3329" s="15"/>
      <c r="D3329" s="16"/>
      <c r="E3329" s="16"/>
      <c r="F3329" s="20"/>
      <c r="G3329" s="17"/>
    </row>
    <row r="3330" spans="2:7" x14ac:dyDescent="0.25">
      <c r="B3330" s="15"/>
      <c r="C3330" s="15"/>
      <c r="D3330" s="16"/>
      <c r="E3330" s="16"/>
      <c r="F3330" s="20"/>
      <c r="G3330" s="17"/>
    </row>
    <row r="3331" spans="2:7" x14ac:dyDescent="0.25">
      <c r="B3331" s="15"/>
      <c r="C3331" s="15"/>
      <c r="D3331" s="16"/>
      <c r="E3331" s="16"/>
      <c r="F3331" s="20"/>
      <c r="G3331" s="17"/>
    </row>
    <row r="3332" spans="2:7" x14ac:dyDescent="0.25">
      <c r="B3332" s="15"/>
      <c r="C3332" s="15"/>
      <c r="D3332" s="16"/>
      <c r="E3332" s="16"/>
      <c r="F3332" s="20"/>
      <c r="G3332" s="17"/>
    </row>
    <row r="3333" spans="2:7" x14ac:dyDescent="0.25">
      <c r="B3333" s="15"/>
      <c r="C3333" s="15"/>
      <c r="D3333" s="16"/>
      <c r="E3333" s="16"/>
      <c r="F3333" s="20"/>
      <c r="G3333" s="17"/>
    </row>
    <row r="3334" spans="2:7" x14ac:dyDescent="0.25">
      <c r="B3334" s="15"/>
      <c r="C3334" s="15"/>
      <c r="D3334" s="16"/>
      <c r="E3334" s="16"/>
      <c r="F3334" s="20"/>
      <c r="G3334" s="17"/>
    </row>
    <row r="3335" spans="2:7" x14ac:dyDescent="0.25">
      <c r="B3335" s="15"/>
      <c r="C3335" s="15"/>
      <c r="D3335" s="16"/>
      <c r="E3335" s="16"/>
      <c r="F3335" s="20"/>
      <c r="G3335" s="17"/>
    </row>
    <row r="3336" spans="2:7" x14ac:dyDescent="0.25">
      <c r="B3336" s="15"/>
      <c r="C3336" s="15"/>
      <c r="D3336" s="16"/>
      <c r="E3336" s="16"/>
      <c r="F3336" s="20"/>
      <c r="G3336" s="17"/>
    </row>
    <row r="3337" spans="2:7" x14ac:dyDescent="0.25">
      <c r="B3337" s="15"/>
      <c r="C3337" s="15"/>
      <c r="D3337" s="16"/>
      <c r="E3337" s="16"/>
      <c r="F3337" s="20"/>
      <c r="G3337" s="17"/>
    </row>
    <row r="3338" spans="2:7" x14ac:dyDescent="0.25">
      <c r="B3338" s="15"/>
      <c r="C3338" s="15"/>
      <c r="D3338" s="16"/>
      <c r="E3338" s="16"/>
      <c r="F3338" s="20"/>
      <c r="G3338" s="17"/>
    </row>
    <row r="3339" spans="2:7" x14ac:dyDescent="0.25">
      <c r="B3339" s="15"/>
      <c r="C3339" s="15"/>
      <c r="D3339" s="16"/>
      <c r="E3339" s="16"/>
      <c r="F3339" s="20"/>
      <c r="G3339" s="17"/>
    </row>
    <row r="3340" spans="2:7" x14ac:dyDescent="0.25">
      <c r="B3340" s="15"/>
      <c r="C3340" s="15"/>
      <c r="D3340" s="16"/>
      <c r="E3340" s="16"/>
      <c r="F3340" s="20"/>
      <c r="G3340" s="17"/>
    </row>
    <row r="3341" spans="2:7" x14ac:dyDescent="0.25">
      <c r="B3341" s="15"/>
      <c r="C3341" s="15"/>
      <c r="D3341" s="16"/>
      <c r="E3341" s="16"/>
      <c r="F3341" s="20"/>
      <c r="G3341" s="17"/>
    </row>
    <row r="3342" spans="2:7" x14ac:dyDescent="0.25">
      <c r="B3342" s="15"/>
      <c r="C3342" s="15"/>
      <c r="D3342" s="16"/>
      <c r="E3342" s="16"/>
      <c r="F3342" s="20"/>
      <c r="G3342" s="17"/>
    </row>
    <row r="3343" spans="2:7" x14ac:dyDescent="0.25">
      <c r="B3343" s="15"/>
      <c r="C3343" s="15"/>
      <c r="D3343" s="16"/>
      <c r="E3343" s="16"/>
      <c r="F3343" s="20"/>
      <c r="G3343" s="17"/>
    </row>
    <row r="3344" spans="2:7" x14ac:dyDescent="0.25">
      <c r="B3344" s="15"/>
      <c r="C3344" s="15"/>
      <c r="D3344" s="16"/>
      <c r="E3344" s="16"/>
      <c r="F3344" s="20"/>
      <c r="G3344" s="17"/>
    </row>
    <row r="3345" spans="2:7" x14ac:dyDescent="0.25">
      <c r="B3345" s="15"/>
      <c r="C3345" s="15"/>
      <c r="D3345" s="16"/>
      <c r="E3345" s="16"/>
      <c r="F3345" s="20"/>
      <c r="G3345" s="17"/>
    </row>
    <row r="3346" spans="2:7" x14ac:dyDescent="0.25">
      <c r="B3346" s="15"/>
      <c r="C3346" s="15"/>
      <c r="D3346" s="16"/>
      <c r="E3346" s="16"/>
      <c r="F3346" s="20"/>
      <c r="G3346" s="17"/>
    </row>
    <row r="3347" spans="2:7" x14ac:dyDescent="0.25">
      <c r="B3347" s="15"/>
      <c r="C3347" s="15"/>
      <c r="D3347" s="16"/>
      <c r="E3347" s="16"/>
      <c r="F3347" s="20"/>
      <c r="G3347" s="17"/>
    </row>
    <row r="3348" spans="2:7" x14ac:dyDescent="0.25">
      <c r="B3348" s="15"/>
      <c r="C3348" s="15"/>
      <c r="D3348" s="16"/>
      <c r="E3348" s="16"/>
      <c r="F3348" s="20"/>
      <c r="G3348" s="17"/>
    </row>
    <row r="3349" spans="2:7" x14ac:dyDescent="0.25">
      <c r="B3349" s="15"/>
      <c r="C3349" s="15"/>
      <c r="D3349" s="16"/>
      <c r="E3349" s="16"/>
      <c r="F3349" s="20"/>
      <c r="G3349" s="17"/>
    </row>
    <row r="3350" spans="2:7" x14ac:dyDescent="0.25">
      <c r="B3350" s="15"/>
      <c r="C3350" s="15"/>
      <c r="D3350" s="16"/>
      <c r="E3350" s="16"/>
      <c r="F3350" s="20"/>
      <c r="G3350" s="17"/>
    </row>
    <row r="3351" spans="2:7" x14ac:dyDescent="0.25">
      <c r="B3351" s="15"/>
      <c r="C3351" s="15"/>
      <c r="D3351" s="16"/>
      <c r="E3351" s="16"/>
      <c r="F3351" s="20"/>
      <c r="G3351" s="17"/>
    </row>
    <row r="3352" spans="2:7" x14ac:dyDescent="0.25">
      <c r="B3352" s="15"/>
      <c r="C3352" s="15"/>
      <c r="D3352" s="16"/>
      <c r="E3352" s="16"/>
      <c r="F3352" s="20"/>
      <c r="G3352" s="17"/>
    </row>
    <row r="3353" spans="2:7" x14ac:dyDescent="0.25">
      <c r="B3353" s="15"/>
      <c r="C3353" s="15"/>
      <c r="D3353" s="16"/>
      <c r="E3353" s="16"/>
      <c r="F3353" s="20"/>
      <c r="G3353" s="17"/>
    </row>
    <row r="3354" spans="2:7" x14ac:dyDescent="0.25">
      <c r="B3354" s="15"/>
      <c r="C3354" s="15"/>
      <c r="D3354" s="16"/>
      <c r="E3354" s="16"/>
      <c r="F3354" s="20"/>
      <c r="G3354" s="17"/>
    </row>
    <row r="3355" spans="2:7" x14ac:dyDescent="0.25">
      <c r="B3355" s="15"/>
      <c r="C3355" s="15"/>
      <c r="D3355" s="16"/>
      <c r="E3355" s="16"/>
      <c r="F3355" s="20"/>
      <c r="G3355" s="17"/>
    </row>
    <row r="3356" spans="2:7" x14ac:dyDescent="0.25">
      <c r="B3356" s="15"/>
      <c r="C3356" s="15"/>
      <c r="D3356" s="16"/>
      <c r="E3356" s="16"/>
      <c r="F3356" s="20"/>
      <c r="G3356" s="17"/>
    </row>
    <row r="3357" spans="2:7" x14ac:dyDescent="0.25">
      <c r="B3357" s="15"/>
      <c r="C3357" s="15"/>
      <c r="D3357" s="16"/>
      <c r="E3357" s="16"/>
      <c r="F3357" s="20"/>
      <c r="G3357" s="17"/>
    </row>
    <row r="3358" spans="2:7" x14ac:dyDescent="0.25">
      <c r="B3358" s="15"/>
      <c r="C3358" s="15"/>
      <c r="D3358" s="16"/>
      <c r="E3358" s="16"/>
      <c r="F3358" s="20"/>
      <c r="G3358" s="17"/>
    </row>
    <row r="3359" spans="2:7" x14ac:dyDescent="0.25">
      <c r="B3359" s="15"/>
      <c r="C3359" s="15"/>
      <c r="D3359" s="16"/>
      <c r="E3359" s="16"/>
      <c r="F3359" s="20"/>
      <c r="G3359" s="17"/>
    </row>
    <row r="3360" spans="2:7" x14ac:dyDescent="0.25">
      <c r="B3360" s="15"/>
      <c r="C3360" s="15"/>
      <c r="D3360" s="16"/>
      <c r="E3360" s="16"/>
      <c r="F3360" s="20"/>
      <c r="G3360" s="17"/>
    </row>
    <row r="3361" spans="2:7" x14ac:dyDescent="0.25">
      <c r="B3361" s="15"/>
      <c r="C3361" s="15"/>
      <c r="D3361" s="16"/>
      <c r="E3361" s="16"/>
      <c r="F3361" s="20"/>
      <c r="G3361" s="17"/>
    </row>
    <row r="3362" spans="2:7" x14ac:dyDescent="0.25">
      <c r="B3362" s="15"/>
      <c r="C3362" s="15"/>
      <c r="D3362" s="16"/>
      <c r="E3362" s="16"/>
      <c r="F3362" s="20"/>
      <c r="G3362" s="17"/>
    </row>
    <row r="3363" spans="2:7" x14ac:dyDescent="0.25">
      <c r="B3363" s="15"/>
      <c r="C3363" s="15"/>
      <c r="D3363" s="16"/>
      <c r="E3363" s="16"/>
      <c r="F3363" s="20"/>
      <c r="G3363" s="17"/>
    </row>
    <row r="3364" spans="2:7" x14ac:dyDescent="0.25">
      <c r="B3364" s="15"/>
      <c r="C3364" s="15"/>
      <c r="D3364" s="16"/>
      <c r="E3364" s="16"/>
      <c r="F3364" s="20"/>
      <c r="G3364" s="17"/>
    </row>
    <row r="3365" spans="2:7" x14ac:dyDescent="0.25">
      <c r="B3365" s="15"/>
      <c r="C3365" s="15"/>
      <c r="D3365" s="16"/>
      <c r="E3365" s="16"/>
      <c r="F3365" s="20"/>
      <c r="G3365" s="17"/>
    </row>
    <row r="3366" spans="2:7" x14ac:dyDescent="0.25">
      <c r="B3366" s="15"/>
      <c r="C3366" s="15"/>
      <c r="D3366" s="16"/>
      <c r="E3366" s="16"/>
      <c r="F3366" s="20"/>
      <c r="G3366" s="17"/>
    </row>
    <row r="3367" spans="2:7" x14ac:dyDescent="0.25">
      <c r="B3367" s="15"/>
      <c r="C3367" s="15"/>
      <c r="D3367" s="16"/>
      <c r="E3367" s="16"/>
      <c r="F3367" s="20"/>
      <c r="G3367" s="17"/>
    </row>
    <row r="3368" spans="2:7" x14ac:dyDescent="0.25">
      <c r="B3368" s="15"/>
      <c r="C3368" s="15"/>
      <c r="D3368" s="16"/>
      <c r="E3368" s="16"/>
      <c r="F3368" s="20"/>
      <c r="G3368" s="17"/>
    </row>
    <row r="3369" spans="2:7" x14ac:dyDescent="0.25">
      <c r="B3369" s="15"/>
      <c r="C3369" s="15"/>
      <c r="D3369" s="16"/>
      <c r="E3369" s="16"/>
      <c r="F3369" s="20"/>
      <c r="G3369" s="17"/>
    </row>
    <row r="3370" spans="2:7" x14ac:dyDescent="0.25">
      <c r="B3370" s="15"/>
      <c r="C3370" s="15"/>
      <c r="D3370" s="16"/>
      <c r="E3370" s="16"/>
      <c r="F3370" s="20"/>
      <c r="G3370" s="17"/>
    </row>
    <row r="3371" spans="2:7" x14ac:dyDescent="0.25">
      <c r="B3371" s="15"/>
      <c r="C3371" s="15"/>
      <c r="D3371" s="16"/>
      <c r="E3371" s="16"/>
      <c r="F3371" s="20"/>
      <c r="G3371" s="17"/>
    </row>
    <row r="3372" spans="2:7" x14ac:dyDescent="0.25">
      <c r="B3372" s="15"/>
      <c r="C3372" s="15"/>
      <c r="D3372" s="16"/>
      <c r="E3372" s="16"/>
      <c r="F3372" s="20"/>
      <c r="G3372" s="17"/>
    </row>
    <row r="3373" spans="2:7" x14ac:dyDescent="0.25">
      <c r="B3373" s="15"/>
      <c r="C3373" s="15"/>
      <c r="D3373" s="16"/>
      <c r="E3373" s="16"/>
      <c r="F3373" s="20"/>
      <c r="G3373" s="17"/>
    </row>
    <row r="3374" spans="2:7" x14ac:dyDescent="0.25">
      <c r="B3374" s="15"/>
      <c r="C3374" s="15"/>
      <c r="D3374" s="16"/>
      <c r="E3374" s="16"/>
      <c r="F3374" s="20"/>
      <c r="G3374" s="17"/>
    </row>
    <row r="3375" spans="2:7" x14ac:dyDescent="0.25">
      <c r="B3375" s="15"/>
      <c r="C3375" s="15"/>
      <c r="D3375" s="16"/>
      <c r="E3375" s="16"/>
      <c r="F3375" s="20"/>
      <c r="G3375" s="17"/>
    </row>
    <row r="3376" spans="2:7" x14ac:dyDescent="0.25">
      <c r="B3376" s="15"/>
      <c r="C3376" s="15"/>
      <c r="D3376" s="16"/>
      <c r="E3376" s="16"/>
      <c r="F3376" s="20"/>
      <c r="G3376" s="17"/>
    </row>
    <row r="3377" spans="2:7" x14ac:dyDescent="0.25">
      <c r="B3377" s="15"/>
      <c r="C3377" s="15"/>
      <c r="D3377" s="16"/>
      <c r="E3377" s="16"/>
      <c r="F3377" s="20"/>
      <c r="G3377" s="17"/>
    </row>
    <row r="3378" spans="2:7" x14ac:dyDescent="0.25">
      <c r="B3378" s="15"/>
      <c r="C3378" s="15"/>
      <c r="D3378" s="16"/>
      <c r="E3378" s="16"/>
      <c r="F3378" s="20"/>
      <c r="G3378" s="17"/>
    </row>
    <row r="3379" spans="2:7" x14ac:dyDescent="0.25">
      <c r="B3379" s="15"/>
      <c r="C3379" s="15"/>
      <c r="D3379" s="16"/>
      <c r="E3379" s="16"/>
      <c r="F3379" s="20"/>
      <c r="G3379" s="17"/>
    </row>
    <row r="3380" spans="2:7" x14ac:dyDescent="0.25">
      <c r="B3380" s="15"/>
      <c r="C3380" s="15"/>
      <c r="D3380" s="16"/>
      <c r="E3380" s="16"/>
      <c r="F3380" s="20"/>
      <c r="G3380" s="17"/>
    </row>
    <row r="3381" spans="2:7" x14ac:dyDescent="0.25">
      <c r="B3381" s="15"/>
      <c r="C3381" s="15"/>
      <c r="D3381" s="16"/>
      <c r="E3381" s="16"/>
      <c r="F3381" s="20"/>
      <c r="G3381" s="17"/>
    </row>
    <row r="3382" spans="2:7" x14ac:dyDescent="0.25">
      <c r="B3382" s="15"/>
      <c r="C3382" s="15"/>
      <c r="D3382" s="16"/>
      <c r="E3382" s="16"/>
      <c r="F3382" s="20"/>
      <c r="G3382" s="17"/>
    </row>
    <row r="3383" spans="2:7" x14ac:dyDescent="0.25">
      <c r="B3383" s="15"/>
      <c r="C3383" s="15"/>
      <c r="D3383" s="16"/>
      <c r="E3383" s="16"/>
      <c r="F3383" s="20"/>
      <c r="G3383" s="17"/>
    </row>
    <row r="3384" spans="2:7" x14ac:dyDescent="0.25">
      <c r="B3384" s="15"/>
      <c r="C3384" s="15"/>
      <c r="D3384" s="16"/>
      <c r="E3384" s="16"/>
      <c r="F3384" s="20"/>
      <c r="G3384" s="17"/>
    </row>
    <row r="3385" spans="2:7" x14ac:dyDescent="0.25">
      <c r="B3385" s="15"/>
      <c r="C3385" s="15"/>
      <c r="D3385" s="16"/>
      <c r="E3385" s="16"/>
      <c r="F3385" s="20"/>
      <c r="G3385" s="17"/>
    </row>
    <row r="3386" spans="2:7" x14ac:dyDescent="0.25">
      <c r="B3386" s="15"/>
      <c r="C3386" s="15"/>
      <c r="D3386" s="16"/>
      <c r="E3386" s="16"/>
      <c r="F3386" s="20"/>
      <c r="G3386" s="17"/>
    </row>
    <row r="3387" spans="2:7" x14ac:dyDescent="0.25">
      <c r="B3387" s="15"/>
      <c r="C3387" s="15"/>
      <c r="D3387" s="16"/>
      <c r="E3387" s="16"/>
      <c r="F3387" s="20"/>
      <c r="G3387" s="17"/>
    </row>
    <row r="3388" spans="2:7" x14ac:dyDescent="0.25">
      <c r="B3388" s="15"/>
      <c r="C3388" s="15"/>
      <c r="D3388" s="16"/>
      <c r="E3388" s="16"/>
      <c r="F3388" s="20"/>
      <c r="G3388" s="17"/>
    </row>
    <row r="3389" spans="2:7" x14ac:dyDescent="0.25">
      <c r="B3389" s="15"/>
      <c r="C3389" s="15"/>
      <c r="D3389" s="16"/>
      <c r="E3389" s="16"/>
      <c r="F3389" s="20"/>
      <c r="G3389" s="17"/>
    </row>
    <row r="3390" spans="2:7" x14ac:dyDescent="0.25">
      <c r="B3390" s="15"/>
      <c r="C3390" s="15"/>
      <c r="D3390" s="16"/>
      <c r="E3390" s="16"/>
      <c r="F3390" s="20"/>
      <c r="G3390" s="17"/>
    </row>
    <row r="3391" spans="2:7" x14ac:dyDescent="0.25">
      <c r="B3391" s="15"/>
      <c r="C3391" s="15"/>
      <c r="D3391" s="16"/>
      <c r="E3391" s="16"/>
      <c r="F3391" s="20"/>
      <c r="G3391" s="17"/>
    </row>
    <row r="3392" spans="2:7" x14ac:dyDescent="0.25">
      <c r="B3392" s="15"/>
      <c r="C3392" s="15"/>
      <c r="D3392" s="16"/>
      <c r="E3392" s="16"/>
      <c r="F3392" s="20"/>
      <c r="G3392" s="17"/>
    </row>
    <row r="3393" spans="2:7" x14ac:dyDescent="0.25">
      <c r="B3393" s="15"/>
      <c r="C3393" s="15"/>
      <c r="D3393" s="16"/>
      <c r="E3393" s="16"/>
      <c r="F3393" s="20"/>
      <c r="G3393" s="17"/>
    </row>
    <row r="3394" spans="2:7" x14ac:dyDescent="0.25">
      <c r="B3394" s="15"/>
      <c r="C3394" s="15"/>
      <c r="D3394" s="16"/>
      <c r="E3394" s="16"/>
      <c r="F3394" s="20"/>
      <c r="G3394" s="17"/>
    </row>
    <row r="3395" spans="2:7" x14ac:dyDescent="0.25">
      <c r="B3395" s="15"/>
      <c r="C3395" s="15"/>
      <c r="D3395" s="16"/>
      <c r="E3395" s="16"/>
      <c r="F3395" s="20"/>
      <c r="G3395" s="17"/>
    </row>
    <row r="3396" spans="2:7" x14ac:dyDescent="0.25">
      <c r="B3396" s="15"/>
      <c r="C3396" s="15"/>
      <c r="D3396" s="16"/>
      <c r="E3396" s="16"/>
      <c r="F3396" s="20"/>
      <c r="G3396" s="17"/>
    </row>
    <row r="3397" spans="2:7" x14ac:dyDescent="0.25">
      <c r="B3397" s="15"/>
      <c r="C3397" s="15"/>
      <c r="D3397" s="16"/>
      <c r="E3397" s="16"/>
      <c r="F3397" s="20"/>
      <c r="G3397" s="17"/>
    </row>
    <row r="3398" spans="2:7" x14ac:dyDescent="0.25">
      <c r="B3398" s="15"/>
      <c r="C3398" s="15"/>
      <c r="D3398" s="16"/>
      <c r="E3398" s="16"/>
      <c r="F3398" s="20"/>
      <c r="G3398" s="17"/>
    </row>
    <row r="3399" spans="2:7" x14ac:dyDescent="0.25">
      <c r="B3399" s="15"/>
      <c r="C3399" s="15"/>
      <c r="D3399" s="16"/>
      <c r="E3399" s="16"/>
      <c r="F3399" s="20"/>
      <c r="G3399" s="17"/>
    </row>
    <row r="3400" spans="2:7" x14ac:dyDescent="0.25">
      <c r="B3400" s="15"/>
      <c r="C3400" s="15"/>
      <c r="D3400" s="16"/>
      <c r="E3400" s="16"/>
      <c r="F3400" s="20"/>
      <c r="G3400" s="17"/>
    </row>
    <row r="3401" spans="2:7" x14ac:dyDescent="0.25">
      <c r="B3401" s="15"/>
      <c r="C3401" s="15"/>
      <c r="D3401" s="16"/>
      <c r="E3401" s="16"/>
      <c r="F3401" s="20"/>
      <c r="G3401" s="17"/>
    </row>
    <row r="3402" spans="2:7" x14ac:dyDescent="0.25">
      <c r="B3402" s="15"/>
      <c r="C3402" s="15"/>
      <c r="D3402" s="16"/>
      <c r="E3402" s="16"/>
      <c r="F3402" s="20"/>
      <c r="G3402" s="17"/>
    </row>
    <row r="3403" spans="2:7" x14ac:dyDescent="0.25">
      <c r="B3403" s="15"/>
      <c r="C3403" s="15"/>
      <c r="D3403" s="16"/>
      <c r="E3403" s="16"/>
      <c r="F3403" s="20"/>
      <c r="G3403" s="17"/>
    </row>
    <row r="3404" spans="2:7" x14ac:dyDescent="0.25">
      <c r="B3404" s="15"/>
      <c r="C3404" s="15"/>
      <c r="D3404" s="16"/>
      <c r="E3404" s="16"/>
      <c r="F3404" s="20"/>
      <c r="G3404" s="17"/>
    </row>
    <row r="3405" spans="2:7" x14ac:dyDescent="0.25">
      <c r="B3405" s="15"/>
      <c r="C3405" s="15"/>
      <c r="D3405" s="16"/>
      <c r="E3405" s="16"/>
      <c r="F3405" s="20"/>
      <c r="G3405" s="17"/>
    </row>
    <row r="3406" spans="2:7" x14ac:dyDescent="0.25">
      <c r="B3406" s="15"/>
      <c r="C3406" s="15"/>
      <c r="D3406" s="16"/>
      <c r="E3406" s="16"/>
      <c r="F3406" s="20"/>
      <c r="G3406" s="17"/>
    </row>
    <row r="3407" spans="2:7" x14ac:dyDescent="0.25">
      <c r="B3407" s="15"/>
      <c r="C3407" s="15"/>
      <c r="D3407" s="16"/>
      <c r="E3407" s="16"/>
      <c r="F3407" s="20"/>
      <c r="G3407" s="17"/>
    </row>
    <row r="3408" spans="2:7" x14ac:dyDescent="0.25">
      <c r="B3408" s="15"/>
      <c r="C3408" s="15"/>
      <c r="D3408" s="16"/>
      <c r="E3408" s="16"/>
      <c r="F3408" s="20"/>
      <c r="G3408" s="17"/>
    </row>
    <row r="3409" spans="2:7" x14ac:dyDescent="0.25">
      <c r="B3409" s="15"/>
      <c r="C3409" s="15"/>
      <c r="D3409" s="16"/>
      <c r="E3409" s="16"/>
      <c r="F3409" s="20"/>
      <c r="G3409" s="17"/>
    </row>
    <row r="3410" spans="2:7" x14ac:dyDescent="0.25">
      <c r="B3410" s="15"/>
      <c r="C3410" s="15"/>
      <c r="D3410" s="16"/>
      <c r="E3410" s="16"/>
      <c r="F3410" s="20"/>
      <c r="G3410" s="17"/>
    </row>
    <row r="3411" spans="2:7" x14ac:dyDescent="0.25">
      <c r="B3411" s="15"/>
      <c r="C3411" s="15"/>
      <c r="D3411" s="16"/>
      <c r="E3411" s="16"/>
      <c r="F3411" s="20"/>
      <c r="G3411" s="17"/>
    </row>
    <row r="3412" spans="2:7" x14ac:dyDescent="0.25">
      <c r="B3412" s="15"/>
      <c r="C3412" s="15"/>
      <c r="D3412" s="16"/>
      <c r="E3412" s="16"/>
      <c r="F3412" s="20"/>
      <c r="G3412" s="17"/>
    </row>
    <row r="3413" spans="2:7" x14ac:dyDescent="0.25">
      <c r="B3413" s="15"/>
      <c r="C3413" s="15"/>
      <c r="D3413" s="16"/>
      <c r="E3413" s="16"/>
      <c r="F3413" s="20"/>
      <c r="G3413" s="17"/>
    </row>
    <row r="3414" spans="2:7" x14ac:dyDescent="0.25">
      <c r="B3414" s="15"/>
      <c r="C3414" s="15"/>
      <c r="D3414" s="16"/>
      <c r="E3414" s="16"/>
      <c r="F3414" s="20"/>
      <c r="G3414" s="17"/>
    </row>
    <row r="3415" spans="2:7" x14ac:dyDescent="0.25">
      <c r="B3415" s="15"/>
      <c r="C3415" s="15"/>
      <c r="D3415" s="16"/>
      <c r="E3415" s="16"/>
      <c r="F3415" s="20"/>
      <c r="G3415" s="17"/>
    </row>
    <row r="3416" spans="2:7" x14ac:dyDescent="0.25">
      <c r="B3416" s="15"/>
      <c r="C3416" s="15"/>
      <c r="D3416" s="16"/>
      <c r="E3416" s="16"/>
      <c r="F3416" s="20"/>
      <c r="G3416" s="17"/>
    </row>
    <row r="3417" spans="2:7" x14ac:dyDescent="0.25">
      <c r="B3417" s="15"/>
      <c r="C3417" s="15"/>
      <c r="D3417" s="16"/>
      <c r="E3417" s="16"/>
      <c r="F3417" s="20"/>
      <c r="G3417" s="17"/>
    </row>
    <row r="3418" spans="2:7" x14ac:dyDescent="0.25">
      <c r="B3418" s="15"/>
      <c r="C3418" s="15"/>
      <c r="D3418" s="16"/>
      <c r="E3418" s="16"/>
      <c r="F3418" s="20"/>
      <c r="G3418" s="17"/>
    </row>
    <row r="3419" spans="2:7" x14ac:dyDescent="0.25">
      <c r="B3419" s="15"/>
      <c r="C3419" s="15"/>
      <c r="D3419" s="16"/>
      <c r="E3419" s="16"/>
      <c r="F3419" s="20"/>
      <c r="G3419" s="17"/>
    </row>
    <row r="3420" spans="2:7" x14ac:dyDescent="0.25">
      <c r="B3420" s="15"/>
      <c r="C3420" s="15"/>
      <c r="D3420" s="16"/>
      <c r="E3420" s="16"/>
      <c r="F3420" s="20"/>
      <c r="G3420" s="17"/>
    </row>
    <row r="3421" spans="2:7" x14ac:dyDescent="0.25">
      <c r="B3421" s="15"/>
      <c r="C3421" s="15"/>
      <c r="D3421" s="16"/>
      <c r="E3421" s="16"/>
      <c r="F3421" s="20"/>
      <c r="G3421" s="17"/>
    </row>
    <row r="3422" spans="2:7" x14ac:dyDescent="0.25">
      <c r="B3422" s="15"/>
      <c r="C3422" s="15"/>
      <c r="D3422" s="16"/>
      <c r="E3422" s="16"/>
      <c r="F3422" s="20"/>
      <c r="G3422" s="17"/>
    </row>
    <row r="3423" spans="2:7" x14ac:dyDescent="0.25">
      <c r="B3423" s="15"/>
      <c r="C3423" s="15"/>
      <c r="D3423" s="16"/>
      <c r="E3423" s="16"/>
      <c r="F3423" s="20"/>
      <c r="G3423" s="17"/>
    </row>
    <row r="3424" spans="2:7" x14ac:dyDescent="0.25">
      <c r="B3424" s="15"/>
      <c r="C3424" s="15"/>
      <c r="D3424" s="16"/>
      <c r="E3424" s="16"/>
      <c r="F3424" s="20"/>
      <c r="G3424" s="17"/>
    </row>
    <row r="3425" spans="2:7" x14ac:dyDescent="0.25">
      <c r="B3425" s="15"/>
      <c r="C3425" s="15"/>
      <c r="D3425" s="16"/>
      <c r="E3425" s="16"/>
      <c r="F3425" s="20"/>
      <c r="G3425" s="17"/>
    </row>
    <row r="3426" spans="2:7" x14ac:dyDescent="0.25">
      <c r="B3426" s="15"/>
      <c r="C3426" s="15"/>
      <c r="D3426" s="16"/>
      <c r="E3426" s="16"/>
      <c r="F3426" s="20"/>
      <c r="G3426" s="17"/>
    </row>
    <row r="3427" spans="2:7" x14ac:dyDescent="0.25">
      <c r="B3427" s="15"/>
      <c r="C3427" s="15"/>
      <c r="D3427" s="16"/>
      <c r="E3427" s="16"/>
      <c r="F3427" s="20"/>
      <c r="G3427" s="17"/>
    </row>
    <row r="3428" spans="2:7" x14ac:dyDescent="0.25">
      <c r="B3428" s="15"/>
      <c r="C3428" s="15"/>
      <c r="D3428" s="16"/>
      <c r="E3428" s="16"/>
      <c r="F3428" s="20"/>
      <c r="G3428" s="17"/>
    </row>
    <row r="3429" spans="2:7" x14ac:dyDescent="0.25">
      <c r="B3429" s="15"/>
      <c r="C3429" s="15"/>
      <c r="D3429" s="16"/>
      <c r="E3429" s="16"/>
      <c r="F3429" s="20"/>
      <c r="G3429" s="17"/>
    </row>
    <row r="3430" spans="2:7" x14ac:dyDescent="0.25">
      <c r="B3430" s="15"/>
      <c r="C3430" s="15"/>
      <c r="D3430" s="16"/>
      <c r="E3430" s="16"/>
      <c r="F3430" s="20"/>
      <c r="G3430" s="17"/>
    </row>
    <row r="3431" spans="2:7" x14ac:dyDescent="0.25">
      <c r="B3431" s="15"/>
      <c r="C3431" s="15"/>
      <c r="D3431" s="16"/>
      <c r="E3431" s="16"/>
      <c r="F3431" s="20"/>
      <c r="G3431" s="17"/>
    </row>
    <row r="3432" spans="2:7" x14ac:dyDescent="0.25">
      <c r="B3432" s="15"/>
      <c r="C3432" s="15"/>
      <c r="D3432" s="16"/>
      <c r="E3432" s="16"/>
      <c r="F3432" s="20"/>
      <c r="G3432" s="17"/>
    </row>
    <row r="3433" spans="2:7" x14ac:dyDescent="0.25">
      <c r="B3433" s="15"/>
      <c r="C3433" s="15"/>
      <c r="D3433" s="16"/>
      <c r="E3433" s="16"/>
      <c r="F3433" s="20"/>
      <c r="G3433" s="17"/>
    </row>
    <row r="3434" spans="2:7" x14ac:dyDescent="0.25">
      <c r="B3434" s="15"/>
      <c r="C3434" s="15"/>
      <c r="D3434" s="16"/>
      <c r="E3434" s="16"/>
      <c r="F3434" s="20"/>
      <c r="G3434" s="17"/>
    </row>
    <row r="3435" spans="2:7" x14ac:dyDescent="0.25">
      <c r="B3435" s="15"/>
      <c r="C3435" s="15"/>
      <c r="D3435" s="16"/>
      <c r="E3435" s="16"/>
      <c r="F3435" s="20"/>
      <c r="G3435" s="17"/>
    </row>
    <row r="3436" spans="2:7" x14ac:dyDescent="0.25">
      <c r="B3436" s="15"/>
      <c r="C3436" s="15"/>
      <c r="D3436" s="16"/>
      <c r="E3436" s="16"/>
      <c r="F3436" s="20"/>
      <c r="G3436" s="17"/>
    </row>
    <row r="3437" spans="2:7" x14ac:dyDescent="0.25">
      <c r="B3437" s="15"/>
      <c r="C3437" s="15"/>
      <c r="D3437" s="16"/>
      <c r="E3437" s="16"/>
      <c r="F3437" s="20"/>
      <c r="G3437" s="17"/>
    </row>
    <row r="3438" spans="2:7" x14ac:dyDescent="0.25">
      <c r="B3438" s="15"/>
      <c r="C3438" s="15"/>
      <c r="D3438" s="16"/>
      <c r="E3438" s="16"/>
      <c r="F3438" s="20"/>
      <c r="G3438" s="17"/>
    </row>
    <row r="3439" spans="2:7" x14ac:dyDescent="0.25">
      <c r="B3439" s="15"/>
      <c r="C3439" s="15"/>
      <c r="D3439" s="16"/>
      <c r="E3439" s="16"/>
      <c r="F3439" s="20"/>
      <c r="G3439" s="17"/>
    </row>
    <row r="3440" spans="2:7" x14ac:dyDescent="0.25">
      <c r="B3440" s="15"/>
      <c r="C3440" s="15"/>
      <c r="D3440" s="16"/>
      <c r="E3440" s="16"/>
      <c r="F3440" s="20"/>
      <c r="G3440" s="17"/>
    </row>
    <row r="3441" spans="2:7" x14ac:dyDescent="0.25">
      <c r="B3441" s="15"/>
      <c r="C3441" s="15"/>
      <c r="D3441" s="16"/>
      <c r="E3441" s="16"/>
      <c r="F3441" s="20"/>
      <c r="G3441" s="17"/>
    </row>
    <row r="3442" spans="2:7" x14ac:dyDescent="0.25">
      <c r="B3442" s="15"/>
      <c r="C3442" s="15"/>
      <c r="D3442" s="16"/>
      <c r="E3442" s="16"/>
      <c r="F3442" s="20"/>
      <c r="G3442" s="17"/>
    </row>
    <row r="3443" spans="2:7" x14ac:dyDescent="0.25">
      <c r="B3443" s="15"/>
      <c r="C3443" s="15"/>
      <c r="D3443" s="16"/>
      <c r="E3443" s="16"/>
      <c r="F3443" s="20"/>
      <c r="G3443" s="17"/>
    </row>
    <row r="3444" spans="2:7" x14ac:dyDescent="0.25">
      <c r="B3444" s="15"/>
      <c r="C3444" s="15"/>
      <c r="D3444" s="16"/>
      <c r="E3444" s="16"/>
      <c r="F3444" s="20"/>
      <c r="G3444" s="17"/>
    </row>
    <row r="3445" spans="2:7" x14ac:dyDescent="0.25">
      <c r="B3445" s="15"/>
      <c r="C3445" s="15"/>
      <c r="D3445" s="16"/>
      <c r="E3445" s="16"/>
      <c r="F3445" s="20"/>
      <c r="G3445" s="17"/>
    </row>
    <row r="3446" spans="2:7" x14ac:dyDescent="0.25">
      <c r="B3446" s="15"/>
      <c r="C3446" s="15"/>
      <c r="D3446" s="16"/>
      <c r="E3446" s="16"/>
      <c r="F3446" s="20"/>
      <c r="G3446" s="17"/>
    </row>
    <row r="3447" spans="2:7" x14ac:dyDescent="0.25">
      <c r="B3447" s="15"/>
      <c r="C3447" s="15"/>
      <c r="D3447" s="16"/>
      <c r="E3447" s="16"/>
      <c r="F3447" s="20"/>
      <c r="G3447" s="17"/>
    </row>
    <row r="3448" spans="2:7" x14ac:dyDescent="0.25">
      <c r="B3448" s="15"/>
      <c r="C3448" s="15"/>
      <c r="D3448" s="16"/>
      <c r="E3448" s="16"/>
      <c r="F3448" s="20"/>
      <c r="G3448" s="17"/>
    </row>
    <row r="3449" spans="2:7" x14ac:dyDescent="0.25">
      <c r="B3449" s="15"/>
      <c r="C3449" s="15"/>
      <c r="D3449" s="16"/>
      <c r="E3449" s="16"/>
      <c r="F3449" s="20"/>
      <c r="G3449" s="17"/>
    </row>
    <row r="3450" spans="2:7" x14ac:dyDescent="0.25">
      <c r="B3450" s="15"/>
      <c r="C3450" s="15"/>
      <c r="D3450" s="16"/>
      <c r="E3450" s="16"/>
      <c r="F3450" s="20"/>
      <c r="G3450" s="17"/>
    </row>
    <row r="3451" spans="2:7" x14ac:dyDescent="0.25">
      <c r="B3451" s="15"/>
      <c r="C3451" s="15"/>
      <c r="D3451" s="16"/>
      <c r="E3451" s="16"/>
      <c r="F3451" s="20"/>
      <c r="G3451" s="17"/>
    </row>
    <row r="3452" spans="2:7" x14ac:dyDescent="0.25">
      <c r="B3452" s="15"/>
      <c r="C3452" s="15"/>
      <c r="D3452" s="16"/>
      <c r="E3452" s="16"/>
      <c r="F3452" s="20"/>
      <c r="G3452" s="17"/>
    </row>
    <row r="3453" spans="2:7" x14ac:dyDescent="0.25">
      <c r="B3453" s="15"/>
      <c r="C3453" s="15"/>
      <c r="D3453" s="16"/>
      <c r="E3453" s="16"/>
      <c r="F3453" s="20"/>
      <c r="G3453" s="17"/>
    </row>
    <row r="3454" spans="2:7" x14ac:dyDescent="0.25">
      <c r="B3454" s="15"/>
      <c r="C3454" s="15"/>
      <c r="D3454" s="16"/>
      <c r="E3454" s="16"/>
      <c r="F3454" s="20"/>
      <c r="G3454" s="17"/>
    </row>
    <row r="3455" spans="2:7" x14ac:dyDescent="0.25">
      <c r="B3455" s="15"/>
      <c r="C3455" s="15"/>
      <c r="D3455" s="16"/>
      <c r="E3455" s="16"/>
      <c r="F3455" s="20"/>
      <c r="G3455" s="17"/>
    </row>
    <row r="3456" spans="2:7" x14ac:dyDescent="0.25">
      <c r="B3456" s="15"/>
      <c r="C3456" s="15"/>
      <c r="D3456" s="16"/>
      <c r="E3456" s="16"/>
      <c r="F3456" s="20"/>
      <c r="G3456" s="17"/>
    </row>
    <row r="3457" spans="2:7" x14ac:dyDescent="0.25">
      <c r="B3457" s="15"/>
      <c r="C3457" s="15"/>
      <c r="D3457" s="16"/>
      <c r="E3457" s="16"/>
      <c r="F3457" s="20"/>
      <c r="G3457" s="17"/>
    </row>
    <row r="3458" spans="2:7" x14ac:dyDescent="0.25">
      <c r="B3458" s="15"/>
      <c r="C3458" s="15"/>
      <c r="D3458" s="16"/>
      <c r="E3458" s="16"/>
      <c r="F3458" s="20"/>
      <c r="G3458" s="17"/>
    </row>
    <row r="3459" spans="2:7" x14ac:dyDescent="0.25">
      <c r="B3459" s="15"/>
      <c r="C3459" s="15"/>
      <c r="D3459" s="16"/>
      <c r="E3459" s="16"/>
      <c r="F3459" s="20"/>
      <c r="G3459" s="17"/>
    </row>
    <row r="3460" spans="2:7" x14ac:dyDescent="0.25">
      <c r="B3460" s="15"/>
      <c r="C3460" s="15"/>
      <c r="D3460" s="16"/>
      <c r="E3460" s="16"/>
      <c r="F3460" s="20"/>
      <c r="G3460" s="17"/>
    </row>
    <row r="3461" spans="2:7" x14ac:dyDescent="0.25">
      <c r="B3461" s="15"/>
      <c r="C3461" s="15"/>
      <c r="D3461" s="16"/>
      <c r="E3461" s="16"/>
      <c r="F3461" s="20"/>
      <c r="G3461" s="17"/>
    </row>
    <row r="3462" spans="2:7" x14ac:dyDescent="0.25">
      <c r="B3462" s="15"/>
      <c r="C3462" s="15"/>
      <c r="D3462" s="16"/>
      <c r="E3462" s="16"/>
      <c r="F3462" s="20"/>
      <c r="G3462" s="17"/>
    </row>
    <row r="3463" spans="2:7" x14ac:dyDescent="0.25">
      <c r="B3463" s="15"/>
      <c r="C3463" s="15"/>
      <c r="D3463" s="16"/>
      <c r="E3463" s="16"/>
      <c r="F3463" s="20"/>
      <c r="G3463" s="17"/>
    </row>
    <row r="3464" spans="2:7" x14ac:dyDescent="0.25">
      <c r="B3464" s="15"/>
      <c r="C3464" s="15"/>
      <c r="D3464" s="16"/>
      <c r="E3464" s="16"/>
      <c r="F3464" s="20"/>
      <c r="G3464" s="17"/>
    </row>
    <row r="3465" spans="2:7" x14ac:dyDescent="0.25">
      <c r="B3465" s="15"/>
      <c r="C3465" s="15"/>
      <c r="D3465" s="16"/>
      <c r="E3465" s="16"/>
      <c r="F3465" s="20"/>
      <c r="G3465" s="17"/>
    </row>
    <row r="3466" spans="2:7" x14ac:dyDescent="0.25">
      <c r="B3466" s="15"/>
      <c r="C3466" s="15"/>
      <c r="D3466" s="16"/>
      <c r="E3466" s="16"/>
      <c r="F3466" s="20"/>
      <c r="G3466" s="17"/>
    </row>
    <row r="3467" spans="2:7" x14ac:dyDescent="0.25">
      <c r="B3467" s="15"/>
      <c r="C3467" s="15"/>
      <c r="D3467" s="16"/>
      <c r="E3467" s="16"/>
      <c r="F3467" s="20"/>
      <c r="G3467" s="17"/>
    </row>
    <row r="3468" spans="2:7" x14ac:dyDescent="0.25">
      <c r="B3468" s="15"/>
      <c r="C3468" s="15"/>
      <c r="D3468" s="16"/>
      <c r="E3468" s="16"/>
      <c r="F3468" s="20"/>
      <c r="G3468" s="17"/>
    </row>
    <row r="3469" spans="2:7" x14ac:dyDescent="0.25">
      <c r="B3469" s="15"/>
      <c r="C3469" s="15"/>
      <c r="D3469" s="16"/>
      <c r="E3469" s="16"/>
      <c r="F3469" s="20"/>
      <c r="G3469" s="17"/>
    </row>
    <row r="3470" spans="2:7" x14ac:dyDescent="0.25">
      <c r="B3470" s="15"/>
      <c r="C3470" s="15"/>
      <c r="D3470" s="16"/>
      <c r="E3470" s="16"/>
      <c r="F3470" s="20"/>
      <c r="G3470" s="17"/>
    </row>
    <row r="3471" spans="2:7" x14ac:dyDescent="0.25">
      <c r="B3471" s="15"/>
      <c r="C3471" s="15"/>
      <c r="D3471" s="16"/>
      <c r="E3471" s="16"/>
      <c r="F3471" s="20"/>
      <c r="G3471" s="17"/>
    </row>
    <row r="3472" spans="2:7" x14ac:dyDescent="0.25">
      <c r="B3472" s="15"/>
      <c r="C3472" s="15"/>
      <c r="D3472" s="16"/>
      <c r="E3472" s="16"/>
      <c r="F3472" s="20"/>
      <c r="G3472" s="17"/>
    </row>
    <row r="3473" spans="2:7" x14ac:dyDescent="0.25">
      <c r="B3473" s="15"/>
      <c r="C3473" s="15"/>
      <c r="D3473" s="16"/>
      <c r="E3473" s="16"/>
      <c r="F3473" s="20"/>
      <c r="G3473" s="17"/>
    </row>
    <row r="3474" spans="2:7" x14ac:dyDescent="0.25">
      <c r="B3474" s="15"/>
      <c r="C3474" s="15"/>
      <c r="D3474" s="16"/>
      <c r="E3474" s="16"/>
      <c r="F3474" s="20"/>
      <c r="G3474" s="17"/>
    </row>
    <row r="3475" spans="2:7" x14ac:dyDescent="0.25">
      <c r="B3475" s="15"/>
      <c r="C3475" s="15"/>
      <c r="D3475" s="16"/>
      <c r="E3475" s="16"/>
      <c r="F3475" s="20"/>
      <c r="G3475" s="17"/>
    </row>
    <row r="3476" spans="2:7" x14ac:dyDescent="0.25">
      <c r="B3476" s="15"/>
      <c r="C3476" s="15"/>
      <c r="D3476" s="16"/>
      <c r="E3476" s="16"/>
      <c r="F3476" s="20"/>
      <c r="G3476" s="17"/>
    </row>
    <row r="3477" spans="2:7" x14ac:dyDescent="0.25">
      <c r="B3477" s="15"/>
      <c r="C3477" s="15"/>
      <c r="D3477" s="16"/>
      <c r="E3477" s="16"/>
      <c r="F3477" s="20"/>
      <c r="G3477" s="17"/>
    </row>
    <row r="3478" spans="2:7" x14ac:dyDescent="0.25">
      <c r="B3478" s="15"/>
      <c r="C3478" s="15"/>
      <c r="D3478" s="16"/>
      <c r="E3478" s="16"/>
      <c r="F3478" s="20"/>
      <c r="G3478" s="17"/>
    </row>
    <row r="3479" spans="2:7" x14ac:dyDescent="0.25">
      <c r="B3479" s="15"/>
      <c r="C3479" s="15"/>
      <c r="D3479" s="16"/>
      <c r="E3479" s="16"/>
      <c r="F3479" s="20"/>
      <c r="G3479" s="17"/>
    </row>
    <row r="3480" spans="2:7" x14ac:dyDescent="0.25">
      <c r="B3480" s="15"/>
      <c r="C3480" s="15"/>
      <c r="D3480" s="16"/>
      <c r="E3480" s="16"/>
      <c r="F3480" s="20"/>
      <c r="G3480" s="17"/>
    </row>
    <row r="3481" spans="2:7" x14ac:dyDescent="0.25">
      <c r="B3481" s="15"/>
      <c r="C3481" s="15"/>
      <c r="D3481" s="16"/>
      <c r="E3481" s="16"/>
      <c r="F3481" s="20"/>
      <c r="G3481" s="17"/>
    </row>
    <row r="3482" spans="2:7" x14ac:dyDescent="0.25">
      <c r="B3482" s="15"/>
      <c r="C3482" s="15"/>
      <c r="D3482" s="16"/>
      <c r="E3482" s="16"/>
      <c r="F3482" s="20"/>
      <c r="G3482" s="17"/>
    </row>
    <row r="3483" spans="2:7" x14ac:dyDescent="0.25">
      <c r="B3483" s="15"/>
      <c r="C3483" s="15"/>
      <c r="D3483" s="16"/>
      <c r="E3483" s="16"/>
      <c r="F3483" s="20"/>
      <c r="G3483" s="17"/>
    </row>
    <row r="3484" spans="2:7" x14ac:dyDescent="0.25">
      <c r="B3484" s="15"/>
      <c r="C3484" s="15"/>
      <c r="D3484" s="16"/>
      <c r="E3484" s="16"/>
      <c r="F3484" s="20"/>
      <c r="G3484" s="17"/>
    </row>
    <row r="3485" spans="2:7" x14ac:dyDescent="0.25">
      <c r="B3485" s="15"/>
      <c r="C3485" s="15"/>
      <c r="D3485" s="16"/>
      <c r="E3485" s="16"/>
      <c r="F3485" s="20"/>
      <c r="G3485" s="17"/>
    </row>
    <row r="3486" spans="2:7" x14ac:dyDescent="0.25">
      <c r="B3486" s="15"/>
      <c r="C3486" s="15"/>
      <c r="D3486" s="16"/>
      <c r="E3486" s="16"/>
      <c r="F3486" s="20"/>
      <c r="G3486" s="17"/>
    </row>
    <row r="3487" spans="2:7" x14ac:dyDescent="0.25">
      <c r="B3487" s="15"/>
      <c r="C3487" s="15"/>
      <c r="D3487" s="16"/>
      <c r="E3487" s="16"/>
      <c r="F3487" s="20"/>
      <c r="G3487" s="17"/>
    </row>
    <row r="3488" spans="2:7" x14ac:dyDescent="0.25">
      <c r="B3488" s="15"/>
      <c r="C3488" s="15"/>
      <c r="D3488" s="16"/>
      <c r="E3488" s="16"/>
      <c r="F3488" s="20"/>
      <c r="G3488" s="17"/>
    </row>
    <row r="3489" spans="2:7" x14ac:dyDescent="0.25">
      <c r="B3489" s="15"/>
      <c r="C3489" s="15"/>
      <c r="D3489" s="16"/>
      <c r="E3489" s="16"/>
      <c r="F3489" s="20"/>
      <c r="G3489" s="17"/>
    </row>
    <row r="3490" spans="2:7" x14ac:dyDescent="0.25">
      <c r="B3490" s="15"/>
      <c r="C3490" s="15"/>
      <c r="D3490" s="16"/>
      <c r="E3490" s="16"/>
      <c r="F3490" s="20"/>
      <c r="G3490" s="17"/>
    </row>
    <row r="3491" spans="2:7" x14ac:dyDescent="0.25">
      <c r="B3491" s="15"/>
      <c r="C3491" s="15"/>
      <c r="D3491" s="16"/>
      <c r="E3491" s="16"/>
      <c r="F3491" s="20"/>
      <c r="G3491" s="17"/>
    </row>
    <row r="3492" spans="2:7" x14ac:dyDescent="0.25">
      <c r="B3492" s="15"/>
      <c r="C3492" s="15"/>
      <c r="D3492" s="16"/>
      <c r="E3492" s="16"/>
      <c r="F3492" s="20"/>
      <c r="G3492" s="17"/>
    </row>
    <row r="3493" spans="2:7" x14ac:dyDescent="0.25">
      <c r="B3493" s="15"/>
      <c r="C3493" s="15"/>
      <c r="D3493" s="16"/>
      <c r="E3493" s="16"/>
      <c r="F3493" s="20"/>
      <c r="G3493" s="17"/>
    </row>
    <row r="3494" spans="2:7" x14ac:dyDescent="0.25">
      <c r="B3494" s="15"/>
      <c r="C3494" s="15"/>
      <c r="D3494" s="16"/>
      <c r="E3494" s="16"/>
      <c r="F3494" s="20"/>
      <c r="G3494" s="17"/>
    </row>
    <row r="3495" spans="2:7" x14ac:dyDescent="0.25">
      <c r="B3495" s="15"/>
      <c r="C3495" s="15"/>
      <c r="D3495" s="16"/>
      <c r="E3495" s="16"/>
      <c r="F3495" s="20"/>
      <c r="G3495" s="17"/>
    </row>
    <row r="3496" spans="2:7" x14ac:dyDescent="0.25">
      <c r="B3496" s="15"/>
      <c r="C3496" s="15"/>
      <c r="D3496" s="16"/>
      <c r="E3496" s="16"/>
      <c r="F3496" s="20"/>
      <c r="G3496" s="17"/>
    </row>
    <row r="3497" spans="2:7" x14ac:dyDescent="0.25">
      <c r="B3497" s="15"/>
      <c r="C3497" s="15"/>
      <c r="D3497" s="16"/>
      <c r="E3497" s="16"/>
      <c r="F3497" s="20"/>
      <c r="G3497" s="17"/>
    </row>
    <row r="3498" spans="2:7" x14ac:dyDescent="0.25">
      <c r="B3498" s="15"/>
      <c r="C3498" s="15"/>
      <c r="D3498" s="16"/>
      <c r="E3498" s="16"/>
      <c r="F3498" s="20"/>
      <c r="G3498" s="17"/>
    </row>
    <row r="3499" spans="2:7" x14ac:dyDescent="0.25">
      <c r="B3499" s="15"/>
      <c r="C3499" s="15"/>
      <c r="D3499" s="16"/>
      <c r="E3499" s="16"/>
      <c r="F3499" s="20"/>
      <c r="G3499" s="17"/>
    </row>
    <row r="3500" spans="2:7" x14ac:dyDescent="0.25">
      <c r="B3500" s="15"/>
      <c r="C3500" s="15"/>
      <c r="D3500" s="16"/>
      <c r="E3500" s="16"/>
      <c r="F3500" s="20"/>
      <c r="G3500" s="17"/>
    </row>
    <row r="3501" spans="2:7" x14ac:dyDescent="0.25">
      <c r="B3501" s="15"/>
      <c r="C3501" s="15"/>
      <c r="D3501" s="16"/>
      <c r="E3501" s="16"/>
      <c r="F3501" s="20"/>
      <c r="G3501" s="17"/>
    </row>
    <row r="3502" spans="2:7" x14ac:dyDescent="0.25">
      <c r="B3502" s="15"/>
      <c r="C3502" s="15"/>
      <c r="D3502" s="16"/>
      <c r="E3502" s="16"/>
      <c r="F3502" s="20"/>
      <c r="G3502" s="17"/>
    </row>
    <row r="3503" spans="2:7" x14ac:dyDescent="0.25">
      <c r="B3503" s="15"/>
      <c r="C3503" s="15"/>
      <c r="D3503" s="16"/>
      <c r="E3503" s="16"/>
      <c r="F3503" s="20"/>
      <c r="G3503" s="17"/>
    </row>
    <row r="3504" spans="2:7" x14ac:dyDescent="0.25">
      <c r="B3504" s="15"/>
      <c r="C3504" s="15"/>
      <c r="D3504" s="16"/>
      <c r="E3504" s="16"/>
      <c r="F3504" s="20"/>
      <c r="G3504" s="17"/>
    </row>
    <row r="3505" spans="2:7" x14ac:dyDescent="0.25">
      <c r="B3505" s="15"/>
      <c r="C3505" s="15"/>
      <c r="D3505" s="16"/>
      <c r="E3505" s="16"/>
      <c r="F3505" s="20"/>
      <c r="G3505" s="17"/>
    </row>
    <row r="3506" spans="2:7" x14ac:dyDescent="0.25">
      <c r="B3506" s="15"/>
      <c r="C3506" s="15"/>
      <c r="D3506" s="16"/>
      <c r="E3506" s="16"/>
      <c r="F3506" s="20"/>
      <c r="G3506" s="17"/>
    </row>
    <row r="3507" spans="2:7" x14ac:dyDescent="0.25">
      <c r="B3507" s="15"/>
      <c r="C3507" s="15"/>
      <c r="D3507" s="16"/>
      <c r="E3507" s="16"/>
      <c r="F3507" s="20"/>
      <c r="G3507" s="17"/>
    </row>
    <row r="3508" spans="2:7" x14ac:dyDescent="0.25">
      <c r="B3508" s="15"/>
      <c r="C3508" s="15"/>
      <c r="D3508" s="16"/>
      <c r="E3508" s="16"/>
      <c r="F3508" s="20"/>
      <c r="G3508" s="17"/>
    </row>
    <row r="3509" spans="2:7" x14ac:dyDescent="0.25">
      <c r="B3509" s="15"/>
      <c r="C3509" s="15"/>
      <c r="D3509" s="16"/>
      <c r="E3509" s="16"/>
      <c r="F3509" s="20"/>
      <c r="G3509" s="17"/>
    </row>
    <row r="3510" spans="2:7" x14ac:dyDescent="0.25">
      <c r="B3510" s="15"/>
      <c r="C3510" s="15"/>
      <c r="D3510" s="16"/>
      <c r="E3510" s="16"/>
      <c r="F3510" s="20"/>
      <c r="G3510" s="17"/>
    </row>
    <row r="3511" spans="2:7" x14ac:dyDescent="0.25">
      <c r="B3511" s="15"/>
      <c r="C3511" s="15"/>
      <c r="D3511" s="16"/>
      <c r="E3511" s="16"/>
      <c r="F3511" s="20"/>
      <c r="G3511" s="17"/>
    </row>
    <row r="3512" spans="2:7" x14ac:dyDescent="0.25">
      <c r="B3512" s="15"/>
      <c r="C3512" s="15"/>
      <c r="D3512" s="16"/>
      <c r="E3512" s="16"/>
      <c r="F3512" s="20"/>
      <c r="G3512" s="17"/>
    </row>
    <row r="3513" spans="2:7" x14ac:dyDescent="0.25">
      <c r="B3513" s="15"/>
      <c r="C3513" s="15"/>
      <c r="D3513" s="16"/>
      <c r="E3513" s="16"/>
      <c r="F3513" s="20"/>
      <c r="G3513" s="17"/>
    </row>
    <row r="3514" spans="2:7" x14ac:dyDescent="0.25">
      <c r="B3514" s="15"/>
      <c r="C3514" s="15"/>
      <c r="D3514" s="16"/>
      <c r="E3514" s="16"/>
      <c r="F3514" s="20"/>
      <c r="G3514" s="17"/>
    </row>
    <row r="3515" spans="2:7" x14ac:dyDescent="0.25">
      <c r="B3515" s="15"/>
      <c r="C3515" s="15"/>
      <c r="D3515" s="16"/>
      <c r="E3515" s="16"/>
      <c r="F3515" s="20"/>
      <c r="G3515" s="17"/>
    </row>
    <row r="3516" spans="2:7" x14ac:dyDescent="0.25">
      <c r="B3516" s="15"/>
      <c r="C3516" s="15"/>
      <c r="D3516" s="16"/>
      <c r="E3516" s="16"/>
      <c r="F3516" s="20"/>
      <c r="G3516" s="17"/>
    </row>
    <row r="3517" spans="2:7" x14ac:dyDescent="0.25">
      <c r="B3517" s="15"/>
      <c r="C3517" s="15"/>
      <c r="D3517" s="16"/>
      <c r="E3517" s="16"/>
      <c r="F3517" s="20"/>
      <c r="G3517" s="17"/>
    </row>
    <row r="3518" spans="2:7" x14ac:dyDescent="0.25">
      <c r="B3518" s="15"/>
      <c r="C3518" s="15"/>
      <c r="D3518" s="16"/>
      <c r="E3518" s="16"/>
      <c r="F3518" s="20"/>
      <c r="G3518" s="17"/>
    </row>
    <row r="3519" spans="2:7" x14ac:dyDescent="0.25">
      <c r="B3519" s="15"/>
      <c r="C3519" s="15"/>
      <c r="D3519" s="16"/>
      <c r="E3519" s="16"/>
      <c r="F3519" s="20"/>
      <c r="G3519" s="17"/>
    </row>
    <row r="3520" spans="2:7" x14ac:dyDescent="0.25">
      <c r="B3520" s="15"/>
      <c r="C3520" s="15"/>
      <c r="D3520" s="16"/>
      <c r="E3520" s="16"/>
      <c r="F3520" s="20"/>
      <c r="G3520" s="17"/>
    </row>
    <row r="3521" spans="2:7" x14ac:dyDescent="0.25">
      <c r="B3521" s="15"/>
      <c r="C3521" s="15"/>
      <c r="D3521" s="16"/>
      <c r="E3521" s="16"/>
      <c r="F3521" s="20"/>
      <c r="G3521" s="17"/>
    </row>
    <row r="3522" spans="2:7" x14ac:dyDescent="0.25">
      <c r="B3522" s="15"/>
      <c r="C3522" s="15"/>
      <c r="D3522" s="16"/>
      <c r="E3522" s="16"/>
      <c r="F3522" s="20"/>
      <c r="G3522" s="17"/>
    </row>
    <row r="3523" spans="2:7" x14ac:dyDescent="0.25">
      <c r="B3523" s="15"/>
      <c r="C3523" s="15"/>
      <c r="D3523" s="16"/>
      <c r="E3523" s="16"/>
      <c r="F3523" s="20"/>
      <c r="G3523" s="17"/>
    </row>
    <row r="3524" spans="2:7" x14ac:dyDescent="0.25">
      <c r="B3524" s="15"/>
      <c r="C3524" s="15"/>
      <c r="D3524" s="16"/>
      <c r="E3524" s="16"/>
      <c r="F3524" s="20"/>
      <c r="G3524" s="17"/>
    </row>
    <row r="3525" spans="2:7" x14ac:dyDescent="0.25">
      <c r="B3525" s="15"/>
      <c r="C3525" s="15"/>
      <c r="D3525" s="16"/>
      <c r="E3525" s="16"/>
      <c r="F3525" s="20"/>
      <c r="G3525" s="17"/>
    </row>
    <row r="3526" spans="2:7" x14ac:dyDescent="0.25">
      <c r="B3526" s="15"/>
      <c r="C3526" s="15"/>
      <c r="D3526" s="16"/>
      <c r="E3526" s="16"/>
      <c r="F3526" s="20"/>
      <c r="G3526" s="17"/>
    </row>
    <row r="3527" spans="2:7" x14ac:dyDescent="0.25">
      <c r="B3527" s="15"/>
      <c r="C3527" s="15"/>
      <c r="D3527" s="16"/>
      <c r="E3527" s="16"/>
      <c r="F3527" s="20"/>
      <c r="G3527" s="17"/>
    </row>
    <row r="3528" spans="2:7" x14ac:dyDescent="0.25">
      <c r="B3528" s="15"/>
      <c r="C3528" s="15"/>
      <c r="D3528" s="16"/>
      <c r="E3528" s="16"/>
      <c r="F3528" s="20"/>
      <c r="G3528" s="17"/>
    </row>
    <row r="3529" spans="2:7" x14ac:dyDescent="0.25">
      <c r="B3529" s="15"/>
      <c r="C3529" s="15"/>
      <c r="D3529" s="16"/>
      <c r="E3529" s="16"/>
      <c r="F3529" s="20"/>
      <c r="G3529" s="17"/>
    </row>
    <row r="3530" spans="2:7" x14ac:dyDescent="0.25">
      <c r="B3530" s="15"/>
      <c r="C3530" s="15"/>
      <c r="D3530" s="16"/>
      <c r="E3530" s="16"/>
      <c r="F3530" s="20"/>
      <c r="G3530" s="17"/>
    </row>
    <row r="3531" spans="2:7" x14ac:dyDescent="0.25">
      <c r="B3531" s="15"/>
      <c r="C3531" s="15"/>
      <c r="D3531" s="16"/>
      <c r="E3531" s="16"/>
      <c r="F3531" s="20"/>
      <c r="G3531" s="17"/>
    </row>
    <row r="3532" spans="2:7" x14ac:dyDescent="0.25">
      <c r="B3532" s="15"/>
      <c r="C3532" s="15"/>
      <c r="D3532" s="16"/>
      <c r="E3532" s="16"/>
      <c r="F3532" s="20"/>
      <c r="G3532" s="17"/>
    </row>
    <row r="3533" spans="2:7" x14ac:dyDescent="0.25">
      <c r="B3533" s="15"/>
      <c r="C3533" s="15"/>
      <c r="D3533" s="16"/>
      <c r="E3533" s="16"/>
      <c r="F3533" s="20"/>
      <c r="G3533" s="17"/>
    </row>
    <row r="3534" spans="2:7" x14ac:dyDescent="0.25">
      <c r="B3534" s="15"/>
      <c r="C3534" s="15"/>
      <c r="D3534" s="16"/>
      <c r="E3534" s="16"/>
      <c r="F3534" s="20"/>
      <c r="G3534" s="17"/>
    </row>
    <row r="3535" spans="2:7" x14ac:dyDescent="0.25">
      <c r="B3535" s="15"/>
      <c r="C3535" s="15"/>
      <c r="D3535" s="16"/>
      <c r="E3535" s="16"/>
      <c r="F3535" s="20"/>
      <c r="G3535" s="17"/>
    </row>
    <row r="3536" spans="2:7" x14ac:dyDescent="0.25">
      <c r="B3536" s="15"/>
      <c r="C3536" s="15"/>
      <c r="D3536" s="16"/>
      <c r="E3536" s="16"/>
      <c r="F3536" s="20"/>
      <c r="G3536" s="17"/>
    </row>
    <row r="3537" spans="2:7" x14ac:dyDescent="0.25">
      <c r="B3537" s="15"/>
      <c r="C3537" s="15"/>
      <c r="D3537" s="16"/>
      <c r="E3537" s="16"/>
      <c r="F3537" s="20"/>
      <c r="G3537" s="17"/>
    </row>
    <row r="3538" spans="2:7" x14ac:dyDescent="0.25">
      <c r="B3538" s="15"/>
      <c r="C3538" s="15"/>
      <c r="D3538" s="16"/>
      <c r="E3538" s="16"/>
      <c r="F3538" s="20"/>
      <c r="G3538" s="17"/>
    </row>
    <row r="3539" spans="2:7" x14ac:dyDescent="0.25">
      <c r="B3539" s="15"/>
      <c r="C3539" s="15"/>
      <c r="D3539" s="16"/>
      <c r="E3539" s="16"/>
      <c r="F3539" s="20"/>
      <c r="G3539" s="17"/>
    </row>
    <row r="3540" spans="2:7" x14ac:dyDescent="0.25">
      <c r="B3540" s="15"/>
      <c r="C3540" s="15"/>
      <c r="D3540" s="16"/>
      <c r="E3540" s="16"/>
      <c r="F3540" s="20"/>
      <c r="G3540" s="17"/>
    </row>
    <row r="3541" spans="2:7" x14ac:dyDescent="0.25">
      <c r="B3541" s="15"/>
      <c r="C3541" s="15"/>
      <c r="D3541" s="16"/>
      <c r="E3541" s="16"/>
      <c r="F3541" s="20"/>
      <c r="G3541" s="17"/>
    </row>
    <row r="3542" spans="2:7" x14ac:dyDescent="0.25">
      <c r="B3542" s="15"/>
      <c r="C3542" s="15"/>
      <c r="D3542" s="16"/>
      <c r="E3542" s="16"/>
      <c r="F3542" s="20"/>
      <c r="G3542" s="17"/>
    </row>
    <row r="3543" spans="2:7" x14ac:dyDescent="0.25">
      <c r="B3543" s="15"/>
      <c r="C3543" s="15"/>
      <c r="D3543" s="16"/>
      <c r="E3543" s="16"/>
      <c r="F3543" s="20"/>
      <c r="G3543" s="17"/>
    </row>
    <row r="3544" spans="2:7" x14ac:dyDescent="0.25">
      <c r="B3544" s="15"/>
      <c r="C3544" s="15"/>
      <c r="D3544" s="16"/>
      <c r="E3544" s="16"/>
      <c r="F3544" s="20"/>
      <c r="G3544" s="17"/>
    </row>
    <row r="3545" spans="2:7" x14ac:dyDescent="0.25">
      <c r="B3545" s="15"/>
      <c r="C3545" s="15"/>
      <c r="D3545" s="16"/>
      <c r="E3545" s="16"/>
      <c r="F3545" s="20"/>
      <c r="G3545" s="17"/>
    </row>
    <row r="3546" spans="2:7" x14ac:dyDescent="0.25">
      <c r="B3546" s="15"/>
      <c r="C3546" s="15"/>
      <c r="D3546" s="16"/>
      <c r="E3546" s="16"/>
      <c r="F3546" s="20"/>
      <c r="G3546" s="17"/>
    </row>
    <row r="3547" spans="2:7" x14ac:dyDescent="0.25">
      <c r="B3547" s="15"/>
      <c r="C3547" s="15"/>
      <c r="D3547" s="16"/>
      <c r="E3547" s="16"/>
      <c r="F3547" s="20"/>
      <c r="G3547" s="17"/>
    </row>
    <row r="3548" spans="2:7" x14ac:dyDescent="0.25">
      <c r="B3548" s="15"/>
      <c r="C3548" s="15"/>
      <c r="D3548" s="16"/>
      <c r="E3548" s="16"/>
      <c r="F3548" s="20"/>
      <c r="G3548" s="17"/>
    </row>
    <row r="3549" spans="2:7" x14ac:dyDescent="0.25">
      <c r="B3549" s="15"/>
      <c r="C3549" s="15"/>
      <c r="D3549" s="16"/>
      <c r="E3549" s="16"/>
      <c r="F3549" s="20"/>
      <c r="G3549" s="17"/>
    </row>
    <row r="3550" spans="2:7" x14ac:dyDescent="0.25">
      <c r="B3550" s="15"/>
      <c r="C3550" s="15"/>
      <c r="D3550" s="16"/>
      <c r="E3550" s="16"/>
      <c r="F3550" s="20"/>
      <c r="G3550" s="17"/>
    </row>
    <row r="3551" spans="2:7" x14ac:dyDescent="0.25">
      <c r="B3551" s="15"/>
      <c r="C3551" s="15"/>
      <c r="D3551" s="16"/>
      <c r="E3551" s="16"/>
      <c r="F3551" s="20"/>
      <c r="G3551" s="17"/>
    </row>
    <row r="3552" spans="2:7" x14ac:dyDescent="0.25">
      <c r="B3552" s="15"/>
      <c r="C3552" s="15"/>
      <c r="D3552" s="16"/>
      <c r="E3552" s="16"/>
      <c r="F3552" s="20"/>
      <c r="G3552" s="17"/>
    </row>
    <row r="3553" spans="2:7" x14ac:dyDescent="0.25">
      <c r="B3553" s="15"/>
      <c r="C3553" s="15"/>
      <c r="D3553" s="16"/>
      <c r="E3553" s="16"/>
      <c r="F3553" s="20"/>
      <c r="G3553" s="17"/>
    </row>
    <row r="3554" spans="2:7" x14ac:dyDescent="0.25">
      <c r="B3554" s="15"/>
      <c r="C3554" s="15"/>
      <c r="D3554" s="16"/>
      <c r="E3554" s="16"/>
      <c r="F3554" s="20"/>
      <c r="G3554" s="17"/>
    </row>
    <row r="3555" spans="2:7" x14ac:dyDescent="0.25">
      <c r="B3555" s="15"/>
      <c r="C3555" s="15"/>
      <c r="D3555" s="16"/>
      <c r="E3555" s="16"/>
      <c r="F3555" s="20"/>
      <c r="G3555" s="17"/>
    </row>
    <row r="3556" spans="2:7" x14ac:dyDescent="0.25">
      <c r="B3556" s="15"/>
      <c r="C3556" s="15"/>
      <c r="D3556" s="16"/>
      <c r="E3556" s="16"/>
      <c r="F3556" s="20"/>
      <c r="G3556" s="17"/>
    </row>
    <row r="3557" spans="2:7" x14ac:dyDescent="0.25">
      <c r="B3557" s="15"/>
      <c r="C3557" s="15"/>
      <c r="D3557" s="16"/>
      <c r="E3557" s="16"/>
      <c r="F3557" s="20"/>
      <c r="G3557" s="17"/>
    </row>
    <row r="3558" spans="2:7" x14ac:dyDescent="0.25">
      <c r="B3558" s="15"/>
      <c r="C3558" s="15"/>
      <c r="D3558" s="16"/>
      <c r="E3558" s="16"/>
      <c r="F3558" s="20"/>
      <c r="G3558" s="17"/>
    </row>
    <row r="3559" spans="2:7" x14ac:dyDescent="0.25">
      <c r="B3559" s="15"/>
      <c r="C3559" s="15"/>
      <c r="D3559" s="16"/>
      <c r="E3559" s="16"/>
      <c r="F3559" s="20"/>
      <c r="G3559" s="17"/>
    </row>
    <row r="3560" spans="2:7" x14ac:dyDescent="0.25">
      <c r="B3560" s="15"/>
      <c r="C3560" s="15"/>
      <c r="D3560" s="16"/>
      <c r="E3560" s="16"/>
      <c r="F3560" s="20"/>
      <c r="G3560" s="17"/>
    </row>
    <row r="3561" spans="2:7" x14ac:dyDescent="0.25">
      <c r="B3561" s="15"/>
      <c r="C3561" s="15"/>
      <c r="D3561" s="16"/>
      <c r="E3561" s="16"/>
      <c r="F3561" s="20"/>
      <c r="G3561" s="17"/>
    </row>
    <row r="3562" spans="2:7" x14ac:dyDescent="0.25">
      <c r="B3562" s="15"/>
      <c r="C3562" s="15"/>
      <c r="D3562" s="16"/>
      <c r="E3562" s="16"/>
      <c r="F3562" s="20"/>
      <c r="G3562" s="17"/>
    </row>
    <row r="3563" spans="2:7" x14ac:dyDescent="0.25">
      <c r="B3563" s="15"/>
      <c r="C3563" s="15"/>
      <c r="D3563" s="16"/>
      <c r="E3563" s="16"/>
      <c r="F3563" s="20"/>
      <c r="G3563" s="17"/>
    </row>
    <row r="3564" spans="2:7" x14ac:dyDescent="0.25">
      <c r="B3564" s="15"/>
      <c r="C3564" s="15"/>
      <c r="D3564" s="16"/>
      <c r="E3564" s="16"/>
      <c r="F3564" s="20"/>
      <c r="G3564" s="17"/>
    </row>
    <row r="3565" spans="2:7" x14ac:dyDescent="0.25">
      <c r="B3565" s="15"/>
      <c r="C3565" s="15"/>
      <c r="D3565" s="16"/>
      <c r="E3565" s="16"/>
      <c r="F3565" s="20"/>
      <c r="G3565" s="17"/>
    </row>
    <row r="3566" spans="2:7" x14ac:dyDescent="0.25">
      <c r="B3566" s="15"/>
      <c r="C3566" s="15"/>
      <c r="D3566" s="16"/>
      <c r="E3566" s="16"/>
      <c r="F3566" s="20"/>
      <c r="G3566" s="17"/>
    </row>
    <row r="3567" spans="2:7" x14ac:dyDescent="0.25">
      <c r="B3567" s="15"/>
      <c r="C3567" s="15"/>
      <c r="D3567" s="16"/>
      <c r="E3567" s="16"/>
      <c r="F3567" s="20"/>
      <c r="G3567" s="17"/>
    </row>
    <row r="3568" spans="2:7" x14ac:dyDescent="0.25">
      <c r="B3568" s="15"/>
      <c r="C3568" s="15"/>
      <c r="D3568" s="16"/>
      <c r="E3568" s="16"/>
      <c r="F3568" s="20"/>
      <c r="G3568" s="17"/>
    </row>
    <row r="3569" spans="2:7" x14ac:dyDescent="0.25">
      <c r="B3569" s="15"/>
      <c r="C3569" s="15"/>
      <c r="D3569" s="16"/>
      <c r="E3569" s="16"/>
      <c r="F3569" s="20"/>
      <c r="G3569" s="17"/>
    </row>
    <row r="3570" spans="2:7" x14ac:dyDescent="0.25">
      <c r="B3570" s="15"/>
      <c r="C3570" s="15"/>
      <c r="D3570" s="16"/>
      <c r="E3570" s="16"/>
      <c r="F3570" s="20"/>
      <c r="G3570" s="17"/>
    </row>
    <row r="3571" spans="2:7" x14ac:dyDescent="0.25">
      <c r="B3571" s="15"/>
      <c r="C3571" s="15"/>
      <c r="D3571" s="16"/>
      <c r="E3571" s="16"/>
      <c r="F3571" s="20"/>
      <c r="G3571" s="17"/>
    </row>
    <row r="3572" spans="2:7" x14ac:dyDescent="0.25">
      <c r="B3572" s="15"/>
      <c r="C3572" s="15"/>
      <c r="D3572" s="16"/>
      <c r="E3572" s="16"/>
      <c r="F3572" s="20"/>
      <c r="G3572" s="17"/>
    </row>
    <row r="3573" spans="2:7" x14ac:dyDescent="0.25">
      <c r="B3573" s="15"/>
      <c r="C3573" s="15"/>
      <c r="D3573" s="16"/>
      <c r="E3573" s="16"/>
      <c r="F3573" s="20"/>
      <c r="G3573" s="17"/>
    </row>
    <row r="3574" spans="2:7" x14ac:dyDescent="0.25">
      <c r="B3574" s="15"/>
      <c r="C3574" s="15"/>
      <c r="D3574" s="16"/>
      <c r="E3574" s="16"/>
      <c r="F3574" s="20"/>
      <c r="G3574" s="17"/>
    </row>
    <row r="3575" spans="2:7" x14ac:dyDescent="0.25">
      <c r="B3575" s="15"/>
      <c r="C3575" s="15"/>
      <c r="D3575" s="16"/>
      <c r="E3575" s="16"/>
      <c r="F3575" s="20"/>
      <c r="G3575" s="17"/>
    </row>
    <row r="3576" spans="2:7" x14ac:dyDescent="0.25">
      <c r="B3576" s="15"/>
      <c r="C3576" s="15"/>
      <c r="D3576" s="16"/>
      <c r="E3576" s="16"/>
      <c r="F3576" s="20"/>
      <c r="G3576" s="17"/>
    </row>
    <row r="3577" spans="2:7" x14ac:dyDescent="0.25">
      <c r="B3577" s="15"/>
      <c r="C3577" s="15"/>
      <c r="D3577" s="16"/>
      <c r="E3577" s="16"/>
      <c r="F3577" s="20"/>
      <c r="G3577" s="17"/>
    </row>
    <row r="3578" spans="2:7" x14ac:dyDescent="0.25">
      <c r="B3578" s="15"/>
      <c r="C3578" s="15"/>
      <c r="D3578" s="16"/>
      <c r="E3578" s="16"/>
      <c r="F3578" s="20"/>
      <c r="G3578" s="17"/>
    </row>
    <row r="3579" spans="2:7" x14ac:dyDescent="0.25">
      <c r="B3579" s="15"/>
      <c r="C3579" s="15"/>
      <c r="D3579" s="16"/>
      <c r="E3579" s="16"/>
      <c r="F3579" s="20"/>
      <c r="G3579" s="17"/>
    </row>
    <row r="3580" spans="2:7" x14ac:dyDescent="0.25">
      <c r="B3580" s="15"/>
      <c r="C3580" s="15"/>
      <c r="D3580" s="16"/>
      <c r="E3580" s="16"/>
      <c r="F3580" s="20"/>
      <c r="G3580" s="17"/>
    </row>
    <row r="3581" spans="2:7" x14ac:dyDescent="0.25">
      <c r="B3581" s="15"/>
      <c r="C3581" s="15"/>
      <c r="D3581" s="16"/>
      <c r="E3581" s="16"/>
      <c r="F3581" s="20"/>
      <c r="G3581" s="17"/>
    </row>
    <row r="3582" spans="2:7" x14ac:dyDescent="0.25">
      <c r="B3582" s="15"/>
      <c r="C3582" s="15"/>
      <c r="D3582" s="16"/>
      <c r="E3582" s="16"/>
      <c r="F3582" s="20"/>
      <c r="G3582" s="17"/>
    </row>
    <row r="3583" spans="2:7" x14ac:dyDescent="0.25">
      <c r="B3583" s="15"/>
      <c r="C3583" s="15"/>
      <c r="D3583" s="16"/>
      <c r="E3583" s="16"/>
      <c r="F3583" s="20"/>
      <c r="G3583" s="17"/>
    </row>
    <row r="3584" spans="2:7" x14ac:dyDescent="0.25">
      <c r="B3584" s="15"/>
      <c r="C3584" s="15"/>
      <c r="D3584" s="16"/>
      <c r="E3584" s="16"/>
      <c r="F3584" s="20"/>
      <c r="G3584" s="17"/>
    </row>
    <row r="3585" spans="2:7" x14ac:dyDescent="0.25">
      <c r="B3585" s="15"/>
      <c r="C3585" s="15"/>
      <c r="D3585" s="16"/>
      <c r="E3585" s="16"/>
      <c r="F3585" s="20"/>
      <c r="G3585" s="17"/>
    </row>
    <row r="3586" spans="2:7" x14ac:dyDescent="0.25">
      <c r="B3586" s="15"/>
      <c r="C3586" s="15"/>
      <c r="D3586" s="16"/>
      <c r="E3586" s="16"/>
      <c r="F3586" s="20"/>
      <c r="G3586" s="17"/>
    </row>
    <row r="3587" spans="2:7" x14ac:dyDescent="0.25">
      <c r="B3587" s="15"/>
      <c r="C3587" s="15"/>
      <c r="D3587" s="16"/>
      <c r="E3587" s="16"/>
      <c r="F3587" s="20"/>
      <c r="G3587" s="17"/>
    </row>
    <row r="3588" spans="2:7" x14ac:dyDescent="0.25">
      <c r="B3588" s="15"/>
      <c r="C3588" s="15"/>
      <c r="D3588" s="16"/>
      <c r="E3588" s="16"/>
      <c r="F3588" s="20"/>
      <c r="G3588" s="17"/>
    </row>
    <row r="3589" spans="2:7" x14ac:dyDescent="0.25">
      <c r="B3589" s="15"/>
      <c r="C3589" s="15"/>
      <c r="D3589" s="16"/>
      <c r="E3589" s="16"/>
      <c r="F3589" s="20"/>
      <c r="G3589" s="17"/>
    </row>
    <row r="3590" spans="2:7" x14ac:dyDescent="0.25">
      <c r="B3590" s="15"/>
      <c r="C3590" s="15"/>
      <c r="D3590" s="16"/>
      <c r="E3590" s="16"/>
      <c r="F3590" s="20"/>
      <c r="G3590" s="17"/>
    </row>
    <row r="3591" spans="2:7" x14ac:dyDescent="0.25">
      <c r="B3591" s="15"/>
      <c r="C3591" s="15"/>
      <c r="D3591" s="16"/>
      <c r="E3591" s="16"/>
      <c r="F3591" s="20"/>
      <c r="G3591" s="17"/>
    </row>
    <row r="3592" spans="2:7" x14ac:dyDescent="0.25">
      <c r="B3592" s="15"/>
      <c r="C3592" s="15"/>
      <c r="D3592" s="16"/>
      <c r="E3592" s="16"/>
      <c r="F3592" s="20"/>
      <c r="G3592" s="17"/>
    </row>
    <row r="3593" spans="2:7" x14ac:dyDescent="0.25">
      <c r="B3593" s="15"/>
      <c r="C3593" s="15"/>
      <c r="D3593" s="16"/>
      <c r="E3593" s="16"/>
      <c r="F3593" s="20"/>
      <c r="G3593" s="16"/>
    </row>
    <row r="3594" spans="2:7" x14ac:dyDescent="0.25">
      <c r="B3594" s="15"/>
      <c r="C3594" s="15"/>
      <c r="D3594" s="16"/>
      <c r="E3594" s="16"/>
      <c r="F3594" s="20"/>
      <c r="G3594" s="16"/>
    </row>
    <row r="3595" spans="2:7" x14ac:dyDescent="0.25">
      <c r="B3595" s="15"/>
      <c r="C3595" s="15"/>
      <c r="D3595" s="16"/>
      <c r="E3595" s="16"/>
      <c r="F3595" s="20"/>
      <c r="G3595" s="16"/>
    </row>
    <row r="3596" spans="2:7" x14ac:dyDescent="0.25">
      <c r="B3596" s="15"/>
      <c r="C3596" s="15"/>
      <c r="D3596" s="16"/>
      <c r="E3596" s="16"/>
      <c r="F3596" s="20"/>
      <c r="G3596" s="16"/>
    </row>
    <row r="3597" spans="2:7" x14ac:dyDescent="0.25">
      <c r="B3597" s="15"/>
      <c r="C3597" s="15"/>
      <c r="D3597" s="16"/>
      <c r="E3597" s="16"/>
      <c r="F3597" s="20"/>
      <c r="G3597" s="17"/>
    </row>
    <row r="3598" spans="2:7" x14ac:dyDescent="0.25">
      <c r="B3598" s="15"/>
      <c r="C3598" s="15"/>
      <c r="D3598" s="16"/>
      <c r="E3598" s="16"/>
      <c r="F3598" s="20"/>
      <c r="G3598" s="17"/>
    </row>
    <row r="3599" spans="2:7" x14ac:dyDescent="0.25">
      <c r="B3599" s="15"/>
      <c r="C3599" s="15"/>
      <c r="D3599" s="16"/>
      <c r="E3599" s="16"/>
      <c r="F3599" s="20"/>
      <c r="G3599" s="17"/>
    </row>
    <row r="3600" spans="2:7" x14ac:dyDescent="0.25">
      <c r="B3600" s="15"/>
      <c r="C3600" s="15"/>
      <c r="D3600" s="16"/>
      <c r="E3600" s="16"/>
      <c r="F3600" s="20"/>
      <c r="G3600" s="17"/>
    </row>
    <row r="3601" spans="2:7" x14ac:dyDescent="0.25">
      <c r="B3601" s="15"/>
      <c r="C3601" s="15"/>
      <c r="D3601" s="16"/>
      <c r="E3601" s="16"/>
      <c r="F3601" s="20"/>
      <c r="G3601" s="17"/>
    </row>
    <row r="3602" spans="2:7" x14ac:dyDescent="0.25">
      <c r="B3602" s="15"/>
      <c r="C3602" s="15"/>
      <c r="D3602" s="16"/>
      <c r="E3602" s="16"/>
      <c r="F3602" s="20"/>
      <c r="G3602" s="17"/>
    </row>
    <row r="3603" spans="2:7" x14ac:dyDescent="0.25">
      <c r="B3603" s="15"/>
      <c r="C3603" s="15"/>
      <c r="D3603" s="16"/>
      <c r="E3603" s="16"/>
      <c r="F3603" s="20"/>
      <c r="G3603" s="17"/>
    </row>
    <row r="3604" spans="2:7" x14ac:dyDescent="0.25">
      <c r="B3604" s="15"/>
      <c r="C3604" s="15"/>
      <c r="D3604" s="16"/>
      <c r="E3604" s="16"/>
      <c r="F3604" s="20"/>
      <c r="G3604" s="17"/>
    </row>
    <row r="3605" spans="2:7" x14ac:dyDescent="0.25">
      <c r="B3605" s="15"/>
      <c r="C3605" s="15"/>
      <c r="D3605" s="16"/>
      <c r="E3605" s="16"/>
      <c r="F3605" s="20"/>
      <c r="G3605" s="17"/>
    </row>
    <row r="3606" spans="2:7" x14ac:dyDescent="0.25">
      <c r="B3606" s="15"/>
      <c r="C3606" s="15"/>
      <c r="D3606" s="16"/>
      <c r="E3606" s="16"/>
      <c r="F3606" s="20"/>
      <c r="G3606" s="17"/>
    </row>
    <row r="3607" spans="2:7" x14ac:dyDescent="0.25">
      <c r="B3607" s="15"/>
      <c r="C3607" s="15"/>
      <c r="D3607" s="16"/>
      <c r="E3607" s="16"/>
      <c r="F3607" s="20"/>
      <c r="G3607" s="17"/>
    </row>
    <row r="3608" spans="2:7" x14ac:dyDescent="0.25">
      <c r="B3608" s="15"/>
      <c r="C3608" s="15"/>
      <c r="D3608" s="16"/>
      <c r="E3608" s="16"/>
      <c r="F3608" s="20"/>
      <c r="G3608" s="17"/>
    </row>
    <row r="3609" spans="2:7" x14ac:dyDescent="0.25">
      <c r="B3609" s="15"/>
      <c r="C3609" s="15"/>
      <c r="D3609" s="16"/>
      <c r="E3609" s="16"/>
      <c r="F3609" s="20"/>
      <c r="G3609" s="17"/>
    </row>
    <row r="3610" spans="2:7" x14ac:dyDescent="0.25">
      <c r="B3610" s="15"/>
      <c r="C3610" s="15"/>
      <c r="D3610" s="16"/>
      <c r="E3610" s="16"/>
      <c r="F3610" s="20"/>
      <c r="G3610" s="17"/>
    </row>
    <row r="3611" spans="2:7" x14ac:dyDescent="0.25">
      <c r="B3611" s="15"/>
      <c r="C3611" s="15"/>
      <c r="D3611" s="16"/>
      <c r="E3611" s="16"/>
      <c r="F3611" s="20"/>
      <c r="G3611" s="17"/>
    </row>
    <row r="3612" spans="2:7" x14ac:dyDescent="0.25">
      <c r="B3612" s="15"/>
      <c r="C3612" s="15"/>
      <c r="D3612" s="16"/>
      <c r="E3612" s="16"/>
      <c r="F3612" s="20"/>
      <c r="G3612" s="17"/>
    </row>
    <row r="3613" spans="2:7" x14ac:dyDescent="0.25">
      <c r="B3613" s="15"/>
      <c r="C3613" s="15"/>
      <c r="D3613" s="16"/>
      <c r="E3613" s="16"/>
      <c r="F3613" s="20"/>
      <c r="G3613" s="17"/>
    </row>
    <row r="3614" spans="2:7" x14ac:dyDescent="0.25">
      <c r="B3614" s="15"/>
      <c r="C3614" s="15"/>
      <c r="D3614" s="16"/>
      <c r="E3614" s="16"/>
      <c r="F3614" s="20"/>
      <c r="G3614" s="17"/>
    </row>
    <row r="3615" spans="2:7" x14ac:dyDescent="0.25">
      <c r="B3615" s="15"/>
      <c r="C3615" s="15"/>
      <c r="D3615" s="16"/>
      <c r="E3615" s="16"/>
      <c r="F3615" s="20"/>
      <c r="G3615" s="17"/>
    </row>
    <row r="3616" spans="2:7" x14ac:dyDescent="0.25">
      <c r="B3616" s="15"/>
      <c r="C3616" s="15"/>
      <c r="D3616" s="16"/>
      <c r="E3616" s="16"/>
      <c r="F3616" s="20"/>
      <c r="G3616" s="17"/>
    </row>
    <row r="3617" spans="2:7" x14ac:dyDescent="0.25">
      <c r="B3617" s="15"/>
      <c r="C3617" s="15"/>
      <c r="D3617" s="16"/>
      <c r="E3617" s="16"/>
      <c r="F3617" s="20"/>
      <c r="G3617" s="17"/>
    </row>
    <row r="3618" spans="2:7" x14ac:dyDescent="0.25">
      <c r="B3618" s="15"/>
      <c r="C3618" s="15"/>
      <c r="D3618" s="16"/>
      <c r="E3618" s="16"/>
      <c r="F3618" s="20"/>
      <c r="G3618" s="17"/>
    </row>
    <row r="3619" spans="2:7" x14ac:dyDescent="0.25">
      <c r="B3619" s="15"/>
      <c r="C3619" s="15"/>
      <c r="D3619" s="16"/>
      <c r="E3619" s="16"/>
      <c r="F3619" s="20"/>
      <c r="G3619" s="17"/>
    </row>
    <row r="3620" spans="2:7" x14ac:dyDescent="0.25">
      <c r="B3620" s="15"/>
      <c r="C3620" s="15"/>
      <c r="D3620" s="16"/>
      <c r="E3620" s="16"/>
      <c r="F3620" s="20"/>
      <c r="G3620" s="17"/>
    </row>
    <row r="3621" spans="2:7" x14ac:dyDescent="0.25">
      <c r="B3621" s="15"/>
      <c r="C3621" s="15"/>
      <c r="D3621" s="16"/>
      <c r="E3621" s="16"/>
      <c r="F3621" s="20"/>
      <c r="G3621" s="17"/>
    </row>
    <row r="3622" spans="2:7" x14ac:dyDescent="0.25">
      <c r="B3622" s="15"/>
      <c r="C3622" s="15"/>
      <c r="D3622" s="16"/>
      <c r="E3622" s="16"/>
      <c r="F3622" s="20"/>
      <c r="G3622" s="17"/>
    </row>
    <row r="3623" spans="2:7" x14ac:dyDescent="0.25">
      <c r="B3623" s="15"/>
      <c r="C3623" s="15"/>
      <c r="D3623" s="16"/>
      <c r="E3623" s="16"/>
      <c r="F3623" s="20"/>
      <c r="G3623" s="17"/>
    </row>
    <row r="3624" spans="2:7" x14ac:dyDescent="0.25">
      <c r="B3624" s="15"/>
      <c r="C3624" s="15"/>
      <c r="D3624" s="16"/>
      <c r="E3624" s="16"/>
      <c r="F3624" s="20"/>
      <c r="G3624" s="17"/>
    </row>
    <row r="3625" spans="2:7" x14ac:dyDescent="0.25">
      <c r="B3625" s="15"/>
      <c r="C3625" s="15"/>
      <c r="D3625" s="16"/>
      <c r="E3625" s="16"/>
      <c r="F3625" s="20"/>
      <c r="G3625" s="17"/>
    </row>
    <row r="3626" spans="2:7" x14ac:dyDescent="0.25">
      <c r="B3626" s="15"/>
      <c r="C3626" s="15"/>
      <c r="D3626" s="16"/>
      <c r="E3626" s="16"/>
      <c r="F3626" s="20"/>
      <c r="G3626" s="17"/>
    </row>
    <row r="3627" spans="2:7" x14ac:dyDescent="0.25">
      <c r="B3627" s="15"/>
      <c r="C3627" s="15"/>
      <c r="D3627" s="16"/>
      <c r="E3627" s="16"/>
      <c r="F3627" s="20"/>
      <c r="G3627" s="17"/>
    </row>
    <row r="3628" spans="2:7" x14ac:dyDescent="0.25">
      <c r="B3628" s="15"/>
      <c r="C3628" s="15"/>
      <c r="D3628" s="16"/>
      <c r="E3628" s="16"/>
      <c r="F3628" s="20"/>
      <c r="G3628" s="17"/>
    </row>
    <row r="3629" spans="2:7" x14ac:dyDescent="0.25">
      <c r="B3629" s="15"/>
      <c r="C3629" s="15"/>
      <c r="D3629" s="16"/>
      <c r="E3629" s="16"/>
      <c r="F3629" s="20"/>
      <c r="G3629" s="17"/>
    </row>
    <row r="3630" spans="2:7" x14ac:dyDescent="0.25">
      <c r="B3630" s="15"/>
      <c r="C3630" s="15"/>
      <c r="D3630" s="16"/>
      <c r="E3630" s="16"/>
      <c r="F3630" s="20"/>
      <c r="G3630" s="17"/>
    </row>
    <row r="3631" spans="2:7" x14ac:dyDescent="0.25">
      <c r="B3631" s="15"/>
      <c r="C3631" s="15"/>
      <c r="D3631" s="16"/>
      <c r="E3631" s="16"/>
      <c r="F3631" s="20"/>
      <c r="G3631" s="17"/>
    </row>
    <row r="3632" spans="2:7" x14ac:dyDescent="0.25">
      <c r="B3632" s="15"/>
      <c r="C3632" s="15"/>
      <c r="D3632" s="16"/>
      <c r="E3632" s="16"/>
      <c r="F3632" s="20"/>
      <c r="G3632" s="17"/>
    </row>
    <row r="3633" spans="2:7" x14ac:dyDescent="0.25">
      <c r="B3633" s="15"/>
      <c r="C3633" s="15"/>
      <c r="D3633" s="16"/>
      <c r="E3633" s="16"/>
      <c r="F3633" s="20"/>
      <c r="G3633" s="17"/>
    </row>
    <row r="3634" spans="2:7" x14ac:dyDescent="0.25">
      <c r="B3634" s="15"/>
      <c r="C3634" s="15"/>
      <c r="D3634" s="16"/>
      <c r="E3634" s="16"/>
      <c r="F3634" s="20"/>
      <c r="G3634" s="17"/>
    </row>
    <row r="3635" spans="2:7" x14ac:dyDescent="0.25">
      <c r="B3635" s="15"/>
      <c r="C3635" s="15"/>
      <c r="D3635" s="16"/>
      <c r="E3635" s="16"/>
      <c r="F3635" s="20"/>
      <c r="G3635" s="17"/>
    </row>
    <row r="3636" spans="2:7" x14ac:dyDescent="0.25">
      <c r="B3636" s="15"/>
      <c r="C3636" s="15"/>
      <c r="D3636" s="16"/>
      <c r="E3636" s="16"/>
      <c r="F3636" s="20"/>
      <c r="G3636" s="17"/>
    </row>
    <row r="3637" spans="2:7" x14ac:dyDescent="0.25">
      <c r="B3637" s="15"/>
      <c r="C3637" s="15"/>
      <c r="D3637" s="16"/>
      <c r="E3637" s="16"/>
      <c r="F3637" s="20"/>
      <c r="G3637" s="17"/>
    </row>
    <row r="3638" spans="2:7" x14ac:dyDescent="0.25">
      <c r="B3638" s="15"/>
      <c r="C3638" s="15"/>
      <c r="D3638" s="16"/>
      <c r="E3638" s="16"/>
      <c r="F3638" s="20"/>
      <c r="G3638" s="17"/>
    </row>
    <row r="3639" spans="2:7" x14ac:dyDescent="0.25">
      <c r="B3639" s="15"/>
      <c r="C3639" s="15"/>
      <c r="D3639" s="16"/>
      <c r="E3639" s="16"/>
      <c r="F3639" s="20"/>
      <c r="G3639" s="17"/>
    </row>
    <row r="3640" spans="2:7" x14ac:dyDescent="0.25">
      <c r="B3640" s="15"/>
      <c r="C3640" s="15"/>
      <c r="D3640" s="16"/>
      <c r="E3640" s="16"/>
      <c r="F3640" s="20"/>
      <c r="G3640" s="17"/>
    </row>
    <row r="3641" spans="2:7" x14ac:dyDescent="0.25">
      <c r="B3641" s="15"/>
      <c r="C3641" s="15"/>
      <c r="D3641" s="16"/>
      <c r="E3641" s="16"/>
      <c r="F3641" s="20"/>
      <c r="G3641" s="17"/>
    </row>
    <row r="3642" spans="2:7" x14ac:dyDescent="0.25">
      <c r="B3642" s="15"/>
      <c r="C3642" s="15"/>
      <c r="D3642" s="16"/>
      <c r="E3642" s="16"/>
      <c r="F3642" s="20"/>
      <c r="G3642" s="17"/>
    </row>
    <row r="3643" spans="2:7" x14ac:dyDescent="0.25">
      <c r="B3643" s="15"/>
      <c r="C3643" s="15"/>
      <c r="D3643" s="16"/>
      <c r="E3643" s="16"/>
      <c r="F3643" s="20"/>
      <c r="G3643" s="17"/>
    </row>
    <row r="3644" spans="2:7" x14ac:dyDescent="0.25">
      <c r="B3644" s="15"/>
      <c r="C3644" s="15"/>
      <c r="D3644" s="16"/>
      <c r="E3644" s="16"/>
      <c r="F3644" s="20"/>
      <c r="G3644" s="17"/>
    </row>
    <row r="3645" spans="2:7" x14ac:dyDescent="0.25">
      <c r="B3645" s="15"/>
      <c r="C3645" s="15"/>
      <c r="D3645" s="16"/>
      <c r="E3645" s="16"/>
      <c r="F3645" s="20"/>
      <c r="G3645" s="17"/>
    </row>
    <row r="3646" spans="2:7" x14ac:dyDescent="0.25">
      <c r="B3646" s="15"/>
      <c r="C3646" s="15"/>
      <c r="D3646" s="16"/>
      <c r="E3646" s="16"/>
      <c r="F3646" s="20"/>
      <c r="G3646" s="17"/>
    </row>
    <row r="3647" spans="2:7" x14ac:dyDescent="0.25">
      <c r="B3647" s="15"/>
      <c r="C3647" s="15"/>
      <c r="D3647" s="16"/>
      <c r="E3647" s="16"/>
      <c r="F3647" s="20"/>
      <c r="G3647" s="17"/>
    </row>
    <row r="3648" spans="2:7" x14ac:dyDescent="0.25">
      <c r="B3648" s="15"/>
      <c r="C3648" s="15"/>
      <c r="D3648" s="16"/>
      <c r="E3648" s="16"/>
      <c r="F3648" s="20"/>
      <c r="G3648" s="17"/>
    </row>
    <row r="3649" spans="2:7" x14ac:dyDescent="0.25">
      <c r="B3649" s="15"/>
      <c r="C3649" s="15"/>
      <c r="D3649" s="16"/>
      <c r="E3649" s="16"/>
      <c r="F3649" s="20"/>
      <c r="G3649" s="17"/>
    </row>
    <row r="3650" spans="2:7" x14ac:dyDescent="0.25">
      <c r="B3650" s="15"/>
      <c r="C3650" s="15"/>
      <c r="D3650" s="16"/>
      <c r="E3650" s="16"/>
      <c r="F3650" s="20"/>
      <c r="G3650" s="17"/>
    </row>
    <row r="3651" spans="2:7" x14ac:dyDescent="0.25">
      <c r="B3651" s="15"/>
      <c r="C3651" s="15"/>
      <c r="D3651" s="16"/>
      <c r="E3651" s="16"/>
      <c r="F3651" s="20"/>
      <c r="G3651" s="17"/>
    </row>
    <row r="3652" spans="2:7" x14ac:dyDescent="0.25">
      <c r="B3652" s="15"/>
      <c r="C3652" s="15"/>
      <c r="D3652" s="16"/>
      <c r="E3652" s="16"/>
      <c r="F3652" s="20"/>
      <c r="G3652" s="17"/>
    </row>
    <row r="3653" spans="2:7" x14ac:dyDescent="0.25">
      <c r="B3653" s="15"/>
      <c r="C3653" s="15"/>
      <c r="D3653" s="16"/>
      <c r="E3653" s="16"/>
      <c r="F3653" s="20"/>
      <c r="G3653" s="17"/>
    </row>
    <row r="3654" spans="2:7" x14ac:dyDescent="0.25">
      <c r="B3654" s="15"/>
      <c r="C3654" s="15"/>
      <c r="D3654" s="16"/>
      <c r="E3654" s="16"/>
      <c r="F3654" s="20"/>
      <c r="G3654" s="17"/>
    </row>
    <row r="3655" spans="2:7" x14ac:dyDescent="0.25">
      <c r="B3655" s="15"/>
      <c r="C3655" s="15"/>
      <c r="D3655" s="16"/>
      <c r="E3655" s="16"/>
      <c r="F3655" s="20"/>
      <c r="G3655" s="17"/>
    </row>
    <row r="3656" spans="2:7" x14ac:dyDescent="0.25">
      <c r="B3656" s="15"/>
      <c r="C3656" s="15"/>
      <c r="D3656" s="16"/>
      <c r="E3656" s="16"/>
      <c r="F3656" s="20"/>
      <c r="G3656" s="17"/>
    </row>
    <row r="3657" spans="2:7" x14ac:dyDescent="0.25">
      <c r="B3657" s="15"/>
      <c r="C3657" s="15"/>
      <c r="D3657" s="16"/>
      <c r="E3657" s="16"/>
      <c r="F3657" s="20"/>
      <c r="G3657" s="17"/>
    </row>
    <row r="3658" spans="2:7" x14ac:dyDescent="0.25">
      <c r="B3658" s="15"/>
      <c r="C3658" s="15"/>
      <c r="D3658" s="16"/>
      <c r="E3658" s="16"/>
      <c r="F3658" s="20"/>
      <c r="G3658" s="17"/>
    </row>
    <row r="3659" spans="2:7" x14ac:dyDescent="0.25">
      <c r="B3659" s="15"/>
      <c r="C3659" s="15"/>
      <c r="D3659" s="16"/>
      <c r="E3659" s="16"/>
      <c r="F3659" s="20"/>
      <c r="G3659" s="17"/>
    </row>
    <row r="3660" spans="2:7" x14ac:dyDescent="0.25">
      <c r="B3660" s="15"/>
      <c r="C3660" s="15"/>
      <c r="D3660" s="16"/>
      <c r="E3660" s="16"/>
      <c r="F3660" s="20"/>
      <c r="G3660" s="17"/>
    </row>
    <row r="3661" spans="2:7" x14ac:dyDescent="0.25">
      <c r="B3661" s="15"/>
      <c r="C3661" s="15"/>
      <c r="D3661" s="16"/>
      <c r="E3661" s="16"/>
      <c r="F3661" s="20"/>
      <c r="G3661" s="17"/>
    </row>
    <row r="3662" spans="2:7" x14ac:dyDescent="0.25">
      <c r="B3662" s="15"/>
      <c r="C3662" s="15"/>
      <c r="D3662" s="16"/>
      <c r="E3662" s="16"/>
      <c r="F3662" s="20"/>
      <c r="G3662" s="17"/>
    </row>
    <row r="3663" spans="2:7" x14ac:dyDescent="0.25">
      <c r="B3663" s="15"/>
      <c r="C3663" s="15"/>
      <c r="D3663" s="16"/>
      <c r="E3663" s="16"/>
      <c r="F3663" s="20"/>
      <c r="G3663" s="17"/>
    </row>
    <row r="3664" spans="2:7" x14ac:dyDescent="0.25">
      <c r="B3664" s="15"/>
      <c r="C3664" s="15"/>
      <c r="D3664" s="16"/>
      <c r="E3664" s="16"/>
      <c r="F3664" s="20"/>
      <c r="G3664" s="17"/>
    </row>
    <row r="3665" spans="2:7" x14ac:dyDescent="0.25">
      <c r="B3665" s="15"/>
      <c r="C3665" s="15"/>
      <c r="D3665" s="16"/>
      <c r="E3665" s="16"/>
      <c r="F3665" s="20"/>
      <c r="G3665" s="17"/>
    </row>
    <row r="3666" spans="2:7" x14ac:dyDescent="0.25">
      <c r="B3666" s="15"/>
      <c r="C3666" s="15"/>
      <c r="D3666" s="16"/>
      <c r="E3666" s="16"/>
      <c r="F3666" s="20"/>
      <c r="G3666" s="17"/>
    </row>
    <row r="3667" spans="2:7" x14ac:dyDescent="0.25">
      <c r="B3667" s="15"/>
      <c r="C3667" s="15"/>
      <c r="D3667" s="16"/>
      <c r="E3667" s="16"/>
      <c r="F3667" s="20"/>
      <c r="G3667" s="17"/>
    </row>
    <row r="3668" spans="2:7" x14ac:dyDescent="0.25">
      <c r="B3668" s="15"/>
      <c r="C3668" s="15"/>
      <c r="D3668" s="16"/>
      <c r="E3668" s="16"/>
      <c r="F3668" s="20"/>
      <c r="G3668" s="17"/>
    </row>
    <row r="3669" spans="2:7" x14ac:dyDescent="0.25">
      <c r="B3669" s="15"/>
      <c r="C3669" s="15"/>
      <c r="D3669" s="16"/>
      <c r="E3669" s="16"/>
      <c r="F3669" s="20"/>
      <c r="G3669" s="17"/>
    </row>
    <row r="3670" spans="2:7" x14ac:dyDescent="0.25">
      <c r="B3670" s="15"/>
      <c r="C3670" s="15"/>
      <c r="D3670" s="16"/>
      <c r="E3670" s="16"/>
      <c r="F3670" s="20"/>
      <c r="G3670" s="17"/>
    </row>
    <row r="3671" spans="2:7" x14ac:dyDescent="0.25">
      <c r="B3671" s="15"/>
      <c r="C3671" s="15"/>
      <c r="D3671" s="16"/>
      <c r="E3671" s="16"/>
      <c r="F3671" s="20"/>
      <c r="G3671" s="17"/>
    </row>
    <row r="3672" spans="2:7" x14ac:dyDescent="0.25">
      <c r="B3672" s="15"/>
      <c r="C3672" s="15"/>
      <c r="D3672" s="16"/>
      <c r="E3672" s="16"/>
      <c r="F3672" s="20"/>
      <c r="G3672" s="17"/>
    </row>
    <row r="3673" spans="2:7" x14ac:dyDescent="0.25">
      <c r="B3673" s="15"/>
      <c r="C3673" s="15"/>
      <c r="D3673" s="16"/>
      <c r="E3673" s="16"/>
      <c r="F3673" s="20"/>
      <c r="G3673" s="17"/>
    </row>
    <row r="3674" spans="2:7" x14ac:dyDescent="0.25">
      <c r="B3674" s="15"/>
      <c r="C3674" s="15"/>
      <c r="D3674" s="16"/>
      <c r="E3674" s="16"/>
      <c r="F3674" s="20"/>
      <c r="G3674" s="17"/>
    </row>
    <row r="3675" spans="2:7" x14ac:dyDescent="0.25">
      <c r="B3675" s="15"/>
      <c r="C3675" s="15"/>
      <c r="D3675" s="16"/>
      <c r="E3675" s="16"/>
      <c r="F3675" s="20"/>
      <c r="G3675" s="17"/>
    </row>
    <row r="3676" spans="2:7" x14ac:dyDescent="0.25">
      <c r="B3676" s="15"/>
      <c r="C3676" s="15"/>
      <c r="D3676" s="16"/>
      <c r="E3676" s="16"/>
      <c r="F3676" s="20"/>
      <c r="G3676" s="17"/>
    </row>
    <row r="3677" spans="2:7" x14ac:dyDescent="0.25">
      <c r="B3677" s="15"/>
      <c r="C3677" s="15"/>
      <c r="D3677" s="16"/>
      <c r="E3677" s="16"/>
      <c r="F3677" s="20"/>
      <c r="G3677" s="17"/>
    </row>
    <row r="3678" spans="2:7" x14ac:dyDescent="0.25">
      <c r="B3678" s="15"/>
      <c r="C3678" s="15"/>
      <c r="D3678" s="16"/>
      <c r="E3678" s="16"/>
      <c r="F3678" s="20"/>
      <c r="G3678" s="17"/>
    </row>
    <row r="3679" spans="2:7" x14ac:dyDescent="0.25">
      <c r="B3679" s="15"/>
      <c r="C3679" s="15"/>
      <c r="D3679" s="16"/>
      <c r="E3679" s="16"/>
      <c r="F3679" s="20"/>
      <c r="G3679" s="17"/>
    </row>
    <row r="3680" spans="2:7" x14ac:dyDescent="0.25">
      <c r="B3680" s="15"/>
      <c r="C3680" s="15"/>
      <c r="D3680" s="16"/>
      <c r="E3680" s="16"/>
      <c r="F3680" s="20"/>
      <c r="G3680" s="17"/>
    </row>
    <row r="3681" spans="2:7" x14ac:dyDescent="0.25">
      <c r="B3681" s="15"/>
      <c r="C3681" s="15"/>
      <c r="D3681" s="16"/>
      <c r="E3681" s="16"/>
      <c r="F3681" s="20"/>
      <c r="G3681" s="17"/>
    </row>
    <row r="3682" spans="2:7" x14ac:dyDescent="0.25">
      <c r="B3682" s="15"/>
      <c r="C3682" s="15"/>
      <c r="D3682" s="16"/>
      <c r="E3682" s="16"/>
      <c r="F3682" s="20"/>
      <c r="G3682" s="17"/>
    </row>
    <row r="3683" spans="2:7" x14ac:dyDescent="0.25">
      <c r="B3683" s="15"/>
      <c r="C3683" s="15"/>
      <c r="D3683" s="16"/>
      <c r="E3683" s="16"/>
      <c r="F3683" s="20"/>
      <c r="G3683" s="17"/>
    </row>
    <row r="3684" spans="2:7" x14ac:dyDescent="0.25">
      <c r="B3684" s="15"/>
      <c r="C3684" s="15"/>
      <c r="D3684" s="16"/>
      <c r="E3684" s="16"/>
      <c r="F3684" s="20"/>
      <c r="G3684" s="17"/>
    </row>
    <row r="3685" spans="2:7" x14ac:dyDescent="0.25">
      <c r="B3685" s="15"/>
      <c r="C3685" s="15"/>
      <c r="D3685" s="16"/>
      <c r="E3685" s="16"/>
      <c r="F3685" s="20"/>
      <c r="G3685" s="17"/>
    </row>
    <row r="3686" spans="2:7" x14ac:dyDescent="0.25">
      <c r="B3686" s="15"/>
      <c r="C3686" s="15"/>
      <c r="D3686" s="16"/>
      <c r="E3686" s="16"/>
      <c r="F3686" s="20"/>
      <c r="G3686" s="17"/>
    </row>
    <row r="3687" spans="2:7" x14ac:dyDescent="0.25">
      <c r="B3687" s="15"/>
      <c r="C3687" s="15"/>
      <c r="D3687" s="16"/>
      <c r="E3687" s="16"/>
      <c r="F3687" s="20"/>
      <c r="G3687" s="17"/>
    </row>
    <row r="3688" spans="2:7" x14ac:dyDescent="0.25">
      <c r="B3688" s="15"/>
      <c r="C3688" s="15"/>
      <c r="D3688" s="16"/>
      <c r="E3688" s="16"/>
      <c r="F3688" s="20"/>
      <c r="G3688" s="17"/>
    </row>
    <row r="3689" spans="2:7" x14ac:dyDescent="0.25">
      <c r="B3689" s="15"/>
      <c r="C3689" s="15"/>
      <c r="D3689" s="16"/>
      <c r="E3689" s="16"/>
      <c r="F3689" s="20"/>
      <c r="G3689" s="17"/>
    </row>
    <row r="3690" spans="2:7" x14ac:dyDescent="0.25">
      <c r="B3690" s="15"/>
      <c r="C3690" s="15"/>
      <c r="D3690" s="16"/>
      <c r="E3690" s="16"/>
      <c r="F3690" s="20"/>
      <c r="G3690" s="17"/>
    </row>
    <row r="3691" spans="2:7" x14ac:dyDescent="0.25">
      <c r="B3691" s="15"/>
      <c r="C3691" s="15"/>
      <c r="D3691" s="16"/>
      <c r="E3691" s="16"/>
      <c r="F3691" s="20"/>
      <c r="G3691" s="17"/>
    </row>
    <row r="3692" spans="2:7" x14ac:dyDescent="0.25">
      <c r="B3692" s="15"/>
      <c r="C3692" s="15"/>
      <c r="D3692" s="16"/>
      <c r="E3692" s="16"/>
      <c r="F3692" s="20"/>
      <c r="G3692" s="17"/>
    </row>
    <row r="3693" spans="2:7" x14ac:dyDescent="0.25">
      <c r="B3693" s="15"/>
      <c r="C3693" s="15"/>
      <c r="D3693" s="16"/>
      <c r="E3693" s="16"/>
      <c r="F3693" s="20"/>
      <c r="G3693" s="17"/>
    </row>
    <row r="3694" spans="2:7" x14ac:dyDescent="0.25">
      <c r="B3694" s="15"/>
      <c r="C3694" s="15"/>
      <c r="D3694" s="16"/>
      <c r="E3694" s="16"/>
      <c r="F3694" s="20"/>
      <c r="G3694" s="17"/>
    </row>
    <row r="3695" spans="2:7" x14ac:dyDescent="0.25">
      <c r="B3695" s="15"/>
      <c r="C3695" s="15"/>
      <c r="D3695" s="16"/>
      <c r="E3695" s="16"/>
      <c r="F3695" s="20"/>
      <c r="G3695" s="17"/>
    </row>
    <row r="3696" spans="2:7" x14ac:dyDescent="0.25">
      <c r="B3696" s="15"/>
      <c r="C3696" s="15"/>
      <c r="D3696" s="16"/>
      <c r="E3696" s="16"/>
      <c r="F3696" s="20"/>
      <c r="G3696" s="17"/>
    </row>
    <row r="3697" spans="2:7" x14ac:dyDescent="0.25">
      <c r="B3697" s="15"/>
      <c r="C3697" s="15"/>
      <c r="D3697" s="16"/>
      <c r="E3697" s="16"/>
      <c r="F3697" s="20"/>
      <c r="G3697" s="17"/>
    </row>
    <row r="3698" spans="2:7" x14ac:dyDescent="0.25">
      <c r="B3698" s="15"/>
      <c r="C3698" s="15"/>
      <c r="D3698" s="16"/>
      <c r="E3698" s="16"/>
      <c r="F3698" s="20"/>
      <c r="G3698" s="17"/>
    </row>
    <row r="3699" spans="2:7" x14ac:dyDescent="0.25">
      <c r="B3699" s="15"/>
      <c r="C3699" s="15"/>
      <c r="D3699" s="16"/>
      <c r="E3699" s="16"/>
      <c r="F3699" s="20"/>
      <c r="G3699" s="17"/>
    </row>
    <row r="3700" spans="2:7" x14ac:dyDescent="0.25">
      <c r="B3700" s="15"/>
      <c r="C3700" s="15"/>
      <c r="D3700" s="16"/>
      <c r="E3700" s="16"/>
      <c r="F3700" s="20"/>
      <c r="G3700" s="17"/>
    </row>
    <row r="3701" spans="2:7" x14ac:dyDescent="0.25">
      <c r="B3701" s="15"/>
      <c r="C3701" s="15"/>
      <c r="D3701" s="16"/>
      <c r="E3701" s="16"/>
      <c r="F3701" s="20"/>
      <c r="G3701" s="17"/>
    </row>
    <row r="3702" spans="2:7" x14ac:dyDescent="0.25">
      <c r="B3702" s="15"/>
      <c r="C3702" s="15"/>
      <c r="D3702" s="16"/>
      <c r="E3702" s="16"/>
      <c r="F3702" s="20"/>
      <c r="G3702" s="17"/>
    </row>
    <row r="3703" spans="2:7" x14ac:dyDescent="0.25">
      <c r="B3703" s="15"/>
      <c r="C3703" s="15"/>
      <c r="D3703" s="16"/>
      <c r="E3703" s="16"/>
      <c r="F3703" s="20"/>
      <c r="G3703" s="17"/>
    </row>
    <row r="3704" spans="2:7" x14ac:dyDescent="0.25">
      <c r="B3704" s="15"/>
      <c r="C3704" s="15"/>
      <c r="D3704" s="16"/>
      <c r="E3704" s="16"/>
      <c r="F3704" s="20"/>
      <c r="G3704" s="17"/>
    </row>
    <row r="3705" spans="2:7" x14ac:dyDescent="0.25">
      <c r="B3705" s="15"/>
      <c r="C3705" s="15"/>
      <c r="D3705" s="16"/>
      <c r="E3705" s="16"/>
      <c r="F3705" s="20"/>
      <c r="G3705" s="17"/>
    </row>
    <row r="3706" spans="2:7" x14ac:dyDescent="0.25">
      <c r="B3706" s="15"/>
      <c r="C3706" s="15"/>
      <c r="D3706" s="16"/>
      <c r="E3706" s="16"/>
      <c r="F3706" s="20"/>
      <c r="G3706" s="17"/>
    </row>
    <row r="3707" spans="2:7" x14ac:dyDescent="0.25">
      <c r="B3707" s="15"/>
      <c r="C3707" s="15"/>
      <c r="D3707" s="16"/>
      <c r="E3707" s="16"/>
      <c r="F3707" s="20"/>
      <c r="G3707" s="17"/>
    </row>
    <row r="3708" spans="2:7" x14ac:dyDescent="0.25">
      <c r="B3708" s="15"/>
      <c r="C3708" s="15"/>
      <c r="D3708" s="16"/>
      <c r="E3708" s="16"/>
      <c r="F3708" s="20"/>
      <c r="G3708" s="17"/>
    </row>
    <row r="3709" spans="2:7" x14ac:dyDescent="0.25">
      <c r="B3709" s="15"/>
      <c r="C3709" s="15"/>
      <c r="D3709" s="16"/>
      <c r="E3709" s="16"/>
      <c r="F3709" s="20"/>
      <c r="G3709" s="17"/>
    </row>
    <row r="3710" spans="2:7" x14ac:dyDescent="0.25">
      <c r="B3710" s="15"/>
      <c r="C3710" s="15"/>
      <c r="D3710" s="16"/>
      <c r="E3710" s="16"/>
      <c r="F3710" s="20"/>
      <c r="G3710" s="17"/>
    </row>
    <row r="3711" spans="2:7" x14ac:dyDescent="0.25">
      <c r="B3711" s="15"/>
      <c r="C3711" s="15"/>
      <c r="D3711" s="16"/>
      <c r="E3711" s="16"/>
      <c r="F3711" s="20"/>
      <c r="G3711" s="17"/>
    </row>
    <row r="3712" spans="2:7" x14ac:dyDescent="0.25">
      <c r="B3712" s="15"/>
      <c r="C3712" s="15"/>
      <c r="D3712" s="16"/>
      <c r="E3712" s="16"/>
      <c r="F3712" s="20"/>
      <c r="G3712" s="17"/>
    </row>
    <row r="3713" spans="2:7" x14ac:dyDescent="0.25">
      <c r="B3713" s="15"/>
      <c r="C3713" s="15"/>
      <c r="D3713" s="16"/>
      <c r="E3713" s="16"/>
      <c r="F3713" s="20"/>
      <c r="G3713" s="17"/>
    </row>
    <row r="3714" spans="2:7" x14ac:dyDescent="0.25">
      <c r="B3714" s="15"/>
      <c r="C3714" s="15"/>
      <c r="D3714" s="16"/>
      <c r="E3714" s="16"/>
      <c r="F3714" s="20"/>
      <c r="G3714" s="17"/>
    </row>
    <row r="3715" spans="2:7" x14ac:dyDescent="0.25">
      <c r="B3715" s="15"/>
      <c r="C3715" s="15"/>
      <c r="D3715" s="16"/>
      <c r="E3715" s="16"/>
      <c r="F3715" s="20"/>
      <c r="G3715" s="17"/>
    </row>
    <row r="3716" spans="2:7" x14ac:dyDescent="0.25">
      <c r="B3716" s="15"/>
      <c r="C3716" s="15"/>
      <c r="D3716" s="16"/>
      <c r="E3716" s="16"/>
      <c r="F3716" s="20"/>
      <c r="G3716" s="17"/>
    </row>
    <row r="3717" spans="2:7" x14ac:dyDescent="0.25">
      <c r="B3717" s="15"/>
      <c r="C3717" s="15"/>
      <c r="D3717" s="16"/>
      <c r="E3717" s="16"/>
      <c r="F3717" s="20"/>
      <c r="G3717" s="17"/>
    </row>
    <row r="3718" spans="2:7" x14ac:dyDescent="0.25">
      <c r="B3718" s="15"/>
      <c r="C3718" s="15"/>
      <c r="D3718" s="16"/>
      <c r="E3718" s="16"/>
      <c r="F3718" s="20"/>
      <c r="G3718" s="17"/>
    </row>
    <row r="3719" spans="2:7" x14ac:dyDescent="0.25">
      <c r="B3719" s="15"/>
      <c r="C3719" s="15"/>
      <c r="D3719" s="16"/>
      <c r="E3719" s="16"/>
      <c r="F3719" s="20"/>
      <c r="G3719" s="17"/>
    </row>
    <row r="3720" spans="2:7" x14ac:dyDescent="0.25">
      <c r="B3720" s="15"/>
      <c r="C3720" s="15"/>
      <c r="D3720" s="16"/>
      <c r="E3720" s="16"/>
      <c r="F3720" s="20"/>
      <c r="G3720" s="17"/>
    </row>
    <row r="3721" spans="2:7" x14ac:dyDescent="0.25">
      <c r="B3721" s="15"/>
      <c r="C3721" s="15"/>
      <c r="D3721" s="16"/>
      <c r="E3721" s="16"/>
      <c r="F3721" s="20"/>
      <c r="G3721" s="17"/>
    </row>
    <row r="3722" spans="2:7" x14ac:dyDescent="0.25">
      <c r="B3722" s="15"/>
      <c r="C3722" s="15"/>
      <c r="D3722" s="16"/>
      <c r="E3722" s="16"/>
      <c r="F3722" s="20"/>
      <c r="G3722" s="17"/>
    </row>
    <row r="3723" spans="2:7" x14ac:dyDescent="0.25">
      <c r="B3723" s="15"/>
      <c r="C3723" s="15"/>
      <c r="D3723" s="16"/>
      <c r="E3723" s="16"/>
      <c r="F3723" s="20"/>
      <c r="G3723" s="17"/>
    </row>
    <row r="3724" spans="2:7" x14ac:dyDescent="0.25">
      <c r="B3724" s="15"/>
      <c r="C3724" s="15"/>
      <c r="D3724" s="16"/>
      <c r="E3724" s="16"/>
      <c r="F3724" s="20"/>
      <c r="G3724" s="17"/>
    </row>
    <row r="3725" spans="2:7" x14ac:dyDescent="0.25">
      <c r="B3725" s="15"/>
      <c r="C3725" s="15"/>
      <c r="D3725" s="16"/>
      <c r="E3725" s="16"/>
      <c r="F3725" s="20"/>
      <c r="G3725" s="17"/>
    </row>
    <row r="3726" spans="2:7" x14ac:dyDescent="0.25">
      <c r="B3726" s="15"/>
      <c r="C3726" s="15"/>
      <c r="D3726" s="16"/>
      <c r="E3726" s="16"/>
      <c r="F3726" s="20"/>
      <c r="G3726" s="17"/>
    </row>
    <row r="3727" spans="2:7" x14ac:dyDescent="0.25">
      <c r="B3727" s="15"/>
      <c r="C3727" s="15"/>
      <c r="D3727" s="16"/>
      <c r="E3727" s="16"/>
      <c r="F3727" s="20"/>
      <c r="G3727" s="17"/>
    </row>
    <row r="3728" spans="2:7" x14ac:dyDescent="0.25">
      <c r="B3728" s="15"/>
      <c r="C3728" s="15"/>
      <c r="D3728" s="16"/>
      <c r="E3728" s="16"/>
      <c r="F3728" s="20"/>
      <c r="G3728" s="17"/>
    </row>
    <row r="3729" spans="2:7" x14ac:dyDescent="0.25">
      <c r="B3729" s="15"/>
      <c r="C3729" s="15"/>
      <c r="D3729" s="16"/>
      <c r="E3729" s="16"/>
      <c r="F3729" s="20"/>
      <c r="G3729" s="17"/>
    </row>
    <row r="3730" spans="2:7" x14ac:dyDescent="0.25">
      <c r="B3730" s="15"/>
      <c r="C3730" s="15"/>
      <c r="D3730" s="16"/>
      <c r="E3730" s="16"/>
      <c r="F3730" s="20"/>
      <c r="G3730" s="17"/>
    </row>
    <row r="3731" spans="2:7" x14ac:dyDescent="0.25">
      <c r="B3731" s="15"/>
      <c r="C3731" s="15"/>
      <c r="D3731" s="16"/>
      <c r="E3731" s="16"/>
      <c r="F3731" s="20"/>
      <c r="G3731" s="17"/>
    </row>
    <row r="3732" spans="2:7" x14ac:dyDescent="0.25">
      <c r="B3732" s="15"/>
      <c r="C3732" s="15"/>
      <c r="D3732" s="16"/>
      <c r="E3732" s="16"/>
      <c r="F3732" s="20"/>
      <c r="G3732" s="17"/>
    </row>
    <row r="3733" spans="2:7" x14ac:dyDescent="0.25">
      <c r="B3733" s="15"/>
      <c r="C3733" s="15"/>
      <c r="D3733" s="16"/>
      <c r="E3733" s="16"/>
      <c r="F3733" s="20"/>
      <c r="G3733" s="17"/>
    </row>
    <row r="3734" spans="2:7" x14ac:dyDescent="0.25">
      <c r="B3734" s="15"/>
      <c r="C3734" s="15"/>
      <c r="D3734" s="16"/>
      <c r="E3734" s="16"/>
      <c r="F3734" s="20"/>
      <c r="G3734" s="17"/>
    </row>
    <row r="3735" spans="2:7" x14ac:dyDescent="0.25">
      <c r="B3735" s="15"/>
      <c r="C3735" s="15"/>
      <c r="D3735" s="16"/>
      <c r="E3735" s="16"/>
      <c r="F3735" s="20"/>
      <c r="G3735" s="17"/>
    </row>
    <row r="3736" spans="2:7" x14ac:dyDescent="0.25">
      <c r="B3736" s="15"/>
      <c r="C3736" s="15"/>
      <c r="D3736" s="16"/>
      <c r="E3736" s="16"/>
      <c r="F3736" s="20"/>
      <c r="G3736" s="17"/>
    </row>
    <row r="3737" spans="2:7" x14ac:dyDescent="0.25">
      <c r="B3737" s="15"/>
      <c r="C3737" s="15"/>
      <c r="D3737" s="16"/>
      <c r="E3737" s="16"/>
      <c r="F3737" s="20"/>
      <c r="G3737" s="17"/>
    </row>
    <row r="3738" spans="2:7" x14ac:dyDescent="0.25">
      <c r="B3738" s="15"/>
      <c r="C3738" s="15"/>
      <c r="D3738" s="16"/>
      <c r="E3738" s="16"/>
      <c r="F3738" s="20"/>
      <c r="G3738" s="17"/>
    </row>
    <row r="3739" spans="2:7" x14ac:dyDescent="0.25">
      <c r="B3739" s="15"/>
      <c r="C3739" s="15"/>
      <c r="D3739" s="16"/>
      <c r="E3739" s="16"/>
      <c r="F3739" s="20"/>
      <c r="G3739" s="17"/>
    </row>
    <row r="3740" spans="2:7" x14ac:dyDescent="0.25">
      <c r="B3740" s="15"/>
      <c r="C3740" s="15"/>
      <c r="D3740" s="16"/>
      <c r="E3740" s="16"/>
      <c r="F3740" s="20"/>
      <c r="G3740" s="17"/>
    </row>
    <row r="3741" spans="2:7" x14ac:dyDescent="0.25">
      <c r="B3741" s="15"/>
      <c r="C3741" s="15"/>
      <c r="D3741" s="16"/>
      <c r="E3741" s="16"/>
      <c r="F3741" s="20"/>
      <c r="G3741" s="17"/>
    </row>
    <row r="3742" spans="2:7" x14ac:dyDescent="0.25">
      <c r="B3742" s="15"/>
      <c r="C3742" s="15"/>
      <c r="D3742" s="16"/>
      <c r="E3742" s="16"/>
      <c r="F3742" s="20"/>
      <c r="G3742" s="17"/>
    </row>
    <row r="3743" spans="2:7" x14ac:dyDescent="0.25">
      <c r="B3743" s="15"/>
      <c r="C3743" s="15"/>
      <c r="D3743" s="16"/>
      <c r="E3743" s="16"/>
      <c r="F3743" s="20"/>
      <c r="G3743" s="17"/>
    </row>
    <row r="3744" spans="2:7" x14ac:dyDescent="0.25">
      <c r="B3744" s="15"/>
      <c r="C3744" s="15"/>
      <c r="D3744" s="16"/>
      <c r="E3744" s="16"/>
      <c r="F3744" s="20"/>
      <c r="G3744" s="17"/>
    </row>
    <row r="3745" spans="2:7" x14ac:dyDescent="0.25">
      <c r="B3745" s="15"/>
      <c r="C3745" s="15"/>
      <c r="D3745" s="16"/>
      <c r="E3745" s="16"/>
      <c r="F3745" s="20"/>
      <c r="G3745" s="17"/>
    </row>
    <row r="3746" spans="2:7" x14ac:dyDescent="0.25">
      <c r="B3746" s="15"/>
      <c r="C3746" s="15"/>
      <c r="D3746" s="16"/>
      <c r="E3746" s="16"/>
      <c r="F3746" s="20"/>
      <c r="G3746" s="17"/>
    </row>
    <row r="3747" spans="2:7" x14ac:dyDescent="0.25">
      <c r="B3747" s="15"/>
      <c r="C3747" s="15"/>
      <c r="D3747" s="16"/>
      <c r="E3747" s="16"/>
      <c r="F3747" s="20"/>
      <c r="G3747" s="17"/>
    </row>
    <row r="3748" spans="2:7" x14ac:dyDescent="0.25">
      <c r="B3748" s="15"/>
      <c r="C3748" s="15"/>
      <c r="D3748" s="16"/>
      <c r="E3748" s="16"/>
      <c r="F3748" s="20"/>
      <c r="G3748" s="17"/>
    </row>
    <row r="3749" spans="2:7" x14ac:dyDescent="0.25">
      <c r="B3749" s="15"/>
      <c r="C3749" s="15"/>
      <c r="D3749" s="16"/>
      <c r="E3749" s="16"/>
      <c r="F3749" s="20"/>
      <c r="G3749" s="17"/>
    </row>
    <row r="3750" spans="2:7" x14ac:dyDescent="0.25">
      <c r="B3750" s="15"/>
      <c r="C3750" s="15"/>
      <c r="D3750" s="16"/>
      <c r="E3750" s="16"/>
      <c r="F3750" s="20"/>
      <c r="G3750" s="17"/>
    </row>
    <row r="3751" spans="2:7" x14ac:dyDescent="0.25">
      <c r="B3751" s="15"/>
      <c r="C3751" s="15"/>
      <c r="D3751" s="16"/>
      <c r="E3751" s="16"/>
      <c r="F3751" s="20"/>
      <c r="G3751" s="17"/>
    </row>
    <row r="3752" spans="2:7" x14ac:dyDescent="0.25">
      <c r="B3752" s="15"/>
      <c r="C3752" s="15"/>
      <c r="D3752" s="16"/>
      <c r="E3752" s="16"/>
      <c r="F3752" s="20"/>
      <c r="G3752" s="17"/>
    </row>
    <row r="3753" spans="2:7" x14ac:dyDescent="0.25">
      <c r="B3753" s="15"/>
      <c r="C3753" s="15"/>
      <c r="D3753" s="16"/>
      <c r="E3753" s="16"/>
      <c r="F3753" s="20"/>
      <c r="G3753" s="17"/>
    </row>
    <row r="3754" spans="2:7" x14ac:dyDescent="0.25">
      <c r="B3754" s="15"/>
      <c r="C3754" s="15"/>
      <c r="D3754" s="16"/>
      <c r="E3754" s="16"/>
      <c r="F3754" s="20"/>
      <c r="G3754" s="17"/>
    </row>
    <row r="3755" spans="2:7" x14ac:dyDescent="0.25">
      <c r="B3755" s="15"/>
      <c r="C3755" s="15"/>
      <c r="D3755" s="16"/>
      <c r="E3755" s="16"/>
      <c r="F3755" s="20"/>
      <c r="G3755" s="17"/>
    </row>
    <row r="3756" spans="2:7" x14ac:dyDescent="0.25">
      <c r="B3756" s="15"/>
      <c r="C3756" s="15"/>
      <c r="D3756" s="16"/>
      <c r="E3756" s="16"/>
      <c r="F3756" s="20"/>
      <c r="G3756" s="17"/>
    </row>
    <row r="3757" spans="2:7" x14ac:dyDescent="0.25">
      <c r="B3757" s="15"/>
      <c r="C3757" s="15"/>
      <c r="D3757" s="16"/>
      <c r="E3757" s="16"/>
      <c r="F3757" s="20"/>
      <c r="G3757" s="17"/>
    </row>
    <row r="3758" spans="2:7" x14ac:dyDescent="0.25">
      <c r="B3758" s="15"/>
      <c r="C3758" s="15"/>
      <c r="D3758" s="16"/>
      <c r="E3758" s="16"/>
      <c r="F3758" s="20"/>
      <c r="G3758" s="17"/>
    </row>
    <row r="3759" spans="2:7" x14ac:dyDescent="0.25">
      <c r="B3759" s="15"/>
      <c r="C3759" s="15"/>
      <c r="D3759" s="16"/>
      <c r="E3759" s="16"/>
      <c r="F3759" s="20"/>
      <c r="G3759" s="17"/>
    </row>
    <row r="3760" spans="2:7" x14ac:dyDescent="0.25">
      <c r="B3760" s="15"/>
      <c r="C3760" s="15"/>
      <c r="D3760" s="16"/>
      <c r="E3760" s="16"/>
      <c r="F3760" s="20"/>
      <c r="G3760" s="17"/>
    </row>
    <row r="3761" spans="2:7" x14ac:dyDescent="0.25">
      <c r="B3761" s="15"/>
      <c r="C3761" s="15"/>
      <c r="D3761" s="16"/>
      <c r="E3761" s="16"/>
      <c r="F3761" s="20"/>
      <c r="G3761" s="17"/>
    </row>
    <row r="3762" spans="2:7" x14ac:dyDescent="0.25">
      <c r="B3762" s="15"/>
      <c r="C3762" s="15"/>
      <c r="D3762" s="16"/>
      <c r="E3762" s="16"/>
      <c r="F3762" s="20"/>
      <c r="G3762" s="17"/>
    </row>
    <row r="3763" spans="2:7" x14ac:dyDescent="0.25">
      <c r="B3763" s="15"/>
      <c r="C3763" s="15"/>
      <c r="D3763" s="16"/>
      <c r="E3763" s="16"/>
      <c r="F3763" s="20"/>
      <c r="G3763" s="17"/>
    </row>
    <row r="3764" spans="2:7" x14ac:dyDescent="0.25">
      <c r="B3764" s="15"/>
      <c r="C3764" s="15"/>
      <c r="D3764" s="16"/>
      <c r="E3764" s="16"/>
      <c r="F3764" s="20"/>
      <c r="G3764" s="17"/>
    </row>
    <row r="3765" spans="2:7" x14ac:dyDescent="0.25">
      <c r="B3765" s="15"/>
      <c r="C3765" s="15"/>
      <c r="D3765" s="16"/>
      <c r="E3765" s="16"/>
      <c r="F3765" s="20"/>
      <c r="G3765" s="17"/>
    </row>
    <row r="3766" spans="2:7" x14ac:dyDescent="0.25">
      <c r="B3766" s="15"/>
      <c r="C3766" s="15"/>
      <c r="D3766" s="16"/>
      <c r="E3766" s="16"/>
      <c r="F3766" s="20"/>
      <c r="G3766" s="17"/>
    </row>
    <row r="3767" spans="2:7" x14ac:dyDescent="0.25">
      <c r="B3767" s="15"/>
      <c r="C3767" s="15"/>
      <c r="D3767" s="16"/>
      <c r="E3767" s="16"/>
      <c r="F3767" s="20"/>
      <c r="G3767" s="17"/>
    </row>
    <row r="3768" spans="2:7" x14ac:dyDescent="0.25">
      <c r="B3768" s="15"/>
      <c r="C3768" s="15"/>
      <c r="D3768" s="16"/>
      <c r="E3768" s="16"/>
      <c r="F3768" s="20"/>
      <c r="G3768" s="17"/>
    </row>
    <row r="3769" spans="2:7" x14ac:dyDescent="0.25">
      <c r="B3769" s="15"/>
      <c r="C3769" s="15"/>
      <c r="D3769" s="16"/>
      <c r="E3769" s="16"/>
      <c r="F3769" s="20"/>
      <c r="G3769" s="17"/>
    </row>
    <row r="3770" spans="2:7" x14ac:dyDescent="0.25">
      <c r="B3770" s="15"/>
      <c r="C3770" s="15"/>
      <c r="D3770" s="16"/>
      <c r="E3770" s="16"/>
      <c r="F3770" s="20"/>
      <c r="G3770" s="17"/>
    </row>
    <row r="3771" spans="2:7" x14ac:dyDescent="0.25">
      <c r="B3771" s="15"/>
      <c r="C3771" s="15"/>
      <c r="D3771" s="16"/>
      <c r="E3771" s="16"/>
      <c r="F3771" s="20"/>
      <c r="G3771" s="17"/>
    </row>
    <row r="3772" spans="2:7" x14ac:dyDescent="0.25">
      <c r="B3772" s="15"/>
      <c r="C3772" s="15"/>
      <c r="D3772" s="16"/>
      <c r="E3772" s="16"/>
      <c r="F3772" s="20"/>
      <c r="G3772" s="17"/>
    </row>
    <row r="3773" spans="2:7" x14ac:dyDescent="0.25">
      <c r="B3773" s="15"/>
      <c r="C3773" s="15"/>
      <c r="D3773" s="16"/>
      <c r="E3773" s="16"/>
      <c r="F3773" s="20"/>
      <c r="G3773" s="17"/>
    </row>
    <row r="3774" spans="2:7" x14ac:dyDescent="0.25">
      <c r="B3774" s="15"/>
      <c r="C3774" s="15"/>
      <c r="D3774" s="16"/>
      <c r="E3774" s="16"/>
      <c r="F3774" s="20"/>
      <c r="G3774" s="17"/>
    </row>
    <row r="3775" spans="2:7" x14ac:dyDescent="0.25">
      <c r="B3775" s="15"/>
      <c r="C3775" s="15"/>
      <c r="D3775" s="16"/>
      <c r="E3775" s="16"/>
      <c r="F3775" s="20"/>
      <c r="G3775" s="17"/>
    </row>
    <row r="3776" spans="2:7" x14ac:dyDescent="0.25">
      <c r="B3776" s="15"/>
      <c r="C3776" s="15"/>
      <c r="D3776" s="16"/>
      <c r="E3776" s="16"/>
      <c r="F3776" s="20"/>
      <c r="G3776" s="17"/>
    </row>
    <row r="3777" spans="2:7" x14ac:dyDescent="0.25">
      <c r="B3777" s="15"/>
      <c r="C3777" s="15"/>
      <c r="D3777" s="16"/>
      <c r="E3777" s="16"/>
      <c r="F3777" s="20"/>
      <c r="G3777" s="17"/>
    </row>
    <row r="3778" spans="2:7" x14ac:dyDescent="0.25">
      <c r="B3778" s="15"/>
      <c r="C3778" s="15"/>
      <c r="D3778" s="16"/>
      <c r="E3778" s="16"/>
      <c r="F3778" s="20"/>
      <c r="G3778" s="17"/>
    </row>
    <row r="3779" spans="2:7" x14ac:dyDescent="0.25">
      <c r="B3779" s="15"/>
      <c r="C3779" s="15"/>
      <c r="D3779" s="16"/>
      <c r="E3779" s="16"/>
      <c r="F3779" s="20"/>
      <c r="G3779" s="17"/>
    </row>
    <row r="3780" spans="2:7" x14ac:dyDescent="0.25">
      <c r="B3780" s="15"/>
      <c r="C3780" s="15"/>
      <c r="D3780" s="16"/>
      <c r="E3780" s="16"/>
      <c r="F3780" s="20"/>
      <c r="G3780" s="17"/>
    </row>
    <row r="3781" spans="2:7" x14ac:dyDescent="0.25">
      <c r="B3781" s="15"/>
      <c r="C3781" s="15"/>
      <c r="D3781" s="16"/>
      <c r="E3781" s="16"/>
      <c r="F3781" s="20"/>
      <c r="G3781" s="17"/>
    </row>
    <row r="3782" spans="2:7" x14ac:dyDescent="0.25">
      <c r="B3782" s="15"/>
      <c r="C3782" s="15"/>
      <c r="D3782" s="16"/>
      <c r="E3782" s="16"/>
      <c r="F3782" s="20"/>
      <c r="G3782" s="17"/>
    </row>
    <row r="3783" spans="2:7" x14ac:dyDescent="0.25">
      <c r="B3783" s="15"/>
      <c r="C3783" s="15"/>
      <c r="D3783" s="16"/>
      <c r="E3783" s="16"/>
      <c r="F3783" s="20"/>
      <c r="G3783" s="17"/>
    </row>
    <row r="3784" spans="2:7" x14ac:dyDescent="0.25">
      <c r="B3784" s="15"/>
      <c r="C3784" s="15"/>
      <c r="D3784" s="16"/>
      <c r="E3784" s="16"/>
      <c r="F3784" s="20"/>
      <c r="G3784" s="17"/>
    </row>
    <row r="3785" spans="2:7" x14ac:dyDescent="0.25">
      <c r="B3785" s="15"/>
      <c r="C3785" s="15"/>
      <c r="D3785" s="16"/>
      <c r="E3785" s="16"/>
      <c r="F3785" s="20"/>
      <c r="G3785" s="17"/>
    </row>
    <row r="3786" spans="2:7" x14ac:dyDescent="0.25">
      <c r="B3786" s="15"/>
      <c r="C3786" s="15"/>
      <c r="D3786" s="16"/>
      <c r="E3786" s="16"/>
      <c r="F3786" s="20"/>
      <c r="G3786" s="17"/>
    </row>
    <row r="3787" spans="2:7" x14ac:dyDescent="0.25">
      <c r="B3787" s="15"/>
      <c r="C3787" s="15"/>
      <c r="D3787" s="16"/>
      <c r="E3787" s="16"/>
      <c r="F3787" s="20"/>
      <c r="G3787" s="17"/>
    </row>
    <row r="3788" spans="2:7" x14ac:dyDescent="0.25">
      <c r="B3788" s="15"/>
      <c r="C3788" s="15"/>
      <c r="D3788" s="16"/>
      <c r="E3788" s="16"/>
      <c r="F3788" s="20"/>
      <c r="G3788" s="17"/>
    </row>
    <row r="3789" spans="2:7" x14ac:dyDescent="0.25">
      <c r="B3789" s="15"/>
      <c r="C3789" s="15"/>
      <c r="D3789" s="16"/>
      <c r="E3789" s="16"/>
      <c r="F3789" s="20"/>
      <c r="G3789" s="17"/>
    </row>
    <row r="3790" spans="2:7" x14ac:dyDescent="0.25">
      <c r="B3790" s="15"/>
      <c r="C3790" s="15"/>
      <c r="D3790" s="16"/>
      <c r="E3790" s="16"/>
      <c r="F3790" s="20"/>
      <c r="G3790" s="17"/>
    </row>
    <row r="3791" spans="2:7" x14ac:dyDescent="0.25">
      <c r="B3791" s="15"/>
      <c r="C3791" s="15"/>
      <c r="D3791" s="16"/>
      <c r="E3791" s="16"/>
      <c r="F3791" s="20"/>
      <c r="G3791" s="17"/>
    </row>
    <row r="3792" spans="2:7" x14ac:dyDescent="0.25">
      <c r="B3792" s="15"/>
      <c r="C3792" s="15"/>
      <c r="D3792" s="16"/>
      <c r="E3792" s="16"/>
      <c r="F3792" s="20"/>
      <c r="G3792" s="17"/>
    </row>
    <row r="3793" spans="2:7" x14ac:dyDescent="0.25">
      <c r="B3793" s="15"/>
      <c r="C3793" s="15"/>
      <c r="D3793" s="16"/>
      <c r="E3793" s="16"/>
      <c r="F3793" s="20"/>
      <c r="G3793" s="17"/>
    </row>
    <row r="3794" spans="2:7" x14ac:dyDescent="0.25">
      <c r="B3794" s="15"/>
      <c r="C3794" s="15"/>
      <c r="D3794" s="16"/>
      <c r="E3794" s="16"/>
      <c r="F3794" s="20"/>
      <c r="G3794" s="17"/>
    </row>
    <row r="3795" spans="2:7" x14ac:dyDescent="0.25">
      <c r="B3795" s="15"/>
      <c r="C3795" s="15"/>
      <c r="D3795" s="16"/>
      <c r="E3795" s="16"/>
      <c r="F3795" s="20"/>
      <c r="G3795" s="17"/>
    </row>
    <row r="3796" spans="2:7" x14ac:dyDescent="0.25">
      <c r="B3796" s="15"/>
      <c r="C3796" s="15"/>
      <c r="D3796" s="16"/>
      <c r="E3796" s="16"/>
      <c r="F3796" s="20"/>
      <c r="G3796" s="17"/>
    </row>
    <row r="3797" spans="2:7" x14ac:dyDescent="0.25">
      <c r="B3797" s="15"/>
      <c r="C3797" s="15"/>
      <c r="D3797" s="16"/>
      <c r="E3797" s="16"/>
      <c r="F3797" s="20"/>
      <c r="G3797" s="17"/>
    </row>
    <row r="3798" spans="2:7" x14ac:dyDescent="0.25">
      <c r="B3798" s="15"/>
      <c r="C3798" s="15"/>
      <c r="D3798" s="16"/>
      <c r="E3798" s="16"/>
      <c r="F3798" s="20"/>
      <c r="G3798" s="17"/>
    </row>
    <row r="3799" spans="2:7" x14ac:dyDescent="0.25">
      <c r="B3799" s="15"/>
      <c r="C3799" s="15"/>
      <c r="D3799" s="16"/>
      <c r="E3799" s="16"/>
      <c r="F3799" s="20"/>
      <c r="G3799" s="17"/>
    </row>
    <row r="3800" spans="2:7" x14ac:dyDescent="0.25">
      <c r="B3800" s="15"/>
      <c r="C3800" s="15"/>
      <c r="D3800" s="16"/>
      <c r="E3800" s="16"/>
      <c r="F3800" s="20"/>
      <c r="G3800" s="17"/>
    </row>
    <row r="3801" spans="2:7" x14ac:dyDescent="0.25">
      <c r="B3801" s="15"/>
      <c r="C3801" s="15"/>
      <c r="D3801" s="16"/>
      <c r="E3801" s="16"/>
      <c r="F3801" s="20"/>
      <c r="G3801" s="17"/>
    </row>
    <row r="3802" spans="2:7" x14ac:dyDescent="0.25">
      <c r="B3802" s="15"/>
      <c r="C3802" s="15"/>
      <c r="D3802" s="16"/>
      <c r="E3802" s="16"/>
      <c r="F3802" s="20"/>
      <c r="G3802" s="17"/>
    </row>
    <row r="3803" spans="2:7" x14ac:dyDescent="0.25">
      <c r="B3803" s="15"/>
      <c r="C3803" s="15"/>
      <c r="D3803" s="16"/>
      <c r="E3803" s="16"/>
      <c r="F3803" s="20"/>
      <c r="G3803" s="17"/>
    </row>
    <row r="3804" spans="2:7" x14ac:dyDescent="0.25">
      <c r="B3804" s="15"/>
      <c r="C3804" s="15"/>
      <c r="D3804" s="16"/>
      <c r="E3804" s="16"/>
      <c r="F3804" s="20"/>
      <c r="G3804" s="17"/>
    </row>
    <row r="3805" spans="2:7" x14ac:dyDescent="0.25">
      <c r="B3805" s="15"/>
      <c r="C3805" s="15"/>
      <c r="D3805" s="16"/>
      <c r="E3805" s="16"/>
      <c r="F3805" s="20"/>
      <c r="G3805" s="17"/>
    </row>
    <row r="3806" spans="2:7" x14ac:dyDescent="0.25">
      <c r="B3806" s="15"/>
      <c r="C3806" s="15"/>
      <c r="D3806" s="16"/>
      <c r="E3806" s="16"/>
      <c r="F3806" s="20"/>
      <c r="G3806" s="17"/>
    </row>
    <row r="3807" spans="2:7" x14ac:dyDescent="0.25">
      <c r="B3807" s="15"/>
      <c r="C3807" s="15"/>
      <c r="D3807" s="16"/>
      <c r="E3807" s="16"/>
      <c r="F3807" s="20"/>
      <c r="G3807" s="17"/>
    </row>
    <row r="3808" spans="2:7" x14ac:dyDescent="0.25">
      <c r="B3808" s="15"/>
      <c r="C3808" s="15"/>
      <c r="D3808" s="16"/>
      <c r="E3808" s="16"/>
      <c r="F3808" s="20"/>
      <c r="G3808" s="17"/>
    </row>
    <row r="3809" spans="2:7" x14ac:dyDescent="0.25">
      <c r="B3809" s="15"/>
      <c r="C3809" s="15"/>
      <c r="D3809" s="16"/>
      <c r="E3809" s="16"/>
      <c r="F3809" s="20"/>
      <c r="G3809" s="17"/>
    </row>
    <row r="3810" spans="2:7" x14ac:dyDescent="0.25">
      <c r="B3810" s="15"/>
      <c r="C3810" s="15"/>
      <c r="D3810" s="16"/>
      <c r="E3810" s="16"/>
      <c r="F3810" s="20"/>
      <c r="G3810" s="17"/>
    </row>
    <row r="3811" spans="2:7" x14ac:dyDescent="0.25">
      <c r="B3811" s="15"/>
      <c r="C3811" s="15"/>
      <c r="D3811" s="16"/>
      <c r="E3811" s="16"/>
      <c r="F3811" s="20"/>
      <c r="G3811" s="17"/>
    </row>
    <row r="3812" spans="2:7" x14ac:dyDescent="0.25">
      <c r="B3812" s="15"/>
      <c r="C3812" s="15"/>
      <c r="D3812" s="16"/>
      <c r="E3812" s="16"/>
      <c r="F3812" s="20"/>
      <c r="G3812" s="17"/>
    </row>
    <row r="3813" spans="2:7" x14ac:dyDescent="0.25">
      <c r="B3813" s="15"/>
      <c r="C3813" s="15"/>
      <c r="D3813" s="16"/>
      <c r="E3813" s="16"/>
      <c r="F3813" s="20"/>
      <c r="G3813" s="17"/>
    </row>
    <row r="3814" spans="2:7" x14ac:dyDescent="0.25">
      <c r="B3814" s="15"/>
      <c r="C3814" s="15"/>
      <c r="D3814" s="16"/>
      <c r="E3814" s="16"/>
      <c r="F3814" s="20"/>
      <c r="G3814" s="17"/>
    </row>
    <row r="3815" spans="2:7" x14ac:dyDescent="0.25">
      <c r="B3815" s="15"/>
      <c r="C3815" s="15"/>
      <c r="D3815" s="16"/>
      <c r="E3815" s="16"/>
      <c r="F3815" s="20"/>
      <c r="G3815" s="17"/>
    </row>
    <row r="3816" spans="2:7" x14ac:dyDescent="0.25">
      <c r="B3816" s="15"/>
      <c r="C3816" s="15"/>
      <c r="D3816" s="16"/>
      <c r="E3816" s="16"/>
      <c r="F3816" s="20"/>
      <c r="G3816" s="17"/>
    </row>
    <row r="3817" spans="2:7" x14ac:dyDescent="0.25">
      <c r="B3817" s="15"/>
      <c r="C3817" s="15"/>
      <c r="D3817" s="16"/>
      <c r="E3817" s="16"/>
      <c r="F3817" s="20"/>
      <c r="G3817" s="17"/>
    </row>
    <row r="3818" spans="2:7" x14ac:dyDescent="0.25">
      <c r="B3818" s="15"/>
      <c r="C3818" s="15"/>
      <c r="D3818" s="16"/>
      <c r="E3818" s="16"/>
      <c r="F3818" s="20"/>
      <c r="G3818" s="17"/>
    </row>
    <row r="3819" spans="2:7" x14ac:dyDescent="0.25">
      <c r="B3819" s="15"/>
      <c r="C3819" s="15"/>
      <c r="D3819" s="16"/>
      <c r="E3819" s="16"/>
      <c r="F3819" s="20"/>
      <c r="G3819" s="17"/>
    </row>
    <row r="3820" spans="2:7" x14ac:dyDescent="0.25">
      <c r="B3820" s="15"/>
      <c r="C3820" s="15"/>
      <c r="D3820" s="16"/>
      <c r="E3820" s="16"/>
      <c r="F3820" s="20"/>
      <c r="G3820" s="17"/>
    </row>
    <row r="3821" spans="2:7" x14ac:dyDescent="0.25">
      <c r="B3821" s="15"/>
      <c r="C3821" s="15"/>
      <c r="D3821" s="16"/>
      <c r="E3821" s="16"/>
      <c r="F3821" s="20"/>
      <c r="G3821" s="17"/>
    </row>
    <row r="3822" spans="2:7" x14ac:dyDescent="0.25">
      <c r="B3822" s="15"/>
      <c r="C3822" s="15"/>
      <c r="D3822" s="16"/>
      <c r="E3822" s="16"/>
      <c r="F3822" s="20"/>
      <c r="G3822" s="17"/>
    </row>
    <row r="3823" spans="2:7" x14ac:dyDescent="0.25">
      <c r="B3823" s="15"/>
      <c r="C3823" s="15"/>
      <c r="D3823" s="16"/>
      <c r="E3823" s="16"/>
      <c r="F3823" s="20"/>
      <c r="G3823" s="17"/>
    </row>
    <row r="3824" spans="2:7" x14ac:dyDescent="0.25">
      <c r="B3824" s="15"/>
      <c r="C3824" s="15"/>
      <c r="D3824" s="16"/>
      <c r="E3824" s="16"/>
      <c r="F3824" s="20"/>
      <c r="G3824" s="17"/>
    </row>
    <row r="3825" spans="2:7" x14ac:dyDescent="0.25">
      <c r="B3825" s="15"/>
      <c r="C3825" s="15"/>
      <c r="D3825" s="16"/>
      <c r="E3825" s="16"/>
      <c r="F3825" s="20"/>
      <c r="G3825" s="17"/>
    </row>
    <row r="3826" spans="2:7" x14ac:dyDescent="0.25">
      <c r="B3826" s="15"/>
      <c r="C3826" s="15"/>
      <c r="D3826" s="16"/>
      <c r="E3826" s="16"/>
      <c r="F3826" s="20"/>
      <c r="G3826" s="17"/>
    </row>
    <row r="3827" spans="2:7" x14ac:dyDescent="0.25">
      <c r="B3827" s="15"/>
      <c r="C3827" s="15"/>
      <c r="D3827" s="16"/>
      <c r="E3827" s="16"/>
      <c r="F3827" s="20"/>
      <c r="G3827" s="17"/>
    </row>
    <row r="3828" spans="2:7" x14ac:dyDescent="0.25">
      <c r="B3828" s="15"/>
      <c r="C3828" s="15"/>
      <c r="D3828" s="16"/>
      <c r="E3828" s="16"/>
      <c r="F3828" s="20"/>
      <c r="G3828" s="17"/>
    </row>
    <row r="3829" spans="2:7" x14ac:dyDescent="0.25">
      <c r="B3829" s="15"/>
      <c r="C3829" s="15"/>
      <c r="D3829" s="16"/>
      <c r="E3829" s="16"/>
      <c r="F3829" s="20"/>
      <c r="G3829" s="17"/>
    </row>
    <row r="3830" spans="2:7" x14ac:dyDescent="0.25">
      <c r="B3830" s="15"/>
      <c r="C3830" s="15"/>
      <c r="D3830" s="16"/>
      <c r="E3830" s="16"/>
      <c r="F3830" s="20"/>
      <c r="G3830" s="17"/>
    </row>
    <row r="3831" spans="2:7" x14ac:dyDescent="0.25">
      <c r="B3831" s="15"/>
      <c r="C3831" s="15"/>
      <c r="D3831" s="16"/>
      <c r="E3831" s="16"/>
      <c r="F3831" s="20"/>
      <c r="G3831" s="17"/>
    </row>
    <row r="3832" spans="2:7" x14ac:dyDescent="0.25">
      <c r="B3832" s="15"/>
      <c r="C3832" s="15"/>
      <c r="D3832" s="16"/>
      <c r="E3832" s="16"/>
      <c r="F3832" s="20"/>
      <c r="G3832" s="17"/>
    </row>
    <row r="3833" spans="2:7" x14ac:dyDescent="0.25">
      <c r="B3833" s="15"/>
      <c r="C3833" s="15"/>
      <c r="D3833" s="16"/>
      <c r="E3833" s="16"/>
      <c r="F3833" s="20"/>
      <c r="G3833" s="17"/>
    </row>
    <row r="3834" spans="2:7" x14ac:dyDescent="0.25">
      <c r="B3834" s="15"/>
      <c r="C3834" s="15"/>
      <c r="D3834" s="16"/>
      <c r="E3834" s="16"/>
      <c r="F3834" s="20"/>
      <c r="G3834" s="17"/>
    </row>
    <row r="3835" spans="2:7" x14ac:dyDescent="0.25">
      <c r="B3835" s="15"/>
      <c r="C3835" s="15"/>
      <c r="D3835" s="16"/>
      <c r="E3835" s="16"/>
      <c r="F3835" s="20"/>
      <c r="G3835" s="17"/>
    </row>
    <row r="3836" spans="2:7" x14ac:dyDescent="0.25">
      <c r="B3836" s="15"/>
      <c r="C3836" s="15"/>
      <c r="D3836" s="16"/>
      <c r="E3836" s="16"/>
      <c r="F3836" s="20"/>
      <c r="G3836" s="17"/>
    </row>
    <row r="3837" spans="2:7" x14ac:dyDescent="0.25">
      <c r="B3837" s="15"/>
      <c r="C3837" s="15"/>
      <c r="D3837" s="16"/>
      <c r="E3837" s="16"/>
      <c r="F3837" s="20"/>
      <c r="G3837" s="17"/>
    </row>
    <row r="3838" spans="2:7" x14ac:dyDescent="0.25">
      <c r="B3838" s="15"/>
      <c r="C3838" s="15"/>
      <c r="D3838" s="16"/>
      <c r="E3838" s="16"/>
      <c r="F3838" s="20"/>
      <c r="G3838" s="17"/>
    </row>
    <row r="3839" spans="2:7" x14ac:dyDescent="0.25">
      <c r="B3839" s="15"/>
      <c r="C3839" s="15"/>
      <c r="D3839" s="16"/>
      <c r="E3839" s="16"/>
      <c r="F3839" s="20"/>
      <c r="G3839" s="17"/>
    </row>
    <row r="3840" spans="2:7" x14ac:dyDescent="0.25">
      <c r="B3840" s="15"/>
      <c r="C3840" s="15"/>
      <c r="D3840" s="16"/>
      <c r="E3840" s="16"/>
      <c r="F3840" s="20"/>
      <c r="G3840" s="17"/>
    </row>
    <row r="3841" spans="2:7" x14ac:dyDescent="0.25">
      <c r="B3841" s="15"/>
      <c r="C3841" s="15"/>
      <c r="D3841" s="16"/>
      <c r="E3841" s="16"/>
      <c r="F3841" s="20"/>
      <c r="G3841" s="17"/>
    </row>
    <row r="3842" spans="2:7" x14ac:dyDescent="0.25">
      <c r="B3842" s="15"/>
      <c r="C3842" s="15"/>
      <c r="D3842" s="16"/>
      <c r="E3842" s="16"/>
      <c r="F3842" s="20"/>
      <c r="G3842" s="17"/>
    </row>
    <row r="3843" spans="2:7" x14ac:dyDescent="0.25">
      <c r="B3843" s="15"/>
      <c r="C3843" s="15"/>
      <c r="D3843" s="16"/>
      <c r="E3843" s="16"/>
      <c r="F3843" s="20"/>
      <c r="G3843" s="17"/>
    </row>
    <row r="3844" spans="2:7" x14ac:dyDescent="0.25">
      <c r="B3844" s="15"/>
      <c r="C3844" s="15"/>
      <c r="D3844" s="16"/>
      <c r="E3844" s="16"/>
      <c r="F3844" s="20"/>
      <c r="G3844" s="17"/>
    </row>
    <row r="3845" spans="2:7" x14ac:dyDescent="0.25">
      <c r="B3845" s="15"/>
      <c r="C3845" s="15"/>
      <c r="D3845" s="16"/>
      <c r="E3845" s="16"/>
      <c r="F3845" s="20"/>
      <c r="G3845" s="17"/>
    </row>
    <row r="3846" spans="2:7" x14ac:dyDescent="0.25">
      <c r="B3846" s="15"/>
      <c r="C3846" s="15"/>
      <c r="D3846" s="16"/>
      <c r="E3846" s="16"/>
      <c r="F3846" s="20"/>
      <c r="G3846" s="17"/>
    </row>
    <row r="3847" spans="2:7" x14ac:dyDescent="0.25">
      <c r="B3847" s="15"/>
      <c r="C3847" s="15"/>
      <c r="D3847" s="16"/>
      <c r="E3847" s="16"/>
      <c r="F3847" s="20"/>
      <c r="G3847" s="17"/>
    </row>
    <row r="3848" spans="2:7" x14ac:dyDescent="0.25">
      <c r="B3848" s="15"/>
      <c r="C3848" s="15"/>
      <c r="D3848" s="16"/>
      <c r="E3848" s="16"/>
      <c r="F3848" s="20"/>
      <c r="G3848" s="17"/>
    </row>
    <row r="3849" spans="2:7" x14ac:dyDescent="0.25">
      <c r="B3849" s="15"/>
      <c r="C3849" s="15"/>
      <c r="D3849" s="16"/>
      <c r="E3849" s="16"/>
      <c r="F3849" s="20"/>
      <c r="G3849" s="17"/>
    </row>
    <row r="3850" spans="2:7" x14ac:dyDescent="0.25">
      <c r="B3850" s="15"/>
      <c r="C3850" s="15"/>
      <c r="D3850" s="16"/>
      <c r="E3850" s="16"/>
      <c r="F3850" s="20"/>
      <c r="G3850" s="17"/>
    </row>
    <row r="3851" spans="2:7" x14ac:dyDescent="0.25">
      <c r="B3851" s="15"/>
      <c r="C3851" s="15"/>
      <c r="D3851" s="16"/>
      <c r="E3851" s="16"/>
      <c r="F3851" s="20"/>
      <c r="G3851" s="17"/>
    </row>
    <row r="3852" spans="2:7" x14ac:dyDescent="0.25">
      <c r="B3852" s="15"/>
      <c r="C3852" s="15"/>
      <c r="D3852" s="16"/>
      <c r="E3852" s="16"/>
      <c r="F3852" s="20"/>
      <c r="G3852" s="17"/>
    </row>
    <row r="3853" spans="2:7" x14ac:dyDescent="0.25">
      <c r="B3853" s="15"/>
      <c r="C3853" s="15"/>
      <c r="D3853" s="16"/>
      <c r="E3853" s="16"/>
      <c r="F3853" s="20"/>
      <c r="G3853" s="17"/>
    </row>
    <row r="3854" spans="2:7" x14ac:dyDescent="0.25">
      <c r="B3854" s="15"/>
      <c r="C3854" s="15"/>
      <c r="D3854" s="16"/>
      <c r="E3854" s="16"/>
      <c r="F3854" s="20"/>
      <c r="G3854" s="17"/>
    </row>
    <row r="3855" spans="2:7" x14ac:dyDescent="0.25">
      <c r="B3855" s="15"/>
      <c r="C3855" s="15"/>
      <c r="D3855" s="16"/>
      <c r="E3855" s="16"/>
      <c r="F3855" s="20"/>
      <c r="G3855" s="17"/>
    </row>
    <row r="3856" spans="2:7" x14ac:dyDescent="0.25">
      <c r="B3856" s="15"/>
      <c r="C3856" s="15"/>
      <c r="D3856" s="16"/>
      <c r="E3856" s="16"/>
      <c r="F3856" s="20"/>
      <c r="G3856" s="17"/>
    </row>
    <row r="3857" spans="2:7" x14ac:dyDescent="0.25">
      <c r="B3857" s="15"/>
      <c r="C3857" s="15"/>
      <c r="D3857" s="16"/>
      <c r="E3857" s="16"/>
      <c r="F3857" s="20"/>
      <c r="G3857" s="17"/>
    </row>
    <row r="3858" spans="2:7" x14ac:dyDescent="0.25">
      <c r="B3858" s="15"/>
      <c r="C3858" s="15"/>
      <c r="D3858" s="16"/>
      <c r="E3858" s="16"/>
      <c r="F3858" s="20"/>
      <c r="G3858" s="17"/>
    </row>
    <row r="3859" spans="2:7" x14ac:dyDescent="0.25">
      <c r="B3859" s="15"/>
      <c r="C3859" s="15"/>
      <c r="D3859" s="16"/>
      <c r="E3859" s="16"/>
      <c r="F3859" s="20"/>
      <c r="G3859" s="17"/>
    </row>
    <row r="3860" spans="2:7" x14ac:dyDescent="0.25">
      <c r="B3860" s="15"/>
      <c r="C3860" s="15"/>
      <c r="D3860" s="16"/>
      <c r="E3860" s="16"/>
      <c r="F3860" s="20"/>
      <c r="G3860" s="17"/>
    </row>
    <row r="3861" spans="2:7" x14ac:dyDescent="0.25">
      <c r="B3861" s="15"/>
      <c r="C3861" s="15"/>
      <c r="D3861" s="16"/>
      <c r="E3861" s="16"/>
      <c r="F3861" s="20"/>
      <c r="G3861" s="17"/>
    </row>
    <row r="3862" spans="2:7" x14ac:dyDescent="0.25">
      <c r="B3862" s="15"/>
      <c r="C3862" s="15"/>
      <c r="D3862" s="16"/>
      <c r="E3862" s="16"/>
      <c r="F3862" s="20"/>
      <c r="G3862" s="17"/>
    </row>
    <row r="3863" spans="2:7" x14ac:dyDescent="0.25">
      <c r="B3863" s="15"/>
      <c r="C3863" s="15"/>
      <c r="D3863" s="16"/>
      <c r="E3863" s="16"/>
      <c r="F3863" s="20"/>
      <c r="G3863" s="17"/>
    </row>
    <row r="3864" spans="2:7" x14ac:dyDescent="0.25">
      <c r="B3864" s="15"/>
      <c r="C3864" s="15"/>
      <c r="D3864" s="16"/>
      <c r="E3864" s="16"/>
      <c r="F3864" s="20"/>
      <c r="G3864" s="17"/>
    </row>
    <row r="3865" spans="2:7" x14ac:dyDescent="0.25">
      <c r="B3865" s="15"/>
      <c r="C3865" s="15"/>
      <c r="D3865" s="16"/>
      <c r="E3865" s="16"/>
      <c r="F3865" s="20"/>
      <c r="G3865" s="17"/>
    </row>
    <row r="3866" spans="2:7" x14ac:dyDescent="0.25">
      <c r="B3866" s="15"/>
      <c r="C3866" s="15"/>
      <c r="D3866" s="16"/>
      <c r="E3866" s="16"/>
      <c r="F3866" s="20"/>
      <c r="G3866" s="17"/>
    </row>
    <row r="3867" spans="2:7" x14ac:dyDescent="0.25">
      <c r="B3867" s="15"/>
      <c r="C3867" s="15"/>
      <c r="D3867" s="16"/>
      <c r="E3867" s="16"/>
      <c r="F3867" s="20"/>
      <c r="G3867" s="17"/>
    </row>
    <row r="3868" spans="2:7" x14ac:dyDescent="0.25">
      <c r="B3868" s="15"/>
      <c r="C3868" s="15"/>
      <c r="D3868" s="16"/>
      <c r="E3868" s="16"/>
      <c r="F3868" s="20"/>
      <c r="G3868" s="17"/>
    </row>
    <row r="3869" spans="2:7" x14ac:dyDescent="0.25">
      <c r="B3869" s="15"/>
      <c r="C3869" s="15"/>
      <c r="D3869" s="16"/>
      <c r="E3869" s="16"/>
      <c r="F3869" s="20"/>
      <c r="G3869" s="17"/>
    </row>
    <row r="3870" spans="2:7" x14ac:dyDescent="0.25">
      <c r="B3870" s="15"/>
      <c r="C3870" s="15"/>
      <c r="D3870" s="16"/>
      <c r="E3870" s="16"/>
      <c r="F3870" s="20"/>
      <c r="G3870" s="17"/>
    </row>
    <row r="3871" spans="2:7" x14ac:dyDescent="0.25">
      <c r="B3871" s="15"/>
      <c r="C3871" s="15"/>
      <c r="D3871" s="16"/>
      <c r="E3871" s="16"/>
      <c r="F3871" s="20"/>
      <c r="G3871" s="17"/>
    </row>
    <row r="3872" spans="2:7" x14ac:dyDescent="0.25">
      <c r="B3872" s="15"/>
      <c r="C3872" s="15"/>
      <c r="D3872" s="16"/>
      <c r="E3872" s="16"/>
      <c r="F3872" s="20"/>
      <c r="G3872" s="17"/>
    </row>
    <row r="3873" spans="2:7" x14ac:dyDescent="0.25">
      <c r="B3873" s="15"/>
      <c r="C3873" s="15"/>
      <c r="D3873" s="16"/>
      <c r="E3873" s="16"/>
      <c r="F3873" s="20"/>
      <c r="G3873" s="17"/>
    </row>
    <row r="3874" spans="2:7" x14ac:dyDescent="0.25">
      <c r="B3874" s="15"/>
      <c r="C3874" s="15"/>
      <c r="D3874" s="16"/>
      <c r="E3874" s="16"/>
      <c r="F3874" s="20"/>
      <c r="G3874" s="17"/>
    </row>
    <row r="3875" spans="2:7" x14ac:dyDescent="0.25">
      <c r="B3875" s="15"/>
      <c r="C3875" s="15"/>
      <c r="D3875" s="16"/>
      <c r="E3875" s="16"/>
      <c r="F3875" s="20"/>
      <c r="G3875" s="17"/>
    </row>
    <row r="3876" spans="2:7" x14ac:dyDescent="0.25">
      <c r="B3876" s="15"/>
      <c r="C3876" s="15"/>
      <c r="D3876" s="16"/>
      <c r="E3876" s="16"/>
      <c r="F3876" s="20"/>
      <c r="G3876" s="17"/>
    </row>
    <row r="3877" spans="2:7" x14ac:dyDescent="0.25">
      <c r="B3877" s="15"/>
      <c r="C3877" s="15"/>
      <c r="D3877" s="16"/>
      <c r="E3877" s="16"/>
      <c r="F3877" s="20"/>
      <c r="G3877" s="17"/>
    </row>
    <row r="3878" spans="2:7" x14ac:dyDescent="0.25">
      <c r="B3878" s="15"/>
      <c r="C3878" s="15"/>
      <c r="D3878" s="16"/>
      <c r="E3878" s="16"/>
      <c r="F3878" s="20"/>
      <c r="G3878" s="17"/>
    </row>
    <row r="3879" spans="2:7" x14ac:dyDescent="0.25">
      <c r="B3879" s="15"/>
      <c r="C3879" s="15"/>
      <c r="D3879" s="16"/>
      <c r="E3879" s="16"/>
      <c r="F3879" s="20"/>
      <c r="G3879" s="17"/>
    </row>
    <row r="3880" spans="2:7" x14ac:dyDescent="0.25">
      <c r="B3880" s="15"/>
      <c r="C3880" s="15"/>
      <c r="D3880" s="16"/>
      <c r="E3880" s="16"/>
      <c r="F3880" s="20"/>
      <c r="G3880" s="17"/>
    </row>
    <row r="3881" spans="2:7" x14ac:dyDescent="0.25">
      <c r="B3881" s="15"/>
      <c r="C3881" s="15"/>
      <c r="D3881" s="16"/>
      <c r="E3881" s="16"/>
      <c r="F3881" s="20"/>
      <c r="G3881" s="17"/>
    </row>
    <row r="3882" spans="2:7" x14ac:dyDescent="0.25">
      <c r="B3882" s="15"/>
      <c r="C3882" s="15"/>
      <c r="D3882" s="16"/>
      <c r="E3882" s="16"/>
      <c r="F3882" s="20"/>
      <c r="G3882" s="17"/>
    </row>
    <row r="3883" spans="2:7" x14ac:dyDescent="0.25">
      <c r="B3883" s="15"/>
      <c r="C3883" s="15"/>
      <c r="D3883" s="16"/>
      <c r="E3883" s="16"/>
      <c r="F3883" s="20"/>
      <c r="G3883" s="17"/>
    </row>
    <row r="3884" spans="2:7" x14ac:dyDescent="0.25">
      <c r="B3884" s="15"/>
      <c r="C3884" s="15"/>
      <c r="D3884" s="16"/>
      <c r="E3884" s="16"/>
      <c r="F3884" s="20"/>
      <c r="G3884" s="17"/>
    </row>
    <row r="3885" spans="2:7" x14ac:dyDescent="0.25">
      <c r="B3885" s="15"/>
      <c r="C3885" s="15"/>
      <c r="D3885" s="16"/>
      <c r="E3885" s="16"/>
      <c r="F3885" s="20"/>
      <c r="G3885" s="17"/>
    </row>
    <row r="3886" spans="2:7" x14ac:dyDescent="0.25">
      <c r="B3886" s="15"/>
      <c r="C3886" s="15"/>
      <c r="D3886" s="16"/>
      <c r="E3886" s="16"/>
      <c r="F3886" s="20"/>
      <c r="G3886" s="17"/>
    </row>
    <row r="3887" spans="2:7" x14ac:dyDescent="0.25">
      <c r="B3887" s="15"/>
      <c r="C3887" s="15"/>
      <c r="D3887" s="16"/>
      <c r="E3887" s="16"/>
      <c r="F3887" s="20"/>
      <c r="G3887" s="17"/>
    </row>
    <row r="3888" spans="2:7" x14ac:dyDescent="0.25">
      <c r="B3888" s="15"/>
      <c r="C3888" s="15"/>
      <c r="D3888" s="16"/>
      <c r="E3888" s="16"/>
      <c r="F3888" s="20"/>
      <c r="G3888" s="17"/>
    </row>
    <row r="3889" spans="2:7" x14ac:dyDescent="0.25">
      <c r="B3889" s="15"/>
      <c r="C3889" s="15"/>
      <c r="D3889" s="16"/>
      <c r="E3889" s="16"/>
      <c r="F3889" s="20"/>
      <c r="G3889" s="17"/>
    </row>
    <row r="3890" spans="2:7" x14ac:dyDescent="0.25">
      <c r="B3890" s="15"/>
      <c r="C3890" s="15"/>
      <c r="D3890" s="16"/>
      <c r="E3890" s="16"/>
      <c r="F3890" s="20"/>
      <c r="G3890" s="17"/>
    </row>
    <row r="3891" spans="2:7" x14ac:dyDescent="0.25">
      <c r="B3891" s="15"/>
      <c r="C3891" s="15"/>
      <c r="D3891" s="16"/>
      <c r="E3891" s="16"/>
      <c r="F3891" s="20"/>
      <c r="G3891" s="17"/>
    </row>
    <row r="3892" spans="2:7" x14ac:dyDescent="0.25">
      <c r="B3892" s="15"/>
      <c r="C3892" s="15"/>
      <c r="D3892" s="16"/>
      <c r="E3892" s="16"/>
      <c r="F3892" s="20"/>
      <c r="G3892" s="17"/>
    </row>
    <row r="3893" spans="2:7" x14ac:dyDescent="0.25">
      <c r="B3893" s="15"/>
      <c r="C3893" s="15"/>
      <c r="D3893" s="16"/>
      <c r="E3893" s="16"/>
      <c r="F3893" s="20"/>
      <c r="G3893" s="17"/>
    </row>
    <row r="3894" spans="2:7" x14ac:dyDescent="0.25">
      <c r="B3894" s="15"/>
      <c r="C3894" s="15"/>
      <c r="D3894" s="16"/>
      <c r="E3894" s="16"/>
      <c r="F3894" s="20"/>
      <c r="G3894" s="17"/>
    </row>
    <row r="3895" spans="2:7" x14ac:dyDescent="0.25">
      <c r="B3895" s="15"/>
      <c r="C3895" s="15"/>
      <c r="D3895" s="16"/>
      <c r="E3895" s="16"/>
      <c r="F3895" s="20"/>
      <c r="G3895" s="17"/>
    </row>
    <row r="3896" spans="2:7" x14ac:dyDescent="0.25">
      <c r="B3896" s="15"/>
      <c r="C3896" s="15"/>
      <c r="D3896" s="16"/>
      <c r="E3896" s="16"/>
      <c r="F3896" s="20"/>
      <c r="G3896" s="17"/>
    </row>
    <row r="3897" spans="2:7" x14ac:dyDescent="0.25">
      <c r="B3897" s="15"/>
      <c r="C3897" s="15"/>
      <c r="D3897" s="16"/>
      <c r="E3897" s="16"/>
      <c r="F3897" s="20"/>
      <c r="G3897" s="17"/>
    </row>
    <row r="3898" spans="2:7" x14ac:dyDescent="0.25">
      <c r="B3898" s="15"/>
      <c r="C3898" s="15"/>
      <c r="D3898" s="16"/>
      <c r="E3898" s="16"/>
      <c r="F3898" s="20"/>
      <c r="G3898" s="17"/>
    </row>
    <row r="3899" spans="2:7" x14ac:dyDescent="0.25">
      <c r="B3899" s="15"/>
      <c r="C3899" s="15"/>
      <c r="D3899" s="16"/>
      <c r="E3899" s="16"/>
      <c r="F3899" s="20"/>
      <c r="G3899" s="17"/>
    </row>
    <row r="3900" spans="2:7" x14ac:dyDescent="0.25">
      <c r="B3900" s="15"/>
      <c r="C3900" s="15"/>
      <c r="D3900" s="16"/>
      <c r="E3900" s="16"/>
      <c r="F3900" s="20"/>
      <c r="G3900" s="17"/>
    </row>
    <row r="3901" spans="2:7" x14ac:dyDescent="0.25">
      <c r="B3901" s="15"/>
      <c r="C3901" s="15"/>
      <c r="D3901" s="16"/>
      <c r="E3901" s="16"/>
      <c r="F3901" s="20"/>
      <c r="G3901" s="17"/>
    </row>
    <row r="3902" spans="2:7" x14ac:dyDescent="0.25">
      <c r="B3902" s="15"/>
      <c r="C3902" s="15"/>
      <c r="D3902" s="16"/>
      <c r="E3902" s="16"/>
      <c r="F3902" s="20"/>
      <c r="G3902" s="17"/>
    </row>
    <row r="3903" spans="2:7" x14ac:dyDescent="0.25">
      <c r="B3903" s="15"/>
      <c r="C3903" s="15"/>
      <c r="D3903" s="16"/>
      <c r="E3903" s="16"/>
      <c r="F3903" s="20"/>
      <c r="G3903" s="17"/>
    </row>
    <row r="3904" spans="2:7" x14ac:dyDescent="0.25">
      <c r="B3904" s="15"/>
      <c r="C3904" s="15"/>
      <c r="D3904" s="16"/>
      <c r="E3904" s="16"/>
      <c r="F3904" s="20"/>
      <c r="G3904" s="17"/>
    </row>
    <row r="3905" spans="2:7" x14ac:dyDescent="0.25">
      <c r="B3905" s="15"/>
      <c r="C3905" s="15"/>
      <c r="D3905" s="16"/>
      <c r="E3905" s="16"/>
      <c r="F3905" s="20"/>
      <c r="G3905" s="17"/>
    </row>
    <row r="3906" spans="2:7" x14ac:dyDescent="0.25">
      <c r="B3906" s="15"/>
      <c r="C3906" s="15"/>
      <c r="D3906" s="16"/>
      <c r="E3906" s="16"/>
      <c r="F3906" s="20"/>
      <c r="G3906" s="17"/>
    </row>
    <row r="3907" spans="2:7" x14ac:dyDescent="0.25">
      <c r="B3907" s="15"/>
      <c r="C3907" s="15"/>
      <c r="D3907" s="16"/>
      <c r="E3907" s="16"/>
      <c r="F3907" s="20"/>
      <c r="G3907" s="17"/>
    </row>
    <row r="3908" spans="2:7" x14ac:dyDescent="0.25">
      <c r="B3908" s="15"/>
      <c r="C3908" s="15"/>
      <c r="D3908" s="16"/>
      <c r="E3908" s="16"/>
      <c r="F3908" s="20"/>
      <c r="G3908" s="17"/>
    </row>
    <row r="3909" spans="2:7" x14ac:dyDescent="0.25">
      <c r="B3909" s="15"/>
      <c r="C3909" s="15"/>
      <c r="D3909" s="16"/>
      <c r="E3909" s="16"/>
      <c r="F3909" s="20"/>
      <c r="G3909" s="17"/>
    </row>
    <row r="3910" spans="2:7" x14ac:dyDescent="0.25">
      <c r="B3910" s="15"/>
      <c r="C3910" s="15"/>
      <c r="D3910" s="16"/>
      <c r="E3910" s="16"/>
      <c r="F3910" s="20"/>
      <c r="G3910" s="17"/>
    </row>
    <row r="3911" spans="2:7" x14ac:dyDescent="0.25">
      <c r="B3911" s="15"/>
      <c r="C3911" s="15"/>
      <c r="D3911" s="16"/>
      <c r="E3911" s="16"/>
      <c r="F3911" s="20"/>
      <c r="G3911" s="17"/>
    </row>
    <row r="3912" spans="2:7" x14ac:dyDescent="0.25">
      <c r="B3912" s="15"/>
      <c r="C3912" s="15"/>
      <c r="D3912" s="16"/>
      <c r="E3912" s="16"/>
      <c r="F3912" s="20"/>
      <c r="G3912" s="17"/>
    </row>
    <row r="3913" spans="2:7" x14ac:dyDescent="0.25">
      <c r="B3913" s="15"/>
      <c r="C3913" s="15"/>
      <c r="D3913" s="16"/>
      <c r="E3913" s="16"/>
      <c r="F3913" s="20"/>
      <c r="G3913" s="17"/>
    </row>
    <row r="3914" spans="2:7" x14ac:dyDescent="0.25">
      <c r="B3914" s="15"/>
      <c r="C3914" s="15"/>
      <c r="D3914" s="16"/>
      <c r="E3914" s="16"/>
      <c r="F3914" s="20"/>
      <c r="G3914" s="17"/>
    </row>
    <row r="3915" spans="2:7" x14ac:dyDescent="0.25">
      <c r="B3915" s="15"/>
      <c r="C3915" s="15"/>
      <c r="D3915" s="16"/>
      <c r="E3915" s="16"/>
      <c r="F3915" s="20"/>
      <c r="G3915" s="17"/>
    </row>
    <row r="3916" spans="2:7" x14ac:dyDescent="0.25">
      <c r="B3916" s="15"/>
      <c r="C3916" s="15"/>
      <c r="D3916" s="16"/>
      <c r="E3916" s="16"/>
      <c r="F3916" s="20"/>
      <c r="G3916" s="17"/>
    </row>
    <row r="3917" spans="2:7" x14ac:dyDescent="0.25">
      <c r="B3917" s="15"/>
      <c r="C3917" s="15"/>
      <c r="D3917" s="16"/>
      <c r="E3917" s="16"/>
      <c r="F3917" s="20"/>
      <c r="G3917" s="17"/>
    </row>
    <row r="3918" spans="2:7" x14ac:dyDescent="0.25">
      <c r="B3918" s="15"/>
      <c r="C3918" s="15"/>
      <c r="D3918" s="16"/>
      <c r="E3918" s="16"/>
      <c r="F3918" s="20"/>
      <c r="G3918" s="17"/>
    </row>
    <row r="3919" spans="2:7" x14ac:dyDescent="0.25">
      <c r="B3919" s="15"/>
      <c r="C3919" s="15"/>
      <c r="D3919" s="16"/>
      <c r="E3919" s="16"/>
      <c r="F3919" s="20"/>
      <c r="G3919" s="17"/>
    </row>
    <row r="3920" spans="2:7" x14ac:dyDescent="0.25">
      <c r="B3920" s="15"/>
      <c r="C3920" s="15"/>
      <c r="D3920" s="16"/>
      <c r="E3920" s="16"/>
      <c r="F3920" s="20"/>
      <c r="G3920" s="17"/>
    </row>
    <row r="3921" spans="2:7" x14ac:dyDescent="0.25">
      <c r="B3921" s="15"/>
      <c r="C3921" s="15"/>
      <c r="D3921" s="16"/>
      <c r="E3921" s="16"/>
      <c r="F3921" s="20"/>
      <c r="G3921" s="17"/>
    </row>
    <row r="3922" spans="2:7" x14ac:dyDescent="0.25">
      <c r="B3922" s="15"/>
      <c r="C3922" s="15"/>
      <c r="D3922" s="16"/>
      <c r="E3922" s="16"/>
      <c r="F3922" s="20"/>
      <c r="G3922" s="17"/>
    </row>
    <row r="3923" spans="2:7" x14ac:dyDescent="0.25">
      <c r="B3923" s="15"/>
      <c r="C3923" s="15"/>
      <c r="D3923" s="16"/>
      <c r="E3923" s="16"/>
      <c r="F3923" s="20"/>
      <c r="G3923" s="17"/>
    </row>
    <row r="3924" spans="2:7" x14ac:dyDescent="0.25">
      <c r="B3924" s="15"/>
      <c r="C3924" s="15"/>
      <c r="D3924" s="16"/>
      <c r="E3924" s="16"/>
      <c r="F3924" s="20"/>
      <c r="G3924" s="17"/>
    </row>
    <row r="3925" spans="2:7" x14ac:dyDescent="0.25">
      <c r="B3925" s="15"/>
      <c r="C3925" s="15"/>
      <c r="D3925" s="16"/>
      <c r="E3925" s="16"/>
      <c r="F3925" s="20"/>
      <c r="G3925" s="17"/>
    </row>
    <row r="3926" spans="2:7" x14ac:dyDescent="0.25">
      <c r="B3926" s="15"/>
      <c r="C3926" s="15"/>
      <c r="D3926" s="16"/>
      <c r="E3926" s="16"/>
      <c r="F3926" s="20"/>
      <c r="G3926" s="17"/>
    </row>
    <row r="3927" spans="2:7" x14ac:dyDescent="0.25">
      <c r="B3927" s="15"/>
      <c r="C3927" s="15"/>
      <c r="D3927" s="16"/>
      <c r="E3927" s="16"/>
      <c r="F3927" s="20"/>
      <c r="G3927" s="17"/>
    </row>
    <row r="3928" spans="2:7" x14ac:dyDescent="0.25">
      <c r="B3928" s="15"/>
      <c r="C3928" s="15"/>
      <c r="D3928" s="16"/>
      <c r="E3928" s="16"/>
      <c r="F3928" s="20"/>
      <c r="G3928" s="17"/>
    </row>
    <row r="3929" spans="2:7" x14ac:dyDescent="0.25">
      <c r="B3929" s="15"/>
      <c r="C3929" s="15"/>
      <c r="D3929" s="16"/>
      <c r="E3929" s="16"/>
      <c r="F3929" s="20"/>
      <c r="G3929" s="17"/>
    </row>
    <row r="3930" spans="2:7" x14ac:dyDescent="0.25">
      <c r="B3930" s="15"/>
      <c r="C3930" s="15"/>
      <c r="D3930" s="16"/>
      <c r="E3930" s="16"/>
      <c r="F3930" s="20"/>
      <c r="G3930" s="17"/>
    </row>
    <row r="3931" spans="2:7" x14ac:dyDescent="0.25">
      <c r="B3931" s="15"/>
      <c r="C3931" s="15"/>
      <c r="D3931" s="16"/>
      <c r="E3931" s="16"/>
      <c r="F3931" s="20"/>
      <c r="G3931" s="17"/>
    </row>
    <row r="3932" spans="2:7" x14ac:dyDescent="0.25">
      <c r="B3932" s="15"/>
      <c r="C3932" s="15"/>
      <c r="D3932" s="16"/>
      <c r="E3932" s="16"/>
      <c r="F3932" s="20"/>
      <c r="G3932" s="17"/>
    </row>
    <row r="3933" spans="2:7" x14ac:dyDescent="0.25">
      <c r="B3933" s="15"/>
      <c r="C3933" s="15"/>
      <c r="D3933" s="16"/>
      <c r="E3933" s="16"/>
      <c r="F3933" s="20"/>
      <c r="G3933" s="17"/>
    </row>
    <row r="3934" spans="2:7" x14ac:dyDescent="0.25">
      <c r="B3934" s="15"/>
      <c r="C3934" s="15"/>
      <c r="D3934" s="16"/>
      <c r="E3934" s="16"/>
      <c r="F3934" s="20"/>
      <c r="G3934" s="17"/>
    </row>
    <row r="3935" spans="2:7" x14ac:dyDescent="0.25">
      <c r="B3935" s="15"/>
      <c r="C3935" s="15"/>
      <c r="D3935" s="16"/>
      <c r="E3935" s="16"/>
      <c r="F3935" s="20"/>
      <c r="G3935" s="17"/>
    </row>
    <row r="3936" spans="2:7" x14ac:dyDescent="0.25">
      <c r="B3936" s="15"/>
      <c r="C3936" s="15"/>
      <c r="D3936" s="16"/>
      <c r="E3936" s="16"/>
      <c r="F3936" s="20"/>
      <c r="G3936" s="17"/>
    </row>
    <row r="3937" spans="2:7" x14ac:dyDescent="0.25">
      <c r="B3937" s="15"/>
      <c r="C3937" s="15"/>
      <c r="D3937" s="16"/>
      <c r="E3937" s="16"/>
      <c r="F3937" s="20"/>
      <c r="G3937" s="17"/>
    </row>
    <row r="3938" spans="2:7" x14ac:dyDescent="0.25">
      <c r="B3938" s="15"/>
      <c r="C3938" s="15"/>
      <c r="D3938" s="16"/>
      <c r="E3938" s="16"/>
      <c r="F3938" s="20"/>
      <c r="G3938" s="17"/>
    </row>
    <row r="3939" spans="2:7" x14ac:dyDescent="0.25">
      <c r="B3939" s="15"/>
      <c r="C3939" s="15"/>
      <c r="D3939" s="16"/>
      <c r="E3939" s="16"/>
      <c r="F3939" s="20"/>
      <c r="G3939" s="17"/>
    </row>
    <row r="3940" spans="2:7" x14ac:dyDescent="0.25">
      <c r="B3940" s="15"/>
      <c r="C3940" s="15"/>
      <c r="D3940" s="16"/>
      <c r="E3940" s="16"/>
      <c r="F3940" s="20"/>
      <c r="G3940" s="17"/>
    </row>
    <row r="3941" spans="2:7" x14ac:dyDescent="0.25">
      <c r="B3941" s="15"/>
      <c r="C3941" s="15"/>
      <c r="D3941" s="16"/>
      <c r="E3941" s="16"/>
      <c r="F3941" s="20"/>
      <c r="G3941" s="17"/>
    </row>
    <row r="3942" spans="2:7" x14ac:dyDescent="0.25">
      <c r="B3942" s="15"/>
      <c r="C3942" s="15"/>
      <c r="D3942" s="16"/>
      <c r="E3942" s="16"/>
      <c r="F3942" s="20"/>
      <c r="G3942" s="17"/>
    </row>
    <row r="3943" spans="2:7" x14ac:dyDescent="0.25">
      <c r="B3943" s="15"/>
      <c r="C3943" s="15"/>
      <c r="D3943" s="16"/>
      <c r="E3943" s="16"/>
      <c r="F3943" s="20"/>
      <c r="G3943" s="17"/>
    </row>
    <row r="3944" spans="2:7" x14ac:dyDescent="0.25">
      <c r="B3944" s="15"/>
      <c r="C3944" s="15"/>
      <c r="D3944" s="16"/>
      <c r="E3944" s="16"/>
      <c r="F3944" s="20"/>
      <c r="G3944" s="17"/>
    </row>
    <row r="3945" spans="2:7" x14ac:dyDescent="0.25">
      <c r="B3945" s="15"/>
      <c r="C3945" s="15"/>
      <c r="D3945" s="16"/>
      <c r="E3945" s="16"/>
      <c r="F3945" s="20"/>
      <c r="G3945" s="17"/>
    </row>
    <row r="3946" spans="2:7" x14ac:dyDescent="0.25">
      <c r="B3946" s="15"/>
      <c r="C3946" s="15"/>
      <c r="D3946" s="16"/>
      <c r="E3946" s="16"/>
      <c r="F3946" s="20"/>
      <c r="G3946" s="17"/>
    </row>
    <row r="3947" spans="2:7" x14ac:dyDescent="0.25">
      <c r="B3947" s="15"/>
      <c r="C3947" s="15"/>
      <c r="D3947" s="16"/>
      <c r="E3947" s="16"/>
      <c r="F3947" s="20"/>
      <c r="G3947" s="17"/>
    </row>
    <row r="3948" spans="2:7" x14ac:dyDescent="0.25">
      <c r="B3948" s="15"/>
      <c r="C3948" s="15"/>
      <c r="D3948" s="16"/>
      <c r="E3948" s="16"/>
      <c r="F3948" s="20"/>
      <c r="G3948" s="17"/>
    </row>
    <row r="3949" spans="2:7" x14ac:dyDescent="0.25">
      <c r="B3949" s="15"/>
      <c r="C3949" s="15"/>
      <c r="D3949" s="16"/>
      <c r="E3949" s="16"/>
      <c r="F3949" s="20"/>
      <c r="G3949" s="17"/>
    </row>
    <row r="3950" spans="2:7" x14ac:dyDescent="0.25">
      <c r="B3950" s="15"/>
      <c r="C3950" s="15"/>
      <c r="D3950" s="16"/>
      <c r="E3950" s="16"/>
      <c r="F3950" s="20"/>
      <c r="G3950" s="17"/>
    </row>
    <row r="3951" spans="2:7" x14ac:dyDescent="0.25">
      <c r="B3951" s="15"/>
      <c r="C3951" s="15"/>
      <c r="D3951" s="16"/>
      <c r="E3951" s="16"/>
      <c r="F3951" s="20"/>
      <c r="G3951" s="17"/>
    </row>
    <row r="3952" spans="2:7" x14ac:dyDescent="0.25">
      <c r="B3952" s="15"/>
      <c r="C3952" s="15"/>
      <c r="D3952" s="16"/>
      <c r="E3952" s="16"/>
      <c r="F3952" s="20"/>
      <c r="G3952" s="17"/>
    </row>
    <row r="3953" spans="2:7" x14ac:dyDescent="0.25">
      <c r="B3953" s="15"/>
      <c r="C3953" s="15"/>
      <c r="D3953" s="16"/>
      <c r="E3953" s="16"/>
      <c r="F3953" s="20"/>
      <c r="G3953" s="17"/>
    </row>
    <row r="3954" spans="2:7" x14ac:dyDescent="0.25">
      <c r="B3954" s="15"/>
      <c r="C3954" s="15"/>
      <c r="D3954" s="16"/>
      <c r="E3954" s="16"/>
      <c r="F3954" s="20"/>
      <c r="G3954" s="17"/>
    </row>
    <row r="3955" spans="2:7" x14ac:dyDescent="0.25">
      <c r="B3955" s="15"/>
      <c r="C3955" s="15"/>
      <c r="D3955" s="16"/>
      <c r="E3955" s="16"/>
      <c r="F3955" s="20"/>
      <c r="G3955" s="17"/>
    </row>
    <row r="3956" spans="2:7" x14ac:dyDescent="0.25">
      <c r="B3956" s="15"/>
      <c r="C3956" s="15"/>
      <c r="D3956" s="16"/>
      <c r="E3956" s="16"/>
      <c r="F3956" s="20"/>
      <c r="G3956" s="17"/>
    </row>
    <row r="3957" spans="2:7" x14ac:dyDescent="0.25">
      <c r="B3957" s="15"/>
      <c r="C3957" s="15"/>
      <c r="D3957" s="16"/>
      <c r="E3957" s="16"/>
      <c r="F3957" s="20"/>
      <c r="G3957" s="17"/>
    </row>
    <row r="3958" spans="2:7" x14ac:dyDescent="0.25">
      <c r="B3958" s="15"/>
      <c r="C3958" s="15"/>
      <c r="D3958" s="16"/>
      <c r="E3958" s="16"/>
      <c r="F3958" s="20"/>
      <c r="G3958" s="17"/>
    </row>
    <row r="3959" spans="2:7" x14ac:dyDescent="0.25">
      <c r="B3959" s="15"/>
      <c r="C3959" s="15"/>
      <c r="D3959" s="16"/>
      <c r="E3959" s="16"/>
      <c r="F3959" s="20"/>
      <c r="G3959" s="17"/>
    </row>
    <row r="3960" spans="2:7" x14ac:dyDescent="0.25">
      <c r="B3960" s="15"/>
      <c r="C3960" s="15"/>
      <c r="D3960" s="16"/>
      <c r="E3960" s="16"/>
      <c r="F3960" s="20"/>
      <c r="G3960" s="17"/>
    </row>
    <row r="3961" spans="2:7" x14ac:dyDescent="0.25">
      <c r="B3961" s="15"/>
      <c r="C3961" s="15"/>
      <c r="D3961" s="16"/>
      <c r="E3961" s="16"/>
      <c r="F3961" s="20"/>
      <c r="G3961" s="17"/>
    </row>
    <row r="3962" spans="2:7" x14ac:dyDescent="0.25">
      <c r="B3962" s="15"/>
      <c r="C3962" s="15"/>
      <c r="D3962" s="16"/>
      <c r="E3962" s="16"/>
      <c r="F3962" s="20"/>
      <c r="G3962" s="17"/>
    </row>
    <row r="3963" spans="2:7" x14ac:dyDescent="0.25">
      <c r="B3963" s="15"/>
      <c r="C3963" s="15"/>
      <c r="D3963" s="16"/>
      <c r="E3963" s="16"/>
      <c r="F3963" s="20"/>
      <c r="G3963" s="17"/>
    </row>
    <row r="3964" spans="2:7" x14ac:dyDescent="0.25">
      <c r="B3964" s="15"/>
      <c r="C3964" s="15"/>
      <c r="D3964" s="16"/>
      <c r="E3964" s="16"/>
      <c r="F3964" s="20"/>
      <c r="G3964" s="17"/>
    </row>
    <row r="3965" spans="2:7" x14ac:dyDescent="0.25">
      <c r="B3965" s="15"/>
      <c r="C3965" s="15"/>
      <c r="D3965" s="16"/>
      <c r="E3965" s="16"/>
      <c r="F3965" s="20"/>
      <c r="G3965" s="17"/>
    </row>
    <row r="3966" spans="2:7" x14ac:dyDescent="0.25">
      <c r="B3966" s="15"/>
      <c r="C3966" s="15"/>
      <c r="D3966" s="16"/>
      <c r="E3966" s="16"/>
      <c r="F3966" s="20"/>
      <c r="G3966" s="17"/>
    </row>
    <row r="3967" spans="2:7" x14ac:dyDescent="0.25">
      <c r="B3967" s="15"/>
      <c r="C3967" s="15"/>
      <c r="D3967" s="16"/>
      <c r="E3967" s="16"/>
      <c r="F3967" s="20"/>
      <c r="G3967" s="17"/>
    </row>
    <row r="3968" spans="2:7" x14ac:dyDescent="0.25">
      <c r="B3968" s="15"/>
      <c r="C3968" s="15"/>
      <c r="D3968" s="16"/>
      <c r="E3968" s="16"/>
      <c r="F3968" s="20"/>
      <c r="G3968" s="17"/>
    </row>
    <row r="3969" spans="2:7" x14ac:dyDescent="0.25">
      <c r="B3969" s="15"/>
      <c r="C3969" s="15"/>
      <c r="D3969" s="16"/>
      <c r="E3969" s="16"/>
      <c r="F3969" s="20"/>
      <c r="G3969" s="17"/>
    </row>
    <row r="3970" spans="2:7" x14ac:dyDescent="0.25">
      <c r="B3970" s="15"/>
      <c r="C3970" s="15"/>
      <c r="D3970" s="16"/>
      <c r="E3970" s="16"/>
      <c r="F3970" s="20"/>
      <c r="G3970" s="17"/>
    </row>
    <row r="3971" spans="2:7" x14ac:dyDescent="0.25">
      <c r="B3971" s="15"/>
      <c r="C3971" s="15"/>
      <c r="D3971" s="16"/>
      <c r="E3971" s="16"/>
      <c r="F3971" s="20"/>
      <c r="G3971" s="17"/>
    </row>
    <row r="3972" spans="2:7" x14ac:dyDescent="0.25">
      <c r="B3972" s="15"/>
      <c r="C3972" s="15"/>
      <c r="D3972" s="16"/>
      <c r="E3972" s="16"/>
      <c r="F3972" s="20"/>
      <c r="G3972" s="17"/>
    </row>
    <row r="3973" spans="2:7" x14ac:dyDescent="0.25">
      <c r="B3973" s="15"/>
      <c r="C3973" s="15"/>
      <c r="D3973" s="16"/>
      <c r="E3973" s="16"/>
      <c r="F3973" s="20"/>
      <c r="G3973" s="17"/>
    </row>
    <row r="3974" spans="2:7" x14ac:dyDescent="0.25">
      <c r="B3974" s="15"/>
      <c r="C3974" s="15"/>
      <c r="D3974" s="16"/>
      <c r="E3974" s="16"/>
      <c r="F3974" s="20"/>
      <c r="G3974" s="17"/>
    </row>
    <row r="3975" spans="2:7" x14ac:dyDescent="0.25">
      <c r="B3975" s="15"/>
      <c r="C3975" s="15"/>
      <c r="D3975" s="16"/>
      <c r="E3975" s="16"/>
      <c r="F3975" s="20"/>
      <c r="G3975" s="17"/>
    </row>
    <row r="3976" spans="2:7" x14ac:dyDescent="0.25">
      <c r="B3976" s="15"/>
      <c r="C3976" s="15"/>
      <c r="D3976" s="16"/>
      <c r="E3976" s="16"/>
      <c r="F3976" s="20"/>
      <c r="G3976" s="17"/>
    </row>
    <row r="3977" spans="2:7" x14ac:dyDescent="0.25">
      <c r="B3977" s="15"/>
      <c r="C3977" s="15"/>
      <c r="D3977" s="16"/>
      <c r="E3977" s="16"/>
      <c r="F3977" s="20"/>
      <c r="G3977" s="17"/>
    </row>
    <row r="3978" spans="2:7" x14ac:dyDescent="0.25">
      <c r="B3978" s="15"/>
      <c r="C3978" s="15"/>
      <c r="D3978" s="16"/>
      <c r="E3978" s="16"/>
      <c r="F3978" s="20"/>
      <c r="G3978" s="17"/>
    </row>
    <row r="3979" spans="2:7" x14ac:dyDescent="0.25">
      <c r="B3979" s="15"/>
      <c r="C3979" s="15"/>
      <c r="D3979" s="16"/>
      <c r="E3979" s="16"/>
      <c r="F3979" s="20"/>
      <c r="G3979" s="17"/>
    </row>
    <row r="3980" spans="2:7" x14ac:dyDescent="0.25">
      <c r="B3980" s="15"/>
      <c r="C3980" s="15"/>
      <c r="D3980" s="16"/>
      <c r="E3980" s="16"/>
      <c r="F3980" s="20"/>
      <c r="G3980" s="17"/>
    </row>
    <row r="3981" spans="2:7" x14ac:dyDescent="0.25">
      <c r="B3981" s="15"/>
      <c r="C3981" s="15"/>
      <c r="D3981" s="16"/>
      <c r="E3981" s="16"/>
      <c r="F3981" s="20"/>
      <c r="G3981" s="17"/>
    </row>
    <row r="3982" spans="2:7" x14ac:dyDescent="0.25">
      <c r="B3982" s="15"/>
      <c r="C3982" s="15"/>
      <c r="D3982" s="16"/>
      <c r="E3982" s="16"/>
      <c r="F3982" s="20"/>
      <c r="G3982" s="17"/>
    </row>
    <row r="3983" spans="2:7" x14ac:dyDescent="0.25">
      <c r="B3983" s="15"/>
      <c r="C3983" s="15"/>
      <c r="D3983" s="16"/>
      <c r="E3983" s="16"/>
      <c r="F3983" s="20"/>
      <c r="G3983" s="17"/>
    </row>
    <row r="3984" spans="2:7" x14ac:dyDescent="0.25">
      <c r="B3984" s="15"/>
      <c r="C3984" s="15"/>
      <c r="D3984" s="16"/>
      <c r="E3984" s="16"/>
      <c r="F3984" s="20"/>
      <c r="G3984" s="17"/>
    </row>
    <row r="3985" spans="2:7" x14ac:dyDescent="0.25">
      <c r="B3985" s="15"/>
      <c r="C3985" s="15"/>
      <c r="D3985" s="16"/>
      <c r="E3985" s="16"/>
      <c r="F3985" s="20"/>
      <c r="G3985" s="17"/>
    </row>
    <row r="3986" spans="2:7" x14ac:dyDescent="0.25">
      <c r="B3986" s="15"/>
      <c r="C3986" s="15"/>
      <c r="D3986" s="16"/>
      <c r="E3986" s="16"/>
      <c r="F3986" s="20"/>
      <c r="G3986" s="17"/>
    </row>
    <row r="3987" spans="2:7" x14ac:dyDescent="0.25">
      <c r="B3987" s="15"/>
      <c r="C3987" s="15"/>
      <c r="D3987" s="16"/>
      <c r="E3987" s="16"/>
      <c r="F3987" s="20"/>
      <c r="G3987" s="17"/>
    </row>
    <row r="3988" spans="2:7" x14ac:dyDescent="0.25">
      <c r="B3988" s="15"/>
      <c r="C3988" s="15"/>
      <c r="D3988" s="16"/>
      <c r="E3988" s="16"/>
      <c r="F3988" s="20"/>
      <c r="G3988" s="17"/>
    </row>
    <row r="3989" spans="2:7" x14ac:dyDescent="0.25">
      <c r="B3989" s="15"/>
      <c r="C3989" s="15"/>
      <c r="D3989" s="16"/>
      <c r="E3989" s="16"/>
      <c r="F3989" s="20"/>
      <c r="G3989" s="17"/>
    </row>
    <row r="3990" spans="2:7" x14ac:dyDescent="0.25">
      <c r="B3990" s="15"/>
      <c r="C3990" s="15"/>
      <c r="D3990" s="16"/>
      <c r="E3990" s="16"/>
      <c r="F3990" s="20"/>
      <c r="G3990" s="17"/>
    </row>
    <row r="3991" spans="2:7" x14ac:dyDescent="0.25">
      <c r="B3991" s="15"/>
      <c r="C3991" s="15"/>
      <c r="D3991" s="16"/>
      <c r="E3991" s="16"/>
      <c r="F3991" s="20"/>
      <c r="G3991" s="17"/>
    </row>
    <row r="3992" spans="2:7" x14ac:dyDescent="0.25">
      <c r="B3992" s="15"/>
      <c r="C3992" s="15"/>
      <c r="D3992" s="16"/>
      <c r="E3992" s="16"/>
      <c r="F3992" s="20"/>
      <c r="G3992" s="17"/>
    </row>
    <row r="3993" spans="2:7" x14ac:dyDescent="0.25">
      <c r="B3993" s="15"/>
      <c r="C3993" s="15"/>
      <c r="D3993" s="16"/>
      <c r="E3993" s="16"/>
      <c r="F3993" s="20"/>
      <c r="G3993" s="17"/>
    </row>
    <row r="3994" spans="2:7" x14ac:dyDescent="0.25">
      <c r="B3994" s="15"/>
      <c r="C3994" s="15"/>
      <c r="D3994" s="16"/>
      <c r="E3994" s="16"/>
      <c r="F3994" s="20"/>
      <c r="G3994" s="17"/>
    </row>
    <row r="3995" spans="2:7" x14ac:dyDescent="0.25">
      <c r="B3995" s="15"/>
      <c r="C3995" s="15"/>
      <c r="D3995" s="16"/>
      <c r="E3995" s="16"/>
      <c r="F3995" s="20"/>
      <c r="G3995" s="17"/>
    </row>
    <row r="3996" spans="2:7" x14ac:dyDescent="0.25">
      <c r="B3996" s="15"/>
      <c r="C3996" s="15"/>
      <c r="D3996" s="16"/>
      <c r="E3996" s="16"/>
      <c r="F3996" s="20"/>
      <c r="G3996" s="17"/>
    </row>
    <row r="3997" spans="2:7" x14ac:dyDescent="0.25">
      <c r="B3997" s="15"/>
      <c r="C3997" s="15"/>
      <c r="D3997" s="16"/>
      <c r="E3997" s="16"/>
      <c r="F3997" s="20"/>
      <c r="G3997" s="17"/>
    </row>
    <row r="3998" spans="2:7" x14ac:dyDescent="0.25">
      <c r="B3998" s="15"/>
      <c r="C3998" s="15"/>
      <c r="D3998" s="16"/>
      <c r="E3998" s="16"/>
      <c r="F3998" s="20"/>
      <c r="G3998" s="17"/>
    </row>
    <row r="3999" spans="2:7" x14ac:dyDescent="0.25">
      <c r="B3999" s="15"/>
      <c r="C3999" s="15"/>
      <c r="D3999" s="16"/>
      <c r="E3999" s="16"/>
      <c r="F3999" s="20"/>
      <c r="G3999" s="17"/>
    </row>
    <row r="4000" spans="2:7" x14ac:dyDescent="0.25">
      <c r="B4000" s="15"/>
      <c r="C4000" s="15"/>
      <c r="D4000" s="16"/>
      <c r="E4000" s="16"/>
      <c r="F4000" s="20"/>
      <c r="G4000" s="17"/>
    </row>
    <row r="4001" spans="2:7" x14ac:dyDescent="0.25">
      <c r="B4001" s="15"/>
      <c r="C4001" s="15"/>
      <c r="D4001" s="16"/>
      <c r="E4001" s="16"/>
      <c r="F4001" s="20"/>
      <c r="G4001" s="17"/>
    </row>
    <row r="4002" spans="2:7" x14ac:dyDescent="0.25">
      <c r="B4002" s="15"/>
      <c r="C4002" s="15"/>
      <c r="D4002" s="16"/>
      <c r="E4002" s="16"/>
      <c r="F4002" s="20"/>
      <c r="G4002" s="17"/>
    </row>
    <row r="4003" spans="2:7" x14ac:dyDescent="0.25">
      <c r="B4003" s="15"/>
      <c r="C4003" s="15"/>
      <c r="D4003" s="16"/>
      <c r="E4003" s="16"/>
      <c r="F4003" s="20"/>
      <c r="G4003" s="17"/>
    </row>
    <row r="4004" spans="2:7" x14ac:dyDescent="0.25">
      <c r="B4004" s="15"/>
      <c r="C4004" s="15"/>
      <c r="D4004" s="16"/>
      <c r="E4004" s="16"/>
      <c r="F4004" s="20"/>
      <c r="G4004" s="17"/>
    </row>
    <row r="4005" spans="2:7" x14ac:dyDescent="0.25">
      <c r="B4005" s="15"/>
      <c r="C4005" s="15"/>
      <c r="D4005" s="16"/>
      <c r="E4005" s="16"/>
      <c r="F4005" s="20"/>
      <c r="G4005" s="17"/>
    </row>
    <row r="4006" spans="2:7" x14ac:dyDescent="0.25">
      <c r="B4006" s="15"/>
      <c r="C4006" s="15"/>
      <c r="D4006" s="16"/>
      <c r="E4006" s="16"/>
      <c r="F4006" s="20"/>
      <c r="G4006" s="17"/>
    </row>
    <row r="4007" spans="2:7" x14ac:dyDescent="0.25">
      <c r="B4007" s="15"/>
      <c r="C4007" s="15"/>
      <c r="D4007" s="16"/>
      <c r="E4007" s="16"/>
      <c r="F4007" s="20"/>
      <c r="G4007" s="17"/>
    </row>
    <row r="4008" spans="2:7" x14ac:dyDescent="0.25">
      <c r="B4008" s="15"/>
      <c r="C4008" s="15"/>
      <c r="D4008" s="16"/>
      <c r="E4008" s="16"/>
      <c r="F4008" s="20"/>
      <c r="G4008" s="17"/>
    </row>
    <row r="4009" spans="2:7" x14ac:dyDescent="0.25">
      <c r="B4009" s="15"/>
      <c r="C4009" s="15"/>
      <c r="D4009" s="16"/>
      <c r="E4009" s="16"/>
      <c r="F4009" s="20"/>
      <c r="G4009" s="17"/>
    </row>
    <row r="4010" spans="2:7" x14ac:dyDescent="0.25">
      <c r="B4010" s="15"/>
      <c r="C4010" s="15"/>
      <c r="D4010" s="16"/>
      <c r="E4010" s="16"/>
      <c r="F4010" s="20"/>
      <c r="G4010" s="17"/>
    </row>
    <row r="4011" spans="2:7" x14ac:dyDescent="0.25">
      <c r="B4011" s="15"/>
      <c r="C4011" s="15"/>
      <c r="D4011" s="16"/>
      <c r="E4011" s="16"/>
      <c r="F4011" s="20"/>
      <c r="G4011" s="17"/>
    </row>
    <row r="4012" spans="2:7" x14ac:dyDescent="0.25">
      <c r="B4012" s="15"/>
      <c r="C4012" s="15"/>
      <c r="D4012" s="16"/>
      <c r="E4012" s="16"/>
      <c r="F4012" s="20"/>
      <c r="G4012" s="17"/>
    </row>
    <row r="4013" spans="2:7" x14ac:dyDescent="0.25">
      <c r="B4013" s="15"/>
      <c r="C4013" s="15"/>
      <c r="D4013" s="16"/>
      <c r="E4013" s="16"/>
      <c r="F4013" s="20"/>
      <c r="G4013" s="17"/>
    </row>
    <row r="4014" spans="2:7" x14ac:dyDescent="0.25">
      <c r="B4014" s="15"/>
      <c r="C4014" s="15"/>
      <c r="D4014" s="16"/>
      <c r="E4014" s="16"/>
      <c r="F4014" s="20"/>
      <c r="G4014" s="17"/>
    </row>
    <row r="4015" spans="2:7" x14ac:dyDescent="0.25">
      <c r="B4015" s="15"/>
      <c r="C4015" s="15"/>
      <c r="D4015" s="16"/>
      <c r="E4015" s="16"/>
      <c r="F4015" s="20"/>
      <c r="G4015" s="17"/>
    </row>
    <row r="4016" spans="2:7" x14ac:dyDescent="0.25">
      <c r="B4016" s="15"/>
      <c r="C4016" s="15"/>
      <c r="D4016" s="16"/>
      <c r="E4016" s="16"/>
      <c r="F4016" s="20"/>
      <c r="G4016" s="17"/>
    </row>
    <row r="4017" spans="2:7" x14ac:dyDescent="0.25">
      <c r="B4017" s="15"/>
      <c r="C4017" s="15"/>
      <c r="D4017" s="16"/>
      <c r="E4017" s="16"/>
      <c r="F4017" s="20"/>
      <c r="G4017" s="17"/>
    </row>
    <row r="4018" spans="2:7" x14ac:dyDescent="0.25">
      <c r="B4018" s="15"/>
      <c r="C4018" s="15"/>
      <c r="D4018" s="16"/>
      <c r="E4018" s="16"/>
      <c r="F4018" s="20"/>
      <c r="G4018" s="17"/>
    </row>
    <row r="4019" spans="2:7" x14ac:dyDescent="0.25">
      <c r="B4019" s="15"/>
      <c r="C4019" s="15"/>
      <c r="D4019" s="16"/>
      <c r="E4019" s="16"/>
      <c r="F4019" s="20"/>
      <c r="G4019" s="17"/>
    </row>
    <row r="4020" spans="2:7" x14ac:dyDescent="0.25">
      <c r="B4020" s="15"/>
      <c r="C4020" s="15"/>
      <c r="D4020" s="16"/>
      <c r="E4020" s="16"/>
      <c r="F4020" s="20"/>
      <c r="G4020" s="17"/>
    </row>
    <row r="4021" spans="2:7" x14ac:dyDescent="0.25">
      <c r="B4021" s="15"/>
      <c r="C4021" s="15"/>
      <c r="D4021" s="16"/>
      <c r="E4021" s="16"/>
      <c r="F4021" s="20"/>
      <c r="G4021" s="17"/>
    </row>
    <row r="4022" spans="2:7" x14ac:dyDescent="0.25">
      <c r="B4022" s="15"/>
      <c r="C4022" s="15"/>
      <c r="D4022" s="16"/>
      <c r="E4022" s="16"/>
      <c r="F4022" s="20"/>
      <c r="G4022" s="17"/>
    </row>
    <row r="4023" spans="2:7" x14ac:dyDescent="0.25">
      <c r="B4023" s="15"/>
      <c r="C4023" s="15"/>
      <c r="D4023" s="16"/>
      <c r="E4023" s="16"/>
      <c r="F4023" s="20"/>
      <c r="G4023" s="17"/>
    </row>
    <row r="4024" spans="2:7" x14ac:dyDescent="0.25">
      <c r="B4024" s="15"/>
      <c r="C4024" s="15"/>
      <c r="D4024" s="16"/>
      <c r="E4024" s="16"/>
      <c r="F4024" s="20"/>
      <c r="G4024" s="17"/>
    </row>
    <row r="4025" spans="2:7" x14ac:dyDescent="0.25">
      <c r="B4025" s="15"/>
      <c r="C4025" s="15"/>
      <c r="D4025" s="16"/>
      <c r="E4025" s="16"/>
      <c r="F4025" s="20"/>
      <c r="G4025" s="17"/>
    </row>
    <row r="4026" spans="2:7" x14ac:dyDescent="0.25">
      <c r="B4026" s="15"/>
      <c r="C4026" s="15"/>
      <c r="D4026" s="16"/>
      <c r="E4026" s="16"/>
      <c r="F4026" s="20"/>
      <c r="G4026" s="17"/>
    </row>
    <row r="4027" spans="2:7" x14ac:dyDescent="0.25">
      <c r="B4027" s="15"/>
      <c r="C4027" s="15"/>
      <c r="D4027" s="16"/>
      <c r="E4027" s="16"/>
      <c r="F4027" s="20"/>
      <c r="G4027" s="17"/>
    </row>
    <row r="4028" spans="2:7" x14ac:dyDescent="0.25">
      <c r="B4028" s="15"/>
      <c r="C4028" s="15"/>
      <c r="D4028" s="16"/>
      <c r="E4028" s="16"/>
      <c r="F4028" s="20"/>
      <c r="G4028" s="17"/>
    </row>
    <row r="4029" spans="2:7" x14ac:dyDescent="0.25">
      <c r="B4029" s="15"/>
      <c r="C4029" s="15"/>
      <c r="D4029" s="16"/>
      <c r="E4029" s="16"/>
      <c r="F4029" s="20"/>
      <c r="G4029" s="17"/>
    </row>
    <row r="4030" spans="2:7" x14ac:dyDescent="0.25">
      <c r="B4030" s="15"/>
      <c r="C4030" s="15"/>
      <c r="D4030" s="16"/>
      <c r="E4030" s="16"/>
      <c r="F4030" s="20"/>
      <c r="G4030" s="17"/>
    </row>
    <row r="4031" spans="2:7" x14ac:dyDescent="0.25">
      <c r="B4031" s="15"/>
      <c r="C4031" s="15"/>
      <c r="D4031" s="16"/>
      <c r="E4031" s="16"/>
      <c r="F4031" s="20"/>
      <c r="G4031" s="17"/>
    </row>
    <row r="4032" spans="2:7" x14ac:dyDescent="0.25">
      <c r="B4032" s="15"/>
      <c r="C4032" s="15"/>
      <c r="D4032" s="16"/>
      <c r="E4032" s="16"/>
      <c r="F4032" s="20"/>
      <c r="G4032" s="17"/>
    </row>
    <row r="4033" spans="2:7" x14ac:dyDescent="0.25">
      <c r="B4033" s="15"/>
      <c r="C4033" s="15"/>
      <c r="D4033" s="16"/>
      <c r="E4033" s="16"/>
      <c r="F4033" s="20"/>
      <c r="G4033" s="17"/>
    </row>
    <row r="4034" spans="2:7" x14ac:dyDescent="0.25">
      <c r="B4034" s="15"/>
      <c r="C4034" s="15"/>
      <c r="D4034" s="16"/>
      <c r="E4034" s="16"/>
      <c r="F4034" s="20"/>
      <c r="G4034" s="17"/>
    </row>
    <row r="4035" spans="2:7" x14ac:dyDescent="0.25">
      <c r="B4035" s="15"/>
      <c r="C4035" s="15"/>
      <c r="D4035" s="16"/>
      <c r="E4035" s="16"/>
      <c r="F4035" s="20"/>
      <c r="G4035" s="17"/>
    </row>
    <row r="4036" spans="2:7" x14ac:dyDescent="0.25">
      <c r="B4036" s="15"/>
      <c r="C4036" s="15"/>
      <c r="D4036" s="16"/>
      <c r="E4036" s="16"/>
      <c r="F4036" s="20"/>
      <c r="G4036" s="17"/>
    </row>
    <row r="4037" spans="2:7" x14ac:dyDescent="0.25">
      <c r="B4037" s="15"/>
      <c r="C4037" s="15"/>
      <c r="D4037" s="16"/>
      <c r="E4037" s="16"/>
      <c r="F4037" s="20"/>
      <c r="G4037" s="17"/>
    </row>
    <row r="4038" spans="2:7" x14ac:dyDescent="0.25">
      <c r="B4038" s="15"/>
      <c r="C4038" s="15"/>
      <c r="D4038" s="16"/>
      <c r="E4038" s="16"/>
      <c r="F4038" s="20"/>
      <c r="G4038" s="17"/>
    </row>
    <row r="4039" spans="2:7" x14ac:dyDescent="0.25">
      <c r="B4039" s="15"/>
      <c r="C4039" s="15"/>
      <c r="D4039" s="16"/>
      <c r="E4039" s="16"/>
      <c r="F4039" s="20"/>
      <c r="G4039" s="17"/>
    </row>
    <row r="4040" spans="2:7" x14ac:dyDescent="0.25">
      <c r="B4040" s="15"/>
      <c r="C4040" s="15"/>
      <c r="D4040" s="16"/>
      <c r="E4040" s="16"/>
      <c r="F4040" s="20"/>
      <c r="G4040" s="17"/>
    </row>
    <row r="4041" spans="2:7" x14ac:dyDescent="0.25">
      <c r="B4041" s="15"/>
      <c r="C4041" s="15"/>
      <c r="D4041" s="16"/>
      <c r="E4041" s="16"/>
      <c r="F4041" s="20"/>
      <c r="G4041" s="17"/>
    </row>
    <row r="4042" spans="2:7" x14ac:dyDescent="0.25">
      <c r="B4042" s="15"/>
      <c r="C4042" s="15"/>
      <c r="D4042" s="16"/>
      <c r="E4042" s="16"/>
      <c r="F4042" s="20"/>
      <c r="G4042" s="17"/>
    </row>
    <row r="4043" spans="2:7" x14ac:dyDescent="0.25">
      <c r="B4043" s="15"/>
      <c r="C4043" s="15"/>
      <c r="D4043" s="16"/>
      <c r="E4043" s="16"/>
      <c r="F4043" s="20"/>
      <c r="G4043" s="17"/>
    </row>
    <row r="4044" spans="2:7" x14ac:dyDescent="0.25">
      <c r="B4044" s="15"/>
      <c r="C4044" s="15"/>
      <c r="D4044" s="16"/>
      <c r="E4044" s="16"/>
      <c r="F4044" s="20"/>
      <c r="G4044" s="17"/>
    </row>
    <row r="4045" spans="2:7" x14ac:dyDescent="0.25">
      <c r="B4045" s="15"/>
      <c r="C4045" s="15"/>
      <c r="D4045" s="16"/>
      <c r="E4045" s="16"/>
      <c r="F4045" s="20"/>
      <c r="G4045" s="17"/>
    </row>
    <row r="4046" spans="2:7" x14ac:dyDescent="0.25">
      <c r="B4046" s="15"/>
      <c r="C4046" s="15"/>
      <c r="D4046" s="16"/>
      <c r="E4046" s="16"/>
      <c r="F4046" s="20"/>
      <c r="G4046" s="17"/>
    </row>
    <row r="4047" spans="2:7" x14ac:dyDescent="0.25">
      <c r="B4047" s="15"/>
      <c r="C4047" s="15"/>
      <c r="D4047" s="16"/>
      <c r="E4047" s="16"/>
      <c r="F4047" s="20"/>
      <c r="G4047" s="17"/>
    </row>
    <row r="4048" spans="2:7" x14ac:dyDescent="0.25">
      <c r="B4048" s="15"/>
      <c r="C4048" s="15"/>
      <c r="D4048" s="16"/>
      <c r="E4048" s="16"/>
      <c r="F4048" s="20"/>
      <c r="G4048" s="17"/>
    </row>
    <row r="4049" spans="2:7" x14ac:dyDescent="0.25">
      <c r="B4049" s="15"/>
      <c r="C4049" s="15"/>
      <c r="D4049" s="16"/>
      <c r="E4049" s="16"/>
      <c r="F4049" s="20"/>
      <c r="G4049" s="17"/>
    </row>
    <row r="4050" spans="2:7" x14ac:dyDescent="0.25">
      <c r="B4050" s="15"/>
      <c r="C4050" s="15"/>
      <c r="D4050" s="16"/>
      <c r="E4050" s="16"/>
      <c r="F4050" s="20"/>
      <c r="G4050" s="17"/>
    </row>
    <row r="4051" spans="2:7" x14ac:dyDescent="0.25">
      <c r="B4051" s="15"/>
      <c r="C4051" s="15"/>
      <c r="D4051" s="16"/>
      <c r="E4051" s="16"/>
      <c r="F4051" s="20"/>
      <c r="G4051" s="17"/>
    </row>
    <row r="4052" spans="2:7" x14ac:dyDescent="0.25">
      <c r="B4052" s="15"/>
      <c r="C4052" s="15"/>
      <c r="D4052" s="16"/>
      <c r="E4052" s="16"/>
      <c r="F4052" s="20"/>
      <c r="G4052" s="17"/>
    </row>
    <row r="4053" spans="2:7" x14ac:dyDescent="0.25">
      <c r="B4053" s="15"/>
      <c r="C4053" s="15"/>
      <c r="D4053" s="16"/>
      <c r="E4053" s="16"/>
      <c r="F4053" s="20"/>
      <c r="G4053" s="17"/>
    </row>
    <row r="4054" spans="2:7" x14ac:dyDescent="0.25">
      <c r="B4054" s="15"/>
      <c r="C4054" s="15"/>
      <c r="D4054" s="16"/>
      <c r="E4054" s="16"/>
      <c r="F4054" s="20"/>
      <c r="G4054" s="17"/>
    </row>
    <row r="4055" spans="2:7" x14ac:dyDescent="0.25">
      <c r="B4055" s="15"/>
      <c r="C4055" s="15"/>
      <c r="D4055" s="16"/>
      <c r="E4055" s="16"/>
      <c r="F4055" s="20"/>
      <c r="G4055" s="17"/>
    </row>
    <row r="4056" spans="2:7" x14ac:dyDescent="0.25">
      <c r="B4056" s="15"/>
      <c r="C4056" s="15"/>
      <c r="D4056" s="16"/>
      <c r="E4056" s="16"/>
      <c r="F4056" s="20"/>
      <c r="G4056" s="17"/>
    </row>
    <row r="4057" spans="2:7" x14ac:dyDescent="0.25">
      <c r="B4057" s="15"/>
      <c r="C4057" s="15"/>
      <c r="D4057" s="16"/>
      <c r="E4057" s="16"/>
      <c r="F4057" s="20"/>
      <c r="G4057" s="17"/>
    </row>
    <row r="4058" spans="2:7" x14ac:dyDescent="0.25">
      <c r="B4058" s="15"/>
      <c r="C4058" s="15"/>
      <c r="D4058" s="16"/>
      <c r="E4058" s="16"/>
      <c r="F4058" s="20"/>
      <c r="G4058" s="17"/>
    </row>
    <row r="4059" spans="2:7" x14ac:dyDescent="0.25">
      <c r="B4059" s="15"/>
      <c r="C4059" s="15"/>
      <c r="D4059" s="16"/>
      <c r="E4059" s="16"/>
      <c r="F4059" s="20"/>
      <c r="G4059" s="17"/>
    </row>
    <row r="4060" spans="2:7" x14ac:dyDescent="0.25">
      <c r="B4060" s="15"/>
      <c r="C4060" s="15"/>
      <c r="D4060" s="16"/>
      <c r="E4060" s="16"/>
      <c r="F4060" s="20"/>
      <c r="G4060" s="17"/>
    </row>
    <row r="4061" spans="2:7" x14ac:dyDescent="0.25">
      <c r="B4061" s="15"/>
      <c r="C4061" s="15"/>
      <c r="D4061" s="16"/>
      <c r="E4061" s="16"/>
      <c r="F4061" s="20"/>
      <c r="G4061" s="17"/>
    </row>
    <row r="4062" spans="2:7" x14ac:dyDescent="0.25">
      <c r="B4062" s="15"/>
      <c r="C4062" s="15"/>
      <c r="D4062" s="16"/>
      <c r="E4062" s="16"/>
      <c r="F4062" s="20"/>
      <c r="G4062" s="17"/>
    </row>
    <row r="4063" spans="2:7" x14ac:dyDescent="0.25">
      <c r="B4063" s="15"/>
      <c r="C4063" s="15"/>
      <c r="D4063" s="16"/>
      <c r="E4063" s="16"/>
      <c r="F4063" s="20"/>
      <c r="G4063" s="17"/>
    </row>
    <row r="4064" spans="2:7" x14ac:dyDescent="0.25">
      <c r="B4064" s="15"/>
      <c r="C4064" s="15"/>
      <c r="D4064" s="16"/>
      <c r="E4064" s="16"/>
      <c r="F4064" s="20"/>
      <c r="G4064" s="17"/>
    </row>
    <row r="4065" spans="2:7" x14ac:dyDescent="0.25">
      <c r="B4065" s="15"/>
      <c r="C4065" s="15"/>
      <c r="D4065" s="16"/>
      <c r="E4065" s="16"/>
      <c r="F4065" s="20"/>
      <c r="G4065" s="17"/>
    </row>
    <row r="4066" spans="2:7" x14ac:dyDescent="0.25">
      <c r="B4066" s="15"/>
      <c r="C4066" s="15"/>
      <c r="D4066" s="16"/>
      <c r="E4066" s="16"/>
      <c r="F4066" s="20"/>
      <c r="G4066" s="17"/>
    </row>
    <row r="4067" spans="2:7" x14ac:dyDescent="0.25">
      <c r="B4067" s="15"/>
      <c r="C4067" s="15"/>
      <c r="D4067" s="16"/>
      <c r="E4067" s="16"/>
      <c r="F4067" s="20"/>
      <c r="G4067" s="17"/>
    </row>
    <row r="4068" spans="2:7" x14ac:dyDescent="0.25">
      <c r="B4068" s="15"/>
      <c r="C4068" s="15"/>
      <c r="D4068" s="16"/>
      <c r="E4068" s="16"/>
      <c r="F4068" s="20"/>
      <c r="G4068" s="17"/>
    </row>
    <row r="4069" spans="2:7" x14ac:dyDescent="0.25">
      <c r="B4069" s="15"/>
      <c r="C4069" s="15"/>
      <c r="D4069" s="16"/>
      <c r="E4069" s="16"/>
      <c r="F4069" s="20"/>
      <c r="G4069" s="17"/>
    </row>
    <row r="4070" spans="2:7" x14ac:dyDescent="0.25">
      <c r="B4070" s="15"/>
      <c r="C4070" s="15"/>
      <c r="D4070" s="16"/>
      <c r="E4070" s="16"/>
      <c r="F4070" s="20"/>
      <c r="G4070" s="17"/>
    </row>
    <row r="4071" spans="2:7" x14ac:dyDescent="0.25">
      <c r="B4071" s="15"/>
      <c r="C4071" s="15"/>
      <c r="D4071" s="16"/>
      <c r="E4071" s="16"/>
      <c r="F4071" s="20"/>
      <c r="G4071" s="17"/>
    </row>
    <row r="4072" spans="2:7" x14ac:dyDescent="0.25">
      <c r="B4072" s="15"/>
      <c r="C4072" s="15"/>
      <c r="D4072" s="16"/>
      <c r="E4072" s="16"/>
      <c r="F4072" s="20"/>
      <c r="G4072" s="17"/>
    </row>
    <row r="4073" spans="2:7" x14ac:dyDescent="0.25">
      <c r="B4073" s="15"/>
      <c r="C4073" s="15"/>
      <c r="D4073" s="16"/>
      <c r="E4073" s="16"/>
      <c r="F4073" s="20"/>
      <c r="G4073" s="17"/>
    </row>
    <row r="4074" spans="2:7" x14ac:dyDescent="0.25">
      <c r="B4074" s="15"/>
      <c r="C4074" s="15"/>
      <c r="D4074" s="16"/>
      <c r="E4074" s="16"/>
      <c r="F4074" s="20"/>
      <c r="G4074" s="17"/>
    </row>
    <row r="4075" spans="2:7" x14ac:dyDescent="0.25">
      <c r="B4075" s="15"/>
      <c r="C4075" s="15"/>
      <c r="D4075" s="16"/>
      <c r="E4075" s="16"/>
      <c r="F4075" s="20"/>
      <c r="G4075" s="17"/>
    </row>
    <row r="4076" spans="2:7" x14ac:dyDescent="0.25">
      <c r="B4076" s="15"/>
      <c r="C4076" s="15"/>
      <c r="D4076" s="16"/>
      <c r="E4076" s="16"/>
      <c r="F4076" s="20"/>
      <c r="G4076" s="17"/>
    </row>
    <row r="4077" spans="2:7" x14ac:dyDescent="0.25">
      <c r="B4077" s="15"/>
      <c r="C4077" s="15"/>
      <c r="D4077" s="16"/>
      <c r="E4077" s="16"/>
      <c r="F4077" s="20"/>
      <c r="G4077" s="17"/>
    </row>
    <row r="4078" spans="2:7" x14ac:dyDescent="0.25">
      <c r="B4078" s="15"/>
      <c r="C4078" s="15"/>
      <c r="D4078" s="16"/>
      <c r="E4078" s="16"/>
      <c r="F4078" s="20"/>
      <c r="G4078" s="17"/>
    </row>
    <row r="4079" spans="2:7" x14ac:dyDescent="0.25">
      <c r="B4079" s="15"/>
      <c r="C4079" s="15"/>
      <c r="D4079" s="16"/>
      <c r="E4079" s="16"/>
      <c r="F4079" s="20"/>
      <c r="G4079" s="17"/>
    </row>
    <row r="4080" spans="2:7" x14ac:dyDescent="0.25">
      <c r="B4080" s="15"/>
      <c r="C4080" s="15"/>
      <c r="D4080" s="16"/>
      <c r="E4080" s="16"/>
      <c r="F4080" s="20"/>
      <c r="G4080" s="17"/>
    </row>
    <row r="4081" spans="2:7" x14ac:dyDescent="0.25">
      <c r="B4081" s="15"/>
      <c r="C4081" s="15"/>
      <c r="D4081" s="16"/>
      <c r="E4081" s="16"/>
      <c r="F4081" s="20"/>
      <c r="G4081" s="17"/>
    </row>
    <row r="4082" spans="2:7" x14ac:dyDescent="0.25">
      <c r="B4082" s="15"/>
      <c r="C4082" s="15"/>
      <c r="D4082" s="16"/>
      <c r="E4082" s="16"/>
      <c r="F4082" s="20"/>
      <c r="G4082" s="17"/>
    </row>
    <row r="4083" spans="2:7" x14ac:dyDescent="0.25">
      <c r="B4083" s="15"/>
      <c r="C4083" s="15"/>
      <c r="D4083" s="16"/>
      <c r="E4083" s="16"/>
      <c r="F4083" s="20"/>
      <c r="G4083" s="17"/>
    </row>
    <row r="4084" spans="2:7" x14ac:dyDescent="0.25">
      <c r="B4084" s="15"/>
      <c r="C4084" s="15"/>
      <c r="D4084" s="16"/>
      <c r="E4084" s="16"/>
      <c r="F4084" s="20"/>
      <c r="G4084" s="17"/>
    </row>
    <row r="4085" spans="2:7" x14ac:dyDescent="0.25">
      <c r="B4085" s="15"/>
      <c r="C4085" s="15"/>
      <c r="D4085" s="16"/>
      <c r="E4085" s="16"/>
      <c r="F4085" s="20"/>
      <c r="G4085" s="17"/>
    </row>
    <row r="4086" spans="2:7" x14ac:dyDescent="0.25">
      <c r="B4086" s="15"/>
      <c r="C4086" s="15"/>
      <c r="D4086" s="16"/>
      <c r="E4086" s="16"/>
      <c r="F4086" s="20"/>
      <c r="G4086" s="17"/>
    </row>
    <row r="4087" spans="2:7" x14ac:dyDescent="0.25">
      <c r="B4087" s="15"/>
      <c r="C4087" s="15"/>
      <c r="D4087" s="16"/>
      <c r="E4087" s="16"/>
      <c r="F4087" s="20"/>
      <c r="G4087" s="17"/>
    </row>
    <row r="4088" spans="2:7" x14ac:dyDescent="0.25">
      <c r="B4088" s="15"/>
      <c r="C4088" s="15"/>
      <c r="D4088" s="16"/>
      <c r="E4088" s="16"/>
      <c r="F4088" s="20"/>
      <c r="G4088" s="17"/>
    </row>
    <row r="4089" spans="2:7" x14ac:dyDescent="0.25">
      <c r="B4089" s="15"/>
      <c r="C4089" s="15"/>
      <c r="D4089" s="16"/>
      <c r="E4089" s="16"/>
      <c r="F4089" s="20"/>
      <c r="G4089" s="17"/>
    </row>
    <row r="4090" spans="2:7" x14ac:dyDescent="0.25">
      <c r="B4090" s="15"/>
      <c r="C4090" s="15"/>
      <c r="D4090" s="16"/>
      <c r="E4090" s="16"/>
      <c r="F4090" s="20"/>
      <c r="G4090" s="17"/>
    </row>
    <row r="4091" spans="2:7" x14ac:dyDescent="0.25">
      <c r="B4091" s="15"/>
      <c r="C4091" s="15"/>
      <c r="D4091" s="16"/>
      <c r="E4091" s="16"/>
      <c r="F4091" s="20"/>
      <c r="G4091" s="17"/>
    </row>
    <row r="4092" spans="2:7" x14ac:dyDescent="0.25">
      <c r="B4092" s="15"/>
      <c r="C4092" s="15"/>
      <c r="D4092" s="16"/>
      <c r="E4092" s="16"/>
      <c r="F4092" s="20"/>
      <c r="G4092" s="17"/>
    </row>
    <row r="4093" spans="2:7" x14ac:dyDescent="0.25">
      <c r="B4093" s="15"/>
      <c r="C4093" s="15"/>
      <c r="D4093" s="16"/>
      <c r="E4093" s="16"/>
      <c r="F4093" s="20"/>
      <c r="G4093" s="17"/>
    </row>
    <row r="4094" spans="2:7" x14ac:dyDescent="0.25">
      <c r="B4094" s="15"/>
      <c r="C4094" s="15"/>
      <c r="D4094" s="16"/>
      <c r="E4094" s="16"/>
      <c r="F4094" s="20"/>
      <c r="G4094" s="17"/>
    </row>
    <row r="4095" spans="2:7" x14ac:dyDescent="0.25">
      <c r="B4095" s="15"/>
      <c r="C4095" s="15"/>
      <c r="D4095" s="16"/>
      <c r="E4095" s="16"/>
      <c r="F4095" s="20"/>
      <c r="G4095" s="17"/>
    </row>
    <row r="4096" spans="2:7" x14ac:dyDescent="0.25">
      <c r="B4096" s="15"/>
      <c r="C4096" s="15"/>
      <c r="D4096" s="16"/>
      <c r="E4096" s="16"/>
      <c r="F4096" s="20"/>
      <c r="G4096" s="17"/>
    </row>
    <row r="4097" spans="2:7" x14ac:dyDescent="0.25">
      <c r="B4097" s="15"/>
      <c r="C4097" s="15"/>
      <c r="D4097" s="16"/>
      <c r="E4097" s="16"/>
      <c r="F4097" s="20"/>
      <c r="G4097" s="17"/>
    </row>
    <row r="4098" spans="2:7" x14ac:dyDescent="0.25">
      <c r="B4098" s="15"/>
      <c r="C4098" s="15"/>
      <c r="D4098" s="16"/>
      <c r="E4098" s="16"/>
      <c r="F4098" s="20"/>
      <c r="G4098" s="17"/>
    </row>
    <row r="4099" spans="2:7" x14ac:dyDescent="0.25">
      <c r="B4099" s="15"/>
      <c r="C4099" s="15"/>
      <c r="D4099" s="16"/>
      <c r="E4099" s="16"/>
      <c r="F4099" s="20"/>
      <c r="G4099" s="17"/>
    </row>
    <row r="4100" spans="2:7" x14ac:dyDescent="0.25">
      <c r="B4100" s="15"/>
      <c r="C4100" s="15"/>
      <c r="D4100" s="16"/>
      <c r="E4100" s="16"/>
      <c r="F4100" s="20"/>
      <c r="G4100" s="17"/>
    </row>
    <row r="4101" spans="2:7" x14ac:dyDescent="0.25">
      <c r="B4101" s="15"/>
      <c r="C4101" s="15"/>
      <c r="D4101" s="16"/>
      <c r="E4101" s="16"/>
      <c r="F4101" s="20"/>
      <c r="G4101" s="17"/>
    </row>
    <row r="4102" spans="2:7" x14ac:dyDescent="0.25">
      <c r="B4102" s="15"/>
      <c r="C4102" s="15"/>
      <c r="D4102" s="16"/>
      <c r="E4102" s="16"/>
      <c r="F4102" s="20"/>
      <c r="G4102" s="17"/>
    </row>
    <row r="4103" spans="2:7" x14ac:dyDescent="0.25">
      <c r="B4103" s="15"/>
      <c r="C4103" s="15"/>
      <c r="D4103" s="16"/>
      <c r="E4103" s="16"/>
      <c r="F4103" s="20"/>
      <c r="G4103" s="17"/>
    </row>
    <row r="4104" spans="2:7" x14ac:dyDescent="0.25">
      <c r="B4104" s="15"/>
      <c r="C4104" s="15"/>
      <c r="D4104" s="16"/>
      <c r="E4104" s="16"/>
      <c r="F4104" s="20"/>
      <c r="G4104" s="17"/>
    </row>
    <row r="4105" spans="2:7" x14ac:dyDescent="0.25">
      <c r="B4105" s="15"/>
      <c r="C4105" s="15"/>
      <c r="D4105" s="16"/>
      <c r="E4105" s="16"/>
      <c r="F4105" s="20"/>
      <c r="G4105" s="17"/>
    </row>
    <row r="4106" spans="2:7" x14ac:dyDescent="0.25">
      <c r="B4106" s="15"/>
      <c r="C4106" s="15"/>
      <c r="D4106" s="16"/>
      <c r="E4106" s="16"/>
      <c r="F4106" s="20"/>
      <c r="G4106" s="17"/>
    </row>
    <row r="4107" spans="2:7" x14ac:dyDescent="0.25">
      <c r="B4107" s="15"/>
      <c r="C4107" s="15"/>
      <c r="D4107" s="16"/>
      <c r="E4107" s="16"/>
      <c r="F4107" s="20"/>
      <c r="G4107" s="17"/>
    </row>
    <row r="4108" spans="2:7" x14ac:dyDescent="0.25">
      <c r="B4108" s="15"/>
      <c r="C4108" s="15"/>
      <c r="D4108" s="16"/>
      <c r="E4108" s="16"/>
      <c r="F4108" s="20"/>
      <c r="G4108" s="17"/>
    </row>
    <row r="4109" spans="2:7" x14ac:dyDescent="0.25">
      <c r="B4109" s="15"/>
      <c r="C4109" s="15"/>
      <c r="D4109" s="16"/>
      <c r="E4109" s="16"/>
      <c r="F4109" s="20"/>
      <c r="G4109" s="17"/>
    </row>
    <row r="4110" spans="2:7" x14ac:dyDescent="0.25">
      <c r="B4110" s="15"/>
      <c r="C4110" s="15"/>
      <c r="D4110" s="16"/>
      <c r="E4110" s="16"/>
      <c r="F4110" s="20"/>
      <c r="G4110" s="17"/>
    </row>
    <row r="4111" spans="2:7" x14ac:dyDescent="0.25">
      <c r="B4111" s="15"/>
      <c r="C4111" s="15"/>
      <c r="D4111" s="16"/>
      <c r="E4111" s="16"/>
      <c r="F4111" s="20"/>
      <c r="G4111" s="17"/>
    </row>
    <row r="4112" spans="2:7" x14ac:dyDescent="0.25">
      <c r="B4112" s="15"/>
      <c r="C4112" s="15"/>
      <c r="D4112" s="16"/>
      <c r="E4112" s="16"/>
      <c r="F4112" s="20"/>
      <c r="G4112" s="17"/>
    </row>
    <row r="4113" spans="2:7" x14ac:dyDescent="0.25">
      <c r="B4113" s="15"/>
      <c r="C4113" s="15"/>
      <c r="D4113" s="16"/>
      <c r="E4113" s="16"/>
      <c r="F4113" s="20"/>
      <c r="G4113" s="17"/>
    </row>
    <row r="4114" spans="2:7" x14ac:dyDescent="0.25">
      <c r="B4114" s="15"/>
      <c r="C4114" s="15"/>
      <c r="D4114" s="16"/>
      <c r="E4114" s="16"/>
      <c r="F4114" s="20"/>
      <c r="G4114" s="17"/>
    </row>
    <row r="4115" spans="2:7" x14ac:dyDescent="0.25">
      <c r="B4115" s="15"/>
      <c r="C4115" s="15"/>
      <c r="D4115" s="16"/>
      <c r="E4115" s="16"/>
      <c r="F4115" s="20"/>
      <c r="G4115" s="17"/>
    </row>
    <row r="4116" spans="2:7" x14ac:dyDescent="0.25">
      <c r="B4116" s="15"/>
      <c r="C4116" s="15"/>
      <c r="D4116" s="16"/>
      <c r="E4116" s="16"/>
      <c r="F4116" s="20"/>
      <c r="G4116" s="17"/>
    </row>
    <row r="4117" spans="2:7" x14ac:dyDescent="0.25">
      <c r="B4117" s="15"/>
      <c r="C4117" s="15"/>
      <c r="D4117" s="16"/>
      <c r="E4117" s="16"/>
      <c r="F4117" s="20"/>
      <c r="G4117" s="17"/>
    </row>
    <row r="4118" spans="2:7" x14ac:dyDescent="0.25">
      <c r="B4118" s="15"/>
      <c r="C4118" s="15"/>
      <c r="D4118" s="16"/>
      <c r="E4118" s="16"/>
      <c r="F4118" s="20"/>
      <c r="G4118" s="17"/>
    </row>
    <row r="4119" spans="2:7" x14ac:dyDescent="0.25">
      <c r="B4119" s="15"/>
      <c r="C4119" s="15"/>
      <c r="D4119" s="16"/>
      <c r="E4119" s="16"/>
      <c r="F4119" s="20"/>
      <c r="G4119" s="17"/>
    </row>
    <row r="4120" spans="2:7" x14ac:dyDescent="0.25">
      <c r="B4120" s="15"/>
      <c r="C4120" s="15"/>
      <c r="D4120" s="16"/>
      <c r="E4120" s="16"/>
      <c r="F4120" s="20"/>
      <c r="G4120" s="17"/>
    </row>
    <row r="4121" spans="2:7" x14ac:dyDescent="0.25">
      <c r="B4121" s="15"/>
      <c r="C4121" s="15"/>
      <c r="D4121" s="16"/>
      <c r="E4121" s="16"/>
      <c r="F4121" s="20"/>
      <c r="G4121" s="17"/>
    </row>
    <row r="4122" spans="2:7" x14ac:dyDescent="0.25">
      <c r="B4122" s="15"/>
      <c r="C4122" s="15"/>
      <c r="D4122" s="16"/>
      <c r="E4122" s="16"/>
      <c r="F4122" s="20"/>
      <c r="G4122" s="17"/>
    </row>
    <row r="4123" spans="2:7" x14ac:dyDescent="0.25">
      <c r="B4123" s="15"/>
      <c r="C4123" s="15"/>
      <c r="D4123" s="16"/>
      <c r="E4123" s="16"/>
      <c r="F4123" s="20"/>
      <c r="G4123" s="17"/>
    </row>
    <row r="4124" spans="2:7" x14ac:dyDescent="0.25">
      <c r="B4124" s="15"/>
      <c r="C4124" s="15"/>
      <c r="D4124" s="16"/>
      <c r="E4124" s="16"/>
      <c r="F4124" s="20"/>
      <c r="G4124" s="17"/>
    </row>
    <row r="4125" spans="2:7" x14ac:dyDescent="0.25">
      <c r="B4125" s="15"/>
      <c r="C4125" s="15"/>
      <c r="D4125" s="16"/>
      <c r="E4125" s="16"/>
      <c r="F4125" s="20"/>
      <c r="G4125" s="17"/>
    </row>
    <row r="4126" spans="2:7" x14ac:dyDescent="0.25">
      <c r="B4126" s="15"/>
      <c r="C4126" s="15"/>
      <c r="D4126" s="16"/>
      <c r="E4126" s="16"/>
      <c r="F4126" s="20"/>
      <c r="G4126" s="17"/>
    </row>
    <row r="4127" spans="2:7" x14ac:dyDescent="0.25">
      <c r="B4127" s="15"/>
      <c r="C4127" s="15"/>
      <c r="D4127" s="16"/>
      <c r="E4127" s="16"/>
      <c r="F4127" s="20"/>
      <c r="G4127" s="17"/>
    </row>
    <row r="4128" spans="2:7" x14ac:dyDescent="0.25">
      <c r="B4128" s="15"/>
      <c r="C4128" s="15"/>
      <c r="D4128" s="16"/>
      <c r="E4128" s="16"/>
      <c r="F4128" s="20"/>
      <c r="G4128" s="17"/>
    </row>
    <row r="4129" spans="2:7" x14ac:dyDescent="0.25">
      <c r="B4129" s="15"/>
      <c r="C4129" s="15"/>
      <c r="D4129" s="16"/>
      <c r="E4129" s="16"/>
      <c r="F4129" s="20"/>
      <c r="G4129" s="17"/>
    </row>
    <row r="4130" spans="2:7" x14ac:dyDescent="0.25">
      <c r="B4130" s="15"/>
      <c r="C4130" s="15"/>
      <c r="D4130" s="16"/>
      <c r="E4130" s="16"/>
      <c r="F4130" s="20"/>
      <c r="G4130" s="17"/>
    </row>
    <row r="4131" spans="2:7" x14ac:dyDescent="0.25">
      <c r="B4131" s="15"/>
      <c r="C4131" s="15"/>
      <c r="D4131" s="16"/>
      <c r="E4131" s="16"/>
      <c r="F4131" s="20"/>
      <c r="G4131" s="17"/>
    </row>
    <row r="4132" spans="2:7" x14ac:dyDescent="0.25">
      <c r="B4132" s="15"/>
      <c r="C4132" s="15"/>
      <c r="D4132" s="16"/>
      <c r="E4132" s="16"/>
      <c r="F4132" s="20"/>
      <c r="G4132" s="17"/>
    </row>
    <row r="4133" spans="2:7" x14ac:dyDescent="0.25">
      <c r="B4133" s="15"/>
      <c r="C4133" s="15"/>
      <c r="D4133" s="16"/>
      <c r="E4133" s="16"/>
      <c r="F4133" s="20"/>
      <c r="G4133" s="17"/>
    </row>
    <row r="4134" spans="2:7" x14ac:dyDescent="0.25">
      <c r="B4134" s="15"/>
      <c r="C4134" s="15"/>
      <c r="D4134" s="16"/>
      <c r="E4134" s="16"/>
      <c r="F4134" s="20"/>
      <c r="G4134" s="17"/>
    </row>
    <row r="4135" spans="2:7" x14ac:dyDescent="0.25">
      <c r="B4135" s="15"/>
      <c r="C4135" s="15"/>
      <c r="D4135" s="16"/>
      <c r="E4135" s="16"/>
      <c r="F4135" s="20"/>
      <c r="G4135" s="17"/>
    </row>
    <row r="4136" spans="2:7" x14ac:dyDescent="0.25">
      <c r="B4136" s="15"/>
      <c r="C4136" s="15"/>
      <c r="D4136" s="16"/>
      <c r="E4136" s="16"/>
      <c r="F4136" s="20"/>
      <c r="G4136" s="17"/>
    </row>
    <row r="4137" spans="2:7" x14ac:dyDescent="0.25">
      <c r="B4137" s="15"/>
      <c r="C4137" s="15"/>
      <c r="D4137" s="16"/>
      <c r="E4137" s="16"/>
      <c r="F4137" s="20"/>
      <c r="G4137" s="17"/>
    </row>
    <row r="4138" spans="2:7" x14ac:dyDescent="0.25">
      <c r="B4138" s="15"/>
      <c r="C4138" s="15"/>
      <c r="D4138" s="16"/>
      <c r="E4138" s="16"/>
      <c r="F4138" s="20"/>
      <c r="G4138" s="17"/>
    </row>
    <row r="4139" spans="2:7" x14ac:dyDescent="0.25">
      <c r="B4139" s="15"/>
      <c r="C4139" s="15"/>
      <c r="D4139" s="16"/>
      <c r="E4139" s="16"/>
      <c r="F4139" s="20"/>
      <c r="G4139" s="17"/>
    </row>
    <row r="4140" spans="2:7" x14ac:dyDescent="0.25">
      <c r="B4140" s="15"/>
      <c r="C4140" s="15"/>
      <c r="D4140" s="16"/>
      <c r="E4140" s="16"/>
      <c r="F4140" s="20"/>
      <c r="G4140" s="17"/>
    </row>
    <row r="4141" spans="2:7" x14ac:dyDescent="0.25">
      <c r="B4141" s="15"/>
      <c r="C4141" s="15"/>
      <c r="D4141" s="16"/>
      <c r="E4141" s="16"/>
      <c r="F4141" s="20"/>
      <c r="G4141" s="17"/>
    </row>
    <row r="4142" spans="2:7" x14ac:dyDescent="0.25">
      <c r="B4142" s="15"/>
      <c r="C4142" s="15"/>
      <c r="D4142" s="16"/>
      <c r="E4142" s="16"/>
      <c r="F4142" s="20"/>
      <c r="G4142" s="17"/>
    </row>
    <row r="4143" spans="2:7" x14ac:dyDescent="0.25">
      <c r="B4143" s="15"/>
      <c r="C4143" s="15"/>
      <c r="D4143" s="16"/>
      <c r="E4143" s="16"/>
      <c r="F4143" s="20"/>
      <c r="G4143" s="17"/>
    </row>
    <row r="4144" spans="2:7" x14ac:dyDescent="0.25">
      <c r="B4144" s="15"/>
      <c r="C4144" s="15"/>
      <c r="D4144" s="16"/>
      <c r="E4144" s="16"/>
      <c r="F4144" s="20"/>
      <c r="G4144" s="17"/>
    </row>
    <row r="4145" spans="2:7" x14ac:dyDescent="0.25">
      <c r="B4145" s="15"/>
      <c r="C4145" s="15"/>
      <c r="D4145" s="16"/>
      <c r="E4145" s="16"/>
      <c r="F4145" s="20"/>
      <c r="G4145" s="17"/>
    </row>
    <row r="4146" spans="2:7" x14ac:dyDescent="0.25">
      <c r="B4146" s="15"/>
      <c r="C4146" s="15"/>
      <c r="D4146" s="16"/>
      <c r="E4146" s="16"/>
      <c r="F4146" s="20"/>
      <c r="G4146" s="17"/>
    </row>
    <row r="4147" spans="2:7" x14ac:dyDescent="0.25">
      <c r="B4147" s="15"/>
      <c r="C4147" s="15"/>
      <c r="D4147" s="16"/>
      <c r="E4147" s="16"/>
      <c r="F4147" s="20"/>
      <c r="G4147" s="17"/>
    </row>
    <row r="4148" spans="2:7" x14ac:dyDescent="0.25">
      <c r="B4148" s="15"/>
      <c r="C4148" s="15"/>
      <c r="D4148" s="16"/>
      <c r="E4148" s="16"/>
      <c r="F4148" s="20"/>
      <c r="G4148" s="17"/>
    </row>
    <row r="4149" spans="2:7" x14ac:dyDescent="0.25">
      <c r="B4149" s="15"/>
      <c r="C4149" s="15"/>
      <c r="D4149" s="16"/>
      <c r="E4149" s="16"/>
      <c r="F4149" s="20"/>
      <c r="G4149" s="17"/>
    </row>
    <row r="4150" spans="2:7" x14ac:dyDescent="0.25">
      <c r="B4150" s="15"/>
      <c r="C4150" s="15"/>
      <c r="D4150" s="16"/>
      <c r="E4150" s="18"/>
      <c r="F4150" s="20"/>
      <c r="G4150" s="17"/>
    </row>
    <row r="4151" spans="2:7" x14ac:dyDescent="0.25">
      <c r="B4151" s="15"/>
      <c r="C4151" s="15"/>
      <c r="D4151" s="16"/>
      <c r="E4151" s="18"/>
      <c r="F4151" s="20"/>
      <c r="G4151" s="17"/>
    </row>
    <row r="4152" spans="2:7" x14ac:dyDescent="0.25">
      <c r="B4152" s="15"/>
      <c r="C4152" s="15"/>
      <c r="D4152" s="16"/>
      <c r="E4152" s="16"/>
      <c r="F4152" s="20"/>
      <c r="G4152" s="17"/>
    </row>
    <row r="4153" spans="2:7" x14ac:dyDescent="0.25">
      <c r="B4153" s="15"/>
      <c r="C4153" s="15"/>
      <c r="D4153" s="16"/>
      <c r="E4153" s="16"/>
      <c r="F4153" s="20"/>
      <c r="G4153" s="17"/>
    </row>
    <row r="4154" spans="2:7" x14ac:dyDescent="0.25">
      <c r="B4154" s="15"/>
      <c r="C4154" s="15"/>
      <c r="D4154" s="16"/>
      <c r="E4154" s="16"/>
      <c r="F4154" s="20"/>
      <c r="G4154" s="17"/>
    </row>
    <row r="4155" spans="2:7" x14ac:dyDescent="0.25">
      <c r="B4155" s="15"/>
      <c r="C4155" s="15"/>
      <c r="D4155" s="16"/>
      <c r="E4155" s="16"/>
      <c r="F4155" s="20"/>
      <c r="G4155" s="17"/>
    </row>
    <row r="4156" spans="2:7" x14ac:dyDescent="0.25">
      <c r="B4156" s="15"/>
      <c r="C4156" s="15"/>
      <c r="D4156" s="16"/>
      <c r="E4156" s="16"/>
      <c r="F4156" s="20"/>
      <c r="G4156" s="17"/>
    </row>
    <row r="4157" spans="2:7" x14ac:dyDescent="0.25">
      <c r="B4157" s="15"/>
      <c r="C4157" s="15"/>
      <c r="D4157" s="16"/>
      <c r="E4157" s="16"/>
      <c r="F4157" s="20"/>
      <c r="G4157" s="17"/>
    </row>
    <row r="4158" spans="2:7" x14ac:dyDescent="0.25">
      <c r="B4158" s="15"/>
      <c r="C4158" s="15"/>
      <c r="D4158" s="16"/>
      <c r="E4158" s="16"/>
      <c r="F4158" s="20"/>
      <c r="G4158" s="17"/>
    </row>
    <row r="4159" spans="2:7" x14ac:dyDescent="0.25">
      <c r="B4159" s="15"/>
      <c r="C4159" s="15"/>
      <c r="D4159" s="16"/>
      <c r="E4159" s="16"/>
      <c r="F4159" s="20"/>
      <c r="G4159" s="17"/>
    </row>
    <row r="4160" spans="2:7" x14ac:dyDescent="0.25">
      <c r="B4160" s="15"/>
      <c r="C4160" s="15"/>
      <c r="D4160" s="16"/>
      <c r="E4160" s="16"/>
      <c r="F4160" s="20"/>
      <c r="G4160" s="17"/>
    </row>
    <row r="4161" spans="2:7" x14ac:dyDescent="0.25">
      <c r="B4161" s="15"/>
      <c r="C4161" s="15"/>
      <c r="D4161" s="16"/>
      <c r="E4161" s="16"/>
      <c r="F4161" s="20"/>
      <c r="G4161" s="17"/>
    </row>
    <row r="4162" spans="2:7" x14ac:dyDescent="0.25">
      <c r="B4162" s="15"/>
      <c r="C4162" s="15"/>
      <c r="D4162" s="16"/>
      <c r="E4162" s="16"/>
      <c r="F4162" s="20"/>
      <c r="G4162" s="17"/>
    </row>
    <row r="4163" spans="2:7" x14ac:dyDescent="0.25">
      <c r="B4163" s="15"/>
      <c r="C4163" s="15"/>
      <c r="D4163" s="16"/>
      <c r="E4163" s="16"/>
      <c r="F4163" s="20"/>
      <c r="G4163" s="17"/>
    </row>
    <row r="4164" spans="2:7" x14ac:dyDescent="0.25">
      <c r="B4164" s="15"/>
      <c r="C4164" s="15"/>
      <c r="D4164" s="16"/>
      <c r="E4164" s="16"/>
      <c r="F4164" s="20"/>
      <c r="G4164" s="17"/>
    </row>
    <row r="4165" spans="2:7" x14ac:dyDescent="0.25">
      <c r="B4165" s="15"/>
      <c r="C4165" s="15"/>
      <c r="D4165" s="16"/>
      <c r="E4165" s="16"/>
      <c r="F4165" s="20"/>
      <c r="G4165" s="17"/>
    </row>
    <row r="4166" spans="2:7" x14ac:dyDescent="0.25">
      <c r="B4166" s="15"/>
      <c r="C4166" s="15"/>
      <c r="D4166" s="16"/>
      <c r="E4166" s="16"/>
      <c r="F4166" s="20"/>
      <c r="G4166" s="17"/>
    </row>
    <row r="4167" spans="2:7" x14ac:dyDescent="0.25">
      <c r="B4167" s="15"/>
      <c r="C4167" s="15"/>
      <c r="D4167" s="16"/>
      <c r="E4167" s="16"/>
      <c r="F4167" s="20"/>
      <c r="G4167" s="17"/>
    </row>
    <row r="4168" spans="2:7" x14ac:dyDescent="0.25">
      <c r="B4168" s="15"/>
      <c r="C4168" s="15"/>
      <c r="D4168" s="16"/>
      <c r="E4168" s="16"/>
      <c r="F4168" s="20"/>
      <c r="G4168" s="17"/>
    </row>
    <row r="4169" spans="2:7" x14ac:dyDescent="0.25">
      <c r="B4169" s="15"/>
      <c r="C4169" s="15"/>
      <c r="D4169" s="16"/>
      <c r="E4169" s="16"/>
      <c r="F4169" s="20"/>
      <c r="G4169" s="13"/>
    </row>
    <row r="4170" spans="2:7" x14ac:dyDescent="0.25">
      <c r="B4170" s="15"/>
      <c r="C4170" s="15"/>
      <c r="D4170" s="16"/>
      <c r="E4170" s="16"/>
      <c r="F4170" s="20"/>
      <c r="G4170" s="13"/>
    </row>
    <row r="4171" spans="2:7" x14ac:dyDescent="0.25">
      <c r="B4171" s="15"/>
      <c r="C4171" s="15"/>
      <c r="D4171" s="16"/>
      <c r="E4171" s="16"/>
      <c r="F4171" s="20"/>
      <c r="G4171" s="13"/>
    </row>
    <row r="4172" spans="2:7" x14ac:dyDescent="0.25">
      <c r="B4172" s="15"/>
      <c r="C4172" s="15"/>
      <c r="D4172" s="16"/>
      <c r="E4172" s="16"/>
      <c r="F4172" s="20"/>
      <c r="G4172" s="17"/>
    </row>
    <row r="4173" spans="2:7" x14ac:dyDescent="0.25">
      <c r="B4173" s="15"/>
      <c r="C4173" s="15"/>
      <c r="D4173" s="16"/>
      <c r="E4173" s="16"/>
      <c r="F4173" s="20"/>
      <c r="G4173" s="17"/>
    </row>
    <row r="4174" spans="2:7" x14ac:dyDescent="0.25">
      <c r="B4174" s="15"/>
      <c r="C4174" s="15"/>
      <c r="D4174" s="16"/>
      <c r="E4174" s="16"/>
      <c r="F4174" s="20"/>
      <c r="G4174" s="17"/>
    </row>
    <row r="4175" spans="2:7" x14ac:dyDescent="0.25">
      <c r="B4175" s="15"/>
      <c r="C4175" s="15"/>
      <c r="D4175" s="16"/>
      <c r="E4175" s="16"/>
      <c r="F4175" s="20"/>
      <c r="G4175" s="17"/>
    </row>
    <row r="4176" spans="2:7" x14ac:dyDescent="0.25">
      <c r="B4176" s="15"/>
      <c r="C4176" s="15"/>
      <c r="D4176" s="16"/>
      <c r="E4176" s="16"/>
      <c r="F4176" s="20"/>
      <c r="G4176" s="17"/>
    </row>
    <row r="4177" spans="2:7" x14ac:dyDescent="0.25">
      <c r="B4177" s="15"/>
      <c r="C4177" s="15"/>
      <c r="D4177" s="16"/>
      <c r="E4177" s="16"/>
      <c r="F4177" s="20"/>
      <c r="G4177" s="17"/>
    </row>
    <row r="4178" spans="2:7" x14ac:dyDescent="0.25">
      <c r="B4178" s="15"/>
      <c r="C4178" s="15"/>
      <c r="D4178" s="16"/>
      <c r="E4178" s="16"/>
      <c r="F4178" s="20"/>
      <c r="G4178" s="13"/>
    </row>
    <row r="4179" spans="2:7" x14ac:dyDescent="0.25">
      <c r="B4179" s="15"/>
      <c r="C4179" s="15"/>
      <c r="D4179" s="16"/>
      <c r="E4179" s="16"/>
      <c r="F4179" s="20"/>
      <c r="G4179" s="13"/>
    </row>
    <row r="4180" spans="2:7" x14ac:dyDescent="0.25">
      <c r="B4180" s="15"/>
      <c r="C4180" s="15"/>
      <c r="D4180" s="16"/>
      <c r="E4180" s="16"/>
      <c r="F4180" s="20"/>
      <c r="G4180" s="17"/>
    </row>
    <row r="4181" spans="2:7" x14ac:dyDescent="0.25">
      <c r="B4181" s="15"/>
      <c r="C4181" s="15"/>
      <c r="D4181" s="16"/>
      <c r="E4181" s="16"/>
      <c r="F4181" s="20"/>
      <c r="G4181" s="17"/>
    </row>
    <row r="4182" spans="2:7" x14ac:dyDescent="0.25">
      <c r="B4182" s="15"/>
      <c r="C4182" s="15"/>
      <c r="D4182" s="16"/>
      <c r="E4182" s="16"/>
      <c r="F4182" s="20"/>
      <c r="G4182" s="17"/>
    </row>
    <row r="4183" spans="2:7" x14ac:dyDescent="0.25">
      <c r="B4183" s="15"/>
      <c r="C4183" s="15"/>
      <c r="D4183" s="16"/>
      <c r="E4183" s="16"/>
      <c r="F4183" s="20"/>
      <c r="G4183" s="17"/>
    </row>
    <row r="4184" spans="2:7" x14ac:dyDescent="0.25">
      <c r="B4184" s="15"/>
      <c r="C4184" s="15"/>
      <c r="D4184" s="16"/>
      <c r="E4184" s="16"/>
      <c r="F4184" s="20"/>
      <c r="G4184" s="17"/>
    </row>
    <row r="4185" spans="2:7" x14ac:dyDescent="0.25">
      <c r="B4185" s="15"/>
      <c r="C4185" s="15"/>
      <c r="D4185" s="16"/>
      <c r="E4185" s="16"/>
      <c r="F4185" s="20"/>
      <c r="G4185" s="17"/>
    </row>
    <row r="4186" spans="2:7" x14ac:dyDescent="0.25">
      <c r="B4186" s="15"/>
      <c r="C4186" s="15"/>
      <c r="D4186" s="16"/>
      <c r="E4186" s="16"/>
      <c r="F4186" s="20"/>
      <c r="G4186" s="17"/>
    </row>
    <row r="4187" spans="2:7" x14ac:dyDescent="0.25">
      <c r="B4187" s="15"/>
      <c r="C4187" s="15"/>
      <c r="D4187" s="16"/>
      <c r="E4187" s="16"/>
      <c r="F4187" s="20"/>
      <c r="G4187" s="17"/>
    </row>
    <row r="4188" spans="2:7" x14ac:dyDescent="0.25">
      <c r="B4188" s="15"/>
      <c r="C4188" s="15"/>
      <c r="D4188" s="16"/>
      <c r="E4188" s="16"/>
      <c r="F4188" s="20"/>
      <c r="G4188" s="17"/>
    </row>
    <row r="4189" spans="2:7" x14ac:dyDescent="0.25">
      <c r="B4189" s="15"/>
      <c r="C4189" s="15"/>
      <c r="D4189" s="16"/>
      <c r="E4189" s="16"/>
      <c r="F4189" s="20"/>
      <c r="G4189" s="17"/>
    </row>
    <row r="4190" spans="2:7" x14ac:dyDescent="0.25">
      <c r="B4190" s="15"/>
      <c r="C4190" s="15"/>
      <c r="D4190" s="16"/>
      <c r="E4190" s="16"/>
      <c r="F4190" s="20"/>
      <c r="G4190" s="17"/>
    </row>
    <row r="4191" spans="2:7" x14ac:dyDescent="0.25">
      <c r="B4191" s="15"/>
      <c r="C4191" s="15"/>
      <c r="D4191" s="16"/>
      <c r="E4191" s="16"/>
      <c r="F4191" s="20"/>
      <c r="G4191" s="17"/>
    </row>
    <row r="4192" spans="2:7" x14ac:dyDescent="0.25">
      <c r="B4192" s="15"/>
      <c r="C4192" s="15"/>
      <c r="D4192" s="16"/>
      <c r="E4192" s="16"/>
      <c r="F4192" s="20"/>
      <c r="G4192" s="17"/>
    </row>
    <row r="4193" spans="2:7" x14ac:dyDescent="0.25">
      <c r="B4193" s="15"/>
      <c r="C4193" s="15"/>
      <c r="D4193" s="16"/>
      <c r="E4193" s="16"/>
      <c r="F4193" s="20"/>
      <c r="G4193" s="13"/>
    </row>
    <row r="4194" spans="2:7" x14ac:dyDescent="0.25">
      <c r="B4194" s="15"/>
      <c r="C4194" s="15"/>
      <c r="D4194" s="16"/>
      <c r="E4194" s="16"/>
      <c r="F4194" s="20"/>
      <c r="G4194" s="13"/>
    </row>
    <row r="4195" spans="2:7" x14ac:dyDescent="0.25">
      <c r="B4195" s="15"/>
      <c r="C4195" s="15"/>
      <c r="D4195" s="16"/>
      <c r="E4195" s="16"/>
      <c r="F4195" s="20"/>
      <c r="G4195" s="13"/>
    </row>
    <row r="4196" spans="2:7" x14ac:dyDescent="0.25">
      <c r="B4196" s="15"/>
      <c r="C4196" s="15"/>
      <c r="D4196" s="16"/>
      <c r="E4196" s="16"/>
      <c r="F4196" s="20"/>
      <c r="G4196" s="13"/>
    </row>
    <row r="4197" spans="2:7" x14ac:dyDescent="0.25">
      <c r="B4197" s="15"/>
      <c r="C4197" s="15"/>
      <c r="D4197" s="16"/>
      <c r="E4197" s="16"/>
      <c r="F4197" s="20"/>
      <c r="G4197" s="13"/>
    </row>
    <row r="4198" spans="2:7" x14ac:dyDescent="0.25">
      <c r="B4198" s="15"/>
      <c r="C4198" s="15"/>
      <c r="D4198" s="16"/>
      <c r="E4198" s="16"/>
      <c r="F4198" s="20"/>
      <c r="G4198" s="13"/>
    </row>
    <row r="4199" spans="2:7" x14ac:dyDescent="0.25">
      <c r="B4199" s="15"/>
      <c r="C4199" s="15"/>
      <c r="D4199" s="16"/>
      <c r="E4199" s="16"/>
      <c r="F4199" s="20"/>
      <c r="G4199" s="13"/>
    </row>
    <row r="4200" spans="2:7" x14ac:dyDescent="0.25">
      <c r="B4200" s="15"/>
      <c r="C4200" s="15"/>
      <c r="D4200" s="16"/>
      <c r="E4200" s="16"/>
      <c r="F4200" s="20"/>
      <c r="G4200" s="13"/>
    </row>
    <row r="4201" spans="2:7" x14ac:dyDescent="0.25">
      <c r="B4201" s="15"/>
      <c r="C4201" s="15"/>
      <c r="D4201" s="16"/>
      <c r="E4201" s="16"/>
      <c r="F4201" s="20"/>
      <c r="G4201" s="13"/>
    </row>
    <row r="4202" spans="2:7" x14ac:dyDescent="0.25">
      <c r="B4202" s="15"/>
      <c r="C4202" s="15"/>
      <c r="D4202" s="16"/>
      <c r="E4202" s="16"/>
      <c r="F4202" s="20"/>
      <c r="G4202" s="13"/>
    </row>
    <row r="4203" spans="2:7" x14ac:dyDescent="0.25">
      <c r="B4203" s="15"/>
      <c r="C4203" s="15"/>
      <c r="D4203" s="16"/>
      <c r="E4203" s="16"/>
      <c r="F4203" s="20"/>
      <c r="G4203" s="13"/>
    </row>
    <row r="4204" spans="2:7" x14ac:dyDescent="0.25">
      <c r="B4204" s="15"/>
      <c r="C4204" s="15"/>
      <c r="D4204" s="16"/>
      <c r="E4204" s="16"/>
      <c r="F4204" s="20"/>
      <c r="G4204" s="13"/>
    </row>
    <row r="4205" spans="2:7" x14ac:dyDescent="0.25">
      <c r="B4205" s="15"/>
      <c r="C4205" s="15"/>
      <c r="D4205" s="16"/>
      <c r="E4205" s="16"/>
      <c r="F4205" s="20"/>
      <c r="G4205" s="13"/>
    </row>
    <row r="4206" spans="2:7" x14ac:dyDescent="0.25">
      <c r="B4206" s="15"/>
      <c r="C4206" s="15"/>
      <c r="D4206" s="16"/>
      <c r="E4206" s="16"/>
      <c r="F4206" s="20"/>
      <c r="G4206" s="13"/>
    </row>
    <row r="4207" spans="2:7" x14ac:dyDescent="0.25">
      <c r="B4207" s="15"/>
      <c r="C4207" s="15"/>
      <c r="D4207" s="16"/>
      <c r="E4207" s="16"/>
      <c r="F4207" s="20"/>
      <c r="G4207" s="13"/>
    </row>
    <row r="4208" spans="2:7" x14ac:dyDescent="0.25">
      <c r="B4208" s="15"/>
      <c r="C4208" s="15"/>
      <c r="D4208" s="16"/>
      <c r="E4208" s="16"/>
      <c r="F4208" s="20"/>
      <c r="G4208" s="13"/>
    </row>
    <row r="4209" spans="2:7" x14ac:dyDescent="0.25">
      <c r="B4209" s="15"/>
      <c r="C4209" s="15"/>
      <c r="D4209" s="16"/>
      <c r="E4209" s="16"/>
      <c r="F4209" s="20"/>
      <c r="G4209" s="13"/>
    </row>
    <row r="4210" spans="2:7" x14ac:dyDescent="0.25">
      <c r="B4210" s="15"/>
      <c r="C4210" s="15"/>
      <c r="D4210" s="16"/>
      <c r="E4210" s="16"/>
      <c r="F4210" s="20"/>
      <c r="G4210" s="13"/>
    </row>
    <row r="4211" spans="2:7" x14ac:dyDescent="0.25">
      <c r="B4211" s="15"/>
      <c r="C4211" s="15"/>
      <c r="D4211" s="16"/>
      <c r="E4211" s="16"/>
      <c r="F4211" s="20"/>
      <c r="G4211" s="13"/>
    </row>
    <row r="4212" spans="2:7" x14ac:dyDescent="0.25">
      <c r="B4212" s="15"/>
      <c r="C4212" s="15"/>
      <c r="D4212" s="16"/>
      <c r="E4212" s="16"/>
      <c r="F4212" s="20"/>
      <c r="G4212" s="13"/>
    </row>
    <row r="4213" spans="2:7" x14ac:dyDescent="0.25">
      <c r="B4213" s="15"/>
      <c r="C4213" s="15"/>
      <c r="D4213" s="16"/>
      <c r="E4213" s="16"/>
      <c r="F4213" s="20"/>
      <c r="G4213" s="13"/>
    </row>
    <row r="4214" spans="2:7" x14ac:dyDescent="0.25">
      <c r="B4214" s="15"/>
      <c r="C4214" s="15"/>
      <c r="D4214" s="16"/>
      <c r="E4214" s="16"/>
      <c r="F4214" s="20"/>
      <c r="G4214" s="13"/>
    </row>
    <row r="4215" spans="2:7" x14ac:dyDescent="0.25">
      <c r="B4215" s="15"/>
      <c r="C4215" s="15"/>
      <c r="D4215" s="16"/>
      <c r="E4215" s="16"/>
      <c r="F4215" s="20"/>
      <c r="G4215" s="13"/>
    </row>
    <row r="4216" spans="2:7" x14ac:dyDescent="0.25">
      <c r="B4216" s="15"/>
      <c r="C4216" s="15"/>
      <c r="D4216" s="16"/>
      <c r="E4216" s="16"/>
      <c r="F4216" s="20"/>
      <c r="G4216" s="13"/>
    </row>
    <row r="4217" spans="2:7" x14ac:dyDescent="0.25">
      <c r="B4217" s="15"/>
      <c r="C4217" s="15"/>
      <c r="D4217" s="16"/>
      <c r="E4217" s="16"/>
      <c r="F4217" s="20"/>
      <c r="G4217" s="17"/>
    </row>
    <row r="4218" spans="2:7" x14ac:dyDescent="0.25">
      <c r="B4218" s="15"/>
      <c r="C4218" s="15"/>
      <c r="D4218" s="16"/>
      <c r="E4218" s="16"/>
      <c r="F4218" s="20"/>
      <c r="G4218" s="17"/>
    </row>
    <row r="4219" spans="2:7" x14ac:dyDescent="0.25">
      <c r="B4219" s="15"/>
      <c r="C4219" s="15"/>
      <c r="D4219" s="16"/>
      <c r="E4219" s="16"/>
      <c r="F4219" s="20"/>
      <c r="G4219" s="17"/>
    </row>
    <row r="4220" spans="2:7" x14ac:dyDescent="0.25">
      <c r="B4220" s="15"/>
      <c r="C4220" s="15"/>
      <c r="D4220" s="16"/>
      <c r="E4220" s="16"/>
      <c r="F4220" s="20"/>
      <c r="G4220" s="17"/>
    </row>
    <row r="4221" spans="2:7" x14ac:dyDescent="0.25">
      <c r="B4221" s="15"/>
      <c r="C4221" s="15"/>
      <c r="D4221" s="16"/>
      <c r="E4221" s="16"/>
      <c r="F4221" s="20"/>
      <c r="G4221" s="17"/>
    </row>
    <row r="4222" spans="2:7" x14ac:dyDescent="0.25">
      <c r="B4222" s="15"/>
      <c r="C4222" s="15"/>
      <c r="D4222" s="16"/>
      <c r="E4222" s="16"/>
      <c r="F4222" s="20"/>
      <c r="G4222" s="17"/>
    </row>
    <row r="4223" spans="2:7" x14ac:dyDescent="0.25">
      <c r="B4223" s="15"/>
      <c r="C4223" s="15"/>
      <c r="D4223" s="16"/>
      <c r="E4223" s="16"/>
      <c r="F4223" s="20"/>
      <c r="G4223" s="17"/>
    </row>
    <row r="4224" spans="2:7" x14ac:dyDescent="0.25">
      <c r="B4224" s="15"/>
      <c r="C4224" s="15"/>
      <c r="D4224" s="16"/>
      <c r="E4224" s="16"/>
      <c r="F4224" s="20"/>
      <c r="G4224" s="17"/>
    </row>
    <row r="4225" spans="2:7" x14ac:dyDescent="0.25">
      <c r="B4225" s="15"/>
      <c r="C4225" s="15"/>
      <c r="D4225" s="16"/>
      <c r="E4225" s="16"/>
      <c r="F4225" s="20"/>
      <c r="G4225" s="17"/>
    </row>
    <row r="4226" spans="2:7" x14ac:dyDescent="0.25">
      <c r="B4226" s="15"/>
      <c r="C4226" s="15"/>
      <c r="D4226" s="16"/>
      <c r="E4226" s="16"/>
      <c r="F4226" s="20"/>
      <c r="G4226" s="17"/>
    </row>
    <row r="4227" spans="2:7" x14ac:dyDescent="0.25">
      <c r="B4227" s="15"/>
      <c r="C4227" s="15"/>
      <c r="D4227" s="16"/>
      <c r="E4227" s="16"/>
      <c r="F4227" s="20"/>
      <c r="G4227" s="17"/>
    </row>
    <row r="4228" spans="2:7" x14ac:dyDescent="0.25">
      <c r="B4228" s="15"/>
      <c r="C4228" s="15"/>
      <c r="D4228" s="16"/>
      <c r="E4228" s="16"/>
      <c r="F4228" s="20"/>
      <c r="G4228" s="17"/>
    </row>
    <row r="4229" spans="2:7" x14ac:dyDescent="0.25">
      <c r="B4229" s="15"/>
      <c r="C4229" s="15"/>
      <c r="D4229" s="16"/>
      <c r="E4229" s="16"/>
      <c r="F4229" s="20"/>
      <c r="G4229" s="17"/>
    </row>
    <row r="4230" spans="2:7" x14ac:dyDescent="0.25">
      <c r="B4230" s="15"/>
      <c r="C4230" s="15"/>
      <c r="D4230" s="16"/>
      <c r="E4230" s="16"/>
      <c r="F4230" s="20"/>
      <c r="G4230" s="17"/>
    </row>
    <row r="4231" spans="2:7" x14ac:dyDescent="0.25">
      <c r="B4231" s="15"/>
      <c r="C4231" s="15"/>
      <c r="D4231" s="16"/>
      <c r="E4231" s="16"/>
      <c r="F4231" s="20"/>
      <c r="G4231" s="17"/>
    </row>
    <row r="4232" spans="2:7" x14ac:dyDescent="0.25">
      <c r="B4232" s="15"/>
      <c r="C4232" s="15"/>
      <c r="D4232" s="16"/>
      <c r="E4232" s="16"/>
      <c r="F4232" s="20"/>
      <c r="G4232" s="17"/>
    </row>
    <row r="4233" spans="2:7" x14ac:dyDescent="0.25">
      <c r="B4233" s="15"/>
      <c r="C4233" s="15"/>
      <c r="D4233" s="16"/>
      <c r="E4233" s="16"/>
      <c r="F4233" s="20"/>
      <c r="G4233" s="17"/>
    </row>
    <row r="4234" spans="2:7" x14ac:dyDescent="0.25">
      <c r="B4234" s="15"/>
      <c r="C4234" s="15"/>
      <c r="D4234" s="16"/>
      <c r="E4234" s="16"/>
      <c r="F4234" s="20"/>
      <c r="G4234" s="17"/>
    </row>
    <row r="4235" spans="2:7" x14ac:dyDescent="0.25">
      <c r="B4235" s="15"/>
      <c r="C4235" s="15"/>
      <c r="D4235" s="16"/>
      <c r="E4235" s="16"/>
      <c r="F4235" s="20"/>
      <c r="G4235" s="17"/>
    </row>
    <row r="4236" spans="2:7" x14ac:dyDescent="0.25">
      <c r="B4236" s="15"/>
      <c r="C4236" s="15"/>
      <c r="D4236" s="16"/>
      <c r="E4236" s="16"/>
      <c r="F4236" s="20"/>
      <c r="G4236" s="17"/>
    </row>
    <row r="4237" spans="2:7" x14ac:dyDescent="0.25">
      <c r="B4237" s="15"/>
      <c r="C4237" s="15"/>
      <c r="D4237" s="16"/>
      <c r="E4237" s="16"/>
      <c r="F4237" s="20"/>
      <c r="G4237" s="17"/>
    </row>
    <row r="4238" spans="2:7" x14ac:dyDescent="0.25">
      <c r="B4238" s="15"/>
      <c r="C4238" s="15"/>
      <c r="D4238" s="16"/>
      <c r="E4238" s="16"/>
      <c r="F4238" s="20"/>
      <c r="G4238" s="17"/>
    </row>
    <row r="4239" spans="2:7" x14ac:dyDescent="0.25">
      <c r="B4239" s="15"/>
      <c r="C4239" s="15"/>
      <c r="D4239" s="16"/>
      <c r="E4239" s="16"/>
      <c r="F4239" s="20"/>
      <c r="G4239" s="17"/>
    </row>
    <row r="4240" spans="2:7" x14ac:dyDescent="0.25">
      <c r="B4240" s="15"/>
      <c r="C4240" s="15"/>
      <c r="D4240" s="16"/>
      <c r="E4240" s="16"/>
      <c r="F4240" s="20"/>
      <c r="G4240" s="17"/>
    </row>
    <row r="4241" spans="2:7" x14ac:dyDescent="0.25">
      <c r="B4241" s="15"/>
      <c r="C4241" s="15"/>
      <c r="D4241" s="16"/>
      <c r="E4241" s="16"/>
      <c r="F4241" s="20"/>
      <c r="G4241" s="17"/>
    </row>
    <row r="4242" spans="2:7" x14ac:dyDescent="0.25">
      <c r="B4242" s="15"/>
      <c r="C4242" s="15"/>
      <c r="D4242" s="16"/>
      <c r="E4242" s="16"/>
      <c r="F4242" s="20"/>
      <c r="G4242" s="17"/>
    </row>
    <row r="4243" spans="2:7" x14ac:dyDescent="0.25">
      <c r="B4243" s="15"/>
      <c r="C4243" s="15"/>
      <c r="D4243" s="16"/>
      <c r="E4243" s="16"/>
      <c r="F4243" s="20"/>
      <c r="G4243" s="17"/>
    </row>
    <row r="4244" spans="2:7" x14ac:dyDescent="0.25">
      <c r="B4244" s="15"/>
      <c r="C4244" s="15"/>
      <c r="D4244" s="16"/>
      <c r="E4244" s="16"/>
      <c r="F4244" s="20"/>
      <c r="G4244" s="17"/>
    </row>
    <row r="4245" spans="2:7" x14ac:dyDescent="0.25">
      <c r="B4245" s="15"/>
      <c r="C4245" s="15"/>
      <c r="D4245" s="16"/>
      <c r="E4245" s="16"/>
      <c r="F4245" s="20"/>
      <c r="G4245" s="17"/>
    </row>
    <row r="4246" spans="2:7" x14ac:dyDescent="0.25">
      <c r="B4246" s="15"/>
      <c r="C4246" s="15"/>
      <c r="D4246" s="16"/>
      <c r="E4246" s="16"/>
      <c r="F4246" s="20"/>
      <c r="G4246" s="17"/>
    </row>
    <row r="4247" spans="2:7" x14ac:dyDescent="0.25">
      <c r="B4247" s="15"/>
      <c r="C4247" s="15"/>
      <c r="D4247" s="16"/>
      <c r="E4247" s="16"/>
      <c r="F4247" s="20"/>
      <c r="G4247" s="17"/>
    </row>
    <row r="4248" spans="2:7" x14ac:dyDescent="0.25">
      <c r="B4248" s="15"/>
      <c r="C4248" s="15"/>
      <c r="D4248" s="16"/>
      <c r="E4248" s="16"/>
      <c r="F4248" s="20"/>
      <c r="G4248" s="17"/>
    </row>
    <row r="4249" spans="2:7" x14ac:dyDescent="0.25">
      <c r="B4249" s="15"/>
      <c r="C4249" s="15"/>
      <c r="D4249" s="16"/>
      <c r="E4249" s="16"/>
      <c r="F4249" s="20"/>
      <c r="G4249" s="17"/>
    </row>
    <row r="4250" spans="2:7" x14ac:dyDescent="0.25">
      <c r="B4250" s="15"/>
      <c r="C4250" s="15"/>
      <c r="D4250" s="16"/>
      <c r="E4250" s="16"/>
      <c r="F4250" s="20"/>
      <c r="G4250" s="17"/>
    </row>
    <row r="4251" spans="2:7" x14ac:dyDescent="0.25">
      <c r="B4251" s="15"/>
      <c r="C4251" s="15"/>
      <c r="D4251" s="16"/>
      <c r="E4251" s="16"/>
      <c r="F4251" s="20"/>
      <c r="G4251" s="17"/>
    </row>
    <row r="4252" spans="2:7" x14ac:dyDescent="0.25">
      <c r="B4252" s="15"/>
      <c r="C4252" s="15"/>
      <c r="D4252" s="16"/>
      <c r="E4252" s="16"/>
      <c r="F4252" s="20"/>
      <c r="G4252" s="17"/>
    </row>
    <row r="4253" spans="2:7" x14ac:dyDescent="0.25">
      <c r="B4253" s="15"/>
      <c r="C4253" s="15"/>
      <c r="D4253" s="16"/>
      <c r="E4253" s="16"/>
      <c r="F4253" s="20"/>
      <c r="G4253" s="17"/>
    </row>
    <row r="4254" spans="2:7" x14ac:dyDescent="0.25">
      <c r="B4254" s="15"/>
      <c r="C4254" s="15"/>
      <c r="D4254" s="16"/>
      <c r="E4254" s="16"/>
      <c r="F4254" s="20"/>
      <c r="G4254" s="17"/>
    </row>
    <row r="4255" spans="2:7" x14ac:dyDescent="0.25">
      <c r="B4255" s="15"/>
      <c r="C4255" s="15"/>
      <c r="D4255" s="16"/>
      <c r="E4255" s="16"/>
      <c r="F4255" s="20"/>
      <c r="G4255" s="17"/>
    </row>
    <row r="4256" spans="2:7" x14ac:dyDescent="0.25">
      <c r="B4256" s="15"/>
      <c r="C4256" s="15"/>
      <c r="D4256" s="16"/>
      <c r="E4256" s="16"/>
      <c r="F4256" s="20"/>
      <c r="G4256" s="17"/>
    </row>
    <row r="4257" spans="2:7" x14ac:dyDescent="0.25">
      <c r="B4257" s="15"/>
      <c r="C4257" s="15"/>
      <c r="D4257" s="16"/>
      <c r="E4257" s="16"/>
      <c r="F4257" s="20"/>
      <c r="G4257" s="17"/>
    </row>
    <row r="4258" spans="2:7" x14ac:dyDescent="0.25">
      <c r="B4258" s="15"/>
      <c r="C4258" s="15"/>
      <c r="D4258" s="16"/>
      <c r="E4258" s="16"/>
      <c r="F4258" s="20"/>
      <c r="G4258" s="17"/>
    </row>
    <row r="4259" spans="2:7" x14ac:dyDescent="0.25">
      <c r="B4259" s="15"/>
      <c r="C4259" s="15"/>
      <c r="D4259" s="16"/>
      <c r="E4259" s="16"/>
      <c r="F4259" s="20"/>
      <c r="G4259" s="17"/>
    </row>
    <row r="4260" spans="2:7" x14ac:dyDescent="0.25">
      <c r="B4260" s="15"/>
      <c r="C4260" s="15"/>
      <c r="D4260" s="16"/>
      <c r="E4260" s="16"/>
      <c r="F4260" s="20"/>
      <c r="G4260" s="17"/>
    </row>
    <row r="4261" spans="2:7" x14ac:dyDescent="0.25">
      <c r="B4261" s="15"/>
      <c r="C4261" s="15"/>
      <c r="D4261" s="16"/>
      <c r="E4261" s="16"/>
      <c r="F4261" s="20"/>
      <c r="G4261" s="17"/>
    </row>
    <row r="4262" spans="2:7" x14ac:dyDescent="0.25">
      <c r="B4262" s="15"/>
      <c r="C4262" s="15"/>
      <c r="D4262" s="16"/>
      <c r="E4262" s="16"/>
      <c r="F4262" s="20"/>
      <c r="G4262" s="17"/>
    </row>
    <row r="4263" spans="2:7" x14ac:dyDescent="0.25">
      <c r="B4263" s="15"/>
      <c r="C4263" s="15"/>
      <c r="D4263" s="16"/>
      <c r="E4263" s="16"/>
      <c r="F4263" s="20"/>
      <c r="G4263" s="17"/>
    </row>
    <row r="4264" spans="2:7" x14ac:dyDescent="0.25">
      <c r="B4264" s="15"/>
      <c r="C4264" s="15"/>
      <c r="D4264" s="16"/>
      <c r="E4264" s="16"/>
      <c r="F4264" s="20"/>
      <c r="G4264" s="17"/>
    </row>
    <row r="4265" spans="2:7" x14ac:dyDescent="0.25">
      <c r="B4265" s="15"/>
      <c r="C4265" s="15"/>
      <c r="D4265" s="16"/>
      <c r="E4265" s="16"/>
      <c r="F4265" s="20"/>
      <c r="G4265" s="17"/>
    </row>
    <row r="4266" spans="2:7" x14ac:dyDescent="0.25">
      <c r="B4266" s="15"/>
      <c r="C4266" s="15"/>
      <c r="D4266" s="16"/>
      <c r="E4266" s="16"/>
      <c r="F4266" s="20"/>
      <c r="G4266" s="17"/>
    </row>
    <row r="4267" spans="2:7" x14ac:dyDescent="0.25">
      <c r="B4267" s="15"/>
      <c r="C4267" s="15"/>
      <c r="D4267" s="16"/>
      <c r="E4267" s="16"/>
      <c r="F4267" s="20"/>
      <c r="G4267" s="17"/>
    </row>
    <row r="4268" spans="2:7" x14ac:dyDescent="0.25">
      <c r="B4268" s="15"/>
      <c r="C4268" s="15"/>
      <c r="D4268" s="16"/>
      <c r="E4268" s="16"/>
      <c r="F4268" s="20"/>
      <c r="G4268" s="17"/>
    </row>
    <row r="4269" spans="2:7" x14ac:dyDescent="0.25">
      <c r="B4269" s="15"/>
      <c r="C4269" s="15"/>
      <c r="D4269" s="16"/>
      <c r="E4269" s="16"/>
      <c r="F4269" s="20"/>
      <c r="G4269" s="17"/>
    </row>
    <row r="4270" spans="2:7" x14ac:dyDescent="0.25">
      <c r="B4270" s="15"/>
      <c r="C4270" s="15"/>
      <c r="D4270" s="16"/>
      <c r="E4270" s="16"/>
      <c r="F4270" s="20"/>
      <c r="G4270" s="17"/>
    </row>
    <row r="4271" spans="2:7" x14ac:dyDescent="0.25">
      <c r="B4271" s="15"/>
      <c r="C4271" s="15"/>
      <c r="D4271" s="16"/>
      <c r="E4271" s="16"/>
      <c r="F4271" s="20"/>
      <c r="G4271" s="17"/>
    </row>
    <row r="4272" spans="2:7" x14ac:dyDescent="0.25">
      <c r="B4272" s="15"/>
      <c r="C4272" s="15"/>
      <c r="D4272" s="16"/>
      <c r="E4272" s="16"/>
      <c r="F4272" s="20"/>
      <c r="G4272" s="17"/>
    </row>
    <row r="4273" spans="2:7" x14ac:dyDescent="0.25">
      <c r="B4273" s="15"/>
      <c r="C4273" s="15"/>
      <c r="D4273" s="16"/>
      <c r="E4273" s="16"/>
      <c r="F4273" s="20"/>
      <c r="G4273" s="17"/>
    </row>
    <row r="4274" spans="2:7" x14ac:dyDescent="0.25">
      <c r="B4274" s="15"/>
      <c r="C4274" s="15"/>
      <c r="D4274" s="16"/>
      <c r="E4274" s="16"/>
      <c r="F4274" s="20"/>
      <c r="G4274" s="17"/>
    </row>
    <row r="4275" spans="2:7" x14ac:dyDescent="0.25">
      <c r="B4275" s="15"/>
      <c r="C4275" s="15"/>
      <c r="D4275" s="16"/>
      <c r="E4275" s="16"/>
      <c r="F4275" s="20"/>
      <c r="G4275" s="17"/>
    </row>
    <row r="4276" spans="2:7" x14ac:dyDescent="0.25">
      <c r="B4276" s="15"/>
      <c r="C4276" s="15"/>
      <c r="D4276" s="16"/>
      <c r="E4276" s="16"/>
      <c r="F4276" s="20"/>
      <c r="G4276" s="17"/>
    </row>
    <row r="4277" spans="2:7" x14ac:dyDescent="0.25">
      <c r="B4277" s="15"/>
      <c r="C4277" s="15"/>
      <c r="D4277" s="16"/>
      <c r="E4277" s="16"/>
      <c r="F4277" s="20"/>
      <c r="G4277" s="17"/>
    </row>
    <row r="4278" spans="2:7" x14ac:dyDescent="0.25">
      <c r="B4278" s="15"/>
      <c r="C4278" s="15"/>
      <c r="D4278" s="16"/>
      <c r="E4278" s="16"/>
      <c r="F4278" s="20"/>
      <c r="G4278" s="17"/>
    </row>
    <row r="4279" spans="2:7" x14ac:dyDescent="0.25">
      <c r="B4279" s="15"/>
      <c r="C4279" s="15"/>
      <c r="D4279" s="16"/>
      <c r="E4279" s="16"/>
      <c r="F4279" s="20"/>
      <c r="G4279" s="17"/>
    </row>
    <row r="4280" spans="2:7" x14ac:dyDescent="0.25">
      <c r="B4280" s="15"/>
      <c r="C4280" s="15"/>
      <c r="D4280" s="16"/>
      <c r="E4280" s="16"/>
      <c r="F4280" s="20"/>
      <c r="G4280" s="17"/>
    </row>
    <row r="4281" spans="2:7" x14ac:dyDescent="0.25">
      <c r="B4281" s="15"/>
      <c r="C4281" s="15"/>
      <c r="D4281" s="16"/>
      <c r="E4281" s="16"/>
      <c r="F4281" s="20"/>
      <c r="G4281" s="17"/>
    </row>
    <row r="4282" spans="2:7" x14ac:dyDescent="0.25">
      <c r="B4282" s="15"/>
      <c r="C4282" s="15"/>
      <c r="D4282" s="16"/>
      <c r="E4282" s="16"/>
      <c r="F4282" s="20"/>
      <c r="G4282" s="17"/>
    </row>
    <row r="4283" spans="2:7" x14ac:dyDescent="0.25">
      <c r="B4283" s="15"/>
      <c r="C4283" s="15"/>
      <c r="D4283" s="16"/>
      <c r="E4283" s="16"/>
      <c r="F4283" s="20"/>
      <c r="G4283" s="17"/>
    </row>
    <row r="4284" spans="2:7" x14ac:dyDescent="0.25">
      <c r="B4284" s="15"/>
      <c r="C4284" s="15"/>
      <c r="D4284" s="16"/>
      <c r="E4284" s="16"/>
      <c r="F4284" s="20"/>
      <c r="G4284" s="17"/>
    </row>
    <row r="4285" spans="2:7" x14ac:dyDescent="0.25">
      <c r="B4285" s="15"/>
      <c r="C4285" s="15"/>
      <c r="D4285" s="16"/>
      <c r="E4285" s="16"/>
      <c r="F4285" s="20"/>
      <c r="G4285" s="17"/>
    </row>
    <row r="4286" spans="2:7" x14ac:dyDescent="0.25">
      <c r="B4286" s="15"/>
      <c r="C4286" s="15"/>
      <c r="D4286" s="16"/>
      <c r="E4286" s="16"/>
      <c r="F4286" s="20"/>
      <c r="G4286" s="17"/>
    </row>
    <row r="4287" spans="2:7" x14ac:dyDescent="0.25">
      <c r="B4287" s="15"/>
      <c r="C4287" s="15"/>
      <c r="D4287" s="16"/>
      <c r="E4287" s="16"/>
      <c r="F4287" s="20"/>
      <c r="G4287" s="17"/>
    </row>
    <row r="4288" spans="2:7" x14ac:dyDescent="0.25">
      <c r="B4288" s="15"/>
      <c r="C4288" s="15"/>
      <c r="D4288" s="16"/>
      <c r="E4288" s="16"/>
      <c r="F4288" s="20"/>
      <c r="G4288" s="17"/>
    </row>
    <row r="4289" spans="2:7" x14ac:dyDescent="0.25">
      <c r="B4289" s="15"/>
      <c r="C4289" s="15"/>
      <c r="D4289" s="16"/>
      <c r="E4289" s="16"/>
      <c r="F4289" s="20"/>
      <c r="G4289" s="17"/>
    </row>
    <row r="4290" spans="2:7" x14ac:dyDescent="0.25">
      <c r="B4290" s="15"/>
      <c r="C4290" s="15"/>
      <c r="D4290" s="16"/>
      <c r="E4290" s="16"/>
      <c r="F4290" s="20"/>
      <c r="G4290" s="17"/>
    </row>
    <row r="4291" spans="2:7" x14ac:dyDescent="0.25">
      <c r="B4291" s="15"/>
      <c r="C4291" s="15"/>
      <c r="D4291" s="16"/>
      <c r="E4291" s="16"/>
      <c r="F4291" s="20"/>
      <c r="G4291" s="17"/>
    </row>
    <row r="4292" spans="2:7" x14ac:dyDescent="0.25">
      <c r="B4292" s="15"/>
      <c r="C4292" s="15"/>
      <c r="D4292" s="16"/>
      <c r="E4292" s="16"/>
      <c r="F4292" s="20"/>
      <c r="G4292" s="17"/>
    </row>
    <row r="4293" spans="2:7" x14ac:dyDescent="0.25">
      <c r="B4293" s="15"/>
      <c r="C4293" s="15"/>
      <c r="D4293" s="16"/>
      <c r="E4293" s="16"/>
      <c r="F4293" s="20"/>
      <c r="G4293" s="17"/>
    </row>
    <row r="4294" spans="2:7" x14ac:dyDescent="0.25">
      <c r="B4294" s="15"/>
      <c r="C4294" s="15"/>
      <c r="D4294" s="16"/>
      <c r="E4294" s="16"/>
      <c r="F4294" s="20"/>
      <c r="G4294" s="17"/>
    </row>
    <row r="4295" spans="2:7" x14ac:dyDescent="0.25">
      <c r="B4295" s="15"/>
      <c r="C4295" s="15"/>
      <c r="D4295" s="16"/>
      <c r="E4295" s="16"/>
      <c r="F4295" s="20"/>
      <c r="G4295" s="17"/>
    </row>
    <row r="4296" spans="2:7" x14ac:dyDescent="0.25">
      <c r="B4296" s="15"/>
      <c r="C4296" s="15"/>
      <c r="D4296" s="16"/>
      <c r="E4296" s="16"/>
      <c r="F4296" s="20"/>
      <c r="G4296" s="17"/>
    </row>
    <row r="4297" spans="2:7" x14ac:dyDescent="0.25">
      <c r="B4297" s="15"/>
      <c r="C4297" s="15"/>
      <c r="D4297" s="16"/>
      <c r="E4297" s="16"/>
      <c r="F4297" s="20"/>
      <c r="G4297" s="17"/>
    </row>
    <row r="4298" spans="2:7" x14ac:dyDescent="0.25">
      <c r="B4298" s="15"/>
      <c r="C4298" s="15"/>
      <c r="D4298" s="16"/>
      <c r="E4298" s="16"/>
      <c r="F4298" s="20"/>
      <c r="G4298" s="17"/>
    </row>
    <row r="4299" spans="2:7" x14ac:dyDescent="0.25">
      <c r="B4299" s="15"/>
      <c r="C4299" s="15"/>
      <c r="D4299" s="16"/>
      <c r="E4299" s="16"/>
      <c r="F4299" s="20"/>
      <c r="G4299" s="17"/>
    </row>
    <row r="4300" spans="2:7" x14ac:dyDescent="0.25">
      <c r="B4300" s="15"/>
      <c r="C4300" s="15"/>
      <c r="D4300" s="16"/>
      <c r="E4300" s="16"/>
      <c r="F4300" s="20"/>
      <c r="G4300" s="17"/>
    </row>
    <row r="4301" spans="2:7" x14ac:dyDescent="0.25">
      <c r="B4301" s="15"/>
      <c r="C4301" s="15"/>
      <c r="D4301" s="16"/>
      <c r="E4301" s="16"/>
      <c r="F4301" s="20"/>
      <c r="G4301" s="17"/>
    </row>
    <row r="4302" spans="2:7" x14ac:dyDescent="0.25">
      <c r="B4302" s="15"/>
      <c r="C4302" s="15"/>
      <c r="D4302" s="16"/>
      <c r="E4302" s="16"/>
      <c r="F4302" s="20"/>
      <c r="G4302" s="17"/>
    </row>
    <row r="4303" spans="2:7" x14ac:dyDescent="0.25">
      <c r="B4303" s="15"/>
      <c r="C4303" s="15"/>
      <c r="D4303" s="16"/>
      <c r="E4303" s="16"/>
      <c r="F4303" s="20"/>
      <c r="G4303" s="17"/>
    </row>
    <row r="4304" spans="2:7" x14ac:dyDescent="0.25">
      <c r="B4304" s="15"/>
      <c r="C4304" s="15"/>
      <c r="D4304" s="16"/>
      <c r="E4304" s="16"/>
      <c r="F4304" s="20"/>
      <c r="G4304" s="17"/>
    </row>
    <row r="4305" spans="2:7" x14ac:dyDescent="0.25">
      <c r="B4305" s="15"/>
      <c r="C4305" s="15"/>
      <c r="D4305" s="16"/>
      <c r="E4305" s="16"/>
      <c r="F4305" s="20"/>
      <c r="G4305" s="17"/>
    </row>
    <row r="4306" spans="2:7" x14ac:dyDescent="0.25">
      <c r="B4306" s="15"/>
      <c r="C4306" s="15"/>
      <c r="D4306" s="16"/>
      <c r="E4306" s="16"/>
      <c r="F4306" s="20"/>
      <c r="G4306" s="17"/>
    </row>
    <row r="4307" spans="2:7" x14ac:dyDescent="0.25">
      <c r="B4307" s="15"/>
      <c r="C4307" s="15"/>
      <c r="D4307" s="16"/>
      <c r="E4307" s="16"/>
      <c r="F4307" s="20"/>
      <c r="G4307" s="17"/>
    </row>
    <row r="4308" spans="2:7" x14ac:dyDescent="0.25">
      <c r="B4308" s="15"/>
      <c r="C4308" s="15"/>
      <c r="D4308" s="16"/>
      <c r="E4308" s="16"/>
      <c r="F4308" s="20"/>
      <c r="G4308" s="17"/>
    </row>
    <row r="4309" spans="2:7" x14ac:dyDescent="0.25">
      <c r="B4309" s="15"/>
      <c r="C4309" s="15"/>
      <c r="D4309" s="16"/>
      <c r="E4309" s="16"/>
      <c r="F4309" s="20"/>
      <c r="G4309" s="17"/>
    </row>
    <row r="4310" spans="2:7" x14ac:dyDescent="0.25">
      <c r="B4310" s="15"/>
      <c r="C4310" s="15"/>
      <c r="D4310" s="16"/>
      <c r="E4310" s="16"/>
      <c r="F4310" s="20"/>
      <c r="G4310" s="17"/>
    </row>
    <row r="4311" spans="2:7" x14ac:dyDescent="0.25">
      <c r="B4311" s="15"/>
      <c r="C4311" s="15"/>
      <c r="D4311" s="16"/>
      <c r="E4311" s="16"/>
      <c r="F4311" s="20"/>
      <c r="G4311" s="17"/>
    </row>
    <row r="4312" spans="2:7" x14ac:dyDescent="0.25">
      <c r="B4312" s="15"/>
      <c r="C4312" s="15"/>
      <c r="D4312" s="16"/>
      <c r="E4312" s="16"/>
      <c r="F4312" s="20"/>
      <c r="G4312" s="17"/>
    </row>
    <row r="4313" spans="2:7" x14ac:dyDescent="0.25">
      <c r="B4313" s="15"/>
      <c r="C4313" s="15"/>
      <c r="D4313" s="16"/>
      <c r="E4313" s="16"/>
      <c r="F4313" s="20"/>
      <c r="G4313" s="17"/>
    </row>
    <row r="4314" spans="2:7" x14ac:dyDescent="0.25">
      <c r="B4314" s="15"/>
      <c r="C4314" s="15"/>
      <c r="D4314" s="16"/>
      <c r="E4314" s="16"/>
      <c r="F4314" s="20"/>
      <c r="G4314" s="17"/>
    </row>
    <row r="4315" spans="2:7" x14ac:dyDescent="0.25">
      <c r="B4315" s="15"/>
      <c r="C4315" s="15"/>
      <c r="D4315" s="16"/>
      <c r="E4315" s="16"/>
      <c r="F4315" s="20"/>
      <c r="G4315" s="17"/>
    </row>
    <row r="4316" spans="2:7" x14ac:dyDescent="0.25">
      <c r="B4316" s="15"/>
      <c r="C4316" s="15"/>
      <c r="D4316" s="16"/>
      <c r="E4316" s="16"/>
      <c r="F4316" s="20"/>
      <c r="G4316" s="17"/>
    </row>
    <row r="4317" spans="2:7" x14ac:dyDescent="0.25">
      <c r="B4317" s="15"/>
      <c r="C4317" s="15"/>
      <c r="D4317" s="16"/>
      <c r="E4317" s="16"/>
      <c r="F4317" s="20"/>
      <c r="G4317" s="17"/>
    </row>
    <row r="4318" spans="2:7" x14ac:dyDescent="0.25">
      <c r="B4318" s="15"/>
      <c r="C4318" s="15"/>
      <c r="D4318" s="16"/>
      <c r="E4318" s="16"/>
      <c r="F4318" s="20"/>
      <c r="G4318" s="17"/>
    </row>
    <row r="4319" spans="2:7" x14ac:dyDescent="0.25">
      <c r="B4319" s="15"/>
      <c r="C4319" s="15"/>
      <c r="D4319" s="16"/>
      <c r="E4319" s="16"/>
      <c r="F4319" s="20"/>
      <c r="G4319" s="17"/>
    </row>
    <row r="4320" spans="2:7" x14ac:dyDescent="0.25">
      <c r="B4320" s="15"/>
      <c r="C4320" s="15"/>
      <c r="D4320" s="16"/>
      <c r="E4320" s="16"/>
      <c r="F4320" s="20"/>
      <c r="G4320" s="17"/>
    </row>
    <row r="4321" spans="2:7" x14ac:dyDescent="0.25">
      <c r="B4321" s="15"/>
      <c r="C4321" s="15"/>
      <c r="D4321" s="16"/>
      <c r="E4321" s="16"/>
      <c r="F4321" s="20"/>
      <c r="G4321" s="17"/>
    </row>
    <row r="4322" spans="2:7" x14ac:dyDescent="0.25">
      <c r="B4322" s="15"/>
      <c r="C4322" s="15"/>
      <c r="D4322" s="16"/>
      <c r="E4322" s="16"/>
      <c r="F4322" s="20"/>
      <c r="G4322" s="17"/>
    </row>
    <row r="4323" spans="2:7" x14ac:dyDescent="0.25">
      <c r="B4323" s="15"/>
      <c r="C4323" s="15"/>
      <c r="D4323" s="16"/>
      <c r="E4323" s="16"/>
      <c r="F4323" s="20"/>
      <c r="G4323" s="17"/>
    </row>
    <row r="4324" spans="2:7" x14ac:dyDescent="0.25">
      <c r="B4324" s="15"/>
      <c r="C4324" s="15"/>
      <c r="D4324" s="16"/>
      <c r="E4324" s="16"/>
      <c r="F4324" s="20"/>
      <c r="G4324" s="17"/>
    </row>
    <row r="4325" spans="2:7" x14ac:dyDescent="0.25">
      <c r="B4325" s="15"/>
      <c r="C4325" s="15"/>
      <c r="D4325" s="16"/>
      <c r="E4325" s="16"/>
      <c r="F4325" s="20"/>
      <c r="G4325" s="17"/>
    </row>
    <row r="4326" spans="2:7" x14ac:dyDescent="0.25">
      <c r="B4326" s="15"/>
      <c r="C4326" s="15"/>
      <c r="D4326" s="16"/>
      <c r="E4326" s="16"/>
      <c r="F4326" s="20"/>
      <c r="G4326" s="17"/>
    </row>
    <row r="4327" spans="2:7" x14ac:dyDescent="0.25">
      <c r="B4327" s="15"/>
      <c r="C4327" s="15"/>
      <c r="D4327" s="16"/>
      <c r="E4327" s="16"/>
      <c r="F4327" s="20"/>
      <c r="G4327" s="17"/>
    </row>
    <row r="4328" spans="2:7" x14ac:dyDescent="0.25">
      <c r="B4328" s="15"/>
      <c r="C4328" s="15"/>
      <c r="D4328" s="16"/>
      <c r="E4328" s="16"/>
      <c r="F4328" s="20"/>
      <c r="G4328" s="17"/>
    </row>
    <row r="4329" spans="2:7" x14ac:dyDescent="0.25">
      <c r="B4329" s="15"/>
      <c r="C4329" s="15"/>
      <c r="D4329" s="16"/>
      <c r="E4329" s="16"/>
      <c r="F4329" s="20"/>
      <c r="G4329" s="17"/>
    </row>
    <row r="4330" spans="2:7" x14ac:dyDescent="0.25">
      <c r="B4330" s="15"/>
      <c r="C4330" s="15"/>
      <c r="D4330" s="16"/>
      <c r="E4330" s="16"/>
      <c r="F4330" s="20"/>
      <c r="G4330" s="17"/>
    </row>
    <row r="4331" spans="2:7" x14ac:dyDescent="0.25">
      <c r="B4331" s="15"/>
      <c r="C4331" s="15"/>
      <c r="D4331" s="16"/>
      <c r="E4331" s="16"/>
      <c r="F4331" s="20"/>
      <c r="G4331" s="17"/>
    </row>
    <row r="4332" spans="2:7" x14ac:dyDescent="0.25">
      <c r="B4332" s="15"/>
      <c r="C4332" s="15"/>
      <c r="D4332" s="16"/>
      <c r="E4332" s="16"/>
      <c r="F4332" s="20"/>
      <c r="G4332" s="17"/>
    </row>
    <row r="4333" spans="2:7" x14ac:dyDescent="0.25">
      <c r="B4333" s="15"/>
      <c r="C4333" s="15"/>
      <c r="D4333" s="16"/>
      <c r="E4333" s="16"/>
      <c r="F4333" s="20"/>
      <c r="G4333" s="17"/>
    </row>
    <row r="4334" spans="2:7" x14ac:dyDescent="0.25">
      <c r="B4334" s="15"/>
      <c r="C4334" s="15"/>
      <c r="D4334" s="16"/>
      <c r="E4334" s="16"/>
      <c r="F4334" s="20"/>
      <c r="G4334" s="17"/>
    </row>
    <row r="4335" spans="2:7" x14ac:dyDescent="0.25">
      <c r="B4335" s="15"/>
      <c r="C4335" s="15"/>
      <c r="D4335" s="16"/>
      <c r="E4335" s="16"/>
      <c r="F4335" s="20"/>
      <c r="G4335" s="17"/>
    </row>
    <row r="4336" spans="2:7" x14ac:dyDescent="0.25">
      <c r="B4336" s="15"/>
      <c r="C4336" s="15"/>
      <c r="D4336" s="16"/>
      <c r="E4336" s="16"/>
      <c r="F4336" s="20"/>
      <c r="G4336" s="17"/>
    </row>
    <row r="4337" spans="2:7" x14ac:dyDescent="0.25">
      <c r="B4337" s="15"/>
      <c r="C4337" s="15"/>
      <c r="D4337" s="16"/>
      <c r="E4337" s="16"/>
      <c r="F4337" s="20"/>
      <c r="G4337" s="17"/>
    </row>
    <row r="4338" spans="2:7" x14ac:dyDescent="0.25">
      <c r="B4338" s="15"/>
      <c r="C4338" s="15"/>
      <c r="D4338" s="16"/>
      <c r="E4338" s="16"/>
      <c r="F4338" s="20"/>
      <c r="G4338" s="17"/>
    </row>
    <row r="4339" spans="2:7" x14ac:dyDescent="0.25">
      <c r="B4339" s="15"/>
      <c r="C4339" s="15"/>
      <c r="D4339" s="16"/>
      <c r="E4339" s="16"/>
      <c r="F4339" s="20"/>
      <c r="G4339" s="17"/>
    </row>
    <row r="4340" spans="2:7" x14ac:dyDescent="0.25">
      <c r="B4340" s="15"/>
      <c r="C4340" s="15"/>
      <c r="D4340" s="16"/>
      <c r="E4340" s="16"/>
      <c r="F4340" s="20"/>
      <c r="G4340" s="17"/>
    </row>
    <row r="4341" spans="2:7" x14ac:dyDescent="0.25">
      <c r="B4341" s="15"/>
      <c r="C4341" s="15"/>
      <c r="D4341" s="16"/>
      <c r="E4341" s="16"/>
      <c r="F4341" s="20"/>
      <c r="G4341" s="17"/>
    </row>
    <row r="4342" spans="2:7" x14ac:dyDescent="0.25">
      <c r="B4342" s="15"/>
      <c r="C4342" s="15"/>
      <c r="D4342" s="16"/>
      <c r="E4342" s="16"/>
      <c r="F4342" s="20"/>
      <c r="G4342" s="17"/>
    </row>
    <row r="4343" spans="2:7" x14ac:dyDescent="0.25">
      <c r="B4343" s="15"/>
      <c r="C4343" s="15"/>
      <c r="D4343" s="16"/>
      <c r="E4343" s="16"/>
      <c r="F4343" s="20"/>
      <c r="G4343" s="17"/>
    </row>
    <row r="4344" spans="2:7" x14ac:dyDescent="0.25">
      <c r="B4344" s="15"/>
      <c r="C4344" s="15"/>
      <c r="D4344" s="16"/>
      <c r="E4344" s="16"/>
      <c r="F4344" s="20"/>
      <c r="G4344" s="17"/>
    </row>
    <row r="4345" spans="2:7" x14ac:dyDescent="0.25">
      <c r="B4345" s="15"/>
      <c r="C4345" s="15"/>
      <c r="D4345" s="16"/>
      <c r="E4345" s="16"/>
      <c r="F4345" s="20"/>
      <c r="G4345" s="17"/>
    </row>
    <row r="4346" spans="2:7" x14ac:dyDescent="0.25">
      <c r="B4346" s="15"/>
      <c r="C4346" s="15"/>
      <c r="D4346" s="16"/>
      <c r="E4346" s="16"/>
      <c r="F4346" s="20"/>
      <c r="G4346" s="17"/>
    </row>
    <row r="4347" spans="2:7" x14ac:dyDescent="0.25">
      <c r="B4347" s="15"/>
      <c r="C4347" s="15"/>
      <c r="D4347" s="16"/>
      <c r="E4347" s="16"/>
      <c r="F4347" s="20"/>
      <c r="G4347" s="17"/>
    </row>
    <row r="4348" spans="2:7" x14ac:dyDescent="0.25">
      <c r="B4348" s="15"/>
      <c r="C4348" s="15"/>
      <c r="D4348" s="16"/>
      <c r="E4348" s="16"/>
      <c r="F4348" s="20"/>
      <c r="G4348" s="17"/>
    </row>
    <row r="4349" spans="2:7" x14ac:dyDescent="0.25">
      <c r="B4349" s="15"/>
      <c r="C4349" s="15"/>
      <c r="D4349" s="16"/>
      <c r="E4349" s="16"/>
      <c r="F4349" s="20"/>
      <c r="G4349" s="17"/>
    </row>
    <row r="4350" spans="2:7" x14ac:dyDescent="0.25">
      <c r="B4350" s="15"/>
      <c r="C4350" s="15"/>
      <c r="D4350" s="16"/>
      <c r="E4350" s="16"/>
      <c r="F4350" s="20"/>
      <c r="G4350" s="17"/>
    </row>
    <row r="4351" spans="2:7" x14ac:dyDescent="0.25">
      <c r="B4351" s="15"/>
      <c r="C4351" s="15"/>
      <c r="D4351" s="16"/>
      <c r="E4351" s="16"/>
      <c r="F4351" s="20"/>
      <c r="G4351" s="17"/>
    </row>
    <row r="4352" spans="2:7" x14ac:dyDescent="0.25">
      <c r="B4352" s="15"/>
      <c r="C4352" s="15"/>
      <c r="D4352" s="16"/>
      <c r="E4352" s="16"/>
      <c r="F4352" s="20"/>
      <c r="G4352" s="17"/>
    </row>
    <row r="4353" spans="2:7" x14ac:dyDescent="0.25">
      <c r="B4353" s="15"/>
      <c r="C4353" s="15"/>
      <c r="D4353" s="16"/>
      <c r="E4353" s="16"/>
      <c r="F4353" s="20"/>
      <c r="G4353" s="17"/>
    </row>
    <row r="4354" spans="2:7" x14ac:dyDescent="0.25">
      <c r="B4354" s="15"/>
      <c r="C4354" s="15"/>
      <c r="D4354" s="16"/>
      <c r="E4354" s="16"/>
      <c r="F4354" s="20"/>
      <c r="G4354" s="17"/>
    </row>
    <row r="4355" spans="2:7" x14ac:dyDescent="0.25">
      <c r="B4355" s="15"/>
      <c r="C4355" s="15"/>
      <c r="D4355" s="16"/>
      <c r="E4355" s="16"/>
      <c r="F4355" s="20"/>
      <c r="G4355" s="17"/>
    </row>
    <row r="4356" spans="2:7" x14ac:dyDescent="0.25">
      <c r="B4356" s="15"/>
      <c r="C4356" s="15"/>
      <c r="D4356" s="16"/>
      <c r="E4356" s="16"/>
      <c r="F4356" s="20"/>
      <c r="G4356" s="17"/>
    </row>
    <row r="4357" spans="2:7" x14ac:dyDescent="0.25">
      <c r="B4357" s="15"/>
      <c r="C4357" s="15"/>
      <c r="D4357" s="16"/>
      <c r="E4357" s="16"/>
      <c r="F4357" s="20"/>
      <c r="G4357" s="17"/>
    </row>
    <row r="4358" spans="2:7" x14ac:dyDescent="0.25">
      <c r="B4358" s="15"/>
      <c r="C4358" s="15"/>
      <c r="D4358" s="16"/>
      <c r="E4358" s="16"/>
      <c r="F4358" s="20"/>
      <c r="G4358" s="17"/>
    </row>
    <row r="4359" spans="2:7" x14ac:dyDescent="0.25">
      <c r="B4359" s="15"/>
      <c r="C4359" s="15"/>
      <c r="D4359" s="16"/>
      <c r="E4359" s="16"/>
      <c r="F4359" s="20"/>
      <c r="G4359" s="17"/>
    </row>
    <row r="4360" spans="2:7" x14ac:dyDescent="0.25">
      <c r="B4360" s="15"/>
      <c r="C4360" s="15"/>
      <c r="D4360" s="16"/>
      <c r="E4360" s="16"/>
      <c r="F4360" s="20"/>
      <c r="G4360" s="17"/>
    </row>
    <row r="4361" spans="2:7" x14ac:dyDescent="0.25">
      <c r="B4361" s="15"/>
      <c r="C4361" s="15"/>
      <c r="D4361" s="16"/>
      <c r="E4361" s="16"/>
      <c r="F4361" s="20"/>
      <c r="G4361" s="17"/>
    </row>
    <row r="4362" spans="2:7" x14ac:dyDescent="0.25">
      <c r="B4362" s="15"/>
      <c r="C4362" s="15"/>
      <c r="D4362" s="16"/>
      <c r="E4362" s="16"/>
      <c r="F4362" s="20"/>
      <c r="G4362" s="17"/>
    </row>
    <row r="4363" spans="2:7" x14ac:dyDescent="0.25">
      <c r="B4363" s="15"/>
      <c r="C4363" s="15"/>
      <c r="D4363" s="16"/>
      <c r="E4363" s="16"/>
      <c r="F4363" s="20"/>
      <c r="G4363" s="17"/>
    </row>
    <row r="4364" spans="2:7" x14ac:dyDescent="0.25">
      <c r="B4364" s="15"/>
      <c r="C4364" s="15"/>
      <c r="D4364" s="16"/>
      <c r="E4364" s="16"/>
      <c r="F4364" s="20"/>
      <c r="G4364" s="17"/>
    </row>
    <row r="4365" spans="2:7" x14ac:dyDescent="0.25">
      <c r="B4365" s="15"/>
      <c r="C4365" s="15"/>
      <c r="D4365" s="16"/>
      <c r="E4365" s="16"/>
      <c r="F4365" s="20"/>
      <c r="G4365" s="17"/>
    </row>
    <row r="4366" spans="2:7" x14ac:dyDescent="0.25">
      <c r="B4366" s="15"/>
      <c r="C4366" s="15"/>
      <c r="D4366" s="16"/>
      <c r="E4366" s="16"/>
      <c r="F4366" s="20"/>
      <c r="G4366" s="17"/>
    </row>
    <row r="4367" spans="2:7" x14ac:dyDescent="0.25">
      <c r="B4367" s="15"/>
      <c r="C4367" s="15"/>
      <c r="D4367" s="16"/>
      <c r="E4367" s="16"/>
      <c r="F4367" s="20"/>
      <c r="G4367" s="17"/>
    </row>
    <row r="4368" spans="2:7" x14ac:dyDescent="0.25">
      <c r="B4368" s="15"/>
      <c r="C4368" s="15"/>
      <c r="D4368" s="16"/>
      <c r="E4368" s="16"/>
      <c r="F4368" s="20"/>
      <c r="G4368" s="17"/>
    </row>
    <row r="4369" spans="2:7" x14ac:dyDescent="0.25">
      <c r="B4369" s="15"/>
      <c r="C4369" s="15"/>
      <c r="D4369" s="16"/>
      <c r="E4369" s="16"/>
      <c r="F4369" s="20"/>
      <c r="G4369" s="17"/>
    </row>
    <row r="4370" spans="2:7" x14ac:dyDescent="0.25">
      <c r="B4370" s="15"/>
      <c r="C4370" s="15"/>
      <c r="D4370" s="16"/>
      <c r="E4370" s="16"/>
      <c r="F4370" s="20"/>
      <c r="G4370" s="17"/>
    </row>
    <row r="4371" spans="2:7" x14ac:dyDescent="0.25">
      <c r="B4371" s="15"/>
      <c r="C4371" s="15"/>
      <c r="D4371" s="16"/>
      <c r="E4371" s="16"/>
      <c r="F4371" s="20"/>
      <c r="G4371" s="17"/>
    </row>
    <row r="4372" spans="2:7" x14ac:dyDescent="0.25">
      <c r="B4372" s="15"/>
      <c r="C4372" s="15"/>
      <c r="D4372" s="16"/>
      <c r="E4372" s="16"/>
      <c r="F4372" s="20"/>
      <c r="G4372" s="17"/>
    </row>
    <row r="4373" spans="2:7" x14ac:dyDescent="0.25">
      <c r="B4373" s="15"/>
      <c r="C4373" s="15"/>
      <c r="D4373" s="16"/>
      <c r="E4373" s="16"/>
      <c r="F4373" s="20"/>
      <c r="G4373" s="17"/>
    </row>
    <row r="4374" spans="2:7" x14ac:dyDescent="0.25">
      <c r="B4374" s="15"/>
      <c r="C4374" s="15"/>
      <c r="D4374" s="16"/>
      <c r="E4374" s="16"/>
      <c r="F4374" s="20"/>
      <c r="G4374" s="17"/>
    </row>
    <row r="4375" spans="2:7" x14ac:dyDescent="0.25">
      <c r="B4375" s="15"/>
      <c r="C4375" s="15"/>
      <c r="D4375" s="16"/>
      <c r="E4375" s="16"/>
      <c r="F4375" s="20"/>
      <c r="G4375" s="17"/>
    </row>
    <row r="4376" spans="2:7" x14ac:dyDescent="0.25">
      <c r="B4376" s="15"/>
      <c r="C4376" s="15"/>
      <c r="D4376" s="16"/>
      <c r="E4376" s="16"/>
      <c r="F4376" s="20"/>
      <c r="G4376" s="17"/>
    </row>
    <row r="4377" spans="2:7" x14ac:dyDescent="0.25">
      <c r="B4377" s="15"/>
      <c r="C4377" s="15"/>
      <c r="D4377" s="16"/>
      <c r="E4377" s="16"/>
      <c r="F4377" s="20"/>
      <c r="G4377" s="17"/>
    </row>
    <row r="4378" spans="2:7" x14ac:dyDescent="0.25">
      <c r="B4378" s="15"/>
      <c r="C4378" s="15"/>
      <c r="D4378" s="16"/>
      <c r="E4378" s="16"/>
      <c r="F4378" s="20"/>
      <c r="G4378" s="17"/>
    </row>
    <row r="4379" spans="2:7" x14ac:dyDescent="0.25">
      <c r="B4379" s="15"/>
      <c r="C4379" s="15"/>
      <c r="D4379" s="16"/>
      <c r="E4379" s="16"/>
      <c r="F4379" s="20"/>
      <c r="G4379" s="17"/>
    </row>
    <row r="4380" spans="2:7" x14ac:dyDescent="0.25">
      <c r="B4380" s="15"/>
      <c r="C4380" s="15"/>
      <c r="D4380" s="16"/>
      <c r="E4380" s="16"/>
      <c r="F4380" s="20"/>
      <c r="G4380" s="17"/>
    </row>
    <row r="4381" spans="2:7" x14ac:dyDescent="0.25">
      <c r="B4381" s="15"/>
      <c r="C4381" s="15"/>
      <c r="D4381" s="16"/>
      <c r="E4381" s="16"/>
      <c r="F4381" s="20"/>
      <c r="G4381" s="17"/>
    </row>
    <row r="4382" spans="2:7" x14ac:dyDescent="0.25">
      <c r="B4382" s="15"/>
      <c r="C4382" s="15"/>
      <c r="D4382" s="16"/>
      <c r="E4382" s="16"/>
      <c r="F4382" s="20"/>
      <c r="G4382" s="17"/>
    </row>
    <row r="4383" spans="2:7" x14ac:dyDescent="0.25">
      <c r="B4383" s="15"/>
      <c r="C4383" s="15"/>
      <c r="D4383" s="16"/>
      <c r="E4383" s="16"/>
      <c r="F4383" s="20"/>
      <c r="G4383" s="17"/>
    </row>
    <row r="4384" spans="2:7" x14ac:dyDescent="0.25">
      <c r="B4384" s="15"/>
      <c r="C4384" s="15"/>
      <c r="D4384" s="16"/>
      <c r="E4384" s="16"/>
      <c r="F4384" s="20"/>
      <c r="G4384" s="17"/>
    </row>
    <row r="4385" spans="2:7" x14ac:dyDescent="0.25">
      <c r="B4385" s="15"/>
      <c r="C4385" s="15"/>
      <c r="D4385" s="16"/>
      <c r="E4385" s="16"/>
      <c r="F4385" s="20"/>
      <c r="G4385" s="17"/>
    </row>
    <row r="4386" spans="2:7" x14ac:dyDescent="0.25">
      <c r="B4386" s="15"/>
      <c r="C4386" s="15"/>
      <c r="D4386" s="16"/>
      <c r="E4386" s="16"/>
      <c r="F4386" s="20"/>
      <c r="G4386" s="17"/>
    </row>
    <row r="4387" spans="2:7" x14ac:dyDescent="0.25">
      <c r="B4387" s="15"/>
      <c r="C4387" s="15"/>
      <c r="D4387" s="16"/>
      <c r="E4387" s="16"/>
      <c r="F4387" s="20"/>
      <c r="G4387" s="17"/>
    </row>
    <row r="4388" spans="2:7" x14ac:dyDescent="0.25">
      <c r="B4388" s="15"/>
      <c r="C4388" s="15"/>
      <c r="D4388" s="16"/>
      <c r="E4388" s="16"/>
      <c r="F4388" s="20"/>
      <c r="G4388" s="17"/>
    </row>
    <row r="4389" spans="2:7" x14ac:dyDescent="0.25">
      <c r="B4389" s="15"/>
      <c r="C4389" s="15"/>
      <c r="D4389" s="16"/>
      <c r="E4389" s="16"/>
      <c r="F4389" s="20"/>
      <c r="G4389" s="17"/>
    </row>
    <row r="4390" spans="2:7" x14ac:dyDescent="0.25">
      <c r="B4390" s="15"/>
      <c r="C4390" s="15"/>
      <c r="D4390" s="16"/>
      <c r="E4390" s="16"/>
      <c r="F4390" s="20"/>
      <c r="G4390" s="17"/>
    </row>
    <row r="4391" spans="2:7" x14ac:dyDescent="0.25">
      <c r="B4391" s="15"/>
      <c r="C4391" s="15"/>
      <c r="D4391" s="16"/>
      <c r="E4391" s="16"/>
      <c r="F4391" s="20"/>
      <c r="G4391" s="17"/>
    </row>
    <row r="4392" spans="2:7" x14ac:dyDescent="0.25">
      <c r="B4392" s="15"/>
      <c r="C4392" s="15"/>
      <c r="D4392" s="16"/>
      <c r="E4392" s="16"/>
      <c r="F4392" s="20"/>
      <c r="G4392" s="17"/>
    </row>
    <row r="4393" spans="2:7" x14ac:dyDescent="0.25">
      <c r="B4393" s="15"/>
      <c r="C4393" s="15"/>
      <c r="D4393" s="16"/>
      <c r="E4393" s="16"/>
      <c r="F4393" s="20"/>
      <c r="G4393" s="17"/>
    </row>
    <row r="4394" spans="2:7" x14ac:dyDescent="0.25">
      <c r="B4394" s="15"/>
      <c r="C4394" s="15"/>
      <c r="D4394" s="16"/>
      <c r="E4394" s="16"/>
      <c r="F4394" s="20"/>
      <c r="G4394" s="17"/>
    </row>
    <row r="4395" spans="2:7" x14ac:dyDescent="0.25">
      <c r="B4395" s="15"/>
      <c r="C4395" s="15"/>
      <c r="D4395" s="16"/>
      <c r="E4395" s="16"/>
      <c r="F4395" s="20"/>
      <c r="G4395" s="17"/>
    </row>
    <row r="4396" spans="2:7" x14ac:dyDescent="0.25">
      <c r="B4396" s="15"/>
      <c r="C4396" s="15"/>
      <c r="D4396" s="16"/>
      <c r="E4396" s="16"/>
      <c r="F4396" s="20"/>
      <c r="G4396" s="17"/>
    </row>
    <row r="4397" spans="2:7" x14ac:dyDescent="0.25">
      <c r="B4397" s="15"/>
      <c r="C4397" s="15"/>
      <c r="D4397" s="16"/>
      <c r="E4397" s="16"/>
      <c r="F4397" s="20"/>
      <c r="G4397" s="17"/>
    </row>
    <row r="4398" spans="2:7" x14ac:dyDescent="0.25">
      <c r="B4398" s="15"/>
      <c r="C4398" s="15"/>
      <c r="D4398" s="16"/>
      <c r="E4398" s="16"/>
      <c r="F4398" s="20"/>
      <c r="G4398" s="17"/>
    </row>
    <row r="4399" spans="2:7" x14ac:dyDescent="0.25">
      <c r="B4399" s="15"/>
      <c r="C4399" s="15"/>
      <c r="D4399" s="16"/>
      <c r="E4399" s="16"/>
      <c r="F4399" s="20"/>
      <c r="G4399" s="17"/>
    </row>
    <row r="4400" spans="2:7" x14ac:dyDescent="0.25">
      <c r="B4400" s="15"/>
      <c r="C4400" s="15"/>
      <c r="D4400" s="16"/>
      <c r="E4400" s="16"/>
      <c r="F4400" s="20"/>
      <c r="G4400" s="17"/>
    </row>
    <row r="4401" spans="2:7" x14ac:dyDescent="0.25">
      <c r="B4401" s="15"/>
      <c r="C4401" s="15"/>
      <c r="D4401" s="16"/>
      <c r="E4401" s="16"/>
      <c r="F4401" s="20"/>
      <c r="G4401" s="17"/>
    </row>
    <row r="4402" spans="2:7" x14ac:dyDescent="0.25">
      <c r="B4402" s="15"/>
      <c r="C4402" s="15"/>
      <c r="D4402" s="16"/>
      <c r="E4402" s="16"/>
      <c r="F4402" s="20"/>
      <c r="G4402" s="17"/>
    </row>
    <row r="4403" spans="2:7" x14ac:dyDescent="0.25">
      <c r="B4403" s="15"/>
      <c r="C4403" s="15"/>
      <c r="D4403" s="16"/>
      <c r="E4403" s="16"/>
      <c r="F4403" s="20"/>
      <c r="G4403" s="17"/>
    </row>
    <row r="4404" spans="2:7" x14ac:dyDescent="0.25">
      <c r="B4404" s="15"/>
      <c r="C4404" s="15"/>
      <c r="D4404" s="16"/>
      <c r="E4404" s="16"/>
      <c r="F4404" s="20"/>
      <c r="G4404" s="17"/>
    </row>
    <row r="4405" spans="2:7" x14ac:dyDescent="0.25">
      <c r="B4405" s="15"/>
      <c r="C4405" s="15"/>
      <c r="D4405" s="16"/>
      <c r="E4405" s="16"/>
      <c r="F4405" s="20"/>
      <c r="G4405" s="17"/>
    </row>
    <row r="4406" spans="2:7" x14ac:dyDescent="0.25">
      <c r="B4406" s="15"/>
      <c r="C4406" s="15"/>
      <c r="D4406" s="16"/>
      <c r="E4406" s="16"/>
      <c r="F4406" s="20"/>
      <c r="G4406" s="17"/>
    </row>
    <row r="4407" spans="2:7" x14ac:dyDescent="0.25">
      <c r="B4407" s="15"/>
      <c r="C4407" s="15"/>
      <c r="D4407" s="16"/>
      <c r="E4407" s="16"/>
      <c r="F4407" s="20"/>
      <c r="G4407" s="17"/>
    </row>
    <row r="4408" spans="2:7" x14ac:dyDescent="0.25">
      <c r="B4408" s="15"/>
      <c r="C4408" s="15"/>
      <c r="D4408" s="16"/>
      <c r="E4408" s="16"/>
      <c r="F4408" s="20"/>
      <c r="G4408" s="17"/>
    </row>
    <row r="4409" spans="2:7" x14ac:dyDescent="0.25">
      <c r="B4409" s="15"/>
      <c r="C4409" s="15"/>
      <c r="D4409" s="16"/>
      <c r="E4409" s="16"/>
      <c r="F4409" s="20"/>
      <c r="G4409" s="17"/>
    </row>
    <row r="4410" spans="2:7" x14ac:dyDescent="0.25">
      <c r="B4410" s="15"/>
      <c r="C4410" s="15"/>
      <c r="D4410" s="16"/>
      <c r="E4410" s="16"/>
      <c r="F4410" s="20"/>
      <c r="G4410" s="17"/>
    </row>
    <row r="4411" spans="2:7" x14ac:dyDescent="0.25">
      <c r="B4411" s="15"/>
      <c r="C4411" s="15"/>
      <c r="D4411" s="16"/>
      <c r="E4411" s="16"/>
      <c r="F4411" s="20"/>
      <c r="G4411" s="17"/>
    </row>
    <row r="4412" spans="2:7" x14ac:dyDescent="0.25">
      <c r="B4412" s="15"/>
      <c r="C4412" s="15"/>
      <c r="D4412" s="16"/>
      <c r="E4412" s="16"/>
      <c r="F4412" s="20"/>
      <c r="G4412" s="17"/>
    </row>
    <row r="4413" spans="2:7" x14ac:dyDescent="0.25">
      <c r="B4413" s="15"/>
      <c r="C4413" s="15"/>
      <c r="D4413" s="16"/>
      <c r="E4413" s="16"/>
      <c r="F4413" s="20"/>
      <c r="G4413" s="17"/>
    </row>
    <row r="4414" spans="2:7" x14ac:dyDescent="0.25">
      <c r="B4414" s="15"/>
      <c r="C4414" s="15"/>
      <c r="D4414" s="16"/>
      <c r="E4414" s="16"/>
      <c r="F4414" s="20"/>
      <c r="G4414" s="17"/>
    </row>
    <row r="4415" spans="2:7" x14ac:dyDescent="0.25">
      <c r="B4415" s="15"/>
      <c r="C4415" s="15"/>
      <c r="D4415" s="16"/>
      <c r="E4415" s="16"/>
      <c r="F4415" s="20"/>
      <c r="G4415" s="17"/>
    </row>
    <row r="4416" spans="2:7" x14ac:dyDescent="0.25">
      <c r="B4416" s="15"/>
      <c r="C4416" s="15"/>
      <c r="D4416" s="16"/>
      <c r="E4416" s="16"/>
      <c r="F4416" s="20"/>
      <c r="G4416" s="17"/>
    </row>
    <row r="4417" spans="2:7" x14ac:dyDescent="0.25">
      <c r="B4417" s="15"/>
      <c r="C4417" s="15"/>
      <c r="D4417" s="16"/>
      <c r="E4417" s="16"/>
      <c r="F4417" s="20"/>
      <c r="G4417" s="17"/>
    </row>
    <row r="4418" spans="2:7" x14ac:dyDescent="0.25">
      <c r="B4418" s="15"/>
      <c r="C4418" s="15"/>
      <c r="D4418" s="16"/>
      <c r="E4418" s="16"/>
      <c r="F4418" s="20"/>
      <c r="G4418" s="17"/>
    </row>
    <row r="4419" spans="2:7" x14ac:dyDescent="0.25">
      <c r="B4419" s="15"/>
      <c r="C4419" s="15"/>
      <c r="D4419" s="16"/>
      <c r="E4419" s="16"/>
      <c r="F4419" s="20"/>
      <c r="G4419" s="17"/>
    </row>
    <row r="4420" spans="2:7" x14ac:dyDescent="0.25">
      <c r="B4420" s="15"/>
      <c r="C4420" s="15"/>
      <c r="D4420" s="16"/>
      <c r="E4420" s="16"/>
      <c r="F4420" s="20"/>
      <c r="G4420" s="17"/>
    </row>
    <row r="4421" spans="2:7" x14ac:dyDescent="0.25">
      <c r="B4421" s="15"/>
      <c r="C4421" s="15"/>
      <c r="D4421" s="16"/>
      <c r="E4421" s="16"/>
      <c r="F4421" s="20"/>
      <c r="G4421" s="17"/>
    </row>
    <row r="4422" spans="2:7" x14ac:dyDescent="0.25">
      <c r="B4422" s="15"/>
      <c r="C4422" s="15"/>
      <c r="D4422" s="16"/>
      <c r="E4422" s="16"/>
      <c r="F4422" s="20"/>
      <c r="G4422" s="17"/>
    </row>
    <row r="4423" spans="2:7" x14ac:dyDescent="0.25">
      <c r="B4423" s="15"/>
      <c r="C4423" s="15"/>
      <c r="D4423" s="16"/>
      <c r="E4423" s="16"/>
      <c r="F4423" s="20"/>
      <c r="G4423" s="17"/>
    </row>
    <row r="4424" spans="2:7" x14ac:dyDescent="0.25">
      <c r="B4424" s="15"/>
      <c r="C4424" s="15"/>
      <c r="D4424" s="16"/>
      <c r="E4424" s="16"/>
      <c r="F4424" s="20"/>
      <c r="G4424" s="17"/>
    </row>
    <row r="4425" spans="2:7" x14ac:dyDescent="0.25">
      <c r="B4425" s="15"/>
      <c r="C4425" s="15"/>
      <c r="D4425" s="16"/>
      <c r="E4425" s="16"/>
      <c r="F4425" s="20"/>
      <c r="G4425" s="17"/>
    </row>
    <row r="4426" spans="2:7" x14ac:dyDescent="0.25">
      <c r="B4426" s="15"/>
      <c r="C4426" s="15"/>
      <c r="D4426" s="16"/>
      <c r="E4426" s="16"/>
      <c r="F4426" s="20"/>
      <c r="G4426" s="17"/>
    </row>
    <row r="4427" spans="2:7" x14ac:dyDescent="0.25">
      <c r="B4427" s="15"/>
      <c r="C4427" s="15"/>
      <c r="D4427" s="16"/>
      <c r="E4427" s="16"/>
      <c r="F4427" s="20"/>
      <c r="G4427" s="17"/>
    </row>
    <row r="4428" spans="2:7" x14ac:dyDescent="0.25">
      <c r="B4428" s="15"/>
      <c r="C4428" s="15"/>
      <c r="D4428" s="16"/>
      <c r="E4428" s="16"/>
      <c r="F4428" s="20"/>
      <c r="G4428" s="17"/>
    </row>
    <row r="4429" spans="2:7" x14ac:dyDescent="0.25">
      <c r="B4429" s="15"/>
      <c r="C4429" s="15"/>
      <c r="D4429" s="16"/>
      <c r="E4429" s="16"/>
      <c r="F4429" s="20"/>
      <c r="G4429" s="17"/>
    </row>
    <row r="4430" spans="2:7" x14ac:dyDescent="0.25">
      <c r="B4430" s="15"/>
      <c r="C4430" s="15"/>
      <c r="D4430" s="16"/>
      <c r="E4430" s="16"/>
      <c r="F4430" s="20"/>
      <c r="G4430" s="17"/>
    </row>
    <row r="4431" spans="2:7" x14ac:dyDescent="0.25">
      <c r="B4431" s="15"/>
      <c r="C4431" s="15"/>
      <c r="D4431" s="16"/>
      <c r="E4431" s="16"/>
      <c r="F4431" s="20"/>
      <c r="G4431" s="17"/>
    </row>
    <row r="4432" spans="2:7" x14ac:dyDescent="0.25">
      <c r="B4432" s="15"/>
      <c r="C4432" s="15"/>
      <c r="D4432" s="16"/>
      <c r="E4432" s="16"/>
      <c r="F4432" s="20"/>
      <c r="G4432" s="17"/>
    </row>
    <row r="4433" spans="2:7" x14ac:dyDescent="0.25">
      <c r="B4433" s="15"/>
      <c r="C4433" s="15"/>
      <c r="D4433" s="16"/>
      <c r="E4433" s="16"/>
      <c r="F4433" s="20"/>
      <c r="G4433" s="17"/>
    </row>
    <row r="4434" spans="2:7" x14ac:dyDescent="0.25">
      <c r="B4434" s="15"/>
      <c r="C4434" s="15"/>
      <c r="D4434" s="16"/>
      <c r="E4434" s="16"/>
      <c r="F4434" s="20"/>
      <c r="G4434" s="17"/>
    </row>
    <row r="4435" spans="2:7" x14ac:dyDescent="0.25">
      <c r="B4435" s="15"/>
      <c r="C4435" s="15"/>
      <c r="D4435" s="16"/>
      <c r="E4435" s="16"/>
      <c r="F4435" s="20"/>
      <c r="G4435" s="17"/>
    </row>
    <row r="4436" spans="2:7" x14ac:dyDescent="0.25">
      <c r="B4436" s="15"/>
      <c r="C4436" s="15"/>
      <c r="D4436" s="16"/>
      <c r="E4436" s="16"/>
      <c r="F4436" s="20"/>
      <c r="G4436" s="17"/>
    </row>
    <row r="4437" spans="2:7" x14ac:dyDescent="0.25">
      <c r="B4437" s="15"/>
      <c r="C4437" s="15"/>
      <c r="D4437" s="16"/>
      <c r="E4437" s="16"/>
      <c r="F4437" s="20"/>
      <c r="G4437" s="17"/>
    </row>
    <row r="4438" spans="2:7" x14ac:dyDescent="0.25">
      <c r="B4438" s="15"/>
      <c r="C4438" s="15"/>
      <c r="D4438" s="16"/>
      <c r="E4438" s="16"/>
      <c r="F4438" s="20"/>
      <c r="G4438" s="17"/>
    </row>
    <row r="4439" spans="2:7" x14ac:dyDescent="0.25">
      <c r="B4439" s="15"/>
      <c r="C4439" s="15"/>
      <c r="D4439" s="16"/>
      <c r="E4439" s="16"/>
      <c r="F4439" s="20"/>
      <c r="G4439" s="17"/>
    </row>
    <row r="4440" spans="2:7" x14ac:dyDescent="0.25">
      <c r="B4440" s="15"/>
      <c r="C4440" s="15"/>
      <c r="D4440" s="16"/>
      <c r="E4440" s="16"/>
      <c r="F4440" s="20"/>
      <c r="G4440" s="17"/>
    </row>
    <row r="4441" spans="2:7" x14ac:dyDescent="0.25">
      <c r="B4441" s="15"/>
      <c r="C4441" s="15"/>
      <c r="D4441" s="16"/>
      <c r="E4441" s="16"/>
      <c r="F4441" s="20"/>
      <c r="G4441" s="17"/>
    </row>
    <row r="4442" spans="2:7" x14ac:dyDescent="0.25">
      <c r="B4442" s="15"/>
      <c r="C4442" s="15"/>
      <c r="D4442" s="16"/>
      <c r="E4442" s="16"/>
      <c r="F4442" s="20"/>
      <c r="G4442" s="17"/>
    </row>
    <row r="4443" spans="2:7" x14ac:dyDescent="0.25">
      <c r="B4443" s="15"/>
      <c r="C4443" s="15"/>
      <c r="D4443" s="16"/>
      <c r="E4443" s="16"/>
      <c r="F4443" s="20"/>
      <c r="G4443" s="17"/>
    </row>
    <row r="4444" spans="2:7" x14ac:dyDescent="0.25">
      <c r="B4444" s="15"/>
      <c r="C4444" s="15"/>
      <c r="D4444" s="16"/>
      <c r="E4444" s="16"/>
      <c r="F4444" s="20"/>
      <c r="G4444" s="17"/>
    </row>
    <row r="4445" spans="2:7" x14ac:dyDescent="0.25">
      <c r="B4445" s="15"/>
      <c r="C4445" s="15"/>
      <c r="D4445" s="16"/>
      <c r="E4445" s="16"/>
      <c r="F4445" s="20"/>
      <c r="G4445" s="17"/>
    </row>
    <row r="4446" spans="2:7" x14ac:dyDescent="0.25">
      <c r="B4446" s="15"/>
      <c r="C4446" s="15"/>
      <c r="D4446" s="16"/>
      <c r="E4446" s="16"/>
      <c r="F4446" s="20"/>
      <c r="G4446" s="17"/>
    </row>
    <row r="4447" spans="2:7" x14ac:dyDescent="0.25">
      <c r="B4447" s="15"/>
      <c r="C4447" s="15"/>
      <c r="D4447" s="16"/>
      <c r="E4447" s="16"/>
      <c r="F4447" s="20"/>
      <c r="G4447" s="17"/>
    </row>
    <row r="4448" spans="2:7" x14ac:dyDescent="0.25">
      <c r="B4448" s="15"/>
      <c r="C4448" s="15"/>
      <c r="D4448" s="16"/>
      <c r="E4448" s="16"/>
      <c r="F4448" s="20"/>
      <c r="G4448" s="17"/>
    </row>
    <row r="4449" spans="2:7" x14ac:dyDescent="0.25">
      <c r="B4449" s="15"/>
      <c r="C4449" s="15"/>
      <c r="D4449" s="16"/>
      <c r="E4449" s="16"/>
      <c r="F4449" s="20"/>
      <c r="G4449" s="17"/>
    </row>
    <row r="4450" spans="2:7" x14ac:dyDescent="0.25">
      <c r="B4450" s="15"/>
      <c r="C4450" s="15"/>
      <c r="D4450" s="16"/>
      <c r="E4450" s="16"/>
      <c r="F4450" s="20"/>
      <c r="G4450" s="17"/>
    </row>
    <row r="4451" spans="2:7" x14ac:dyDescent="0.25">
      <c r="B4451" s="15"/>
      <c r="C4451" s="15"/>
      <c r="D4451" s="16"/>
      <c r="E4451" s="16"/>
      <c r="F4451" s="20"/>
      <c r="G4451" s="17"/>
    </row>
    <row r="4452" spans="2:7" x14ac:dyDescent="0.25">
      <c r="B4452" s="15"/>
      <c r="C4452" s="15"/>
      <c r="D4452" s="16"/>
      <c r="E4452" s="16"/>
      <c r="F4452" s="20"/>
      <c r="G4452" s="17"/>
    </row>
    <row r="4453" spans="2:7" x14ac:dyDescent="0.25">
      <c r="B4453" s="15"/>
      <c r="C4453" s="15"/>
      <c r="D4453" s="16"/>
      <c r="E4453" s="16"/>
      <c r="F4453" s="20"/>
      <c r="G4453" s="17"/>
    </row>
    <row r="4454" spans="2:7" x14ac:dyDescent="0.25">
      <c r="B4454" s="15"/>
      <c r="C4454" s="15"/>
      <c r="D4454" s="16"/>
      <c r="E4454" s="16"/>
      <c r="F4454" s="20"/>
      <c r="G4454" s="17"/>
    </row>
    <row r="4455" spans="2:7" x14ac:dyDescent="0.25">
      <c r="B4455" s="15"/>
      <c r="C4455" s="15"/>
      <c r="D4455" s="16"/>
      <c r="E4455" s="16"/>
      <c r="F4455" s="20"/>
      <c r="G4455" s="17"/>
    </row>
    <row r="4456" spans="2:7" x14ac:dyDescent="0.25">
      <c r="B4456" s="15"/>
      <c r="C4456" s="15"/>
      <c r="D4456" s="16"/>
      <c r="E4456" s="16"/>
      <c r="F4456" s="20"/>
      <c r="G4456" s="17"/>
    </row>
    <row r="4457" spans="2:7" x14ac:dyDescent="0.25">
      <c r="B4457" s="15"/>
      <c r="C4457" s="15"/>
      <c r="D4457" s="16"/>
      <c r="E4457" s="16"/>
      <c r="F4457" s="20"/>
      <c r="G4457" s="17"/>
    </row>
    <row r="4458" spans="2:7" x14ac:dyDescent="0.25">
      <c r="B4458" s="15"/>
      <c r="C4458" s="15"/>
      <c r="D4458" s="16"/>
      <c r="E4458" s="16"/>
      <c r="F4458" s="20"/>
      <c r="G4458" s="17"/>
    </row>
    <row r="4459" spans="2:7" x14ac:dyDescent="0.25">
      <c r="B4459" s="15"/>
      <c r="C4459" s="15"/>
      <c r="D4459" s="16"/>
      <c r="E4459" s="16"/>
      <c r="F4459" s="20"/>
      <c r="G4459" s="17"/>
    </row>
    <row r="4460" spans="2:7" x14ac:dyDescent="0.25">
      <c r="B4460" s="15"/>
      <c r="C4460" s="15"/>
      <c r="D4460" s="16"/>
      <c r="E4460" s="16"/>
      <c r="F4460" s="20"/>
      <c r="G4460" s="17"/>
    </row>
    <row r="4461" spans="2:7" x14ac:dyDescent="0.25">
      <c r="B4461" s="15"/>
      <c r="C4461" s="15"/>
      <c r="D4461" s="16"/>
      <c r="E4461" s="16"/>
      <c r="F4461" s="20"/>
      <c r="G4461" s="17"/>
    </row>
    <row r="4462" spans="2:7" x14ac:dyDescent="0.25">
      <c r="B4462" s="15"/>
      <c r="C4462" s="15"/>
      <c r="D4462" s="16"/>
      <c r="E4462" s="16"/>
      <c r="F4462" s="20"/>
      <c r="G4462" s="17"/>
    </row>
    <row r="4463" spans="2:7" x14ac:dyDescent="0.25">
      <c r="B4463" s="15"/>
      <c r="C4463" s="15"/>
      <c r="D4463" s="16"/>
      <c r="E4463" s="16"/>
      <c r="F4463" s="20"/>
      <c r="G4463" s="17"/>
    </row>
    <row r="4464" spans="2:7" x14ac:dyDescent="0.25">
      <c r="B4464" s="15"/>
      <c r="C4464" s="15"/>
      <c r="D4464" s="16"/>
      <c r="E4464" s="16"/>
      <c r="F4464" s="20"/>
      <c r="G4464" s="17"/>
    </row>
    <row r="4465" spans="2:7" x14ac:dyDescent="0.25">
      <c r="B4465" s="15"/>
      <c r="C4465" s="15"/>
      <c r="D4465" s="16"/>
      <c r="E4465" s="16"/>
      <c r="F4465" s="20"/>
      <c r="G4465" s="17"/>
    </row>
    <row r="4466" spans="2:7" x14ac:dyDescent="0.25">
      <c r="B4466" s="15"/>
      <c r="C4466" s="15"/>
      <c r="D4466" s="16"/>
      <c r="E4466" s="16"/>
      <c r="F4466" s="20"/>
      <c r="G4466" s="17"/>
    </row>
    <row r="4467" spans="2:7" x14ac:dyDescent="0.25">
      <c r="B4467" s="15"/>
      <c r="C4467" s="15"/>
      <c r="D4467" s="16"/>
      <c r="E4467" s="16"/>
      <c r="F4467" s="20"/>
      <c r="G4467" s="17"/>
    </row>
    <row r="4468" spans="2:7" x14ac:dyDescent="0.25">
      <c r="B4468" s="15"/>
      <c r="C4468" s="15"/>
      <c r="D4468" s="16"/>
      <c r="E4468" s="16"/>
      <c r="F4468" s="20"/>
      <c r="G4468" s="17"/>
    </row>
    <row r="4469" spans="2:7" x14ac:dyDescent="0.25">
      <c r="B4469" s="15"/>
      <c r="C4469" s="15"/>
      <c r="D4469" s="16"/>
      <c r="E4469" s="16"/>
      <c r="F4469" s="20"/>
      <c r="G4469" s="17"/>
    </row>
    <row r="4470" spans="2:7" x14ac:dyDescent="0.25">
      <c r="B4470" s="15"/>
      <c r="C4470" s="15"/>
      <c r="D4470" s="16"/>
      <c r="E4470" s="16"/>
      <c r="F4470" s="20"/>
      <c r="G4470" s="17"/>
    </row>
    <row r="4471" spans="2:7" x14ac:dyDescent="0.25">
      <c r="B4471" s="15"/>
      <c r="C4471" s="15"/>
      <c r="D4471" s="16"/>
      <c r="E4471" s="16"/>
      <c r="F4471" s="20"/>
      <c r="G4471" s="17"/>
    </row>
    <row r="4472" spans="2:7" x14ac:dyDescent="0.25">
      <c r="B4472" s="15"/>
      <c r="C4472" s="15"/>
      <c r="D4472" s="16"/>
      <c r="E4472" s="16"/>
      <c r="F4472" s="20"/>
      <c r="G4472" s="17"/>
    </row>
    <row r="4473" spans="2:7" x14ac:dyDescent="0.25">
      <c r="B4473" s="15"/>
      <c r="C4473" s="15"/>
      <c r="D4473" s="16"/>
      <c r="E4473" s="16"/>
      <c r="F4473" s="20"/>
      <c r="G4473" s="17"/>
    </row>
    <row r="4474" spans="2:7" x14ac:dyDescent="0.25">
      <c r="B4474" s="15"/>
      <c r="C4474" s="15"/>
      <c r="D4474" s="16"/>
      <c r="E4474" s="16"/>
      <c r="F4474" s="20"/>
      <c r="G4474" s="17"/>
    </row>
    <row r="4475" spans="2:7" x14ac:dyDescent="0.25">
      <c r="B4475" s="15"/>
      <c r="C4475" s="15"/>
      <c r="D4475" s="16"/>
      <c r="E4475" s="16"/>
      <c r="F4475" s="20"/>
      <c r="G4475" s="17"/>
    </row>
    <row r="4476" spans="2:7" x14ac:dyDescent="0.25">
      <c r="B4476" s="15"/>
      <c r="C4476" s="15"/>
      <c r="D4476" s="16"/>
      <c r="E4476" s="16"/>
      <c r="F4476" s="20"/>
      <c r="G4476" s="17"/>
    </row>
    <row r="4477" spans="2:7" x14ac:dyDescent="0.25">
      <c r="B4477" s="15"/>
      <c r="C4477" s="15"/>
      <c r="D4477" s="16"/>
      <c r="E4477" s="16"/>
      <c r="F4477" s="20"/>
      <c r="G4477" s="17"/>
    </row>
    <row r="4478" spans="2:7" x14ac:dyDescent="0.25">
      <c r="B4478" s="15"/>
      <c r="C4478" s="15"/>
      <c r="D4478" s="16"/>
      <c r="E4478" s="16"/>
      <c r="F4478" s="20"/>
      <c r="G4478" s="17"/>
    </row>
    <row r="4479" spans="2:7" x14ac:dyDescent="0.25">
      <c r="B4479" s="15"/>
      <c r="C4479" s="15"/>
      <c r="D4479" s="16"/>
      <c r="E4479" s="16"/>
      <c r="F4479" s="20"/>
      <c r="G4479" s="17"/>
    </row>
    <row r="4480" spans="2:7" x14ac:dyDescent="0.25">
      <c r="B4480" s="15"/>
      <c r="C4480" s="15"/>
      <c r="D4480" s="16"/>
      <c r="E4480" s="16"/>
      <c r="F4480" s="20"/>
      <c r="G4480" s="17"/>
    </row>
    <row r="4481" spans="2:7" x14ac:dyDescent="0.25">
      <c r="B4481" s="15"/>
      <c r="C4481" s="15"/>
      <c r="D4481" s="16"/>
      <c r="E4481" s="16"/>
      <c r="F4481" s="20"/>
      <c r="G4481" s="17"/>
    </row>
    <row r="4482" spans="2:7" x14ac:dyDescent="0.25">
      <c r="B4482" s="15"/>
      <c r="C4482" s="15"/>
      <c r="D4482" s="16"/>
      <c r="E4482" s="16"/>
      <c r="F4482" s="20"/>
      <c r="G4482" s="17"/>
    </row>
    <row r="4483" spans="2:7" x14ac:dyDescent="0.25">
      <c r="B4483" s="15"/>
      <c r="C4483" s="15"/>
      <c r="D4483" s="16"/>
      <c r="E4483" s="16"/>
      <c r="F4483" s="20"/>
      <c r="G4483" s="17"/>
    </row>
    <row r="4484" spans="2:7" x14ac:dyDescent="0.25">
      <c r="B4484" s="15"/>
      <c r="C4484" s="15"/>
      <c r="D4484" s="16"/>
      <c r="E4484" s="16"/>
      <c r="F4484" s="20"/>
      <c r="G4484" s="17"/>
    </row>
    <row r="4485" spans="2:7" x14ac:dyDescent="0.25">
      <c r="B4485" s="15"/>
      <c r="C4485" s="15"/>
      <c r="D4485" s="16"/>
      <c r="E4485" s="16"/>
      <c r="F4485" s="20"/>
      <c r="G4485" s="17"/>
    </row>
    <row r="4486" spans="2:7" x14ac:dyDescent="0.25">
      <c r="B4486" s="15"/>
      <c r="C4486" s="15"/>
      <c r="D4486" s="16"/>
      <c r="E4486" s="16"/>
      <c r="F4486" s="20"/>
      <c r="G4486" s="17"/>
    </row>
    <row r="4487" spans="2:7" x14ac:dyDescent="0.25">
      <c r="B4487" s="15"/>
      <c r="C4487" s="15"/>
      <c r="D4487" s="16"/>
      <c r="E4487" s="16"/>
      <c r="F4487" s="20"/>
      <c r="G4487" s="17"/>
    </row>
    <row r="4488" spans="2:7" x14ac:dyDescent="0.25">
      <c r="B4488" s="15"/>
      <c r="C4488" s="15"/>
      <c r="D4488" s="16"/>
      <c r="E4488" s="16"/>
      <c r="F4488" s="20"/>
      <c r="G4488" s="17"/>
    </row>
    <row r="4489" spans="2:7" x14ac:dyDescent="0.25">
      <c r="B4489" s="15"/>
      <c r="C4489" s="15"/>
      <c r="D4489" s="16"/>
      <c r="E4489" s="16"/>
      <c r="F4489" s="20"/>
      <c r="G4489" s="17"/>
    </row>
    <row r="4490" spans="2:7" x14ac:dyDescent="0.25">
      <c r="B4490" s="15"/>
      <c r="C4490" s="15"/>
      <c r="D4490" s="16"/>
      <c r="E4490" s="16"/>
      <c r="F4490" s="20"/>
      <c r="G4490" s="17"/>
    </row>
    <row r="4491" spans="2:7" x14ac:dyDescent="0.25">
      <c r="B4491" s="15"/>
      <c r="C4491" s="15"/>
      <c r="D4491" s="16"/>
      <c r="E4491" s="16"/>
      <c r="F4491" s="20"/>
      <c r="G4491" s="17"/>
    </row>
    <row r="4492" spans="2:7" x14ac:dyDescent="0.25">
      <c r="B4492" s="15"/>
      <c r="C4492" s="15"/>
      <c r="D4492" s="16"/>
      <c r="E4492" s="16"/>
      <c r="F4492" s="20"/>
      <c r="G4492" s="17"/>
    </row>
    <row r="4493" spans="2:7" x14ac:dyDescent="0.25">
      <c r="B4493" s="15"/>
      <c r="C4493" s="15"/>
      <c r="D4493" s="16"/>
      <c r="E4493" s="16"/>
      <c r="F4493" s="20"/>
      <c r="G4493" s="17"/>
    </row>
    <row r="4494" spans="2:7" x14ac:dyDescent="0.25">
      <c r="B4494" s="15"/>
      <c r="C4494" s="15"/>
      <c r="D4494" s="16"/>
      <c r="E4494" s="16"/>
      <c r="F4494" s="20"/>
      <c r="G4494" s="17"/>
    </row>
    <row r="4495" spans="2:7" x14ac:dyDescent="0.25">
      <c r="B4495" s="15"/>
      <c r="C4495" s="15"/>
      <c r="D4495" s="16"/>
      <c r="E4495" s="16"/>
      <c r="F4495" s="20"/>
      <c r="G4495" s="17"/>
    </row>
    <row r="4496" spans="2:7" x14ac:dyDescent="0.25">
      <c r="B4496" s="15"/>
      <c r="C4496" s="15"/>
      <c r="D4496" s="16"/>
      <c r="E4496" s="16"/>
      <c r="F4496" s="20"/>
      <c r="G4496" s="17"/>
    </row>
    <row r="4497" spans="2:7" x14ac:dyDescent="0.25">
      <c r="B4497" s="15"/>
      <c r="C4497" s="15"/>
      <c r="D4497" s="16"/>
      <c r="E4497" s="16"/>
      <c r="F4497" s="20"/>
      <c r="G4497" s="17"/>
    </row>
    <row r="4498" spans="2:7" x14ac:dyDescent="0.25">
      <c r="B4498" s="15"/>
      <c r="C4498" s="15"/>
      <c r="D4498" s="16"/>
      <c r="E4498" s="16"/>
      <c r="F4498" s="20"/>
      <c r="G4498" s="17"/>
    </row>
    <row r="4499" spans="2:7" x14ac:dyDescent="0.25">
      <c r="B4499" s="15"/>
      <c r="C4499" s="15"/>
      <c r="D4499" s="16"/>
      <c r="E4499" s="16"/>
      <c r="F4499" s="20"/>
      <c r="G4499" s="17"/>
    </row>
    <row r="4500" spans="2:7" x14ac:dyDescent="0.25">
      <c r="B4500" s="15"/>
      <c r="C4500" s="15"/>
      <c r="D4500" s="16"/>
      <c r="E4500" s="16"/>
      <c r="F4500" s="20"/>
      <c r="G4500" s="17"/>
    </row>
    <row r="4501" spans="2:7" x14ac:dyDescent="0.25">
      <c r="B4501" s="15"/>
      <c r="C4501" s="15"/>
      <c r="D4501" s="16"/>
      <c r="E4501" s="16"/>
      <c r="F4501" s="20"/>
      <c r="G4501" s="17"/>
    </row>
    <row r="4502" spans="2:7" x14ac:dyDescent="0.25">
      <c r="B4502" s="15"/>
      <c r="C4502" s="15"/>
      <c r="D4502" s="16"/>
      <c r="E4502" s="16"/>
      <c r="F4502" s="20"/>
      <c r="G4502" s="17"/>
    </row>
    <row r="4503" spans="2:7" x14ac:dyDescent="0.25">
      <c r="B4503" s="15"/>
      <c r="C4503" s="15"/>
      <c r="D4503" s="16"/>
      <c r="E4503" s="16"/>
      <c r="F4503" s="20"/>
      <c r="G4503" s="17"/>
    </row>
    <row r="4504" spans="2:7" x14ac:dyDescent="0.25">
      <c r="B4504" s="15"/>
      <c r="C4504" s="15"/>
      <c r="D4504" s="16"/>
      <c r="E4504" s="16"/>
      <c r="F4504" s="20"/>
      <c r="G4504" s="17"/>
    </row>
    <row r="4505" spans="2:7" x14ac:dyDescent="0.25">
      <c r="B4505" s="15"/>
      <c r="C4505" s="15"/>
      <c r="D4505" s="16"/>
      <c r="E4505" s="16"/>
      <c r="F4505" s="20"/>
      <c r="G4505" s="17"/>
    </row>
    <row r="4506" spans="2:7" x14ac:dyDescent="0.25">
      <c r="B4506" s="15"/>
      <c r="C4506" s="15"/>
      <c r="D4506" s="16"/>
      <c r="E4506" s="16"/>
      <c r="F4506" s="20"/>
      <c r="G4506" s="17"/>
    </row>
    <row r="4507" spans="2:7" x14ac:dyDescent="0.25">
      <c r="B4507" s="15"/>
      <c r="C4507" s="15"/>
      <c r="D4507" s="16"/>
      <c r="E4507" s="16"/>
      <c r="F4507" s="20"/>
      <c r="G4507" s="17"/>
    </row>
    <row r="4508" spans="2:7" x14ac:dyDescent="0.25">
      <c r="B4508" s="15"/>
      <c r="C4508" s="15"/>
      <c r="D4508" s="16"/>
      <c r="E4508" s="16"/>
      <c r="F4508" s="20"/>
      <c r="G4508" s="17"/>
    </row>
    <row r="4509" spans="2:7" x14ac:dyDescent="0.25">
      <c r="B4509" s="15"/>
      <c r="C4509" s="15"/>
      <c r="D4509" s="16"/>
      <c r="E4509" s="16"/>
      <c r="F4509" s="20"/>
      <c r="G4509" s="17"/>
    </row>
    <row r="4510" spans="2:7" x14ac:dyDescent="0.25">
      <c r="B4510" s="15"/>
      <c r="C4510" s="15"/>
      <c r="D4510" s="16"/>
      <c r="E4510" s="16"/>
      <c r="F4510" s="20"/>
      <c r="G4510" s="17"/>
    </row>
    <row r="4511" spans="2:7" x14ac:dyDescent="0.25">
      <c r="B4511" s="15"/>
      <c r="C4511" s="15"/>
      <c r="D4511" s="16"/>
      <c r="E4511" s="16"/>
      <c r="F4511" s="20"/>
      <c r="G4511" s="17"/>
    </row>
    <row r="4512" spans="2:7" x14ac:dyDescent="0.25">
      <c r="B4512" s="15"/>
      <c r="C4512" s="15"/>
      <c r="D4512" s="16"/>
      <c r="E4512" s="16"/>
      <c r="F4512" s="20"/>
      <c r="G4512" s="17"/>
    </row>
    <row r="4513" spans="2:7" x14ac:dyDescent="0.25">
      <c r="B4513" s="15"/>
      <c r="C4513" s="15"/>
      <c r="D4513" s="16"/>
      <c r="E4513" s="16"/>
      <c r="F4513" s="20"/>
      <c r="G4513" s="17"/>
    </row>
    <row r="4514" spans="2:7" x14ac:dyDescent="0.25">
      <c r="B4514" s="15"/>
      <c r="C4514" s="15"/>
      <c r="D4514" s="16"/>
      <c r="E4514" s="16"/>
      <c r="F4514" s="20"/>
      <c r="G4514" s="17"/>
    </row>
    <row r="4515" spans="2:7" x14ac:dyDescent="0.25">
      <c r="B4515" s="15"/>
      <c r="C4515" s="15"/>
      <c r="D4515" s="16"/>
      <c r="E4515" s="16"/>
      <c r="F4515" s="20"/>
      <c r="G4515" s="17"/>
    </row>
    <row r="4516" spans="2:7" x14ac:dyDescent="0.25">
      <c r="B4516" s="15"/>
      <c r="C4516" s="15"/>
      <c r="D4516" s="16"/>
      <c r="E4516" s="16"/>
      <c r="F4516" s="20"/>
      <c r="G4516" s="17"/>
    </row>
    <row r="4517" spans="2:7" x14ac:dyDescent="0.25">
      <c r="B4517" s="15"/>
      <c r="C4517" s="15"/>
      <c r="D4517" s="16"/>
      <c r="E4517" s="16"/>
      <c r="F4517" s="20"/>
      <c r="G4517" s="17"/>
    </row>
    <row r="4518" spans="2:7" x14ac:dyDescent="0.25">
      <c r="B4518" s="15"/>
      <c r="C4518" s="15"/>
      <c r="D4518" s="16"/>
      <c r="E4518" s="16"/>
      <c r="F4518" s="20"/>
      <c r="G4518" s="17"/>
    </row>
    <row r="4519" spans="2:7" x14ac:dyDescent="0.25">
      <c r="B4519" s="15"/>
      <c r="C4519" s="15"/>
      <c r="D4519" s="16"/>
      <c r="E4519" s="16"/>
      <c r="F4519" s="20"/>
      <c r="G4519" s="17"/>
    </row>
    <row r="4520" spans="2:7" x14ac:dyDescent="0.25">
      <c r="B4520" s="15"/>
      <c r="C4520" s="15"/>
      <c r="D4520" s="16"/>
      <c r="E4520" s="16"/>
      <c r="F4520" s="20"/>
      <c r="G4520" s="17"/>
    </row>
    <row r="4521" spans="2:7" x14ac:dyDescent="0.25">
      <c r="B4521" s="15"/>
      <c r="C4521" s="15"/>
      <c r="D4521" s="16"/>
      <c r="E4521" s="16"/>
      <c r="F4521" s="20"/>
      <c r="G4521" s="17"/>
    </row>
    <row r="4522" spans="2:7" x14ac:dyDescent="0.25">
      <c r="B4522" s="15"/>
      <c r="C4522" s="15"/>
      <c r="D4522" s="16"/>
      <c r="E4522" s="16"/>
      <c r="F4522" s="20"/>
      <c r="G4522" s="17"/>
    </row>
    <row r="4523" spans="2:7" x14ac:dyDescent="0.25">
      <c r="B4523" s="15"/>
      <c r="C4523" s="15"/>
      <c r="D4523" s="16"/>
      <c r="E4523" s="16"/>
      <c r="F4523" s="20"/>
      <c r="G4523" s="17"/>
    </row>
    <row r="4524" spans="2:7" x14ac:dyDescent="0.25">
      <c r="B4524" s="15"/>
      <c r="C4524" s="15"/>
      <c r="D4524" s="16"/>
      <c r="E4524" s="16"/>
      <c r="F4524" s="20"/>
      <c r="G4524" s="17"/>
    </row>
    <row r="4525" spans="2:7" x14ac:dyDescent="0.25">
      <c r="B4525" s="15"/>
      <c r="C4525" s="15"/>
      <c r="D4525" s="16"/>
      <c r="E4525" s="16"/>
      <c r="F4525" s="20"/>
      <c r="G4525" s="17"/>
    </row>
    <row r="4526" spans="2:7" x14ac:dyDescent="0.25">
      <c r="B4526" s="15"/>
      <c r="C4526" s="15"/>
      <c r="D4526" s="16"/>
      <c r="E4526" s="16"/>
      <c r="F4526" s="20"/>
      <c r="G4526" s="17"/>
    </row>
    <row r="4527" spans="2:7" x14ac:dyDescent="0.25">
      <c r="B4527" s="15"/>
      <c r="C4527" s="15"/>
      <c r="D4527" s="16"/>
      <c r="E4527" s="16"/>
      <c r="F4527" s="20"/>
      <c r="G4527" s="17"/>
    </row>
    <row r="4528" spans="2:7" x14ac:dyDescent="0.25">
      <c r="B4528" s="15"/>
      <c r="C4528" s="15"/>
      <c r="D4528" s="16"/>
      <c r="E4528" s="16"/>
      <c r="F4528" s="20"/>
      <c r="G4528" s="17"/>
    </row>
    <row r="4529" spans="2:7" x14ac:dyDescent="0.25">
      <c r="B4529" s="15"/>
      <c r="C4529" s="15"/>
      <c r="D4529" s="16"/>
      <c r="E4529" s="16"/>
      <c r="F4529" s="20"/>
      <c r="G4529" s="17"/>
    </row>
    <row r="4530" spans="2:7" x14ac:dyDescent="0.25">
      <c r="B4530" s="15"/>
      <c r="C4530" s="15"/>
      <c r="D4530" s="16"/>
      <c r="E4530" s="16"/>
      <c r="F4530" s="20"/>
      <c r="G4530" s="17"/>
    </row>
    <row r="4531" spans="2:7" x14ac:dyDescent="0.25">
      <c r="B4531" s="15"/>
      <c r="C4531" s="15"/>
      <c r="D4531" s="16"/>
      <c r="E4531" s="16"/>
      <c r="F4531" s="20"/>
      <c r="G4531" s="17"/>
    </row>
    <row r="4532" spans="2:7" x14ac:dyDescent="0.25">
      <c r="B4532" s="15"/>
      <c r="C4532" s="15"/>
      <c r="D4532" s="16"/>
      <c r="E4532" s="16"/>
      <c r="F4532" s="20"/>
      <c r="G4532" s="17"/>
    </row>
    <row r="4533" spans="2:7" x14ac:dyDescent="0.25">
      <c r="B4533" s="15"/>
      <c r="C4533" s="15"/>
      <c r="D4533" s="16"/>
      <c r="E4533" s="16"/>
      <c r="F4533" s="20"/>
      <c r="G4533" s="17"/>
    </row>
    <row r="4534" spans="2:7" x14ac:dyDescent="0.25">
      <c r="B4534" s="15"/>
      <c r="C4534" s="15"/>
      <c r="D4534" s="16"/>
      <c r="E4534" s="16"/>
      <c r="F4534" s="20"/>
      <c r="G4534" s="17"/>
    </row>
    <row r="4535" spans="2:7" x14ac:dyDescent="0.25">
      <c r="B4535" s="15"/>
      <c r="C4535" s="15"/>
      <c r="D4535" s="16"/>
      <c r="E4535" s="16"/>
      <c r="F4535" s="20"/>
      <c r="G4535" s="17"/>
    </row>
    <row r="4536" spans="2:7" x14ac:dyDescent="0.25">
      <c r="B4536" s="15"/>
      <c r="C4536" s="15"/>
      <c r="D4536" s="16"/>
      <c r="E4536" s="16"/>
      <c r="F4536" s="20"/>
      <c r="G4536" s="17"/>
    </row>
    <row r="4537" spans="2:7" x14ac:dyDescent="0.25">
      <c r="B4537" s="15"/>
      <c r="C4537" s="15"/>
      <c r="D4537" s="16"/>
      <c r="E4537" s="16"/>
      <c r="F4537" s="20"/>
      <c r="G4537" s="17"/>
    </row>
    <row r="4538" spans="2:7" x14ac:dyDescent="0.25">
      <c r="B4538" s="15"/>
      <c r="C4538" s="15"/>
      <c r="D4538" s="16"/>
      <c r="E4538" s="16"/>
      <c r="F4538" s="20"/>
      <c r="G4538" s="17"/>
    </row>
    <row r="4539" spans="2:7" x14ac:dyDescent="0.25">
      <c r="B4539" s="15"/>
      <c r="C4539" s="15"/>
      <c r="D4539" s="16"/>
      <c r="E4539" s="16"/>
      <c r="F4539" s="20"/>
      <c r="G4539" s="17"/>
    </row>
    <row r="4540" spans="2:7" x14ac:dyDescent="0.25">
      <c r="B4540" s="15"/>
      <c r="C4540" s="15"/>
      <c r="D4540" s="16"/>
      <c r="E4540" s="16"/>
      <c r="F4540" s="20"/>
      <c r="G4540" s="17"/>
    </row>
    <row r="4541" spans="2:7" x14ac:dyDescent="0.25">
      <c r="B4541" s="15"/>
      <c r="C4541" s="15"/>
      <c r="D4541" s="16"/>
      <c r="E4541" s="16"/>
      <c r="F4541" s="20"/>
      <c r="G4541" s="17"/>
    </row>
    <row r="4542" spans="2:7" x14ac:dyDescent="0.25">
      <c r="B4542" s="15"/>
      <c r="C4542" s="15"/>
      <c r="D4542" s="16"/>
      <c r="E4542" s="16"/>
      <c r="F4542" s="20"/>
      <c r="G4542" s="17"/>
    </row>
    <row r="4543" spans="2:7" x14ac:dyDescent="0.25">
      <c r="B4543" s="15"/>
      <c r="C4543" s="15"/>
      <c r="D4543" s="16"/>
      <c r="E4543" s="16"/>
      <c r="F4543" s="20"/>
      <c r="G4543" s="17"/>
    </row>
    <row r="4544" spans="2:7" x14ac:dyDescent="0.25">
      <c r="B4544" s="15"/>
      <c r="C4544" s="15"/>
      <c r="D4544" s="16"/>
      <c r="E4544" s="16"/>
      <c r="F4544" s="20"/>
      <c r="G4544" s="17"/>
    </row>
    <row r="4545" spans="2:7" x14ac:dyDescent="0.25">
      <c r="B4545" s="15"/>
      <c r="C4545" s="15"/>
      <c r="D4545" s="16"/>
      <c r="E4545" s="16"/>
      <c r="F4545" s="20"/>
      <c r="G4545" s="17"/>
    </row>
    <row r="4546" spans="2:7" x14ac:dyDescent="0.25">
      <c r="B4546" s="15"/>
      <c r="C4546" s="15"/>
      <c r="D4546" s="16"/>
      <c r="E4546" s="16"/>
      <c r="F4546" s="20"/>
      <c r="G4546" s="17"/>
    </row>
    <row r="4547" spans="2:7" x14ac:dyDescent="0.25">
      <c r="B4547" s="15"/>
      <c r="C4547" s="15"/>
      <c r="D4547" s="16"/>
      <c r="E4547" s="16"/>
      <c r="F4547" s="20"/>
      <c r="G4547" s="17"/>
    </row>
    <row r="4548" spans="2:7" x14ac:dyDescent="0.25">
      <c r="B4548" s="15"/>
      <c r="C4548" s="15"/>
      <c r="D4548" s="16"/>
      <c r="E4548" s="16"/>
      <c r="F4548" s="20"/>
      <c r="G4548" s="17"/>
    </row>
    <row r="4549" spans="2:7" x14ac:dyDescent="0.25">
      <c r="B4549" s="15"/>
      <c r="C4549" s="15"/>
      <c r="D4549" s="16"/>
      <c r="E4549" s="16"/>
      <c r="F4549" s="20"/>
      <c r="G4549" s="17"/>
    </row>
    <row r="4550" spans="2:7" x14ac:dyDescent="0.25">
      <c r="B4550" s="15"/>
      <c r="C4550" s="15"/>
      <c r="D4550" s="16"/>
      <c r="E4550" s="16"/>
      <c r="F4550" s="20"/>
      <c r="G4550" s="17"/>
    </row>
    <row r="4551" spans="2:7" x14ac:dyDescent="0.25">
      <c r="B4551" s="15"/>
      <c r="C4551" s="15"/>
      <c r="D4551" s="16"/>
      <c r="E4551" s="16"/>
      <c r="F4551" s="20"/>
      <c r="G4551" s="17"/>
    </row>
    <row r="4552" spans="2:7" x14ac:dyDescent="0.25">
      <c r="B4552" s="15"/>
      <c r="C4552" s="15"/>
      <c r="D4552" s="16"/>
      <c r="E4552" s="16"/>
      <c r="F4552" s="20"/>
      <c r="G4552" s="17"/>
    </row>
    <row r="4553" spans="2:7" x14ac:dyDescent="0.25">
      <c r="B4553" s="15"/>
      <c r="C4553" s="15"/>
      <c r="D4553" s="16"/>
      <c r="E4553" s="16"/>
      <c r="F4553" s="20"/>
      <c r="G4553" s="17"/>
    </row>
    <row r="4554" spans="2:7" x14ac:dyDescent="0.25">
      <c r="B4554" s="15"/>
      <c r="C4554" s="15"/>
      <c r="D4554" s="16"/>
      <c r="E4554" s="16"/>
      <c r="F4554" s="20"/>
      <c r="G4554" s="17"/>
    </row>
    <row r="4555" spans="2:7" x14ac:dyDescent="0.25">
      <c r="B4555" s="15"/>
      <c r="C4555" s="15"/>
      <c r="D4555" s="16"/>
      <c r="E4555" s="16"/>
      <c r="F4555" s="20"/>
      <c r="G4555" s="17"/>
    </row>
    <row r="4556" spans="2:7" x14ac:dyDescent="0.25">
      <c r="B4556" s="15"/>
      <c r="C4556" s="15"/>
      <c r="D4556" s="16"/>
      <c r="E4556" s="16"/>
      <c r="F4556" s="20"/>
      <c r="G4556" s="17"/>
    </row>
    <row r="4557" spans="2:7" x14ac:dyDescent="0.25">
      <c r="B4557" s="15"/>
      <c r="C4557" s="15"/>
      <c r="D4557" s="16"/>
      <c r="E4557" s="16"/>
      <c r="F4557" s="20"/>
      <c r="G4557" s="17"/>
    </row>
    <row r="4558" spans="2:7" x14ac:dyDescent="0.25">
      <c r="B4558" s="15"/>
      <c r="C4558" s="15"/>
      <c r="D4558" s="16"/>
      <c r="E4558" s="16"/>
      <c r="F4558" s="20"/>
      <c r="G4558" s="17"/>
    </row>
    <row r="4559" spans="2:7" x14ac:dyDescent="0.25">
      <c r="B4559" s="15"/>
      <c r="C4559" s="15"/>
      <c r="D4559" s="16"/>
      <c r="E4559" s="16"/>
      <c r="F4559" s="20"/>
      <c r="G4559" s="17"/>
    </row>
    <row r="4560" spans="2:7" x14ac:dyDescent="0.25">
      <c r="B4560" s="15"/>
      <c r="C4560" s="15"/>
      <c r="D4560" s="16"/>
      <c r="E4560" s="16"/>
      <c r="F4560" s="20"/>
      <c r="G4560" s="17"/>
    </row>
    <row r="4561" spans="2:7" x14ac:dyDescent="0.25">
      <c r="B4561" s="15"/>
      <c r="C4561" s="15"/>
      <c r="D4561" s="16"/>
      <c r="E4561" s="16"/>
      <c r="F4561" s="20"/>
      <c r="G4561" s="17"/>
    </row>
    <row r="4562" spans="2:7" x14ac:dyDescent="0.25">
      <c r="B4562" s="15"/>
      <c r="C4562" s="15"/>
      <c r="D4562" s="16"/>
      <c r="E4562" s="16"/>
      <c r="F4562" s="20"/>
      <c r="G4562" s="17"/>
    </row>
    <row r="4563" spans="2:7" x14ac:dyDescent="0.25">
      <c r="B4563" s="15"/>
      <c r="C4563" s="15"/>
      <c r="D4563" s="16"/>
      <c r="E4563" s="16"/>
      <c r="F4563" s="20"/>
      <c r="G4563" s="17"/>
    </row>
    <row r="4564" spans="2:7" x14ac:dyDescent="0.25">
      <c r="B4564" s="15"/>
      <c r="C4564" s="15"/>
      <c r="D4564" s="16"/>
      <c r="E4564" s="16"/>
      <c r="F4564" s="20"/>
      <c r="G4564" s="17"/>
    </row>
    <row r="4565" spans="2:7" x14ac:dyDescent="0.25">
      <c r="B4565" s="15"/>
      <c r="C4565" s="15"/>
      <c r="D4565" s="16"/>
      <c r="E4565" s="16"/>
      <c r="F4565" s="20"/>
      <c r="G4565" s="17"/>
    </row>
    <row r="4566" spans="2:7" x14ac:dyDescent="0.25">
      <c r="B4566" s="15"/>
      <c r="C4566" s="15"/>
      <c r="D4566" s="16"/>
      <c r="E4566" s="16"/>
      <c r="F4566" s="20"/>
      <c r="G4566" s="17"/>
    </row>
    <row r="4567" spans="2:7" x14ac:dyDescent="0.25">
      <c r="B4567" s="15"/>
      <c r="C4567" s="15"/>
      <c r="D4567" s="16"/>
      <c r="E4567" s="16"/>
      <c r="F4567" s="20"/>
      <c r="G4567" s="17"/>
    </row>
    <row r="4568" spans="2:7" x14ac:dyDescent="0.25">
      <c r="B4568" s="15"/>
      <c r="C4568" s="15"/>
      <c r="D4568" s="16"/>
      <c r="E4568" s="16"/>
      <c r="F4568" s="20"/>
      <c r="G4568" s="17"/>
    </row>
    <row r="4569" spans="2:7" x14ac:dyDescent="0.25">
      <c r="B4569" s="15"/>
      <c r="C4569" s="15"/>
      <c r="D4569" s="16"/>
      <c r="E4569" s="16"/>
      <c r="F4569" s="20"/>
      <c r="G4569" s="17"/>
    </row>
    <row r="4570" spans="2:7" x14ac:dyDescent="0.25">
      <c r="B4570" s="15"/>
      <c r="C4570" s="15"/>
      <c r="D4570" s="16"/>
      <c r="E4570" s="16"/>
      <c r="F4570" s="20"/>
      <c r="G4570" s="17"/>
    </row>
    <row r="4571" spans="2:7" x14ac:dyDescent="0.25">
      <c r="B4571" s="15"/>
      <c r="C4571" s="15"/>
      <c r="D4571" s="16"/>
      <c r="E4571" s="16"/>
      <c r="F4571" s="20"/>
      <c r="G4571" s="17"/>
    </row>
    <row r="4572" spans="2:7" x14ac:dyDescent="0.25">
      <c r="B4572" s="15"/>
      <c r="C4572" s="15"/>
      <c r="D4572" s="16"/>
      <c r="E4572" s="16"/>
      <c r="F4572" s="20"/>
      <c r="G4572" s="17"/>
    </row>
    <row r="4573" spans="2:7" x14ac:dyDescent="0.25">
      <c r="B4573" s="15"/>
      <c r="C4573" s="15"/>
      <c r="D4573" s="16"/>
      <c r="E4573" s="16"/>
      <c r="F4573" s="20"/>
      <c r="G4573" s="17"/>
    </row>
    <row r="4574" spans="2:7" x14ac:dyDescent="0.25">
      <c r="B4574" s="15"/>
      <c r="C4574" s="15"/>
      <c r="D4574" s="16"/>
      <c r="E4574" s="16"/>
      <c r="F4574" s="20"/>
      <c r="G4574" s="17"/>
    </row>
    <row r="4575" spans="2:7" x14ac:dyDescent="0.25">
      <c r="B4575" s="15"/>
      <c r="C4575" s="15"/>
      <c r="D4575" s="16"/>
      <c r="E4575" s="16"/>
      <c r="F4575" s="20"/>
      <c r="G4575" s="17"/>
    </row>
    <row r="4576" spans="2:7" x14ac:dyDescent="0.25">
      <c r="B4576" s="15"/>
      <c r="C4576" s="15"/>
      <c r="D4576" s="16"/>
      <c r="E4576" s="16"/>
      <c r="F4576" s="20"/>
      <c r="G4576" s="17"/>
    </row>
    <row r="4577" spans="2:7" x14ac:dyDescent="0.25">
      <c r="B4577" s="15"/>
      <c r="C4577" s="15"/>
      <c r="D4577" s="16"/>
      <c r="E4577" s="16"/>
      <c r="F4577" s="20"/>
      <c r="G4577" s="17"/>
    </row>
    <row r="4578" spans="2:7" x14ac:dyDescent="0.25">
      <c r="B4578" s="15"/>
      <c r="C4578" s="15"/>
      <c r="D4578" s="16"/>
      <c r="E4578" s="16"/>
      <c r="F4578" s="20"/>
      <c r="G4578" s="17"/>
    </row>
    <row r="4579" spans="2:7" x14ac:dyDescent="0.25">
      <c r="B4579" s="15"/>
      <c r="C4579" s="15"/>
      <c r="D4579" s="16"/>
      <c r="E4579" s="16"/>
      <c r="F4579" s="20"/>
      <c r="G4579" s="17"/>
    </row>
    <row r="4580" spans="2:7" x14ac:dyDescent="0.25">
      <c r="B4580" s="15"/>
      <c r="C4580" s="15"/>
      <c r="D4580" s="16"/>
      <c r="E4580" s="16"/>
      <c r="F4580" s="20"/>
      <c r="G4580" s="17"/>
    </row>
    <row r="4581" spans="2:7" x14ac:dyDescent="0.25">
      <c r="B4581" s="15"/>
      <c r="C4581" s="15"/>
      <c r="D4581" s="16"/>
      <c r="E4581" s="16"/>
      <c r="F4581" s="20"/>
      <c r="G4581" s="17"/>
    </row>
    <row r="4582" spans="2:7" x14ac:dyDescent="0.25">
      <c r="B4582" s="15"/>
      <c r="C4582" s="15"/>
      <c r="D4582" s="16"/>
      <c r="E4582" s="16"/>
      <c r="F4582" s="20"/>
      <c r="G4582" s="17"/>
    </row>
    <row r="4583" spans="2:7" x14ac:dyDescent="0.25">
      <c r="B4583" s="15"/>
      <c r="C4583" s="15"/>
      <c r="D4583" s="16"/>
      <c r="E4583" s="16"/>
      <c r="F4583" s="20"/>
      <c r="G4583" s="17"/>
    </row>
    <row r="4584" spans="2:7" x14ac:dyDescent="0.25">
      <c r="B4584" s="15"/>
      <c r="C4584" s="15"/>
      <c r="D4584" s="16"/>
      <c r="E4584" s="16"/>
      <c r="F4584" s="20"/>
      <c r="G4584" s="17"/>
    </row>
    <row r="4585" spans="2:7" x14ac:dyDescent="0.25">
      <c r="B4585" s="15"/>
      <c r="C4585" s="15"/>
      <c r="D4585" s="16"/>
      <c r="E4585" s="16"/>
      <c r="F4585" s="20"/>
      <c r="G4585" s="17"/>
    </row>
    <row r="4586" spans="2:7" x14ac:dyDescent="0.25">
      <c r="B4586" s="15"/>
      <c r="C4586" s="15"/>
      <c r="D4586" s="16"/>
      <c r="E4586" s="16"/>
      <c r="F4586" s="20"/>
      <c r="G4586" s="17"/>
    </row>
    <row r="4587" spans="2:7" x14ac:dyDescent="0.25">
      <c r="B4587" s="15"/>
      <c r="C4587" s="15"/>
      <c r="D4587" s="16"/>
      <c r="E4587" s="16"/>
      <c r="F4587" s="20"/>
      <c r="G4587" s="17"/>
    </row>
    <row r="4588" spans="2:7" x14ac:dyDescent="0.25">
      <c r="B4588" s="15"/>
      <c r="C4588" s="15"/>
      <c r="D4588" s="16"/>
      <c r="E4588" s="16"/>
      <c r="F4588" s="20"/>
      <c r="G4588" s="17"/>
    </row>
    <row r="4589" spans="2:7" x14ac:dyDescent="0.25">
      <c r="B4589" s="15"/>
      <c r="C4589" s="15"/>
      <c r="D4589" s="16"/>
      <c r="E4589" s="16"/>
      <c r="F4589" s="20"/>
      <c r="G4589" s="17"/>
    </row>
    <row r="4590" spans="2:7" x14ac:dyDescent="0.25">
      <c r="B4590" s="15"/>
      <c r="C4590" s="15"/>
      <c r="D4590" s="16"/>
      <c r="E4590" s="16"/>
      <c r="F4590" s="20"/>
      <c r="G4590" s="17"/>
    </row>
    <row r="4591" spans="2:7" x14ac:dyDescent="0.25">
      <c r="B4591" s="15"/>
      <c r="C4591" s="15"/>
      <c r="D4591" s="16"/>
      <c r="E4591" s="16"/>
      <c r="F4591" s="20"/>
      <c r="G4591" s="17"/>
    </row>
    <row r="4592" spans="2:7" x14ac:dyDescent="0.25">
      <c r="B4592" s="15"/>
      <c r="C4592" s="15"/>
      <c r="D4592" s="16"/>
      <c r="E4592" s="16"/>
      <c r="F4592" s="20"/>
      <c r="G4592" s="17"/>
    </row>
    <row r="4593" spans="2:7" x14ac:dyDescent="0.25">
      <c r="B4593" s="15"/>
      <c r="C4593" s="15"/>
      <c r="D4593" s="16"/>
      <c r="E4593" s="16"/>
      <c r="F4593" s="20"/>
      <c r="G4593" s="17"/>
    </row>
    <row r="4594" spans="2:7" x14ac:dyDescent="0.25">
      <c r="B4594" s="15"/>
      <c r="C4594" s="15"/>
      <c r="D4594" s="16"/>
      <c r="E4594" s="16"/>
      <c r="F4594" s="20"/>
      <c r="G4594" s="17"/>
    </row>
    <row r="4595" spans="2:7" x14ac:dyDescent="0.25">
      <c r="B4595" s="15"/>
      <c r="C4595" s="15"/>
      <c r="D4595" s="16"/>
      <c r="E4595" s="16"/>
      <c r="F4595" s="20"/>
      <c r="G4595" s="17"/>
    </row>
    <row r="4596" spans="2:7" x14ac:dyDescent="0.25">
      <c r="B4596" s="15"/>
      <c r="C4596" s="15"/>
      <c r="D4596" s="16"/>
      <c r="E4596" s="16"/>
      <c r="F4596" s="20"/>
      <c r="G4596" s="17"/>
    </row>
    <row r="4597" spans="2:7" x14ac:dyDescent="0.25">
      <c r="B4597" s="15"/>
      <c r="C4597" s="15"/>
      <c r="D4597" s="16"/>
      <c r="E4597" s="16"/>
      <c r="F4597" s="20"/>
      <c r="G4597" s="17"/>
    </row>
    <row r="4598" spans="2:7" x14ac:dyDescent="0.25">
      <c r="B4598" s="15"/>
      <c r="C4598" s="15"/>
      <c r="D4598" s="16"/>
      <c r="E4598" s="16"/>
      <c r="F4598" s="20"/>
      <c r="G4598" s="17"/>
    </row>
    <row r="4599" spans="2:7" x14ac:dyDescent="0.25">
      <c r="B4599" s="15"/>
      <c r="C4599" s="15"/>
      <c r="D4599" s="16"/>
      <c r="E4599" s="16"/>
      <c r="F4599" s="20"/>
      <c r="G4599" s="17"/>
    </row>
    <row r="4600" spans="2:7" x14ac:dyDescent="0.25">
      <c r="B4600" s="15"/>
      <c r="C4600" s="15"/>
      <c r="D4600" s="16"/>
      <c r="E4600" s="16"/>
      <c r="F4600" s="20"/>
      <c r="G4600" s="17"/>
    </row>
    <row r="4601" spans="2:7" x14ac:dyDescent="0.25">
      <c r="B4601" s="15"/>
      <c r="C4601" s="15"/>
      <c r="D4601" s="16"/>
      <c r="E4601" s="16"/>
      <c r="F4601" s="20"/>
      <c r="G4601" s="17"/>
    </row>
    <row r="4602" spans="2:7" x14ac:dyDescent="0.25">
      <c r="B4602" s="15"/>
      <c r="C4602" s="15"/>
      <c r="D4602" s="16"/>
      <c r="E4602" s="16"/>
      <c r="F4602" s="20"/>
      <c r="G4602" s="17"/>
    </row>
    <row r="4603" spans="2:7" x14ac:dyDescent="0.25">
      <c r="B4603" s="15"/>
      <c r="C4603" s="15"/>
      <c r="D4603" s="16"/>
      <c r="E4603" s="16"/>
      <c r="F4603" s="20"/>
      <c r="G4603" s="17"/>
    </row>
    <row r="4604" spans="2:7" x14ac:dyDescent="0.25">
      <c r="B4604" s="15"/>
      <c r="C4604" s="15"/>
      <c r="D4604" s="16"/>
      <c r="E4604" s="16"/>
      <c r="F4604" s="20"/>
      <c r="G4604" s="17"/>
    </row>
    <row r="4605" spans="2:7" x14ac:dyDescent="0.25">
      <c r="B4605" s="15"/>
      <c r="C4605" s="15"/>
      <c r="D4605" s="16"/>
      <c r="E4605" s="16"/>
      <c r="F4605" s="20"/>
      <c r="G4605" s="17"/>
    </row>
    <row r="4606" spans="2:7" x14ac:dyDescent="0.25">
      <c r="B4606" s="15"/>
      <c r="C4606" s="15"/>
      <c r="D4606" s="16"/>
      <c r="E4606" s="16"/>
      <c r="F4606" s="20"/>
      <c r="G4606" s="17"/>
    </row>
    <row r="4607" spans="2:7" x14ac:dyDescent="0.25">
      <c r="B4607" s="15"/>
      <c r="C4607" s="15"/>
      <c r="D4607" s="16"/>
      <c r="E4607" s="16"/>
      <c r="F4607" s="20"/>
      <c r="G4607" s="17"/>
    </row>
    <row r="4608" spans="2:7" x14ac:dyDescent="0.25">
      <c r="B4608" s="15"/>
      <c r="C4608" s="15"/>
      <c r="D4608" s="16"/>
      <c r="E4608" s="16"/>
      <c r="F4608" s="20"/>
      <c r="G4608" s="17"/>
    </row>
    <row r="4609" spans="2:7" x14ac:dyDescent="0.25">
      <c r="B4609" s="15"/>
      <c r="C4609" s="15"/>
      <c r="D4609" s="16"/>
      <c r="E4609" s="16"/>
      <c r="F4609" s="20"/>
      <c r="G4609" s="17"/>
    </row>
    <row r="4610" spans="2:7" x14ac:dyDescent="0.25">
      <c r="B4610" s="15"/>
      <c r="C4610" s="15"/>
      <c r="D4610" s="16"/>
      <c r="E4610" s="16"/>
      <c r="F4610" s="20"/>
      <c r="G4610" s="17"/>
    </row>
    <row r="4611" spans="2:7" x14ac:dyDescent="0.25">
      <c r="B4611" s="15"/>
      <c r="C4611" s="15"/>
      <c r="D4611" s="16"/>
      <c r="E4611" s="16"/>
      <c r="F4611" s="20"/>
      <c r="G4611" s="17"/>
    </row>
    <row r="4612" spans="2:7" x14ac:dyDescent="0.25">
      <c r="B4612" s="15"/>
      <c r="C4612" s="15"/>
      <c r="D4612" s="16"/>
      <c r="E4612" s="16"/>
      <c r="F4612" s="20"/>
      <c r="G4612" s="17"/>
    </row>
    <row r="4613" spans="2:7" x14ac:dyDescent="0.25">
      <c r="B4613" s="15"/>
      <c r="C4613" s="15"/>
      <c r="D4613" s="16"/>
      <c r="E4613" s="16"/>
      <c r="F4613" s="20"/>
      <c r="G4613" s="17"/>
    </row>
    <row r="4614" spans="2:7" x14ac:dyDescent="0.25">
      <c r="B4614" s="15"/>
      <c r="C4614" s="15"/>
      <c r="D4614" s="16"/>
      <c r="E4614" s="16"/>
      <c r="F4614" s="20"/>
      <c r="G4614" s="17"/>
    </row>
    <row r="4615" spans="2:7" x14ac:dyDescent="0.25">
      <c r="B4615" s="15"/>
      <c r="C4615" s="15"/>
      <c r="D4615" s="16"/>
      <c r="E4615" s="16"/>
      <c r="F4615" s="20"/>
      <c r="G4615" s="17"/>
    </row>
    <row r="4616" spans="2:7" x14ac:dyDescent="0.25">
      <c r="B4616" s="15"/>
      <c r="C4616" s="15"/>
      <c r="D4616" s="16"/>
      <c r="E4616" s="16"/>
      <c r="F4616" s="20"/>
      <c r="G4616" s="17"/>
    </row>
    <row r="4617" spans="2:7" x14ac:dyDescent="0.25">
      <c r="B4617" s="15"/>
      <c r="C4617" s="15"/>
      <c r="D4617" s="16"/>
      <c r="E4617" s="16"/>
      <c r="F4617" s="20"/>
      <c r="G4617" s="17"/>
    </row>
    <row r="4618" spans="2:7" x14ac:dyDescent="0.25">
      <c r="B4618" s="15"/>
      <c r="C4618" s="15"/>
      <c r="D4618" s="16"/>
      <c r="E4618" s="16"/>
      <c r="F4618" s="20"/>
      <c r="G4618" s="17"/>
    </row>
    <row r="4619" spans="2:7" x14ac:dyDescent="0.25">
      <c r="B4619" s="15"/>
      <c r="C4619" s="15"/>
      <c r="D4619" s="16"/>
      <c r="E4619" s="16"/>
      <c r="F4619" s="20"/>
      <c r="G4619" s="17"/>
    </row>
    <row r="4620" spans="2:7" x14ac:dyDescent="0.25">
      <c r="B4620" s="15"/>
      <c r="C4620" s="15"/>
      <c r="D4620" s="16"/>
      <c r="E4620" s="16"/>
      <c r="F4620" s="20"/>
      <c r="G4620" s="17"/>
    </row>
    <row r="4621" spans="2:7" x14ac:dyDescent="0.25">
      <c r="B4621" s="15"/>
      <c r="C4621" s="15"/>
      <c r="D4621" s="16"/>
      <c r="E4621" s="16"/>
      <c r="F4621" s="20"/>
      <c r="G4621" s="17"/>
    </row>
    <row r="4622" spans="2:7" x14ac:dyDescent="0.25">
      <c r="B4622" s="15"/>
      <c r="C4622" s="15"/>
      <c r="D4622" s="16"/>
      <c r="E4622" s="16"/>
      <c r="F4622" s="20"/>
      <c r="G4622" s="17"/>
    </row>
    <row r="4623" spans="2:7" x14ac:dyDescent="0.25">
      <c r="B4623" s="15"/>
      <c r="C4623" s="15"/>
      <c r="D4623" s="16"/>
      <c r="E4623" s="16"/>
      <c r="F4623" s="20"/>
      <c r="G4623" s="17"/>
    </row>
    <row r="4624" spans="2:7" x14ac:dyDescent="0.25">
      <c r="B4624" s="15"/>
      <c r="C4624" s="15"/>
      <c r="D4624" s="16"/>
      <c r="E4624" s="16"/>
      <c r="F4624" s="20"/>
      <c r="G4624" s="17"/>
    </row>
    <row r="4625" spans="2:7" x14ac:dyDescent="0.25">
      <c r="B4625" s="15"/>
      <c r="C4625" s="15"/>
      <c r="D4625" s="16"/>
      <c r="E4625" s="16"/>
      <c r="F4625" s="20"/>
      <c r="G4625" s="17"/>
    </row>
    <row r="4626" spans="2:7" x14ac:dyDescent="0.25">
      <c r="B4626" s="15"/>
      <c r="C4626" s="15"/>
      <c r="D4626" s="16"/>
      <c r="E4626" s="16"/>
      <c r="F4626" s="20"/>
      <c r="G4626" s="17"/>
    </row>
    <row r="4627" spans="2:7" x14ac:dyDescent="0.25">
      <c r="B4627" s="15"/>
      <c r="C4627" s="15"/>
      <c r="D4627" s="16"/>
      <c r="E4627" s="16"/>
      <c r="F4627" s="20"/>
      <c r="G4627" s="17"/>
    </row>
    <row r="4628" spans="2:7" x14ac:dyDescent="0.25">
      <c r="B4628" s="15"/>
      <c r="C4628" s="15"/>
      <c r="D4628" s="16"/>
      <c r="E4628" s="16"/>
      <c r="F4628" s="20"/>
      <c r="G4628" s="17"/>
    </row>
    <row r="4629" spans="2:7" x14ac:dyDescent="0.25">
      <c r="B4629" s="15"/>
      <c r="C4629" s="15"/>
      <c r="D4629" s="16"/>
      <c r="E4629" s="16"/>
      <c r="F4629" s="20"/>
      <c r="G4629" s="17"/>
    </row>
    <row r="4630" spans="2:7" x14ac:dyDescent="0.25">
      <c r="B4630" s="15"/>
      <c r="C4630" s="15"/>
      <c r="D4630" s="16"/>
      <c r="E4630" s="16"/>
      <c r="F4630" s="20"/>
      <c r="G4630" s="17"/>
    </row>
    <row r="4631" spans="2:7" x14ac:dyDescent="0.25">
      <c r="B4631" s="15"/>
      <c r="C4631" s="15"/>
      <c r="D4631" s="16"/>
      <c r="E4631" s="16"/>
      <c r="F4631" s="20"/>
      <c r="G4631" s="17"/>
    </row>
    <row r="4632" spans="2:7" x14ac:dyDescent="0.25">
      <c r="B4632" s="15"/>
      <c r="C4632" s="15"/>
      <c r="D4632" s="16"/>
      <c r="E4632" s="16"/>
      <c r="F4632" s="20"/>
      <c r="G4632" s="17"/>
    </row>
    <row r="4633" spans="2:7" x14ac:dyDescent="0.25">
      <c r="B4633" s="15"/>
      <c r="C4633" s="15"/>
      <c r="D4633" s="16"/>
      <c r="E4633" s="16"/>
      <c r="F4633" s="20"/>
      <c r="G4633" s="17"/>
    </row>
    <row r="4634" spans="2:7" x14ac:dyDescent="0.25">
      <c r="B4634" s="15"/>
      <c r="C4634" s="15"/>
      <c r="D4634" s="16"/>
      <c r="E4634" s="16"/>
      <c r="F4634" s="20"/>
      <c r="G4634" s="17"/>
    </row>
    <row r="4635" spans="2:7" x14ac:dyDescent="0.25">
      <c r="B4635" s="15"/>
      <c r="C4635" s="15"/>
      <c r="D4635" s="16"/>
      <c r="E4635" s="16"/>
      <c r="F4635" s="20"/>
      <c r="G4635" s="17"/>
    </row>
    <row r="4636" spans="2:7" x14ac:dyDescent="0.25">
      <c r="B4636" s="15"/>
      <c r="C4636" s="15"/>
      <c r="D4636" s="16"/>
      <c r="E4636" s="16"/>
      <c r="F4636" s="20"/>
      <c r="G4636" s="17"/>
    </row>
    <row r="4637" spans="2:7" x14ac:dyDescent="0.25">
      <c r="B4637" s="15"/>
      <c r="C4637" s="15"/>
      <c r="D4637" s="16"/>
      <c r="E4637" s="16"/>
      <c r="F4637" s="20"/>
      <c r="G4637" s="17"/>
    </row>
    <row r="4638" spans="2:7" x14ac:dyDescent="0.25">
      <c r="B4638" s="15"/>
      <c r="C4638" s="15"/>
      <c r="D4638" s="16"/>
      <c r="E4638" s="16"/>
      <c r="F4638" s="20"/>
      <c r="G4638" s="17"/>
    </row>
    <row r="4639" spans="2:7" x14ac:dyDescent="0.25">
      <c r="B4639" s="15"/>
      <c r="C4639" s="15"/>
      <c r="D4639" s="16"/>
      <c r="E4639" s="16"/>
      <c r="F4639" s="20"/>
      <c r="G4639" s="17"/>
    </row>
    <row r="4640" spans="2:7" x14ac:dyDescent="0.25">
      <c r="B4640" s="15"/>
      <c r="C4640" s="15"/>
      <c r="D4640" s="16"/>
      <c r="E4640" s="16"/>
      <c r="F4640" s="20"/>
      <c r="G4640" s="17"/>
    </row>
    <row r="4641" spans="2:7" x14ac:dyDescent="0.25">
      <c r="B4641" s="15"/>
      <c r="C4641" s="15"/>
      <c r="D4641" s="16"/>
      <c r="E4641" s="16"/>
      <c r="F4641" s="20"/>
      <c r="G4641" s="17"/>
    </row>
    <row r="4642" spans="2:7" x14ac:dyDescent="0.25">
      <c r="B4642" s="15"/>
      <c r="C4642" s="15"/>
      <c r="D4642" s="16"/>
      <c r="E4642" s="16"/>
      <c r="F4642" s="20"/>
      <c r="G4642" s="17"/>
    </row>
    <row r="4643" spans="2:7" x14ac:dyDescent="0.25">
      <c r="B4643" s="15"/>
      <c r="C4643" s="15"/>
      <c r="D4643" s="16"/>
      <c r="E4643" s="16"/>
      <c r="F4643" s="20"/>
      <c r="G4643" s="17"/>
    </row>
    <row r="4644" spans="2:7" x14ac:dyDescent="0.25">
      <c r="B4644" s="15"/>
      <c r="C4644" s="15"/>
      <c r="D4644" s="16"/>
      <c r="E4644" s="16"/>
      <c r="F4644" s="20"/>
      <c r="G4644" s="17"/>
    </row>
    <row r="4645" spans="2:7" x14ac:dyDescent="0.25">
      <c r="B4645" s="15"/>
      <c r="C4645" s="15"/>
      <c r="D4645" s="16"/>
      <c r="E4645" s="16"/>
      <c r="F4645" s="20"/>
      <c r="G4645" s="17"/>
    </row>
    <row r="4646" spans="2:7" x14ac:dyDescent="0.25">
      <c r="B4646" s="15"/>
      <c r="C4646" s="15"/>
      <c r="D4646" s="16"/>
      <c r="E4646" s="16"/>
      <c r="F4646" s="20"/>
      <c r="G4646" s="17"/>
    </row>
    <row r="4647" spans="2:7" x14ac:dyDescent="0.25">
      <c r="B4647" s="15"/>
      <c r="C4647" s="15"/>
      <c r="D4647" s="16"/>
      <c r="E4647" s="16"/>
      <c r="F4647" s="20"/>
      <c r="G4647" s="17"/>
    </row>
    <row r="4648" spans="2:7" x14ac:dyDescent="0.25">
      <c r="B4648" s="15"/>
      <c r="C4648" s="15"/>
      <c r="D4648" s="16"/>
      <c r="E4648" s="16"/>
      <c r="F4648" s="20"/>
      <c r="G4648" s="17"/>
    </row>
    <row r="4649" spans="2:7" x14ac:dyDescent="0.25">
      <c r="B4649" s="15"/>
      <c r="C4649" s="15"/>
      <c r="D4649" s="16"/>
      <c r="E4649" s="16"/>
      <c r="F4649" s="20"/>
      <c r="G4649" s="17"/>
    </row>
    <row r="4650" spans="2:7" x14ac:dyDescent="0.25">
      <c r="B4650" s="15"/>
      <c r="C4650" s="15"/>
      <c r="D4650" s="16"/>
      <c r="E4650" s="16"/>
      <c r="F4650" s="20"/>
      <c r="G4650" s="17"/>
    </row>
    <row r="4651" spans="2:7" x14ac:dyDescent="0.25">
      <c r="B4651" s="15"/>
      <c r="C4651" s="15"/>
      <c r="D4651" s="16"/>
      <c r="E4651" s="16"/>
      <c r="F4651" s="20"/>
      <c r="G4651" s="17"/>
    </row>
    <row r="4652" spans="2:7" x14ac:dyDescent="0.25">
      <c r="B4652" s="15"/>
      <c r="C4652" s="15"/>
      <c r="D4652" s="16"/>
      <c r="E4652" s="16"/>
      <c r="F4652" s="20"/>
      <c r="G4652" s="17"/>
    </row>
    <row r="4653" spans="2:7" x14ac:dyDescent="0.25">
      <c r="B4653" s="15"/>
      <c r="C4653" s="15"/>
      <c r="D4653" s="16"/>
      <c r="E4653" s="16"/>
      <c r="F4653" s="20"/>
      <c r="G4653" s="17"/>
    </row>
    <row r="4654" spans="2:7" x14ac:dyDescent="0.25">
      <c r="B4654" s="15"/>
      <c r="C4654" s="15"/>
      <c r="D4654" s="16"/>
      <c r="E4654" s="16"/>
      <c r="F4654" s="20"/>
      <c r="G4654" s="17"/>
    </row>
    <row r="4655" spans="2:7" x14ac:dyDescent="0.25">
      <c r="B4655" s="15"/>
      <c r="C4655" s="15"/>
      <c r="D4655" s="16"/>
      <c r="E4655" s="16"/>
      <c r="F4655" s="20"/>
      <c r="G4655" s="17"/>
    </row>
    <row r="4656" spans="2:7" x14ac:dyDescent="0.25">
      <c r="B4656" s="15"/>
      <c r="C4656" s="15"/>
      <c r="D4656" s="16"/>
      <c r="E4656" s="16"/>
      <c r="F4656" s="20"/>
      <c r="G4656" s="17"/>
    </row>
    <row r="4657" spans="2:7" x14ac:dyDescent="0.25">
      <c r="B4657" s="15"/>
      <c r="C4657" s="15"/>
      <c r="D4657" s="16"/>
      <c r="E4657" s="16"/>
      <c r="F4657" s="20"/>
      <c r="G4657" s="17"/>
    </row>
    <row r="4658" spans="2:7" x14ac:dyDescent="0.25">
      <c r="B4658" s="15"/>
      <c r="C4658" s="15"/>
      <c r="D4658" s="16"/>
      <c r="E4658" s="16"/>
      <c r="F4658" s="20"/>
      <c r="G4658" s="17"/>
    </row>
    <row r="4659" spans="2:7" x14ac:dyDescent="0.25">
      <c r="B4659" s="15"/>
      <c r="C4659" s="15"/>
      <c r="D4659" s="16"/>
      <c r="E4659" s="16"/>
      <c r="F4659" s="20"/>
      <c r="G4659" s="17"/>
    </row>
    <row r="4660" spans="2:7" x14ac:dyDescent="0.25">
      <c r="B4660" s="15"/>
      <c r="C4660" s="15"/>
      <c r="D4660" s="16"/>
      <c r="E4660" s="16"/>
      <c r="F4660" s="20"/>
      <c r="G4660" s="17"/>
    </row>
    <row r="4661" spans="2:7" x14ac:dyDescent="0.25">
      <c r="B4661" s="15"/>
      <c r="C4661" s="15"/>
      <c r="D4661" s="16"/>
      <c r="E4661" s="16"/>
      <c r="F4661" s="20"/>
      <c r="G4661" s="17"/>
    </row>
    <row r="4662" spans="2:7" x14ac:dyDescent="0.25">
      <c r="B4662" s="15"/>
      <c r="C4662" s="15"/>
      <c r="D4662" s="16"/>
      <c r="E4662" s="16"/>
      <c r="F4662" s="20"/>
      <c r="G4662" s="17"/>
    </row>
    <row r="4663" spans="2:7" x14ac:dyDescent="0.25">
      <c r="B4663" s="15"/>
      <c r="C4663" s="15"/>
      <c r="D4663" s="16"/>
      <c r="E4663" s="16"/>
      <c r="F4663" s="20"/>
      <c r="G4663" s="17"/>
    </row>
    <row r="4664" spans="2:7" x14ac:dyDescent="0.25">
      <c r="B4664" s="15"/>
      <c r="C4664" s="15"/>
      <c r="D4664" s="16"/>
      <c r="E4664" s="16"/>
      <c r="F4664" s="20"/>
      <c r="G4664" s="17"/>
    </row>
    <row r="4665" spans="2:7" x14ac:dyDescent="0.25">
      <c r="B4665" s="15"/>
      <c r="C4665" s="15"/>
      <c r="D4665" s="16"/>
      <c r="E4665" s="16"/>
      <c r="F4665" s="20"/>
      <c r="G4665" s="17"/>
    </row>
    <row r="4666" spans="2:7" x14ac:dyDescent="0.25">
      <c r="B4666" s="15"/>
      <c r="C4666" s="15"/>
      <c r="D4666" s="16"/>
      <c r="E4666" s="16"/>
      <c r="F4666" s="20"/>
      <c r="G4666" s="17"/>
    </row>
    <row r="4667" spans="2:7" x14ac:dyDescent="0.25">
      <c r="B4667" s="15"/>
      <c r="C4667" s="15"/>
      <c r="D4667" s="16"/>
      <c r="E4667" s="16"/>
      <c r="F4667" s="20"/>
      <c r="G4667" s="17"/>
    </row>
    <row r="4668" spans="2:7" x14ac:dyDescent="0.25">
      <c r="B4668" s="15"/>
      <c r="C4668" s="15"/>
      <c r="D4668" s="16"/>
      <c r="E4668" s="16"/>
      <c r="F4668" s="20"/>
      <c r="G4668" s="17"/>
    </row>
    <row r="4669" spans="2:7" x14ac:dyDescent="0.25">
      <c r="B4669" s="15"/>
      <c r="C4669" s="15"/>
      <c r="D4669" s="16"/>
      <c r="E4669" s="16"/>
      <c r="F4669" s="20"/>
      <c r="G4669" s="17"/>
    </row>
    <row r="4670" spans="2:7" x14ac:dyDescent="0.25">
      <c r="B4670" s="15"/>
      <c r="C4670" s="15"/>
      <c r="D4670" s="16"/>
      <c r="E4670" s="16"/>
      <c r="F4670" s="20"/>
      <c r="G4670" s="17"/>
    </row>
    <row r="4671" spans="2:7" x14ac:dyDescent="0.25">
      <c r="B4671" s="15"/>
      <c r="C4671" s="15"/>
      <c r="D4671" s="16"/>
      <c r="E4671" s="16"/>
      <c r="F4671" s="20"/>
      <c r="G4671" s="17"/>
    </row>
    <row r="4672" spans="2:7" x14ac:dyDescent="0.25">
      <c r="B4672" s="15"/>
      <c r="C4672" s="15"/>
      <c r="D4672" s="16"/>
      <c r="E4672" s="16"/>
      <c r="F4672" s="20"/>
      <c r="G4672" s="17"/>
    </row>
    <row r="4673" spans="2:7" x14ac:dyDescent="0.25">
      <c r="B4673" s="15"/>
      <c r="C4673" s="15"/>
      <c r="D4673" s="16"/>
      <c r="E4673" s="16"/>
      <c r="F4673" s="20"/>
      <c r="G4673" s="13"/>
    </row>
    <row r="4674" spans="2:7" x14ac:dyDescent="0.25">
      <c r="B4674" s="15"/>
      <c r="C4674" s="15"/>
      <c r="D4674" s="16"/>
      <c r="E4674" s="16"/>
      <c r="F4674" s="20"/>
      <c r="G4674" s="17"/>
    </row>
    <row r="4675" spans="2:7" x14ac:dyDescent="0.25">
      <c r="B4675" s="15"/>
      <c r="C4675" s="15"/>
      <c r="D4675" s="16"/>
      <c r="E4675" s="16"/>
      <c r="F4675" s="20"/>
      <c r="G4675" s="17"/>
    </row>
    <row r="4676" spans="2:7" x14ac:dyDescent="0.25">
      <c r="B4676" s="15"/>
      <c r="C4676" s="15"/>
      <c r="D4676" s="16"/>
      <c r="E4676" s="16"/>
      <c r="F4676" s="20"/>
      <c r="G4676" s="13"/>
    </row>
    <row r="4677" spans="2:7" x14ac:dyDescent="0.25">
      <c r="B4677" s="15"/>
      <c r="C4677" s="15"/>
      <c r="D4677" s="16"/>
      <c r="E4677" s="16"/>
      <c r="F4677" s="20"/>
      <c r="G4677" s="17"/>
    </row>
    <row r="4678" spans="2:7" x14ac:dyDescent="0.25">
      <c r="B4678" s="15"/>
      <c r="C4678" s="15"/>
      <c r="D4678" s="16"/>
      <c r="E4678" s="16"/>
      <c r="F4678" s="20"/>
      <c r="G4678" s="17"/>
    </row>
    <row r="4679" spans="2:7" x14ac:dyDescent="0.25">
      <c r="B4679" s="15"/>
      <c r="C4679" s="15"/>
      <c r="D4679" s="16"/>
      <c r="E4679" s="16"/>
      <c r="F4679" s="20"/>
      <c r="G4679" s="17"/>
    </row>
    <row r="4680" spans="2:7" x14ac:dyDescent="0.25">
      <c r="B4680" s="15"/>
      <c r="C4680" s="15"/>
      <c r="D4680" s="16"/>
      <c r="E4680" s="16"/>
      <c r="F4680" s="20"/>
      <c r="G4680" s="17"/>
    </row>
    <row r="4681" spans="2:7" x14ac:dyDescent="0.25">
      <c r="B4681" s="15"/>
      <c r="C4681" s="15"/>
      <c r="D4681" s="16"/>
      <c r="E4681" s="16"/>
      <c r="F4681" s="20"/>
      <c r="G4681" s="17"/>
    </row>
    <row r="4682" spans="2:7" x14ac:dyDescent="0.25">
      <c r="B4682" s="15"/>
      <c r="C4682" s="15"/>
      <c r="D4682" s="16"/>
      <c r="E4682" s="16"/>
      <c r="F4682" s="20"/>
      <c r="G4682" s="17"/>
    </row>
    <row r="4683" spans="2:7" x14ac:dyDescent="0.25">
      <c r="B4683" s="15"/>
      <c r="C4683" s="15"/>
      <c r="D4683" s="16"/>
      <c r="E4683" s="16"/>
      <c r="F4683" s="20"/>
      <c r="G4683" s="17"/>
    </row>
    <row r="4684" spans="2:7" x14ac:dyDescent="0.25">
      <c r="B4684" s="15"/>
      <c r="C4684" s="15"/>
      <c r="D4684" s="16"/>
      <c r="E4684" s="16"/>
      <c r="F4684" s="20"/>
      <c r="G4684" s="17"/>
    </row>
    <row r="4685" spans="2:7" x14ac:dyDescent="0.25">
      <c r="B4685" s="15"/>
      <c r="C4685" s="15"/>
      <c r="D4685" s="16"/>
      <c r="E4685" s="16"/>
      <c r="F4685" s="20"/>
      <c r="G4685" s="17"/>
    </row>
    <row r="4686" spans="2:7" x14ac:dyDescent="0.25">
      <c r="B4686" s="15"/>
      <c r="C4686" s="15"/>
      <c r="D4686" s="16"/>
      <c r="E4686" s="16"/>
      <c r="F4686" s="20"/>
      <c r="G4686" s="17"/>
    </row>
    <row r="4687" spans="2:7" x14ac:dyDescent="0.25">
      <c r="B4687" s="15"/>
      <c r="C4687" s="15"/>
      <c r="D4687" s="16"/>
      <c r="E4687" s="16"/>
      <c r="F4687" s="20"/>
      <c r="G4687" s="17"/>
    </row>
    <row r="4688" spans="2:7" x14ac:dyDescent="0.25">
      <c r="B4688" s="15"/>
      <c r="C4688" s="15"/>
      <c r="D4688" s="16"/>
      <c r="E4688" s="16"/>
      <c r="F4688" s="20"/>
      <c r="G4688" s="13"/>
    </row>
    <row r="4689" spans="2:7" x14ac:dyDescent="0.25">
      <c r="B4689" s="15"/>
      <c r="C4689" s="15"/>
      <c r="D4689" s="16"/>
      <c r="E4689" s="16"/>
      <c r="F4689" s="20"/>
      <c r="G4689" s="17"/>
    </row>
    <row r="4690" spans="2:7" x14ac:dyDescent="0.25">
      <c r="B4690" s="15"/>
      <c r="C4690" s="15"/>
      <c r="D4690" s="16"/>
      <c r="E4690" s="16"/>
      <c r="F4690" s="20"/>
      <c r="G4690" s="17"/>
    </row>
    <row r="4691" spans="2:7" x14ac:dyDescent="0.25">
      <c r="B4691" s="15"/>
      <c r="C4691" s="15"/>
      <c r="D4691" s="16"/>
      <c r="E4691" s="16"/>
      <c r="F4691" s="20"/>
      <c r="G4691" s="13"/>
    </row>
    <row r="4692" spans="2:7" x14ac:dyDescent="0.25">
      <c r="B4692" s="15"/>
      <c r="C4692" s="15"/>
      <c r="D4692" s="16"/>
      <c r="E4692" s="16"/>
      <c r="F4692" s="20"/>
      <c r="G4692" s="17"/>
    </row>
    <row r="4693" spans="2:7" x14ac:dyDescent="0.25">
      <c r="B4693" s="15"/>
      <c r="C4693" s="15"/>
      <c r="D4693" s="16"/>
      <c r="E4693" s="16"/>
      <c r="F4693" s="20"/>
      <c r="G4693" s="17"/>
    </row>
    <row r="4694" spans="2:7" x14ac:dyDescent="0.25">
      <c r="B4694" s="15"/>
      <c r="C4694" s="15"/>
      <c r="D4694" s="16"/>
      <c r="E4694" s="16"/>
      <c r="F4694" s="20"/>
      <c r="G4694" s="13"/>
    </row>
    <row r="4695" spans="2:7" x14ac:dyDescent="0.25">
      <c r="B4695" s="15"/>
      <c r="C4695" s="15"/>
      <c r="D4695" s="16"/>
      <c r="E4695" s="16"/>
      <c r="F4695" s="20"/>
      <c r="G4695" s="17"/>
    </row>
    <row r="4696" spans="2:7" x14ac:dyDescent="0.25">
      <c r="B4696" s="15"/>
      <c r="C4696" s="15"/>
      <c r="D4696" s="16"/>
      <c r="E4696" s="16"/>
      <c r="F4696" s="20"/>
      <c r="G4696" s="17"/>
    </row>
    <row r="4697" spans="2:7" x14ac:dyDescent="0.25">
      <c r="B4697" s="15"/>
      <c r="C4697" s="15"/>
      <c r="D4697" s="16"/>
      <c r="E4697" s="16"/>
      <c r="F4697" s="20"/>
      <c r="G4697" s="13"/>
    </row>
    <row r="4698" spans="2:7" x14ac:dyDescent="0.25">
      <c r="B4698" s="15"/>
      <c r="C4698" s="15"/>
      <c r="D4698" s="16"/>
      <c r="E4698" s="16"/>
      <c r="F4698" s="20"/>
      <c r="G4698" s="13"/>
    </row>
    <row r="4699" spans="2:7" x14ac:dyDescent="0.25">
      <c r="B4699" s="15"/>
      <c r="C4699" s="15"/>
      <c r="D4699" s="16"/>
      <c r="E4699" s="16"/>
      <c r="F4699" s="20"/>
      <c r="G4699" s="13"/>
    </row>
    <row r="4700" spans="2:7" x14ac:dyDescent="0.25">
      <c r="B4700" s="15"/>
      <c r="C4700" s="15"/>
      <c r="D4700" s="16"/>
      <c r="E4700" s="16"/>
      <c r="F4700" s="20"/>
      <c r="G4700" s="17"/>
    </row>
    <row r="4701" spans="2:7" x14ac:dyDescent="0.25">
      <c r="B4701" s="15"/>
      <c r="C4701" s="15"/>
      <c r="D4701" s="16"/>
      <c r="E4701" s="16"/>
      <c r="F4701" s="20"/>
      <c r="G4701" s="17"/>
    </row>
    <row r="4702" spans="2:7" x14ac:dyDescent="0.25">
      <c r="B4702" s="15"/>
      <c r="C4702" s="15"/>
      <c r="D4702" s="16"/>
      <c r="E4702" s="16"/>
      <c r="F4702" s="20"/>
      <c r="G4702" s="17"/>
    </row>
    <row r="4703" spans="2:7" x14ac:dyDescent="0.25">
      <c r="B4703" s="15"/>
      <c r="C4703" s="15"/>
      <c r="D4703" s="16"/>
      <c r="E4703" s="16"/>
      <c r="F4703" s="20"/>
      <c r="G4703" s="17"/>
    </row>
    <row r="4704" spans="2:7" x14ac:dyDescent="0.25">
      <c r="B4704" s="15"/>
      <c r="C4704" s="15"/>
      <c r="D4704" s="16"/>
      <c r="E4704" s="16"/>
      <c r="F4704" s="20"/>
      <c r="G4704" s="17"/>
    </row>
    <row r="4705" spans="2:7" x14ac:dyDescent="0.25">
      <c r="B4705" s="15"/>
      <c r="C4705" s="15"/>
      <c r="D4705" s="16"/>
      <c r="E4705" s="16"/>
      <c r="F4705" s="20"/>
      <c r="G4705" s="17"/>
    </row>
    <row r="4706" spans="2:7" x14ac:dyDescent="0.25">
      <c r="B4706" s="15"/>
      <c r="C4706" s="15"/>
      <c r="D4706" s="16"/>
      <c r="E4706" s="16"/>
      <c r="F4706" s="20"/>
      <c r="G4706" s="17"/>
    </row>
    <row r="4707" spans="2:7" x14ac:dyDescent="0.25">
      <c r="B4707" s="15"/>
      <c r="C4707" s="15"/>
      <c r="D4707" s="16"/>
      <c r="E4707" s="16"/>
      <c r="F4707" s="20"/>
      <c r="G4707" s="17"/>
    </row>
    <row r="4708" spans="2:7" x14ac:dyDescent="0.25">
      <c r="B4708" s="15"/>
      <c r="C4708" s="15"/>
      <c r="D4708" s="16"/>
      <c r="E4708" s="16"/>
      <c r="F4708" s="20"/>
      <c r="G4708" s="17"/>
    </row>
    <row r="4709" spans="2:7" x14ac:dyDescent="0.25">
      <c r="B4709" s="15"/>
      <c r="C4709" s="15"/>
      <c r="D4709" s="16"/>
      <c r="E4709" s="16"/>
      <c r="F4709" s="20"/>
      <c r="G4709" s="17"/>
    </row>
    <row r="4710" spans="2:7" x14ac:dyDescent="0.25">
      <c r="B4710" s="15"/>
      <c r="C4710" s="15"/>
      <c r="D4710" s="16"/>
      <c r="E4710" s="16"/>
      <c r="F4710" s="20"/>
      <c r="G4710" s="17"/>
    </row>
    <row r="4711" spans="2:7" x14ac:dyDescent="0.25">
      <c r="B4711" s="15"/>
      <c r="C4711" s="15"/>
      <c r="D4711" s="16"/>
      <c r="E4711" s="16"/>
      <c r="F4711" s="20"/>
      <c r="G4711" s="17"/>
    </row>
    <row r="4712" spans="2:7" x14ac:dyDescent="0.25">
      <c r="B4712" s="15"/>
      <c r="C4712" s="15"/>
      <c r="D4712" s="16"/>
      <c r="E4712" s="16"/>
      <c r="F4712" s="20"/>
      <c r="G4712" s="17"/>
    </row>
    <row r="4713" spans="2:7" x14ac:dyDescent="0.25">
      <c r="B4713" s="15"/>
      <c r="C4713" s="15"/>
      <c r="D4713" s="16"/>
      <c r="E4713" s="16"/>
      <c r="F4713" s="20"/>
      <c r="G4713" s="17"/>
    </row>
    <row r="4714" spans="2:7" x14ac:dyDescent="0.25">
      <c r="B4714" s="15"/>
      <c r="C4714" s="15"/>
      <c r="D4714" s="16"/>
      <c r="E4714" s="16"/>
      <c r="F4714" s="20"/>
      <c r="G4714" s="17"/>
    </row>
    <row r="4715" spans="2:7" x14ac:dyDescent="0.25">
      <c r="B4715" s="15"/>
      <c r="C4715" s="15"/>
      <c r="D4715" s="16"/>
      <c r="E4715" s="16"/>
      <c r="F4715" s="20"/>
      <c r="G4715" s="17"/>
    </row>
    <row r="4716" spans="2:7" x14ac:dyDescent="0.25">
      <c r="B4716" s="15"/>
      <c r="C4716" s="15"/>
      <c r="D4716" s="16"/>
      <c r="E4716" s="16"/>
      <c r="F4716" s="20"/>
      <c r="G4716" s="17"/>
    </row>
    <row r="4717" spans="2:7" x14ac:dyDescent="0.25">
      <c r="B4717" s="15"/>
      <c r="C4717" s="15"/>
      <c r="D4717" s="16"/>
      <c r="E4717" s="16"/>
      <c r="F4717" s="20"/>
      <c r="G4717" s="17"/>
    </row>
    <row r="4718" spans="2:7" x14ac:dyDescent="0.25">
      <c r="B4718" s="15"/>
      <c r="C4718" s="15"/>
      <c r="D4718" s="16"/>
      <c r="E4718" s="16"/>
      <c r="F4718" s="20"/>
      <c r="G4718" s="17"/>
    </row>
    <row r="4719" spans="2:7" x14ac:dyDescent="0.25">
      <c r="B4719" s="15"/>
      <c r="C4719" s="15"/>
      <c r="D4719" s="16"/>
      <c r="E4719" s="16"/>
      <c r="F4719" s="20"/>
      <c r="G4719" s="17"/>
    </row>
    <row r="4720" spans="2:7" x14ac:dyDescent="0.25">
      <c r="B4720" s="15"/>
      <c r="C4720" s="15"/>
      <c r="D4720" s="16"/>
      <c r="E4720" s="16"/>
      <c r="F4720" s="20"/>
      <c r="G4720" s="17"/>
    </row>
    <row r="4721" spans="2:7" x14ac:dyDescent="0.25">
      <c r="B4721" s="15"/>
      <c r="C4721" s="15"/>
      <c r="D4721" s="16"/>
      <c r="E4721" s="16"/>
      <c r="F4721" s="20"/>
      <c r="G4721" s="16"/>
    </row>
    <row r="4722" spans="2:7" x14ac:dyDescent="0.25">
      <c r="B4722" s="15"/>
      <c r="C4722" s="15"/>
      <c r="D4722" s="16"/>
      <c r="E4722" s="16"/>
      <c r="F4722" s="20"/>
      <c r="G4722" s="17"/>
    </row>
    <row r="4723" spans="2:7" x14ac:dyDescent="0.25">
      <c r="B4723" s="15"/>
      <c r="C4723" s="15"/>
      <c r="D4723" s="16"/>
      <c r="E4723" s="16"/>
      <c r="F4723" s="20"/>
      <c r="G4723" s="17"/>
    </row>
    <row r="4724" spans="2:7" x14ac:dyDescent="0.25">
      <c r="B4724" s="15"/>
      <c r="C4724" s="15"/>
      <c r="D4724" s="16"/>
      <c r="E4724" s="16"/>
      <c r="F4724" s="20"/>
      <c r="G4724" s="17"/>
    </row>
    <row r="4725" spans="2:7" x14ac:dyDescent="0.25">
      <c r="B4725" s="15"/>
      <c r="C4725" s="15"/>
      <c r="D4725" s="16"/>
      <c r="E4725" s="16"/>
      <c r="F4725" s="20"/>
      <c r="G4725" s="17"/>
    </row>
    <row r="4726" spans="2:7" x14ac:dyDescent="0.25">
      <c r="B4726" s="15"/>
      <c r="C4726" s="15"/>
      <c r="D4726" s="16"/>
      <c r="E4726" s="16"/>
      <c r="F4726" s="20"/>
      <c r="G4726" s="17"/>
    </row>
    <row r="4727" spans="2:7" x14ac:dyDescent="0.25">
      <c r="B4727" s="15"/>
      <c r="C4727" s="15"/>
      <c r="D4727" s="16"/>
      <c r="E4727" s="16"/>
      <c r="F4727" s="20"/>
      <c r="G4727" s="16"/>
    </row>
    <row r="4728" spans="2:7" x14ac:dyDescent="0.25">
      <c r="B4728" s="15"/>
      <c r="C4728" s="15"/>
      <c r="D4728" s="16"/>
      <c r="E4728" s="16"/>
      <c r="F4728" s="20"/>
      <c r="G4728" s="17"/>
    </row>
    <row r="4729" spans="2:7" x14ac:dyDescent="0.25">
      <c r="B4729" s="15"/>
      <c r="C4729" s="15"/>
      <c r="D4729" s="16"/>
      <c r="E4729" s="16"/>
      <c r="F4729" s="20"/>
      <c r="G4729" s="17"/>
    </row>
    <row r="4730" spans="2:7" x14ac:dyDescent="0.25">
      <c r="B4730" s="15"/>
      <c r="C4730" s="15"/>
      <c r="D4730" s="16"/>
      <c r="E4730" s="16"/>
      <c r="F4730" s="20"/>
      <c r="G4730" s="17"/>
    </row>
    <row r="4731" spans="2:7" x14ac:dyDescent="0.25">
      <c r="B4731" s="15"/>
      <c r="C4731" s="15"/>
      <c r="D4731" s="16"/>
      <c r="E4731" s="16"/>
      <c r="F4731" s="20"/>
      <c r="G4731" s="17"/>
    </row>
    <row r="4732" spans="2:7" x14ac:dyDescent="0.25">
      <c r="B4732" s="15"/>
      <c r="C4732" s="15"/>
      <c r="D4732" s="16"/>
      <c r="E4732" s="16"/>
      <c r="F4732" s="20"/>
      <c r="G4732" s="17"/>
    </row>
    <row r="4733" spans="2:7" x14ac:dyDescent="0.25">
      <c r="B4733" s="15"/>
      <c r="C4733" s="15"/>
      <c r="D4733" s="16"/>
      <c r="E4733" s="16"/>
      <c r="F4733" s="20"/>
      <c r="G4733" s="17"/>
    </row>
    <row r="4734" spans="2:7" x14ac:dyDescent="0.25">
      <c r="B4734" s="15"/>
      <c r="C4734" s="15"/>
      <c r="D4734" s="16"/>
      <c r="E4734" s="16"/>
      <c r="F4734" s="20"/>
      <c r="G4734" s="17"/>
    </row>
    <row r="4735" spans="2:7" x14ac:dyDescent="0.25">
      <c r="B4735" s="15"/>
      <c r="C4735" s="15"/>
      <c r="D4735" s="16"/>
      <c r="E4735" s="16"/>
      <c r="F4735" s="20"/>
      <c r="G4735" s="17"/>
    </row>
    <row r="4736" spans="2:7" x14ac:dyDescent="0.25">
      <c r="B4736" s="15"/>
      <c r="C4736" s="15"/>
      <c r="D4736" s="16"/>
      <c r="E4736" s="16"/>
      <c r="F4736" s="20"/>
      <c r="G4736" s="17"/>
    </row>
    <row r="4737" spans="2:7" x14ac:dyDescent="0.25">
      <c r="B4737" s="15"/>
      <c r="C4737" s="15"/>
      <c r="D4737" s="16"/>
      <c r="E4737" s="16"/>
      <c r="F4737" s="20"/>
      <c r="G4737" s="17"/>
    </row>
    <row r="4738" spans="2:7" x14ac:dyDescent="0.25">
      <c r="B4738" s="15"/>
      <c r="C4738" s="15"/>
      <c r="D4738" s="16"/>
      <c r="E4738" s="16"/>
      <c r="F4738" s="20"/>
      <c r="G4738" s="17"/>
    </row>
    <row r="4739" spans="2:7" x14ac:dyDescent="0.25">
      <c r="B4739" s="15"/>
      <c r="C4739" s="15"/>
      <c r="D4739" s="16"/>
      <c r="E4739" s="16"/>
      <c r="F4739" s="20"/>
      <c r="G4739" s="17"/>
    </row>
    <row r="4740" spans="2:7" x14ac:dyDescent="0.25">
      <c r="B4740" s="15"/>
      <c r="C4740" s="15"/>
      <c r="D4740" s="16"/>
      <c r="E4740" s="16"/>
      <c r="F4740" s="20"/>
      <c r="G4740" s="17"/>
    </row>
    <row r="4741" spans="2:7" x14ac:dyDescent="0.25">
      <c r="B4741" s="15"/>
      <c r="C4741" s="15"/>
      <c r="D4741" s="16"/>
      <c r="E4741" s="16"/>
      <c r="F4741" s="20"/>
      <c r="G4741" s="17"/>
    </row>
    <row r="4742" spans="2:7" x14ac:dyDescent="0.25">
      <c r="B4742" s="15"/>
      <c r="C4742" s="15"/>
      <c r="D4742" s="16"/>
      <c r="E4742" s="16"/>
      <c r="F4742" s="20"/>
      <c r="G4742" s="17"/>
    </row>
    <row r="4743" spans="2:7" x14ac:dyDescent="0.25">
      <c r="B4743" s="15"/>
      <c r="C4743" s="15"/>
      <c r="D4743" s="16"/>
      <c r="E4743" s="16"/>
      <c r="F4743" s="20"/>
      <c r="G4743" s="17"/>
    </row>
    <row r="4744" spans="2:7" x14ac:dyDescent="0.25">
      <c r="B4744" s="15"/>
      <c r="C4744" s="15"/>
      <c r="D4744" s="16"/>
      <c r="E4744" s="16"/>
      <c r="F4744" s="20"/>
      <c r="G4744" s="17"/>
    </row>
    <row r="4745" spans="2:7" x14ac:dyDescent="0.25">
      <c r="B4745" s="15"/>
      <c r="C4745" s="15"/>
      <c r="D4745" s="16"/>
      <c r="E4745" s="16"/>
      <c r="F4745" s="20"/>
      <c r="G4745" s="17"/>
    </row>
    <row r="4746" spans="2:7" x14ac:dyDescent="0.25">
      <c r="B4746" s="15"/>
      <c r="C4746" s="15"/>
      <c r="D4746" s="16"/>
      <c r="E4746" s="16"/>
      <c r="F4746" s="20"/>
      <c r="G4746" s="17"/>
    </row>
    <row r="4747" spans="2:7" x14ac:dyDescent="0.25">
      <c r="B4747" s="15"/>
      <c r="C4747" s="15"/>
      <c r="D4747" s="16"/>
      <c r="E4747" s="16"/>
      <c r="F4747" s="20"/>
      <c r="G4747" s="17"/>
    </row>
    <row r="4748" spans="2:7" x14ac:dyDescent="0.25">
      <c r="B4748" s="15"/>
      <c r="C4748" s="15"/>
      <c r="D4748" s="16"/>
      <c r="E4748" s="16"/>
      <c r="F4748" s="20"/>
      <c r="G4748" s="17"/>
    </row>
    <row r="4749" spans="2:7" x14ac:dyDescent="0.25">
      <c r="B4749" s="15"/>
      <c r="C4749" s="15"/>
      <c r="D4749" s="16"/>
      <c r="E4749" s="16"/>
      <c r="F4749" s="20"/>
      <c r="G4749" s="17"/>
    </row>
    <row r="4750" spans="2:7" x14ac:dyDescent="0.25">
      <c r="B4750" s="15"/>
      <c r="C4750" s="15"/>
      <c r="D4750" s="16"/>
      <c r="E4750" s="16"/>
      <c r="F4750" s="20"/>
      <c r="G4750" s="17"/>
    </row>
    <row r="4751" spans="2:7" x14ac:dyDescent="0.25">
      <c r="B4751" s="15"/>
      <c r="C4751" s="15"/>
      <c r="D4751" s="16"/>
      <c r="E4751" s="16"/>
      <c r="F4751" s="20"/>
      <c r="G4751" s="17"/>
    </row>
    <row r="4752" spans="2:7" x14ac:dyDescent="0.25">
      <c r="B4752" s="15"/>
      <c r="C4752" s="15"/>
      <c r="D4752" s="16"/>
      <c r="E4752" s="16"/>
      <c r="F4752" s="20"/>
      <c r="G4752" s="17"/>
    </row>
    <row r="4753" spans="2:7" x14ac:dyDescent="0.25">
      <c r="B4753" s="15"/>
      <c r="C4753" s="15"/>
      <c r="D4753" s="16"/>
      <c r="E4753" s="16"/>
      <c r="F4753" s="20"/>
      <c r="G4753" s="17"/>
    </row>
    <row r="4754" spans="2:7" x14ac:dyDescent="0.25">
      <c r="B4754" s="15"/>
      <c r="C4754" s="15"/>
      <c r="D4754" s="16"/>
      <c r="E4754" s="16"/>
      <c r="F4754" s="20"/>
      <c r="G4754" s="17"/>
    </row>
    <row r="4755" spans="2:7" x14ac:dyDescent="0.25">
      <c r="B4755" s="15"/>
      <c r="C4755" s="15"/>
      <c r="D4755" s="16"/>
      <c r="E4755" s="16"/>
      <c r="F4755" s="20"/>
      <c r="G4755" s="17"/>
    </row>
    <row r="4756" spans="2:7" x14ac:dyDescent="0.25">
      <c r="B4756" s="15"/>
      <c r="C4756" s="15"/>
      <c r="D4756" s="16"/>
      <c r="E4756" s="16"/>
      <c r="F4756" s="20"/>
      <c r="G4756" s="17"/>
    </row>
    <row r="4757" spans="2:7" x14ac:dyDescent="0.25">
      <c r="B4757" s="15"/>
      <c r="C4757" s="15"/>
      <c r="D4757" s="16"/>
      <c r="E4757" s="16"/>
      <c r="F4757" s="20"/>
      <c r="G4757" s="17"/>
    </row>
    <row r="4758" spans="2:7" x14ac:dyDescent="0.25">
      <c r="B4758" s="15"/>
      <c r="C4758" s="15"/>
      <c r="D4758" s="16"/>
      <c r="E4758" s="16"/>
      <c r="F4758" s="20"/>
      <c r="G4758" s="17"/>
    </row>
    <row r="4759" spans="2:7" x14ac:dyDescent="0.25">
      <c r="B4759" s="15"/>
      <c r="C4759" s="15"/>
      <c r="D4759" s="16"/>
      <c r="E4759" s="16"/>
      <c r="F4759" s="20"/>
      <c r="G4759" s="17"/>
    </row>
    <row r="4760" spans="2:7" x14ac:dyDescent="0.25">
      <c r="B4760" s="15"/>
      <c r="C4760" s="15"/>
      <c r="D4760" s="16"/>
      <c r="E4760" s="16"/>
      <c r="F4760" s="20"/>
      <c r="G4760" s="17"/>
    </row>
    <row r="4761" spans="2:7" x14ac:dyDescent="0.25">
      <c r="B4761" s="15"/>
      <c r="C4761" s="15"/>
      <c r="D4761" s="16"/>
      <c r="E4761" s="16"/>
      <c r="F4761" s="20"/>
      <c r="G4761" s="17"/>
    </row>
    <row r="4762" spans="2:7" x14ac:dyDescent="0.25">
      <c r="B4762" s="15"/>
      <c r="C4762" s="15"/>
      <c r="D4762" s="16"/>
      <c r="E4762" s="16"/>
      <c r="F4762" s="20"/>
      <c r="G4762" s="17"/>
    </row>
    <row r="4763" spans="2:7" x14ac:dyDescent="0.25">
      <c r="B4763" s="15"/>
      <c r="C4763" s="15"/>
      <c r="D4763" s="16"/>
      <c r="E4763" s="16"/>
      <c r="F4763" s="20"/>
      <c r="G4763" s="17"/>
    </row>
    <row r="4764" spans="2:7" x14ac:dyDescent="0.25">
      <c r="B4764" s="15"/>
      <c r="C4764" s="15"/>
      <c r="D4764" s="16"/>
      <c r="E4764" s="16"/>
      <c r="F4764" s="20"/>
      <c r="G4764" s="17"/>
    </row>
    <row r="4765" spans="2:7" x14ac:dyDescent="0.25">
      <c r="B4765" s="15"/>
      <c r="C4765" s="15"/>
      <c r="D4765" s="16"/>
      <c r="E4765" s="16"/>
      <c r="F4765" s="20"/>
      <c r="G4765" s="17"/>
    </row>
    <row r="4766" spans="2:7" x14ac:dyDescent="0.25">
      <c r="B4766" s="15"/>
      <c r="C4766" s="15"/>
      <c r="D4766" s="16"/>
      <c r="E4766" s="16"/>
      <c r="F4766" s="20"/>
      <c r="G4766" s="17"/>
    </row>
    <row r="4767" spans="2:7" x14ac:dyDescent="0.25">
      <c r="B4767" s="15"/>
      <c r="C4767" s="15"/>
      <c r="D4767" s="16"/>
      <c r="E4767" s="16"/>
      <c r="F4767" s="20"/>
      <c r="G4767" s="17"/>
    </row>
    <row r="4768" spans="2:7" x14ac:dyDescent="0.25">
      <c r="B4768" s="15"/>
      <c r="C4768" s="15"/>
      <c r="D4768" s="16"/>
      <c r="E4768" s="16"/>
      <c r="F4768" s="20"/>
      <c r="G4768" s="17"/>
    </row>
    <row r="4769" spans="2:7" x14ac:dyDescent="0.25">
      <c r="B4769" s="15"/>
      <c r="C4769" s="15"/>
      <c r="D4769" s="16"/>
      <c r="E4769" s="16"/>
      <c r="F4769" s="20"/>
      <c r="G4769" s="17"/>
    </row>
    <row r="4770" spans="2:7" x14ac:dyDescent="0.25">
      <c r="B4770" s="15"/>
      <c r="C4770" s="15"/>
      <c r="D4770" s="16"/>
      <c r="E4770" s="16"/>
      <c r="F4770" s="20"/>
      <c r="G4770" s="17"/>
    </row>
    <row r="4771" spans="2:7" x14ac:dyDescent="0.25">
      <c r="B4771" s="15"/>
      <c r="C4771" s="15"/>
      <c r="D4771" s="16"/>
      <c r="E4771" s="16"/>
      <c r="F4771" s="20"/>
      <c r="G4771" s="17"/>
    </row>
    <row r="4772" spans="2:7" x14ac:dyDescent="0.25">
      <c r="B4772" s="15"/>
      <c r="C4772" s="15"/>
      <c r="D4772" s="16"/>
      <c r="E4772" s="16"/>
      <c r="F4772" s="20"/>
      <c r="G4772" s="17"/>
    </row>
    <row r="4773" spans="2:7" x14ac:dyDescent="0.25">
      <c r="B4773" s="15"/>
      <c r="C4773" s="15"/>
      <c r="D4773" s="16"/>
      <c r="E4773" s="16"/>
      <c r="F4773" s="20"/>
      <c r="G4773" s="17"/>
    </row>
    <row r="4774" spans="2:7" x14ac:dyDescent="0.25">
      <c r="B4774" s="15"/>
      <c r="C4774" s="15"/>
      <c r="D4774" s="16"/>
      <c r="E4774" s="16"/>
      <c r="F4774" s="20"/>
      <c r="G4774" s="17"/>
    </row>
    <row r="4775" spans="2:7" x14ac:dyDescent="0.25">
      <c r="B4775" s="15"/>
      <c r="C4775" s="15"/>
      <c r="D4775" s="16"/>
      <c r="E4775" s="16"/>
      <c r="F4775" s="20"/>
      <c r="G4775" s="17"/>
    </row>
    <row r="4776" spans="2:7" x14ac:dyDescent="0.25">
      <c r="B4776" s="15"/>
      <c r="C4776" s="15"/>
      <c r="D4776" s="16"/>
      <c r="E4776" s="16"/>
      <c r="F4776" s="20"/>
      <c r="G4776" s="17"/>
    </row>
    <row r="4777" spans="2:7" x14ac:dyDescent="0.25">
      <c r="B4777" s="15"/>
      <c r="C4777" s="15"/>
      <c r="D4777" s="16"/>
      <c r="E4777" s="16"/>
      <c r="F4777" s="20"/>
      <c r="G4777" s="17"/>
    </row>
    <row r="4778" spans="2:7" x14ac:dyDescent="0.25">
      <c r="B4778" s="15"/>
      <c r="C4778" s="15"/>
      <c r="D4778" s="16"/>
      <c r="E4778" s="16"/>
      <c r="F4778" s="20"/>
      <c r="G4778" s="17"/>
    </row>
    <row r="4779" spans="2:7" x14ac:dyDescent="0.25">
      <c r="B4779" s="15"/>
      <c r="C4779" s="15"/>
      <c r="D4779" s="16"/>
      <c r="E4779" s="16"/>
      <c r="F4779" s="20"/>
      <c r="G4779" s="17"/>
    </row>
    <row r="4780" spans="2:7" x14ac:dyDescent="0.25">
      <c r="B4780" s="15"/>
      <c r="C4780" s="15"/>
      <c r="D4780" s="16"/>
      <c r="E4780" s="16"/>
      <c r="F4780" s="20"/>
      <c r="G4780" s="17"/>
    </row>
    <row r="4781" spans="2:7" x14ac:dyDescent="0.25">
      <c r="B4781" s="15"/>
      <c r="C4781" s="15"/>
      <c r="D4781" s="16"/>
      <c r="E4781" s="16"/>
      <c r="F4781" s="20"/>
      <c r="G4781" s="17"/>
    </row>
    <row r="4782" spans="2:7" x14ac:dyDescent="0.25">
      <c r="B4782" s="15"/>
      <c r="C4782" s="15"/>
      <c r="D4782" s="16"/>
      <c r="E4782" s="16"/>
      <c r="F4782" s="20"/>
      <c r="G4782" s="13"/>
    </row>
    <row r="4783" spans="2:7" x14ac:dyDescent="0.25">
      <c r="B4783" s="15"/>
      <c r="C4783" s="15"/>
      <c r="D4783" s="16"/>
      <c r="E4783" s="16"/>
      <c r="F4783" s="20"/>
      <c r="G4783" s="17"/>
    </row>
    <row r="4784" spans="2:7" x14ac:dyDescent="0.25">
      <c r="B4784" s="15"/>
      <c r="C4784" s="15"/>
      <c r="D4784" s="16"/>
      <c r="E4784" s="16"/>
      <c r="F4784" s="20"/>
      <c r="G4784" s="17"/>
    </row>
    <row r="4785" spans="2:7" x14ac:dyDescent="0.25">
      <c r="B4785" s="15"/>
      <c r="C4785" s="15"/>
      <c r="D4785" s="16"/>
      <c r="E4785" s="16"/>
      <c r="F4785" s="20"/>
      <c r="G4785" s="17"/>
    </row>
    <row r="4786" spans="2:7" x14ac:dyDescent="0.25">
      <c r="B4786" s="15"/>
      <c r="C4786" s="15"/>
      <c r="D4786" s="16"/>
      <c r="E4786" s="16"/>
      <c r="F4786" s="20"/>
      <c r="G4786" s="17"/>
    </row>
    <row r="4787" spans="2:7" x14ac:dyDescent="0.25">
      <c r="B4787" s="15"/>
      <c r="C4787" s="15"/>
      <c r="D4787" s="16"/>
      <c r="E4787" s="16"/>
      <c r="F4787" s="20"/>
      <c r="G4787" s="17"/>
    </row>
    <row r="4788" spans="2:7" x14ac:dyDescent="0.25">
      <c r="B4788" s="15"/>
      <c r="C4788" s="15"/>
      <c r="D4788" s="16"/>
      <c r="E4788" s="16"/>
      <c r="F4788" s="20"/>
      <c r="G4788" s="17"/>
    </row>
    <row r="4789" spans="2:7" x14ac:dyDescent="0.25">
      <c r="B4789" s="15"/>
      <c r="C4789" s="15"/>
      <c r="D4789" s="16"/>
      <c r="E4789" s="16"/>
      <c r="F4789" s="20"/>
      <c r="G4789" s="17"/>
    </row>
    <row r="4790" spans="2:7" x14ac:dyDescent="0.25">
      <c r="B4790" s="15"/>
      <c r="C4790" s="15"/>
      <c r="D4790" s="16"/>
      <c r="E4790" s="16"/>
      <c r="F4790" s="20"/>
      <c r="G4790" s="17"/>
    </row>
    <row r="4791" spans="2:7" x14ac:dyDescent="0.25">
      <c r="B4791" s="15"/>
      <c r="C4791" s="15"/>
      <c r="D4791" s="16"/>
      <c r="E4791" s="16"/>
      <c r="F4791" s="20"/>
      <c r="G4791" s="17"/>
    </row>
    <row r="4792" spans="2:7" x14ac:dyDescent="0.25">
      <c r="B4792" s="15"/>
      <c r="C4792" s="15"/>
      <c r="D4792" s="16"/>
      <c r="E4792" s="16"/>
      <c r="F4792" s="20"/>
      <c r="G4792" s="17"/>
    </row>
    <row r="4793" spans="2:7" x14ac:dyDescent="0.25">
      <c r="B4793" s="15"/>
      <c r="C4793" s="15"/>
      <c r="D4793" s="16"/>
      <c r="E4793" s="16"/>
      <c r="F4793" s="20"/>
      <c r="G4793" s="17"/>
    </row>
    <row r="4794" spans="2:7" x14ac:dyDescent="0.25">
      <c r="B4794" s="15"/>
      <c r="C4794" s="15"/>
      <c r="D4794" s="16"/>
      <c r="E4794" s="16"/>
      <c r="F4794" s="20"/>
      <c r="G4794" s="17"/>
    </row>
    <row r="4795" spans="2:7" x14ac:dyDescent="0.25">
      <c r="B4795" s="15"/>
      <c r="C4795" s="15"/>
      <c r="D4795" s="16"/>
      <c r="E4795" s="16"/>
      <c r="F4795" s="20"/>
      <c r="G4795" s="17"/>
    </row>
    <row r="4796" spans="2:7" x14ac:dyDescent="0.25">
      <c r="B4796" s="15"/>
      <c r="C4796" s="15"/>
      <c r="D4796" s="16"/>
      <c r="E4796" s="16"/>
      <c r="F4796" s="20"/>
      <c r="G4796" s="17"/>
    </row>
    <row r="4797" spans="2:7" x14ac:dyDescent="0.25">
      <c r="B4797" s="15"/>
      <c r="C4797" s="15"/>
      <c r="D4797" s="16"/>
      <c r="E4797" s="16"/>
      <c r="F4797" s="20"/>
      <c r="G4797" s="13"/>
    </row>
    <row r="4798" spans="2:7" x14ac:dyDescent="0.25">
      <c r="B4798" s="15"/>
      <c r="C4798" s="15"/>
      <c r="D4798" s="16"/>
      <c r="E4798" s="16"/>
      <c r="F4798" s="20"/>
      <c r="G4798" s="13"/>
    </row>
    <row r="4799" spans="2:7" x14ac:dyDescent="0.25">
      <c r="B4799" s="15"/>
      <c r="C4799" s="15"/>
      <c r="D4799" s="16"/>
      <c r="E4799" s="16"/>
      <c r="F4799" s="20"/>
      <c r="G4799" s="13"/>
    </row>
    <row r="4800" spans="2:7" x14ac:dyDescent="0.25">
      <c r="B4800" s="15"/>
      <c r="C4800" s="15"/>
      <c r="D4800" s="16"/>
      <c r="E4800" s="16"/>
      <c r="F4800" s="20"/>
      <c r="G4800" s="13"/>
    </row>
    <row r="4801" spans="2:7" x14ac:dyDescent="0.25">
      <c r="B4801" s="15"/>
      <c r="C4801" s="15"/>
      <c r="D4801" s="16"/>
      <c r="E4801" s="16"/>
      <c r="F4801" s="20"/>
      <c r="G4801" s="13"/>
    </row>
    <row r="4802" spans="2:7" x14ac:dyDescent="0.25">
      <c r="B4802" s="15"/>
      <c r="C4802" s="15"/>
      <c r="D4802" s="16"/>
      <c r="E4802" s="16"/>
      <c r="F4802" s="20"/>
      <c r="G4802" s="17"/>
    </row>
    <row r="4803" spans="2:7" x14ac:dyDescent="0.25">
      <c r="B4803" s="15"/>
      <c r="C4803" s="15"/>
      <c r="D4803" s="16"/>
      <c r="E4803" s="16"/>
      <c r="F4803" s="20"/>
      <c r="G4803" s="17"/>
    </row>
    <row r="4804" spans="2:7" x14ac:dyDescent="0.25">
      <c r="B4804" s="15"/>
      <c r="C4804" s="15"/>
      <c r="D4804" s="16"/>
      <c r="E4804" s="16"/>
      <c r="F4804" s="20"/>
      <c r="G4804" s="13"/>
    </row>
    <row r="4805" spans="2:7" x14ac:dyDescent="0.25">
      <c r="B4805" s="15"/>
      <c r="C4805" s="15"/>
      <c r="D4805" s="16"/>
      <c r="E4805" s="16"/>
      <c r="F4805" s="20"/>
      <c r="G4805" s="13"/>
    </row>
    <row r="4806" spans="2:7" x14ac:dyDescent="0.25">
      <c r="B4806" s="15"/>
      <c r="C4806" s="15"/>
      <c r="D4806" s="16"/>
      <c r="E4806" s="16"/>
      <c r="F4806" s="20"/>
      <c r="G4806" s="13"/>
    </row>
    <row r="4807" spans="2:7" x14ac:dyDescent="0.25">
      <c r="B4807" s="15"/>
      <c r="C4807" s="15"/>
      <c r="D4807" s="16"/>
      <c r="E4807" s="16"/>
      <c r="F4807" s="20"/>
      <c r="G4807" s="17"/>
    </row>
    <row r="4808" spans="2:7" x14ac:dyDescent="0.25">
      <c r="B4808" s="15"/>
      <c r="C4808" s="15"/>
      <c r="D4808" s="16"/>
      <c r="E4808" s="16"/>
      <c r="F4808" s="20"/>
      <c r="G4808" s="17"/>
    </row>
    <row r="4809" spans="2:7" x14ac:dyDescent="0.25">
      <c r="B4809" s="15"/>
      <c r="C4809" s="15"/>
      <c r="D4809" s="16"/>
      <c r="E4809" s="16"/>
      <c r="F4809" s="20"/>
      <c r="G4809" s="17"/>
    </row>
    <row r="4810" spans="2:7" x14ac:dyDescent="0.25">
      <c r="B4810" s="15"/>
      <c r="C4810" s="15"/>
      <c r="D4810" s="16"/>
      <c r="E4810" s="16"/>
      <c r="F4810" s="20"/>
      <c r="G4810" s="17"/>
    </row>
    <row r="4811" spans="2:7" x14ac:dyDescent="0.25">
      <c r="B4811" s="15"/>
      <c r="C4811" s="15"/>
      <c r="D4811" s="16"/>
      <c r="E4811" s="16"/>
      <c r="F4811" s="20"/>
      <c r="G4811" s="17"/>
    </row>
    <row r="4812" spans="2:7" x14ac:dyDescent="0.25">
      <c r="B4812" s="15"/>
      <c r="C4812" s="15"/>
      <c r="D4812" s="16"/>
      <c r="E4812" s="16"/>
      <c r="F4812" s="20"/>
      <c r="G4812" s="17"/>
    </row>
    <row r="4813" spans="2:7" x14ac:dyDescent="0.25">
      <c r="B4813" s="15"/>
      <c r="C4813" s="15"/>
      <c r="D4813" s="16"/>
      <c r="E4813" s="16"/>
      <c r="F4813" s="20"/>
      <c r="G4813" s="17"/>
    </row>
    <row r="4814" spans="2:7" x14ac:dyDescent="0.25">
      <c r="B4814" s="15"/>
      <c r="C4814" s="15"/>
      <c r="D4814" s="16"/>
      <c r="E4814" s="16"/>
      <c r="F4814" s="20"/>
      <c r="G4814" s="17"/>
    </row>
    <row r="4815" spans="2:7" x14ac:dyDescent="0.25">
      <c r="B4815" s="15"/>
      <c r="C4815" s="15"/>
      <c r="D4815" s="16"/>
      <c r="E4815" s="16"/>
      <c r="F4815" s="20"/>
      <c r="G4815" s="17"/>
    </row>
    <row r="4816" spans="2:7" x14ac:dyDescent="0.25">
      <c r="B4816" s="15"/>
      <c r="C4816" s="15"/>
      <c r="D4816" s="16"/>
      <c r="E4816" s="16"/>
      <c r="F4816" s="20"/>
      <c r="G4816" s="17"/>
    </row>
    <row r="4817" spans="2:7" x14ac:dyDescent="0.25">
      <c r="B4817" s="15"/>
      <c r="C4817" s="15"/>
      <c r="D4817" s="16"/>
      <c r="E4817" s="16"/>
      <c r="F4817" s="20"/>
      <c r="G4817" s="17"/>
    </row>
    <row r="4818" spans="2:7" x14ac:dyDescent="0.25">
      <c r="B4818" s="15"/>
      <c r="C4818" s="15"/>
      <c r="D4818" s="16"/>
      <c r="E4818" s="16"/>
      <c r="F4818" s="20"/>
      <c r="G4818" s="17"/>
    </row>
    <row r="4819" spans="2:7" x14ac:dyDescent="0.25">
      <c r="B4819" s="15"/>
      <c r="C4819" s="15"/>
      <c r="D4819" s="16"/>
      <c r="E4819" s="16"/>
      <c r="F4819" s="20"/>
      <c r="G4819" s="17"/>
    </row>
    <row r="4820" spans="2:7" x14ac:dyDescent="0.25">
      <c r="B4820" s="15"/>
      <c r="C4820" s="15"/>
      <c r="D4820" s="16"/>
      <c r="E4820" s="16"/>
      <c r="F4820" s="20"/>
      <c r="G4820" s="17"/>
    </row>
    <row r="4821" spans="2:7" x14ac:dyDescent="0.25">
      <c r="B4821" s="15"/>
      <c r="C4821" s="15"/>
      <c r="D4821" s="16"/>
      <c r="E4821" s="16"/>
      <c r="F4821" s="20"/>
      <c r="G4821" s="17"/>
    </row>
    <row r="4822" spans="2:7" x14ac:dyDescent="0.25">
      <c r="B4822" s="15"/>
      <c r="C4822" s="15"/>
      <c r="D4822" s="16"/>
      <c r="E4822" s="16"/>
      <c r="F4822" s="20"/>
      <c r="G4822" s="17"/>
    </row>
    <row r="4823" spans="2:7" x14ac:dyDescent="0.25">
      <c r="B4823" s="15"/>
      <c r="C4823" s="15"/>
      <c r="D4823" s="16"/>
      <c r="E4823" s="16"/>
      <c r="F4823" s="20"/>
      <c r="G4823" s="17"/>
    </row>
    <row r="4824" spans="2:7" x14ac:dyDescent="0.25">
      <c r="B4824" s="15"/>
      <c r="C4824" s="15"/>
      <c r="D4824" s="16"/>
      <c r="E4824" s="16"/>
      <c r="F4824" s="20"/>
      <c r="G4824" s="17"/>
    </row>
    <row r="4825" spans="2:7" x14ac:dyDescent="0.25">
      <c r="B4825" s="15"/>
      <c r="C4825" s="15"/>
      <c r="D4825" s="16"/>
      <c r="E4825" s="16"/>
      <c r="F4825" s="20"/>
      <c r="G4825" s="17"/>
    </row>
    <row r="4826" spans="2:7" x14ac:dyDescent="0.25">
      <c r="B4826" s="15"/>
      <c r="C4826" s="15"/>
      <c r="D4826" s="16"/>
      <c r="E4826" s="16"/>
      <c r="F4826" s="20"/>
      <c r="G4826" s="17"/>
    </row>
    <row r="4827" spans="2:7" x14ac:dyDescent="0.25">
      <c r="B4827" s="15"/>
      <c r="C4827" s="15"/>
      <c r="D4827" s="16"/>
      <c r="E4827" s="16"/>
      <c r="F4827" s="20"/>
      <c r="G4827" s="17"/>
    </row>
    <row r="4828" spans="2:7" x14ac:dyDescent="0.25">
      <c r="B4828" s="15"/>
      <c r="C4828" s="15"/>
      <c r="D4828" s="16"/>
      <c r="E4828" s="16"/>
      <c r="F4828" s="20"/>
      <c r="G4828" s="17"/>
    </row>
    <row r="4829" spans="2:7" x14ac:dyDescent="0.25">
      <c r="B4829" s="15"/>
      <c r="C4829" s="15"/>
      <c r="D4829" s="16"/>
      <c r="E4829" s="16"/>
      <c r="F4829" s="20"/>
      <c r="G4829" s="17"/>
    </row>
    <row r="4830" spans="2:7" x14ac:dyDescent="0.25">
      <c r="B4830" s="15"/>
      <c r="C4830" s="15"/>
      <c r="D4830" s="16"/>
      <c r="E4830" s="16"/>
      <c r="F4830" s="20"/>
      <c r="G4830" s="17"/>
    </row>
    <row r="4831" spans="2:7" x14ac:dyDescent="0.25">
      <c r="B4831" s="15"/>
      <c r="C4831" s="15"/>
      <c r="D4831" s="16"/>
      <c r="E4831" s="16"/>
      <c r="F4831" s="20"/>
      <c r="G4831" s="17"/>
    </row>
    <row r="4832" spans="2:7" x14ac:dyDescent="0.25">
      <c r="B4832" s="15"/>
      <c r="C4832" s="15"/>
      <c r="D4832" s="16"/>
      <c r="E4832" s="16"/>
      <c r="F4832" s="20"/>
      <c r="G4832" s="17"/>
    </row>
    <row r="4833" spans="2:7" x14ac:dyDescent="0.25">
      <c r="B4833" s="15"/>
      <c r="C4833" s="15"/>
      <c r="D4833" s="16"/>
      <c r="E4833" s="16"/>
      <c r="F4833" s="20"/>
      <c r="G4833" s="17"/>
    </row>
    <row r="4834" spans="2:7" x14ac:dyDescent="0.25">
      <c r="B4834" s="15"/>
      <c r="C4834" s="15"/>
      <c r="D4834" s="16"/>
      <c r="E4834" s="16"/>
      <c r="F4834" s="20"/>
      <c r="G4834" s="17"/>
    </row>
    <row r="4835" spans="2:7" x14ac:dyDescent="0.25">
      <c r="B4835" s="15"/>
      <c r="C4835" s="15"/>
      <c r="D4835" s="16"/>
      <c r="E4835" s="16"/>
      <c r="F4835" s="20"/>
      <c r="G4835" s="17"/>
    </row>
    <row r="4836" spans="2:7" x14ac:dyDescent="0.25">
      <c r="B4836" s="15"/>
      <c r="C4836" s="15"/>
      <c r="D4836" s="16"/>
      <c r="E4836" s="16"/>
      <c r="F4836" s="20"/>
      <c r="G4836" s="17"/>
    </row>
    <row r="4837" spans="2:7" x14ac:dyDescent="0.25">
      <c r="B4837" s="15"/>
      <c r="C4837" s="15"/>
      <c r="D4837" s="16"/>
      <c r="E4837" s="16"/>
      <c r="F4837" s="20"/>
      <c r="G4837" s="17"/>
    </row>
    <row r="4838" spans="2:7" x14ac:dyDescent="0.25">
      <c r="B4838" s="15"/>
      <c r="C4838" s="15"/>
      <c r="D4838" s="16"/>
      <c r="E4838" s="16"/>
      <c r="F4838" s="20"/>
      <c r="G4838" s="17"/>
    </row>
    <row r="4839" spans="2:7" x14ac:dyDescent="0.25">
      <c r="B4839" s="15"/>
      <c r="C4839" s="15"/>
      <c r="D4839" s="16"/>
      <c r="E4839" s="16"/>
      <c r="F4839" s="20"/>
      <c r="G4839" s="17"/>
    </row>
    <row r="4840" spans="2:7" x14ac:dyDescent="0.25">
      <c r="B4840" s="15"/>
      <c r="C4840" s="15"/>
      <c r="D4840" s="16"/>
      <c r="E4840" s="16"/>
      <c r="F4840" s="20"/>
      <c r="G4840" s="17"/>
    </row>
    <row r="4841" spans="2:7" x14ac:dyDescent="0.25">
      <c r="B4841" s="15"/>
      <c r="C4841" s="15"/>
      <c r="D4841" s="16"/>
      <c r="E4841" s="16"/>
      <c r="F4841" s="20"/>
      <c r="G4841" s="17"/>
    </row>
    <row r="4842" spans="2:7" x14ac:dyDescent="0.25">
      <c r="B4842" s="15"/>
      <c r="C4842" s="15"/>
      <c r="D4842" s="16"/>
      <c r="E4842" s="16"/>
      <c r="F4842" s="20"/>
      <c r="G4842" s="17"/>
    </row>
    <row r="4843" spans="2:7" x14ac:dyDescent="0.25">
      <c r="B4843" s="15"/>
      <c r="C4843" s="15"/>
      <c r="D4843" s="16"/>
      <c r="E4843" s="16"/>
      <c r="F4843" s="20"/>
      <c r="G4843" s="17"/>
    </row>
    <row r="4844" spans="2:7" x14ac:dyDescent="0.25">
      <c r="B4844" s="15"/>
      <c r="C4844" s="15"/>
      <c r="D4844" s="16"/>
      <c r="E4844" s="16"/>
      <c r="F4844" s="20"/>
      <c r="G4844" s="17"/>
    </row>
    <row r="4845" spans="2:7" x14ac:dyDescent="0.25">
      <c r="B4845" s="15"/>
      <c r="C4845" s="15"/>
      <c r="D4845" s="16"/>
      <c r="E4845" s="16"/>
      <c r="F4845" s="20"/>
      <c r="G4845" s="17"/>
    </row>
    <row r="4846" spans="2:7" x14ac:dyDescent="0.25">
      <c r="B4846" s="15"/>
      <c r="C4846" s="15"/>
      <c r="D4846" s="16"/>
      <c r="E4846" s="16"/>
      <c r="F4846" s="20"/>
      <c r="G4846" s="17"/>
    </row>
    <row r="4847" spans="2:7" x14ac:dyDescent="0.25">
      <c r="B4847" s="15"/>
      <c r="C4847" s="15"/>
      <c r="D4847" s="16"/>
      <c r="E4847" s="16"/>
      <c r="F4847" s="20"/>
      <c r="G4847" s="17"/>
    </row>
    <row r="4848" spans="2:7" x14ac:dyDescent="0.25">
      <c r="B4848" s="15"/>
      <c r="C4848" s="15"/>
      <c r="D4848" s="16"/>
      <c r="E4848" s="16"/>
      <c r="F4848" s="20"/>
      <c r="G4848" s="17"/>
    </row>
    <row r="4849" spans="2:7" x14ac:dyDescent="0.25">
      <c r="B4849" s="15"/>
      <c r="C4849" s="15"/>
      <c r="D4849" s="16"/>
      <c r="E4849" s="16"/>
      <c r="F4849" s="20"/>
      <c r="G4849" s="17"/>
    </row>
    <row r="4850" spans="2:7" x14ac:dyDescent="0.25">
      <c r="B4850" s="15"/>
      <c r="C4850" s="15"/>
      <c r="D4850" s="16"/>
      <c r="E4850" s="16"/>
      <c r="F4850" s="20"/>
      <c r="G4850" s="17"/>
    </row>
    <row r="4851" spans="2:7" x14ac:dyDescent="0.25">
      <c r="B4851" s="15"/>
      <c r="C4851" s="15"/>
      <c r="D4851" s="16"/>
      <c r="E4851" s="16"/>
      <c r="F4851" s="20"/>
      <c r="G4851" s="17"/>
    </row>
    <row r="4852" spans="2:7" x14ac:dyDescent="0.25">
      <c r="B4852" s="15"/>
      <c r="C4852" s="15"/>
      <c r="D4852" s="16"/>
      <c r="E4852" s="16"/>
      <c r="F4852" s="20"/>
      <c r="G4852" s="17"/>
    </row>
    <row r="4853" spans="2:7" x14ac:dyDescent="0.25">
      <c r="B4853" s="15"/>
      <c r="C4853" s="15"/>
      <c r="D4853" s="16"/>
      <c r="E4853" s="16"/>
      <c r="F4853" s="20"/>
      <c r="G4853" s="17"/>
    </row>
    <row r="4854" spans="2:7" x14ac:dyDescent="0.25">
      <c r="B4854" s="15"/>
      <c r="C4854" s="15"/>
      <c r="D4854" s="16"/>
      <c r="E4854" s="16"/>
      <c r="F4854" s="20"/>
      <c r="G4854" s="17"/>
    </row>
    <row r="4855" spans="2:7" x14ac:dyDescent="0.25">
      <c r="B4855" s="15"/>
      <c r="C4855" s="15"/>
      <c r="D4855" s="16"/>
      <c r="E4855" s="16"/>
      <c r="F4855" s="20"/>
      <c r="G4855" s="17"/>
    </row>
    <row r="4856" spans="2:7" x14ac:dyDescent="0.25">
      <c r="B4856" s="15"/>
      <c r="C4856" s="15"/>
      <c r="D4856" s="16"/>
      <c r="E4856" s="16"/>
      <c r="F4856" s="20"/>
      <c r="G4856" s="17"/>
    </row>
    <row r="4857" spans="2:7" x14ac:dyDescent="0.25">
      <c r="B4857" s="15"/>
      <c r="C4857" s="15"/>
      <c r="D4857" s="16"/>
      <c r="E4857" s="16"/>
      <c r="F4857" s="20"/>
      <c r="G4857" s="17"/>
    </row>
    <row r="4858" spans="2:7" x14ac:dyDescent="0.25">
      <c r="B4858" s="15"/>
      <c r="C4858" s="15"/>
      <c r="D4858" s="16"/>
      <c r="E4858" s="16"/>
      <c r="F4858" s="20"/>
      <c r="G4858" s="17"/>
    </row>
    <row r="4859" spans="2:7" x14ac:dyDescent="0.25">
      <c r="B4859" s="15"/>
      <c r="C4859" s="15"/>
      <c r="D4859" s="16"/>
      <c r="E4859" s="16"/>
      <c r="F4859" s="20"/>
      <c r="G4859" s="17"/>
    </row>
    <row r="4860" spans="2:7" x14ac:dyDescent="0.25">
      <c r="B4860" s="15"/>
      <c r="C4860" s="15"/>
      <c r="D4860" s="16"/>
      <c r="E4860" s="16"/>
      <c r="F4860" s="20"/>
      <c r="G4860" s="17"/>
    </row>
    <row r="4861" spans="2:7" x14ac:dyDescent="0.25">
      <c r="B4861" s="15"/>
      <c r="C4861" s="15"/>
      <c r="D4861" s="16"/>
      <c r="E4861" s="16"/>
      <c r="F4861" s="20"/>
      <c r="G4861" s="17"/>
    </row>
    <row r="4862" spans="2:7" x14ac:dyDescent="0.25">
      <c r="B4862" s="15"/>
      <c r="C4862" s="15"/>
      <c r="D4862" s="16"/>
      <c r="E4862" s="16"/>
      <c r="F4862" s="20"/>
      <c r="G4862" s="17"/>
    </row>
    <row r="4863" spans="2:7" x14ac:dyDescent="0.25">
      <c r="B4863" s="15"/>
      <c r="C4863" s="15"/>
      <c r="D4863" s="16"/>
      <c r="E4863" s="16"/>
      <c r="F4863" s="20"/>
      <c r="G4863" s="17"/>
    </row>
    <row r="4864" spans="2:7" x14ac:dyDescent="0.25">
      <c r="B4864" s="15"/>
      <c r="C4864" s="15"/>
      <c r="D4864" s="16"/>
      <c r="E4864" s="16"/>
      <c r="F4864" s="20"/>
      <c r="G4864" s="17"/>
    </row>
    <row r="4865" spans="2:7" x14ac:dyDescent="0.25">
      <c r="B4865" s="15"/>
      <c r="C4865" s="15"/>
      <c r="D4865" s="16"/>
      <c r="E4865" s="16"/>
      <c r="F4865" s="20"/>
      <c r="G4865" s="17"/>
    </row>
    <row r="4866" spans="2:7" x14ac:dyDescent="0.25">
      <c r="B4866" s="15"/>
      <c r="C4866" s="15"/>
      <c r="D4866" s="16"/>
      <c r="E4866" s="16"/>
      <c r="F4866" s="20"/>
      <c r="G4866" s="17"/>
    </row>
    <row r="4867" spans="2:7" x14ac:dyDescent="0.25">
      <c r="B4867" s="15"/>
      <c r="C4867" s="15"/>
      <c r="D4867" s="16"/>
      <c r="E4867" s="16"/>
      <c r="F4867" s="20"/>
      <c r="G4867" s="17"/>
    </row>
    <row r="4868" spans="2:7" x14ac:dyDescent="0.25">
      <c r="B4868" s="15"/>
      <c r="C4868" s="15"/>
      <c r="D4868" s="16"/>
      <c r="E4868" s="16"/>
      <c r="F4868" s="20"/>
      <c r="G4868" s="17"/>
    </row>
    <row r="4869" spans="2:7" x14ac:dyDescent="0.25">
      <c r="B4869" s="15"/>
      <c r="C4869" s="15"/>
      <c r="D4869" s="16"/>
      <c r="E4869" s="16"/>
      <c r="F4869" s="20"/>
      <c r="G4869" s="17"/>
    </row>
    <row r="4870" spans="2:7" x14ac:dyDescent="0.25">
      <c r="B4870" s="15"/>
      <c r="C4870" s="15"/>
      <c r="D4870" s="16"/>
      <c r="E4870" s="16"/>
      <c r="F4870" s="20"/>
      <c r="G4870" s="17"/>
    </row>
    <row r="4871" spans="2:7" x14ac:dyDescent="0.25">
      <c r="B4871" s="15"/>
      <c r="C4871" s="15"/>
      <c r="D4871" s="16"/>
      <c r="E4871" s="16"/>
      <c r="F4871" s="20"/>
      <c r="G4871" s="17"/>
    </row>
    <row r="4872" spans="2:7" x14ac:dyDescent="0.25">
      <c r="B4872" s="15"/>
      <c r="C4872" s="15"/>
      <c r="D4872" s="16"/>
      <c r="E4872" s="16"/>
      <c r="F4872" s="20"/>
      <c r="G4872" s="17"/>
    </row>
    <row r="4873" spans="2:7" x14ac:dyDescent="0.25">
      <c r="B4873" s="15"/>
      <c r="C4873" s="15"/>
      <c r="D4873" s="16"/>
      <c r="E4873" s="16"/>
      <c r="F4873" s="20"/>
      <c r="G4873" s="17"/>
    </row>
    <row r="4874" spans="2:7" x14ac:dyDescent="0.25">
      <c r="B4874" s="15"/>
      <c r="C4874" s="15"/>
      <c r="D4874" s="16"/>
      <c r="E4874" s="16"/>
      <c r="F4874" s="20"/>
      <c r="G4874" s="17"/>
    </row>
    <row r="4875" spans="2:7" x14ac:dyDescent="0.25">
      <c r="B4875" s="15"/>
      <c r="C4875" s="15"/>
      <c r="D4875" s="16"/>
      <c r="E4875" s="16"/>
      <c r="F4875" s="20"/>
      <c r="G4875" s="17"/>
    </row>
    <row r="4876" spans="2:7" x14ac:dyDescent="0.25">
      <c r="B4876" s="15"/>
      <c r="C4876" s="15"/>
      <c r="D4876" s="16"/>
      <c r="E4876" s="16"/>
      <c r="F4876" s="20"/>
      <c r="G4876" s="17"/>
    </row>
    <row r="4877" spans="2:7" x14ac:dyDescent="0.25">
      <c r="B4877" s="15"/>
      <c r="C4877" s="15"/>
      <c r="D4877" s="16"/>
      <c r="E4877" s="16"/>
      <c r="F4877" s="20"/>
      <c r="G4877" s="17"/>
    </row>
    <row r="4878" spans="2:7" x14ac:dyDescent="0.25">
      <c r="B4878" s="15"/>
      <c r="C4878" s="15"/>
      <c r="D4878" s="16"/>
      <c r="E4878" s="16"/>
      <c r="F4878" s="20"/>
      <c r="G4878" s="17"/>
    </row>
    <row r="4879" spans="2:7" x14ac:dyDescent="0.25">
      <c r="B4879" s="15"/>
      <c r="C4879" s="15"/>
      <c r="D4879" s="16"/>
      <c r="E4879" s="16"/>
      <c r="F4879" s="20"/>
      <c r="G4879" s="17"/>
    </row>
    <row r="4880" spans="2:7" x14ac:dyDescent="0.25">
      <c r="B4880" s="15"/>
      <c r="C4880" s="15"/>
      <c r="D4880" s="16"/>
      <c r="E4880" s="16"/>
      <c r="F4880" s="20"/>
      <c r="G4880" s="17"/>
    </row>
    <row r="4881" spans="2:7" x14ac:dyDescent="0.25">
      <c r="B4881" s="15"/>
      <c r="C4881" s="15"/>
      <c r="D4881" s="16"/>
      <c r="E4881" s="16"/>
      <c r="F4881" s="20"/>
      <c r="G4881" s="17"/>
    </row>
    <row r="4882" spans="2:7" x14ac:dyDescent="0.25">
      <c r="B4882" s="15"/>
      <c r="C4882" s="15"/>
      <c r="D4882" s="16"/>
      <c r="E4882" s="16"/>
      <c r="F4882" s="20"/>
      <c r="G4882" s="17"/>
    </row>
    <row r="4883" spans="2:7" x14ac:dyDescent="0.25">
      <c r="B4883" s="15"/>
      <c r="C4883" s="15"/>
      <c r="D4883" s="16"/>
      <c r="E4883" s="16"/>
      <c r="F4883" s="20"/>
      <c r="G4883" s="17"/>
    </row>
    <row r="4884" spans="2:7" x14ac:dyDescent="0.25">
      <c r="B4884" s="15"/>
      <c r="C4884" s="15"/>
      <c r="D4884" s="16"/>
      <c r="E4884" s="16"/>
      <c r="F4884" s="20"/>
      <c r="G4884" s="17"/>
    </row>
    <row r="4885" spans="2:7" x14ac:dyDescent="0.25">
      <c r="B4885" s="15"/>
      <c r="C4885" s="15"/>
      <c r="D4885" s="16"/>
      <c r="E4885" s="16"/>
      <c r="F4885" s="20"/>
      <c r="G4885" s="17"/>
    </row>
    <row r="4886" spans="2:7" x14ac:dyDescent="0.25">
      <c r="B4886" s="15"/>
      <c r="C4886" s="15"/>
      <c r="D4886" s="16"/>
      <c r="E4886" s="16"/>
      <c r="F4886" s="20"/>
      <c r="G4886" s="17"/>
    </row>
    <row r="4887" spans="2:7" x14ac:dyDescent="0.25">
      <c r="B4887" s="15"/>
      <c r="C4887" s="15"/>
      <c r="D4887" s="16"/>
      <c r="E4887" s="16"/>
      <c r="F4887" s="20"/>
      <c r="G4887" s="17"/>
    </row>
    <row r="4888" spans="2:7" x14ac:dyDescent="0.25">
      <c r="B4888" s="15"/>
      <c r="C4888" s="15"/>
      <c r="D4888" s="16"/>
      <c r="E4888" s="16"/>
      <c r="F4888" s="20"/>
      <c r="G4888" s="17"/>
    </row>
    <row r="4889" spans="2:7" x14ac:dyDescent="0.25">
      <c r="B4889" s="15"/>
      <c r="C4889" s="15"/>
      <c r="D4889" s="16"/>
      <c r="E4889" s="16"/>
      <c r="F4889" s="20"/>
      <c r="G4889" s="17"/>
    </row>
    <row r="4890" spans="2:7" x14ac:dyDescent="0.25">
      <c r="B4890" s="15"/>
      <c r="C4890" s="15"/>
      <c r="D4890" s="16"/>
      <c r="E4890" s="16"/>
      <c r="F4890" s="20"/>
      <c r="G4890" s="17"/>
    </row>
    <row r="4891" spans="2:7" x14ac:dyDescent="0.25">
      <c r="B4891" s="15"/>
      <c r="C4891" s="15"/>
      <c r="D4891" s="16"/>
      <c r="E4891" s="16"/>
      <c r="F4891" s="20"/>
      <c r="G4891" s="17"/>
    </row>
    <row r="4892" spans="2:7" x14ac:dyDescent="0.25">
      <c r="B4892" s="15"/>
      <c r="C4892" s="15"/>
      <c r="D4892" s="16"/>
      <c r="E4892" s="16"/>
      <c r="F4892" s="20"/>
      <c r="G4892" s="17"/>
    </row>
    <row r="4893" spans="2:7" x14ac:dyDescent="0.25">
      <c r="B4893" s="15"/>
      <c r="C4893" s="15"/>
      <c r="D4893" s="16"/>
      <c r="E4893" s="16"/>
      <c r="F4893" s="20"/>
      <c r="G4893" s="17"/>
    </row>
    <row r="4894" spans="2:7" x14ac:dyDescent="0.25">
      <c r="B4894" s="15"/>
      <c r="C4894" s="15"/>
      <c r="D4894" s="16"/>
      <c r="E4894" s="16"/>
      <c r="F4894" s="20"/>
      <c r="G4894" s="17"/>
    </row>
    <row r="4895" spans="2:7" x14ac:dyDescent="0.25">
      <c r="B4895" s="15"/>
      <c r="C4895" s="15"/>
      <c r="D4895" s="16"/>
      <c r="E4895" s="16"/>
      <c r="F4895" s="20"/>
      <c r="G4895" s="17"/>
    </row>
    <row r="4896" spans="2:7" x14ac:dyDescent="0.25">
      <c r="B4896" s="15"/>
      <c r="C4896" s="15"/>
      <c r="D4896" s="16"/>
      <c r="E4896" s="16"/>
      <c r="F4896" s="20"/>
      <c r="G4896" s="17"/>
    </row>
    <row r="4897" spans="2:7" x14ac:dyDescent="0.25">
      <c r="B4897" s="15"/>
      <c r="C4897" s="15"/>
      <c r="D4897" s="16"/>
      <c r="E4897" s="16"/>
      <c r="F4897" s="20"/>
      <c r="G4897" s="17"/>
    </row>
    <row r="4898" spans="2:7" x14ac:dyDescent="0.25">
      <c r="B4898" s="15"/>
      <c r="C4898" s="15"/>
      <c r="D4898" s="16"/>
      <c r="E4898" s="16"/>
      <c r="F4898" s="20"/>
      <c r="G4898" s="17"/>
    </row>
    <row r="4899" spans="2:7" x14ac:dyDescent="0.25">
      <c r="B4899" s="15"/>
      <c r="C4899" s="15"/>
      <c r="D4899" s="16"/>
      <c r="E4899" s="16"/>
      <c r="F4899" s="20"/>
      <c r="G4899" s="17"/>
    </row>
    <row r="4900" spans="2:7" x14ac:dyDescent="0.25">
      <c r="B4900" s="15"/>
      <c r="C4900" s="15"/>
      <c r="D4900" s="16"/>
      <c r="E4900" s="16"/>
      <c r="F4900" s="20"/>
      <c r="G4900" s="17"/>
    </row>
    <row r="4901" spans="2:7" x14ac:dyDescent="0.25">
      <c r="B4901" s="15"/>
      <c r="C4901" s="15"/>
      <c r="D4901" s="16"/>
      <c r="E4901" s="16"/>
      <c r="F4901" s="20"/>
      <c r="G4901" s="17"/>
    </row>
    <row r="4902" spans="2:7" x14ac:dyDescent="0.25">
      <c r="B4902" s="15"/>
      <c r="C4902" s="15"/>
      <c r="D4902" s="16"/>
      <c r="E4902" s="16"/>
      <c r="F4902" s="20"/>
      <c r="G4902" s="17"/>
    </row>
    <row r="4903" spans="2:7" x14ac:dyDescent="0.25">
      <c r="B4903" s="15"/>
      <c r="C4903" s="15"/>
      <c r="D4903" s="16"/>
      <c r="E4903" s="16"/>
      <c r="F4903" s="20"/>
      <c r="G4903" s="17"/>
    </row>
    <row r="4904" spans="2:7" x14ac:dyDescent="0.25">
      <c r="B4904" s="15"/>
      <c r="C4904" s="15"/>
      <c r="D4904" s="16"/>
      <c r="E4904" s="16"/>
      <c r="F4904" s="20"/>
      <c r="G4904" s="17"/>
    </row>
    <row r="4905" spans="2:7" x14ac:dyDescent="0.25">
      <c r="B4905" s="15"/>
      <c r="C4905" s="15"/>
      <c r="D4905" s="16"/>
      <c r="E4905" s="16"/>
      <c r="F4905" s="20"/>
      <c r="G4905" s="17"/>
    </row>
    <row r="4906" spans="2:7" x14ac:dyDescent="0.25">
      <c r="B4906" s="15"/>
      <c r="C4906" s="15"/>
      <c r="D4906" s="16"/>
      <c r="E4906" s="16"/>
      <c r="F4906" s="20"/>
      <c r="G4906" s="17"/>
    </row>
    <row r="4907" spans="2:7" x14ac:dyDescent="0.25">
      <c r="B4907" s="15"/>
      <c r="C4907" s="15"/>
      <c r="D4907" s="16"/>
      <c r="E4907" s="16"/>
      <c r="F4907" s="20"/>
      <c r="G4907" s="17"/>
    </row>
    <row r="4908" spans="2:7" x14ac:dyDescent="0.25">
      <c r="B4908" s="15"/>
      <c r="C4908" s="15"/>
      <c r="D4908" s="16"/>
      <c r="E4908" s="16"/>
      <c r="F4908" s="20"/>
      <c r="G4908" s="17"/>
    </row>
    <row r="4909" spans="2:7" x14ac:dyDescent="0.25">
      <c r="B4909" s="15"/>
      <c r="C4909" s="15"/>
      <c r="D4909" s="16"/>
      <c r="E4909" s="16"/>
      <c r="F4909" s="20"/>
      <c r="G4909" s="17"/>
    </row>
    <row r="4910" spans="2:7" x14ac:dyDescent="0.25">
      <c r="B4910" s="15"/>
      <c r="C4910" s="15"/>
      <c r="D4910" s="16"/>
      <c r="E4910" s="16"/>
      <c r="F4910" s="20"/>
      <c r="G4910" s="17"/>
    </row>
    <row r="4911" spans="2:7" x14ac:dyDescent="0.25">
      <c r="B4911" s="15"/>
      <c r="C4911" s="15"/>
      <c r="D4911" s="16"/>
      <c r="E4911" s="16"/>
      <c r="F4911" s="20"/>
      <c r="G4911" s="17"/>
    </row>
    <row r="4912" spans="2:7" x14ac:dyDescent="0.25">
      <c r="B4912" s="15"/>
      <c r="C4912" s="15"/>
      <c r="D4912" s="16"/>
      <c r="E4912" s="16"/>
      <c r="F4912" s="20"/>
      <c r="G4912" s="17"/>
    </row>
    <row r="4913" spans="2:7" x14ac:dyDescent="0.25">
      <c r="B4913" s="15"/>
      <c r="C4913" s="15"/>
      <c r="D4913" s="16"/>
      <c r="E4913" s="16"/>
      <c r="F4913" s="20"/>
      <c r="G4913" s="17"/>
    </row>
    <row r="4914" spans="2:7" x14ac:dyDescent="0.25">
      <c r="B4914" s="15"/>
      <c r="C4914" s="15"/>
      <c r="D4914" s="16"/>
      <c r="E4914" s="16"/>
      <c r="F4914" s="20"/>
      <c r="G4914" s="17"/>
    </row>
    <row r="4915" spans="2:7" x14ac:dyDescent="0.25">
      <c r="B4915" s="15"/>
      <c r="C4915" s="15"/>
      <c r="D4915" s="16"/>
      <c r="E4915" s="16"/>
      <c r="F4915" s="20"/>
      <c r="G4915" s="17"/>
    </row>
    <row r="4916" spans="2:7" x14ac:dyDescent="0.25">
      <c r="B4916" s="15"/>
      <c r="C4916" s="15"/>
      <c r="D4916" s="16"/>
      <c r="E4916" s="16"/>
      <c r="F4916" s="20"/>
      <c r="G4916" s="17"/>
    </row>
    <row r="4917" spans="2:7" x14ac:dyDescent="0.25">
      <c r="B4917" s="15"/>
      <c r="C4917" s="15"/>
      <c r="D4917" s="16"/>
      <c r="E4917" s="16"/>
      <c r="F4917" s="20"/>
      <c r="G4917" s="17"/>
    </row>
    <row r="4918" spans="2:7" x14ac:dyDescent="0.25">
      <c r="B4918" s="15"/>
      <c r="C4918" s="15"/>
      <c r="D4918" s="16"/>
      <c r="E4918" s="16"/>
      <c r="F4918" s="20"/>
      <c r="G4918" s="17"/>
    </row>
    <row r="4919" spans="2:7" x14ac:dyDescent="0.25">
      <c r="B4919" s="15"/>
      <c r="C4919" s="15"/>
      <c r="D4919" s="16"/>
      <c r="E4919" s="16"/>
      <c r="F4919" s="20"/>
      <c r="G4919" s="17"/>
    </row>
    <row r="4920" spans="2:7" x14ac:dyDescent="0.25">
      <c r="B4920" s="15"/>
      <c r="C4920" s="15"/>
      <c r="D4920" s="16"/>
      <c r="E4920" s="16"/>
      <c r="F4920" s="20"/>
      <c r="G4920" s="17"/>
    </row>
    <row r="4921" spans="2:7" x14ac:dyDescent="0.25">
      <c r="B4921" s="15"/>
      <c r="C4921" s="15"/>
      <c r="D4921" s="16"/>
      <c r="E4921" s="16"/>
      <c r="F4921" s="20"/>
      <c r="G4921" s="17"/>
    </row>
    <row r="4922" spans="2:7" x14ac:dyDescent="0.25">
      <c r="B4922" s="15"/>
      <c r="C4922" s="15"/>
      <c r="D4922" s="16"/>
      <c r="E4922" s="16"/>
      <c r="F4922" s="20"/>
      <c r="G4922" s="17"/>
    </row>
    <row r="4923" spans="2:7" x14ac:dyDescent="0.25">
      <c r="B4923" s="15"/>
      <c r="C4923" s="15"/>
      <c r="D4923" s="16"/>
      <c r="E4923" s="16"/>
      <c r="F4923" s="20"/>
      <c r="G4923" s="17"/>
    </row>
    <row r="4924" spans="2:7" x14ac:dyDescent="0.25">
      <c r="B4924" s="15"/>
      <c r="C4924" s="15"/>
      <c r="D4924" s="16"/>
      <c r="E4924" s="16"/>
      <c r="F4924" s="20"/>
      <c r="G4924" s="17"/>
    </row>
    <row r="4925" spans="2:7" x14ac:dyDescent="0.25">
      <c r="B4925" s="15"/>
      <c r="C4925" s="15"/>
      <c r="D4925" s="16"/>
      <c r="E4925" s="16"/>
      <c r="F4925" s="20"/>
      <c r="G4925" s="17"/>
    </row>
    <row r="4926" spans="2:7" x14ac:dyDescent="0.25">
      <c r="B4926" s="15"/>
      <c r="C4926" s="15"/>
      <c r="D4926" s="16"/>
      <c r="E4926" s="16"/>
      <c r="F4926" s="20"/>
      <c r="G4926" s="17"/>
    </row>
    <row r="4927" spans="2:7" x14ac:dyDescent="0.25">
      <c r="B4927" s="15"/>
      <c r="C4927" s="15"/>
      <c r="D4927" s="16"/>
      <c r="E4927" s="16"/>
      <c r="F4927" s="20"/>
      <c r="G4927" s="17"/>
    </row>
    <row r="4928" spans="2:7" x14ac:dyDescent="0.25">
      <c r="B4928" s="15"/>
      <c r="C4928" s="15"/>
      <c r="D4928" s="16"/>
      <c r="E4928" s="16"/>
      <c r="F4928" s="20"/>
      <c r="G4928" s="17"/>
    </row>
    <row r="4929" spans="2:7" x14ac:dyDescent="0.25">
      <c r="B4929" s="15"/>
      <c r="C4929" s="15"/>
      <c r="D4929" s="16"/>
      <c r="E4929" s="16"/>
      <c r="F4929" s="20"/>
      <c r="G4929" s="17"/>
    </row>
    <row r="4930" spans="2:7" x14ac:dyDescent="0.25">
      <c r="B4930" s="15"/>
      <c r="C4930" s="15"/>
      <c r="D4930" s="16"/>
      <c r="E4930" s="16"/>
      <c r="F4930" s="20"/>
      <c r="G4930" s="17"/>
    </row>
    <row r="4931" spans="2:7" x14ac:dyDescent="0.25">
      <c r="B4931" s="15"/>
      <c r="C4931" s="15"/>
      <c r="D4931" s="16"/>
      <c r="E4931" s="16"/>
      <c r="F4931" s="20"/>
      <c r="G4931" s="17"/>
    </row>
    <row r="4932" spans="2:7" x14ac:dyDescent="0.25">
      <c r="B4932" s="15"/>
      <c r="C4932" s="15"/>
      <c r="D4932" s="16"/>
      <c r="E4932" s="16"/>
      <c r="F4932" s="20"/>
      <c r="G4932" s="17"/>
    </row>
    <row r="4933" spans="2:7" x14ac:dyDescent="0.25">
      <c r="B4933" s="15"/>
      <c r="C4933" s="15"/>
      <c r="D4933" s="16"/>
      <c r="E4933" s="16"/>
      <c r="F4933" s="20"/>
      <c r="G4933" s="17"/>
    </row>
    <row r="4934" spans="2:7" x14ac:dyDescent="0.25">
      <c r="B4934" s="15"/>
      <c r="C4934" s="15"/>
      <c r="D4934" s="16"/>
      <c r="E4934" s="16"/>
      <c r="F4934" s="20"/>
      <c r="G4934" s="17"/>
    </row>
    <row r="4935" spans="2:7" x14ac:dyDescent="0.25">
      <c r="B4935" s="15"/>
      <c r="C4935" s="15"/>
      <c r="D4935" s="16"/>
      <c r="E4935" s="16"/>
      <c r="F4935" s="20"/>
      <c r="G4935" s="17"/>
    </row>
    <row r="4936" spans="2:7" x14ac:dyDescent="0.25">
      <c r="B4936" s="15"/>
      <c r="C4936" s="15"/>
      <c r="D4936" s="16"/>
      <c r="E4936" s="16"/>
      <c r="F4936" s="20"/>
      <c r="G4936" s="17"/>
    </row>
    <row r="4937" spans="2:7" x14ac:dyDescent="0.25">
      <c r="B4937" s="15"/>
      <c r="C4937" s="15"/>
      <c r="D4937" s="16"/>
      <c r="E4937" s="16"/>
      <c r="F4937" s="20"/>
      <c r="G4937" s="17"/>
    </row>
    <row r="4938" spans="2:7" x14ac:dyDescent="0.25">
      <c r="B4938" s="15"/>
      <c r="C4938" s="15"/>
      <c r="D4938" s="16"/>
      <c r="E4938" s="16"/>
      <c r="F4938" s="20"/>
      <c r="G4938" s="17"/>
    </row>
    <row r="4939" spans="2:7" x14ac:dyDescent="0.25">
      <c r="B4939" s="15"/>
      <c r="C4939" s="15"/>
      <c r="D4939" s="16"/>
      <c r="E4939" s="16"/>
      <c r="F4939" s="20"/>
      <c r="G4939" s="17"/>
    </row>
    <row r="4940" spans="2:7" x14ac:dyDescent="0.25">
      <c r="B4940" s="15"/>
      <c r="C4940" s="15"/>
      <c r="D4940" s="16"/>
      <c r="E4940" s="16"/>
      <c r="F4940" s="20"/>
      <c r="G4940" s="17"/>
    </row>
    <row r="4941" spans="2:7" x14ac:dyDescent="0.25">
      <c r="B4941" s="15"/>
      <c r="C4941" s="15"/>
      <c r="D4941" s="16"/>
      <c r="E4941" s="16"/>
      <c r="F4941" s="20"/>
      <c r="G4941" s="17"/>
    </row>
    <row r="4942" spans="2:7" x14ac:dyDescent="0.25">
      <c r="B4942" s="15"/>
      <c r="C4942" s="15"/>
      <c r="D4942" s="16"/>
      <c r="E4942" s="16"/>
      <c r="F4942" s="20"/>
      <c r="G4942" s="17"/>
    </row>
    <row r="4943" spans="2:7" x14ac:dyDescent="0.25">
      <c r="B4943" s="15"/>
      <c r="C4943" s="15"/>
      <c r="D4943" s="16"/>
      <c r="E4943" s="16"/>
      <c r="F4943" s="20"/>
      <c r="G4943" s="17"/>
    </row>
    <row r="4944" spans="2:7" x14ac:dyDescent="0.25">
      <c r="B4944" s="15"/>
      <c r="C4944" s="15"/>
      <c r="D4944" s="16"/>
      <c r="E4944" s="16"/>
      <c r="F4944" s="20"/>
      <c r="G4944" s="17"/>
    </row>
    <row r="4945" spans="2:7" x14ac:dyDescent="0.25">
      <c r="B4945" s="15"/>
      <c r="C4945" s="15"/>
      <c r="D4945" s="16"/>
      <c r="E4945" s="16"/>
      <c r="F4945" s="20"/>
      <c r="G4945" s="17"/>
    </row>
    <row r="4946" spans="2:7" x14ac:dyDescent="0.25">
      <c r="B4946" s="15"/>
      <c r="C4946" s="15"/>
      <c r="D4946" s="16"/>
      <c r="E4946" s="16"/>
      <c r="F4946" s="20"/>
      <c r="G4946" s="17"/>
    </row>
    <row r="4947" spans="2:7" x14ac:dyDescent="0.25">
      <c r="B4947" s="15"/>
      <c r="C4947" s="15"/>
      <c r="D4947" s="16"/>
      <c r="E4947" s="16"/>
      <c r="F4947" s="20"/>
      <c r="G4947" s="17"/>
    </row>
    <row r="4948" spans="2:7" x14ac:dyDescent="0.25">
      <c r="B4948" s="15"/>
      <c r="C4948" s="15"/>
      <c r="D4948" s="16"/>
      <c r="E4948" s="16"/>
      <c r="F4948" s="20"/>
      <c r="G4948" s="17"/>
    </row>
    <row r="4949" spans="2:7" x14ac:dyDescent="0.25">
      <c r="B4949" s="15"/>
      <c r="C4949" s="15"/>
      <c r="D4949" s="16"/>
      <c r="E4949" s="16"/>
      <c r="F4949" s="20"/>
      <c r="G4949" s="17"/>
    </row>
    <row r="4950" spans="2:7" x14ac:dyDescent="0.25">
      <c r="B4950" s="15"/>
      <c r="C4950" s="15"/>
      <c r="D4950" s="16"/>
      <c r="E4950" s="16"/>
      <c r="F4950" s="20"/>
      <c r="G4950" s="17"/>
    </row>
    <row r="4951" spans="2:7" x14ac:dyDescent="0.25">
      <c r="B4951" s="15"/>
      <c r="C4951" s="15"/>
      <c r="D4951" s="16"/>
      <c r="E4951" s="16"/>
      <c r="F4951" s="20"/>
      <c r="G4951" s="17"/>
    </row>
    <row r="4952" spans="2:7" x14ac:dyDescent="0.25">
      <c r="B4952" s="15"/>
      <c r="C4952" s="15"/>
      <c r="D4952" s="16"/>
      <c r="E4952" s="16"/>
      <c r="F4952" s="20"/>
      <c r="G4952" s="17"/>
    </row>
    <row r="4953" spans="2:7" x14ac:dyDescent="0.25">
      <c r="B4953" s="15"/>
      <c r="C4953" s="15"/>
      <c r="D4953" s="16"/>
      <c r="E4953" s="16"/>
      <c r="F4953" s="20"/>
      <c r="G4953" s="17"/>
    </row>
    <row r="4954" spans="2:7" x14ac:dyDescent="0.25">
      <c r="B4954" s="15"/>
      <c r="C4954" s="15"/>
      <c r="D4954" s="16"/>
      <c r="E4954" s="16"/>
      <c r="F4954" s="20"/>
      <c r="G4954" s="17"/>
    </row>
    <row r="4955" spans="2:7" x14ac:dyDescent="0.25">
      <c r="B4955" s="15"/>
      <c r="C4955" s="15"/>
      <c r="D4955" s="16"/>
      <c r="E4955" s="16"/>
      <c r="F4955" s="20"/>
      <c r="G4955" s="17"/>
    </row>
    <row r="4956" spans="2:7" x14ac:dyDescent="0.25">
      <c r="B4956" s="15"/>
      <c r="C4956" s="15"/>
      <c r="D4956" s="16"/>
      <c r="E4956" s="16"/>
      <c r="F4956" s="20"/>
      <c r="G4956" s="17"/>
    </row>
    <row r="4957" spans="2:7" x14ac:dyDescent="0.25">
      <c r="B4957" s="15"/>
      <c r="C4957" s="15"/>
      <c r="D4957" s="16"/>
      <c r="E4957" s="16"/>
      <c r="F4957" s="20"/>
      <c r="G4957" s="17"/>
    </row>
    <row r="4958" spans="2:7" x14ac:dyDescent="0.25">
      <c r="B4958" s="15"/>
      <c r="C4958" s="15"/>
      <c r="D4958" s="16"/>
      <c r="E4958" s="16"/>
      <c r="F4958" s="20"/>
      <c r="G4958" s="17"/>
    </row>
    <row r="4959" spans="2:7" x14ac:dyDescent="0.25">
      <c r="B4959" s="15"/>
      <c r="C4959" s="15"/>
      <c r="D4959" s="16"/>
      <c r="E4959" s="16"/>
      <c r="F4959" s="20"/>
      <c r="G4959" s="17"/>
    </row>
    <row r="4960" spans="2:7" x14ac:dyDescent="0.25">
      <c r="B4960" s="15"/>
      <c r="C4960" s="15"/>
      <c r="D4960" s="16"/>
      <c r="E4960" s="16"/>
      <c r="F4960" s="20"/>
      <c r="G4960" s="17"/>
    </row>
    <row r="4961" spans="2:7" x14ac:dyDescent="0.25">
      <c r="B4961" s="15"/>
      <c r="C4961" s="15"/>
      <c r="D4961" s="16"/>
      <c r="E4961" s="16"/>
      <c r="F4961" s="20"/>
      <c r="G4961" s="17"/>
    </row>
    <row r="4962" spans="2:7" x14ac:dyDescent="0.25">
      <c r="B4962" s="15"/>
      <c r="C4962" s="15"/>
      <c r="D4962" s="16"/>
      <c r="E4962" s="16"/>
      <c r="F4962" s="20"/>
      <c r="G4962" s="17"/>
    </row>
    <row r="4963" spans="2:7" x14ac:dyDescent="0.25">
      <c r="B4963" s="15"/>
      <c r="C4963" s="15"/>
      <c r="D4963" s="16"/>
      <c r="E4963" s="16"/>
      <c r="F4963" s="20"/>
      <c r="G4963" s="17"/>
    </row>
    <row r="4964" spans="2:7" x14ac:dyDescent="0.25">
      <c r="B4964" s="15"/>
      <c r="C4964" s="15"/>
      <c r="D4964" s="16"/>
      <c r="E4964" s="16"/>
      <c r="F4964" s="20"/>
      <c r="G4964" s="17"/>
    </row>
    <row r="4965" spans="2:7" x14ac:dyDescent="0.25">
      <c r="B4965" s="15"/>
      <c r="C4965" s="15"/>
      <c r="D4965" s="16"/>
      <c r="E4965" s="16"/>
      <c r="F4965" s="20"/>
      <c r="G4965" s="17"/>
    </row>
    <row r="4966" spans="2:7" x14ac:dyDescent="0.25">
      <c r="B4966" s="15"/>
      <c r="C4966" s="15"/>
      <c r="D4966" s="16"/>
      <c r="E4966" s="16"/>
      <c r="F4966" s="20"/>
      <c r="G4966" s="17"/>
    </row>
    <row r="4967" spans="2:7" x14ac:dyDescent="0.25">
      <c r="B4967" s="15"/>
      <c r="C4967" s="15"/>
      <c r="D4967" s="16"/>
      <c r="E4967" s="16"/>
      <c r="F4967" s="20"/>
      <c r="G4967" s="17"/>
    </row>
    <row r="4968" spans="2:7" x14ac:dyDescent="0.25">
      <c r="B4968" s="15"/>
      <c r="C4968" s="15"/>
      <c r="D4968" s="16"/>
      <c r="E4968" s="16"/>
      <c r="F4968" s="20"/>
      <c r="G4968" s="17"/>
    </row>
    <row r="4969" spans="2:7" x14ac:dyDescent="0.25">
      <c r="B4969" s="15"/>
      <c r="C4969" s="15"/>
      <c r="D4969" s="16"/>
      <c r="E4969" s="16"/>
      <c r="F4969" s="20"/>
      <c r="G4969" s="17"/>
    </row>
    <row r="4970" spans="2:7" x14ac:dyDescent="0.25">
      <c r="B4970" s="15"/>
      <c r="C4970" s="15"/>
      <c r="D4970" s="16"/>
      <c r="E4970" s="16"/>
      <c r="F4970" s="20"/>
      <c r="G4970" s="17"/>
    </row>
    <row r="4971" spans="2:7" x14ac:dyDescent="0.25">
      <c r="B4971" s="15"/>
      <c r="C4971" s="15"/>
      <c r="D4971" s="16"/>
      <c r="E4971" s="16"/>
      <c r="F4971" s="20"/>
      <c r="G4971" s="17"/>
    </row>
    <row r="4972" spans="2:7" x14ac:dyDescent="0.25">
      <c r="B4972" s="15"/>
      <c r="C4972" s="15"/>
      <c r="D4972" s="16"/>
      <c r="E4972" s="16"/>
      <c r="F4972" s="20"/>
      <c r="G4972" s="17"/>
    </row>
    <row r="4973" spans="2:7" x14ac:dyDescent="0.25">
      <c r="B4973" s="15"/>
      <c r="C4973" s="15"/>
      <c r="D4973" s="16"/>
      <c r="E4973" s="16"/>
      <c r="F4973" s="20"/>
      <c r="G4973" s="17"/>
    </row>
    <row r="4974" spans="2:7" x14ac:dyDescent="0.25">
      <c r="B4974" s="15"/>
      <c r="C4974" s="15"/>
      <c r="D4974" s="16"/>
      <c r="E4974" s="16"/>
      <c r="F4974" s="20"/>
      <c r="G4974" s="17"/>
    </row>
    <row r="4975" spans="2:7" x14ac:dyDescent="0.25">
      <c r="B4975" s="15"/>
      <c r="C4975" s="15"/>
      <c r="D4975" s="16"/>
      <c r="E4975" s="16"/>
      <c r="F4975" s="20"/>
      <c r="G4975" s="17"/>
    </row>
    <row r="4976" spans="2:7" x14ac:dyDescent="0.25">
      <c r="B4976" s="15"/>
      <c r="C4976" s="15"/>
      <c r="D4976" s="16"/>
      <c r="E4976" s="16"/>
      <c r="F4976" s="20"/>
      <c r="G4976" s="17"/>
    </row>
    <row r="4977" spans="2:7" x14ac:dyDescent="0.25">
      <c r="B4977" s="15"/>
      <c r="C4977" s="15"/>
      <c r="D4977" s="16"/>
      <c r="E4977" s="16"/>
      <c r="F4977" s="20"/>
      <c r="G4977" s="17"/>
    </row>
    <row r="4978" spans="2:7" x14ac:dyDescent="0.25">
      <c r="B4978" s="15"/>
      <c r="C4978" s="15"/>
      <c r="D4978" s="16"/>
      <c r="E4978" s="16"/>
      <c r="F4978" s="20"/>
      <c r="G4978" s="17"/>
    </row>
    <row r="4979" spans="2:7" x14ac:dyDescent="0.25">
      <c r="B4979" s="15"/>
      <c r="C4979" s="15"/>
      <c r="D4979" s="16"/>
      <c r="E4979" s="16"/>
      <c r="F4979" s="20"/>
      <c r="G4979" s="17"/>
    </row>
    <row r="4980" spans="2:7" x14ac:dyDescent="0.25">
      <c r="B4980" s="15"/>
      <c r="C4980" s="15"/>
      <c r="D4980" s="16"/>
      <c r="E4980" s="16"/>
      <c r="F4980" s="20"/>
      <c r="G4980" s="17"/>
    </row>
    <row r="4981" spans="2:7" x14ac:dyDescent="0.25">
      <c r="B4981" s="15"/>
      <c r="C4981" s="15"/>
      <c r="D4981" s="16"/>
      <c r="E4981" s="16"/>
      <c r="F4981" s="20"/>
      <c r="G4981" s="17"/>
    </row>
    <row r="4982" spans="2:7" x14ac:dyDescent="0.25">
      <c r="B4982" s="15"/>
      <c r="C4982" s="15"/>
      <c r="D4982" s="16"/>
      <c r="E4982" s="16"/>
      <c r="F4982" s="20"/>
      <c r="G4982" s="17"/>
    </row>
    <row r="4983" spans="2:7" x14ac:dyDescent="0.25">
      <c r="B4983" s="15"/>
      <c r="C4983" s="15"/>
      <c r="D4983" s="16"/>
      <c r="E4983" s="16"/>
      <c r="F4983" s="20"/>
      <c r="G4983" s="17"/>
    </row>
    <row r="4984" spans="2:7" x14ac:dyDescent="0.25">
      <c r="B4984" s="15"/>
      <c r="C4984" s="15"/>
      <c r="D4984" s="16"/>
      <c r="E4984" s="16"/>
      <c r="F4984" s="20"/>
      <c r="G4984" s="17"/>
    </row>
    <row r="4985" spans="2:7" x14ac:dyDescent="0.25">
      <c r="B4985" s="15"/>
      <c r="C4985" s="15"/>
      <c r="D4985" s="16"/>
      <c r="E4985" s="16"/>
      <c r="F4985" s="20"/>
      <c r="G4985" s="17"/>
    </row>
    <row r="4986" spans="2:7" x14ac:dyDescent="0.25">
      <c r="B4986" s="15"/>
      <c r="C4986" s="15"/>
      <c r="D4986" s="16"/>
      <c r="E4986" s="16"/>
      <c r="F4986" s="20"/>
      <c r="G4986" s="17"/>
    </row>
    <row r="4987" spans="2:7" x14ac:dyDescent="0.25">
      <c r="B4987" s="15"/>
      <c r="C4987" s="15"/>
      <c r="D4987" s="16"/>
      <c r="E4987" s="16"/>
      <c r="F4987" s="20"/>
      <c r="G4987" s="17"/>
    </row>
    <row r="4988" spans="2:7" x14ac:dyDescent="0.25">
      <c r="B4988" s="15"/>
      <c r="C4988" s="15"/>
      <c r="D4988" s="16"/>
      <c r="E4988" s="16"/>
      <c r="F4988" s="20"/>
      <c r="G4988" s="17"/>
    </row>
    <row r="4989" spans="2:7" x14ac:dyDescent="0.25">
      <c r="B4989" s="15"/>
      <c r="C4989" s="15"/>
      <c r="D4989" s="16"/>
      <c r="E4989" s="16"/>
      <c r="F4989" s="20"/>
      <c r="G4989" s="17"/>
    </row>
    <row r="4990" spans="2:7" x14ac:dyDescent="0.25">
      <c r="B4990" s="15"/>
      <c r="C4990" s="15"/>
      <c r="D4990" s="16"/>
      <c r="E4990" s="16"/>
      <c r="F4990" s="20"/>
      <c r="G4990" s="17"/>
    </row>
    <row r="4991" spans="2:7" x14ac:dyDescent="0.25">
      <c r="B4991" s="15"/>
      <c r="C4991" s="15"/>
      <c r="D4991" s="16"/>
      <c r="E4991" s="16"/>
      <c r="F4991" s="20"/>
      <c r="G4991" s="17"/>
    </row>
    <row r="4992" spans="2:7" x14ac:dyDescent="0.25">
      <c r="B4992" s="15"/>
      <c r="C4992" s="15"/>
      <c r="D4992" s="16"/>
      <c r="E4992" s="16"/>
      <c r="F4992" s="20"/>
      <c r="G4992" s="17"/>
    </row>
    <row r="4993" spans="2:7" x14ac:dyDescent="0.25">
      <c r="B4993" s="15"/>
      <c r="C4993" s="15"/>
      <c r="D4993" s="16"/>
      <c r="E4993" s="16"/>
      <c r="F4993" s="20"/>
      <c r="G4993" s="17"/>
    </row>
    <row r="4994" spans="2:7" x14ac:dyDescent="0.25">
      <c r="B4994" s="15"/>
      <c r="C4994" s="15"/>
      <c r="D4994" s="16"/>
      <c r="E4994" s="16"/>
      <c r="F4994" s="20"/>
      <c r="G4994" s="17"/>
    </row>
    <row r="4995" spans="2:7" x14ac:dyDescent="0.25">
      <c r="B4995" s="15"/>
      <c r="C4995" s="15"/>
      <c r="D4995" s="16"/>
      <c r="E4995" s="16"/>
      <c r="F4995" s="20"/>
      <c r="G4995" s="17"/>
    </row>
    <row r="4996" spans="2:7" x14ac:dyDescent="0.25">
      <c r="B4996" s="15"/>
      <c r="C4996" s="15"/>
      <c r="D4996" s="16"/>
      <c r="E4996" s="16"/>
      <c r="F4996" s="20"/>
      <c r="G4996" s="17"/>
    </row>
    <row r="4997" spans="2:7" x14ac:dyDescent="0.25">
      <c r="B4997" s="15"/>
      <c r="C4997" s="15"/>
      <c r="D4997" s="16"/>
      <c r="E4997" s="16"/>
      <c r="F4997" s="20"/>
      <c r="G4997" s="17"/>
    </row>
    <row r="4998" spans="2:7" x14ac:dyDescent="0.25">
      <c r="B4998" s="15"/>
      <c r="C4998" s="15"/>
      <c r="D4998" s="16"/>
      <c r="E4998" s="16"/>
      <c r="F4998" s="20"/>
      <c r="G4998" s="17"/>
    </row>
    <row r="4999" spans="2:7" x14ac:dyDescent="0.25">
      <c r="B4999" s="15"/>
      <c r="C4999" s="15"/>
      <c r="D4999" s="16"/>
      <c r="E4999" s="16"/>
      <c r="F4999" s="20"/>
      <c r="G4999" s="17"/>
    </row>
    <row r="5000" spans="2:7" x14ac:dyDescent="0.25">
      <c r="B5000" s="15"/>
      <c r="C5000" s="15"/>
      <c r="D5000" s="16"/>
      <c r="E5000" s="16"/>
      <c r="F5000" s="20"/>
      <c r="G5000" s="17"/>
    </row>
    <row r="5001" spans="2:7" x14ac:dyDescent="0.25">
      <c r="B5001" s="15"/>
      <c r="C5001" s="15"/>
      <c r="D5001" s="16"/>
      <c r="E5001" s="16"/>
      <c r="F5001" s="20"/>
      <c r="G5001" s="17"/>
    </row>
    <row r="5002" spans="2:7" x14ac:dyDescent="0.25">
      <c r="B5002" s="15"/>
      <c r="C5002" s="15"/>
      <c r="D5002" s="16"/>
      <c r="E5002" s="16"/>
      <c r="F5002" s="20"/>
      <c r="G5002" s="17"/>
    </row>
    <row r="5003" spans="2:7" x14ac:dyDescent="0.25">
      <c r="B5003" s="15"/>
      <c r="C5003" s="15"/>
      <c r="D5003" s="16"/>
      <c r="E5003" s="16"/>
      <c r="F5003" s="20"/>
      <c r="G5003" s="17"/>
    </row>
    <row r="5004" spans="2:7" x14ac:dyDescent="0.25">
      <c r="B5004" s="15"/>
      <c r="C5004" s="15"/>
      <c r="D5004" s="16"/>
      <c r="E5004" s="16"/>
      <c r="F5004" s="20"/>
      <c r="G5004" s="17"/>
    </row>
    <row r="5005" spans="2:7" x14ac:dyDescent="0.25">
      <c r="B5005" s="15"/>
      <c r="C5005" s="15"/>
      <c r="D5005" s="16"/>
      <c r="E5005" s="16"/>
      <c r="F5005" s="20"/>
      <c r="G5005" s="17"/>
    </row>
    <row r="5006" spans="2:7" x14ac:dyDescent="0.25">
      <c r="B5006" s="15"/>
      <c r="C5006" s="15"/>
      <c r="D5006" s="16"/>
      <c r="E5006" s="16"/>
      <c r="F5006" s="20"/>
      <c r="G5006" s="17"/>
    </row>
    <row r="5007" spans="2:7" x14ac:dyDescent="0.25">
      <c r="B5007" s="15"/>
      <c r="C5007" s="15"/>
      <c r="D5007" s="16"/>
      <c r="E5007" s="16"/>
      <c r="F5007" s="20"/>
      <c r="G5007" s="17"/>
    </row>
    <row r="5008" spans="2:7" x14ac:dyDescent="0.25">
      <c r="B5008" s="15"/>
      <c r="C5008" s="15"/>
      <c r="D5008" s="16"/>
      <c r="E5008" s="16"/>
      <c r="F5008" s="20"/>
      <c r="G5008" s="17"/>
    </row>
    <row r="5009" spans="2:7" x14ac:dyDescent="0.25">
      <c r="B5009" s="15"/>
      <c r="C5009" s="15"/>
      <c r="D5009" s="16"/>
      <c r="E5009" s="16"/>
      <c r="F5009" s="20"/>
      <c r="G5009" s="17"/>
    </row>
    <row r="5010" spans="2:7" x14ac:dyDescent="0.25">
      <c r="B5010" s="15"/>
      <c r="C5010" s="15"/>
      <c r="D5010" s="16"/>
      <c r="E5010" s="16"/>
      <c r="F5010" s="20"/>
      <c r="G5010" s="17"/>
    </row>
    <row r="5011" spans="2:7" x14ac:dyDescent="0.25">
      <c r="B5011" s="15"/>
      <c r="C5011" s="15"/>
      <c r="D5011" s="16"/>
      <c r="E5011" s="16"/>
      <c r="F5011" s="20"/>
      <c r="G5011" s="17"/>
    </row>
    <row r="5012" spans="2:7" x14ac:dyDescent="0.25">
      <c r="B5012" s="15"/>
      <c r="C5012" s="15"/>
      <c r="D5012" s="16"/>
      <c r="E5012" s="16"/>
      <c r="F5012" s="20"/>
      <c r="G5012" s="17"/>
    </row>
    <row r="5013" spans="2:7" x14ac:dyDescent="0.25">
      <c r="B5013" s="15"/>
      <c r="C5013" s="15"/>
      <c r="D5013" s="16"/>
      <c r="E5013" s="16"/>
      <c r="F5013" s="20"/>
      <c r="G5013" s="17"/>
    </row>
    <row r="5014" spans="2:7" x14ac:dyDescent="0.25">
      <c r="B5014" s="15"/>
      <c r="C5014" s="15"/>
      <c r="D5014" s="16"/>
      <c r="E5014" s="16"/>
      <c r="F5014" s="20"/>
      <c r="G5014" s="17"/>
    </row>
    <row r="5015" spans="2:7" x14ac:dyDescent="0.25">
      <c r="B5015" s="15"/>
      <c r="C5015" s="15"/>
      <c r="D5015" s="16"/>
      <c r="E5015" s="16"/>
      <c r="F5015" s="20"/>
      <c r="G5015" s="17"/>
    </row>
    <row r="5016" spans="2:7" x14ac:dyDescent="0.25">
      <c r="B5016" s="15"/>
      <c r="C5016" s="15"/>
      <c r="D5016" s="16"/>
      <c r="E5016" s="16"/>
      <c r="F5016" s="20"/>
      <c r="G5016" s="17"/>
    </row>
    <row r="5017" spans="2:7" x14ac:dyDescent="0.25">
      <c r="B5017" s="15"/>
      <c r="C5017" s="15"/>
      <c r="D5017" s="16"/>
      <c r="E5017" s="16"/>
      <c r="F5017" s="20"/>
      <c r="G5017" s="17"/>
    </row>
    <row r="5018" spans="2:7" x14ac:dyDescent="0.25">
      <c r="B5018" s="15"/>
      <c r="C5018" s="15"/>
      <c r="D5018" s="16"/>
      <c r="E5018" s="16"/>
      <c r="F5018" s="20"/>
      <c r="G5018" s="17"/>
    </row>
    <row r="5019" spans="2:7" x14ac:dyDescent="0.25">
      <c r="B5019" s="15"/>
      <c r="C5019" s="15"/>
      <c r="D5019" s="16"/>
      <c r="E5019" s="16"/>
      <c r="F5019" s="20"/>
      <c r="G5019" s="17"/>
    </row>
    <row r="5020" spans="2:7" x14ac:dyDescent="0.25">
      <c r="B5020" s="15"/>
      <c r="C5020" s="15"/>
      <c r="D5020" s="16"/>
      <c r="E5020" s="16"/>
      <c r="F5020" s="20"/>
      <c r="G5020" s="17"/>
    </row>
    <row r="5021" spans="2:7" x14ac:dyDescent="0.25">
      <c r="B5021" s="15"/>
      <c r="C5021" s="15"/>
      <c r="D5021" s="16"/>
      <c r="E5021" s="16"/>
      <c r="F5021" s="20"/>
      <c r="G5021" s="17"/>
    </row>
    <row r="5022" spans="2:7" x14ac:dyDescent="0.25">
      <c r="B5022" s="15"/>
      <c r="C5022" s="15"/>
      <c r="D5022" s="16"/>
      <c r="E5022" s="16"/>
      <c r="F5022" s="20"/>
      <c r="G5022" s="17"/>
    </row>
    <row r="5023" spans="2:7" x14ac:dyDescent="0.25">
      <c r="B5023" s="15"/>
      <c r="C5023" s="15"/>
      <c r="D5023" s="16"/>
      <c r="E5023" s="16"/>
      <c r="F5023" s="20"/>
      <c r="G5023" s="17"/>
    </row>
    <row r="5024" spans="2:7" x14ac:dyDescent="0.25">
      <c r="B5024" s="15"/>
      <c r="C5024" s="15"/>
      <c r="D5024" s="16"/>
      <c r="E5024" s="16"/>
      <c r="F5024" s="20"/>
      <c r="G5024" s="17"/>
    </row>
    <row r="5025" spans="2:7" x14ac:dyDescent="0.25">
      <c r="B5025" s="15"/>
      <c r="C5025" s="15"/>
      <c r="D5025" s="16"/>
      <c r="E5025" s="16"/>
      <c r="F5025" s="20"/>
      <c r="G5025" s="17"/>
    </row>
    <row r="5026" spans="2:7" x14ac:dyDescent="0.25">
      <c r="B5026" s="15"/>
      <c r="C5026" s="15"/>
      <c r="D5026" s="16"/>
      <c r="E5026" s="16"/>
      <c r="F5026" s="20"/>
      <c r="G5026" s="17"/>
    </row>
    <row r="5027" spans="2:7" x14ac:dyDescent="0.25">
      <c r="B5027" s="15"/>
      <c r="C5027" s="15"/>
      <c r="D5027" s="16"/>
      <c r="E5027" s="16"/>
      <c r="F5027" s="20"/>
      <c r="G5027" s="17"/>
    </row>
    <row r="5028" spans="2:7" x14ac:dyDescent="0.25">
      <c r="B5028" s="15"/>
      <c r="C5028" s="15"/>
      <c r="D5028" s="16"/>
      <c r="E5028" s="16"/>
      <c r="F5028" s="20"/>
      <c r="G5028" s="17"/>
    </row>
    <row r="5029" spans="2:7" x14ac:dyDescent="0.25">
      <c r="B5029" s="15"/>
      <c r="C5029" s="15"/>
      <c r="D5029" s="16"/>
      <c r="E5029" s="16"/>
      <c r="F5029" s="20"/>
      <c r="G5029" s="17"/>
    </row>
    <row r="5030" spans="2:7" x14ac:dyDescent="0.25">
      <c r="B5030" s="15"/>
      <c r="C5030" s="15"/>
      <c r="D5030" s="16"/>
      <c r="E5030" s="16"/>
      <c r="F5030" s="20"/>
      <c r="G5030" s="17"/>
    </row>
    <row r="5031" spans="2:7" x14ac:dyDescent="0.25">
      <c r="B5031" s="15"/>
      <c r="C5031" s="15"/>
      <c r="D5031" s="16"/>
      <c r="E5031" s="16"/>
      <c r="F5031" s="20"/>
      <c r="G5031" s="17"/>
    </row>
    <row r="5032" spans="2:7" x14ac:dyDescent="0.25">
      <c r="B5032" s="15"/>
      <c r="C5032" s="15"/>
      <c r="D5032" s="16"/>
      <c r="E5032" s="16"/>
      <c r="F5032" s="20"/>
      <c r="G5032" s="17"/>
    </row>
    <row r="5033" spans="2:7" x14ac:dyDescent="0.25">
      <c r="B5033" s="15"/>
      <c r="C5033" s="15"/>
      <c r="D5033" s="16"/>
      <c r="E5033" s="16"/>
      <c r="F5033" s="20"/>
      <c r="G5033" s="17"/>
    </row>
    <row r="5034" spans="2:7" x14ac:dyDescent="0.25">
      <c r="B5034" s="15"/>
      <c r="C5034" s="15"/>
      <c r="D5034" s="16"/>
      <c r="E5034" s="16"/>
      <c r="F5034" s="20"/>
      <c r="G5034" s="17"/>
    </row>
    <row r="5035" spans="2:7" x14ac:dyDescent="0.25">
      <c r="B5035" s="15"/>
      <c r="C5035" s="15"/>
      <c r="D5035" s="16"/>
      <c r="E5035" s="16"/>
      <c r="F5035" s="20"/>
      <c r="G5035" s="17"/>
    </row>
    <row r="5036" spans="2:7" x14ac:dyDescent="0.25">
      <c r="B5036" s="15"/>
      <c r="C5036" s="15"/>
      <c r="D5036" s="16"/>
      <c r="E5036" s="16"/>
      <c r="F5036" s="20"/>
      <c r="G5036" s="17"/>
    </row>
    <row r="5037" spans="2:7" x14ac:dyDescent="0.25">
      <c r="B5037" s="15"/>
      <c r="C5037" s="15"/>
      <c r="D5037" s="16"/>
      <c r="E5037" s="16"/>
      <c r="F5037" s="20"/>
      <c r="G5037" s="17"/>
    </row>
    <row r="5038" spans="2:7" x14ac:dyDescent="0.25">
      <c r="B5038" s="15"/>
      <c r="C5038" s="15"/>
      <c r="D5038" s="16"/>
      <c r="E5038" s="16"/>
      <c r="F5038" s="20"/>
      <c r="G5038" s="17"/>
    </row>
    <row r="5039" spans="2:7" x14ac:dyDescent="0.25">
      <c r="B5039" s="15"/>
      <c r="C5039" s="15"/>
      <c r="D5039" s="16"/>
      <c r="E5039" s="16"/>
      <c r="F5039" s="20"/>
      <c r="G5039" s="17"/>
    </row>
    <row r="5040" spans="2:7" x14ac:dyDescent="0.25">
      <c r="B5040" s="15"/>
      <c r="C5040" s="15"/>
      <c r="D5040" s="16"/>
      <c r="E5040" s="16"/>
      <c r="F5040" s="20"/>
      <c r="G5040" s="16"/>
    </row>
    <row r="5041" spans="2:7" x14ac:dyDescent="0.25">
      <c r="B5041" s="15"/>
      <c r="C5041" s="15"/>
      <c r="D5041" s="16"/>
      <c r="E5041" s="16"/>
      <c r="F5041" s="20"/>
      <c r="G5041" s="17"/>
    </row>
    <row r="5042" spans="2:7" x14ac:dyDescent="0.25">
      <c r="B5042" s="15"/>
      <c r="C5042" s="15"/>
      <c r="D5042" s="16"/>
      <c r="E5042" s="16"/>
      <c r="F5042" s="20"/>
      <c r="G5042" s="17"/>
    </row>
    <row r="5043" spans="2:7" x14ac:dyDescent="0.25">
      <c r="B5043" s="15"/>
      <c r="C5043" s="15"/>
      <c r="D5043" s="16"/>
      <c r="E5043" s="16"/>
      <c r="F5043" s="20"/>
      <c r="G5043" s="17"/>
    </row>
    <row r="5044" spans="2:7" x14ac:dyDescent="0.25">
      <c r="B5044" s="15"/>
      <c r="C5044" s="15"/>
      <c r="D5044" s="16"/>
      <c r="E5044" s="16"/>
      <c r="F5044" s="20"/>
      <c r="G5044" s="17"/>
    </row>
    <row r="5045" spans="2:7" x14ac:dyDescent="0.25">
      <c r="B5045" s="15"/>
      <c r="C5045" s="15"/>
      <c r="D5045" s="16"/>
      <c r="E5045" s="16"/>
      <c r="F5045" s="20"/>
      <c r="G5045" s="17"/>
    </row>
    <row r="5046" spans="2:7" x14ac:dyDescent="0.25">
      <c r="B5046" s="15"/>
      <c r="C5046" s="15"/>
      <c r="D5046" s="16"/>
      <c r="E5046" s="16"/>
      <c r="F5046" s="20"/>
      <c r="G5046" s="17"/>
    </row>
    <row r="5047" spans="2:7" x14ac:dyDescent="0.25">
      <c r="B5047" s="15"/>
      <c r="C5047" s="15"/>
      <c r="D5047" s="16"/>
      <c r="E5047" s="16"/>
      <c r="F5047" s="20"/>
      <c r="G5047" s="17"/>
    </row>
    <row r="5048" spans="2:7" x14ac:dyDescent="0.25">
      <c r="B5048" s="15"/>
      <c r="C5048" s="15"/>
      <c r="D5048" s="16"/>
      <c r="E5048" s="16"/>
      <c r="F5048" s="20"/>
      <c r="G5048" s="17"/>
    </row>
    <row r="5049" spans="2:7" x14ac:dyDescent="0.25">
      <c r="B5049" s="15"/>
      <c r="C5049" s="15"/>
      <c r="D5049" s="16"/>
      <c r="E5049" s="16"/>
      <c r="F5049" s="20"/>
      <c r="G5049" s="17"/>
    </row>
    <row r="5050" spans="2:7" x14ac:dyDescent="0.25">
      <c r="B5050" s="15"/>
      <c r="C5050" s="15"/>
      <c r="D5050" s="16"/>
      <c r="E5050" s="16"/>
      <c r="F5050" s="20"/>
      <c r="G5050" s="17"/>
    </row>
    <row r="5051" spans="2:7" x14ac:dyDescent="0.25">
      <c r="B5051" s="15"/>
      <c r="C5051" s="15"/>
      <c r="D5051" s="16"/>
      <c r="E5051" s="16"/>
      <c r="F5051" s="20"/>
      <c r="G5051" s="17"/>
    </row>
    <row r="5052" spans="2:7" x14ac:dyDescent="0.25">
      <c r="B5052" s="15"/>
      <c r="C5052" s="15"/>
      <c r="D5052" s="16"/>
      <c r="E5052" s="16"/>
      <c r="F5052" s="20"/>
      <c r="G5052" s="17"/>
    </row>
    <row r="5053" spans="2:7" x14ac:dyDescent="0.25">
      <c r="B5053" s="15"/>
      <c r="C5053" s="15"/>
      <c r="D5053" s="16"/>
      <c r="E5053" s="16"/>
      <c r="F5053" s="20"/>
      <c r="G5053" s="17"/>
    </row>
    <row r="5054" spans="2:7" x14ac:dyDescent="0.25">
      <c r="B5054" s="15"/>
      <c r="C5054" s="15"/>
      <c r="D5054" s="16"/>
      <c r="E5054" s="16"/>
      <c r="F5054" s="20"/>
      <c r="G5054" s="17"/>
    </row>
    <row r="5055" spans="2:7" x14ac:dyDescent="0.25">
      <c r="B5055" s="15"/>
      <c r="C5055" s="15"/>
      <c r="D5055" s="16"/>
      <c r="E5055" s="16"/>
      <c r="F5055" s="20"/>
      <c r="G5055" s="17"/>
    </row>
    <row r="5056" spans="2:7" x14ac:dyDescent="0.25">
      <c r="B5056" s="15"/>
      <c r="C5056" s="15"/>
      <c r="D5056" s="16"/>
      <c r="E5056" s="16"/>
      <c r="F5056" s="20"/>
      <c r="G5056" s="17"/>
    </row>
    <row r="5057" spans="2:7" x14ac:dyDescent="0.25">
      <c r="B5057" s="15"/>
      <c r="C5057" s="15"/>
      <c r="D5057" s="16"/>
      <c r="E5057" s="16"/>
      <c r="F5057" s="20"/>
      <c r="G5057" s="17"/>
    </row>
    <row r="5058" spans="2:7" x14ac:dyDescent="0.25">
      <c r="B5058" s="15"/>
      <c r="C5058" s="15"/>
      <c r="D5058" s="16"/>
      <c r="E5058" s="16"/>
      <c r="F5058" s="20"/>
      <c r="G5058" s="17"/>
    </row>
    <row r="5059" spans="2:7" x14ac:dyDescent="0.25">
      <c r="B5059" s="15"/>
      <c r="C5059" s="15"/>
      <c r="D5059" s="16"/>
      <c r="E5059" s="16"/>
      <c r="F5059" s="20"/>
      <c r="G5059" s="17"/>
    </row>
    <row r="5060" spans="2:7" x14ac:dyDescent="0.25">
      <c r="B5060" s="15"/>
      <c r="C5060" s="15"/>
      <c r="D5060" s="16"/>
      <c r="E5060" s="16"/>
      <c r="F5060" s="20"/>
      <c r="G5060" s="17"/>
    </row>
    <row r="5061" spans="2:7" x14ac:dyDescent="0.25">
      <c r="B5061" s="15"/>
      <c r="C5061" s="15"/>
      <c r="D5061" s="16"/>
      <c r="E5061" s="16"/>
      <c r="F5061" s="20"/>
      <c r="G5061" s="17"/>
    </row>
    <row r="5062" spans="2:7" x14ac:dyDescent="0.25">
      <c r="B5062" s="15"/>
      <c r="C5062" s="15"/>
      <c r="D5062" s="16"/>
      <c r="E5062" s="16"/>
      <c r="F5062" s="20"/>
      <c r="G5062" s="17"/>
    </row>
    <row r="5063" spans="2:7" x14ac:dyDescent="0.25">
      <c r="B5063" s="15"/>
      <c r="C5063" s="15"/>
      <c r="D5063" s="16"/>
      <c r="E5063" s="16"/>
      <c r="F5063" s="20"/>
      <c r="G5063" s="17"/>
    </row>
    <row r="5064" spans="2:7" x14ac:dyDescent="0.25">
      <c r="B5064" s="15"/>
      <c r="C5064" s="15"/>
      <c r="D5064" s="16"/>
      <c r="E5064" s="16"/>
      <c r="F5064" s="20"/>
      <c r="G5064" s="17"/>
    </row>
    <row r="5065" spans="2:7" x14ac:dyDescent="0.25">
      <c r="B5065" s="15"/>
      <c r="C5065" s="15"/>
      <c r="D5065" s="16"/>
      <c r="E5065" s="16"/>
      <c r="F5065" s="20"/>
      <c r="G5065" s="17"/>
    </row>
    <row r="5066" spans="2:7" x14ac:dyDescent="0.25">
      <c r="B5066" s="15"/>
      <c r="C5066" s="15"/>
      <c r="D5066" s="16"/>
      <c r="E5066" s="16"/>
      <c r="F5066" s="20"/>
      <c r="G5066" s="16"/>
    </row>
    <row r="5067" spans="2:7" x14ac:dyDescent="0.25">
      <c r="B5067" s="15"/>
      <c r="C5067" s="15"/>
      <c r="D5067" s="16"/>
      <c r="E5067" s="16"/>
      <c r="F5067" s="20"/>
      <c r="G5067" s="16"/>
    </row>
    <row r="5068" spans="2:7" x14ac:dyDescent="0.25">
      <c r="B5068" s="15"/>
      <c r="C5068" s="15"/>
      <c r="D5068" s="16"/>
      <c r="E5068" s="16"/>
      <c r="F5068" s="20"/>
      <c r="G5068" s="17"/>
    </row>
    <row r="5069" spans="2:7" x14ac:dyDescent="0.25">
      <c r="B5069" s="15"/>
      <c r="C5069" s="15"/>
      <c r="D5069" s="16"/>
      <c r="E5069" s="16"/>
      <c r="F5069" s="20"/>
      <c r="G5069" s="17"/>
    </row>
    <row r="5070" spans="2:7" x14ac:dyDescent="0.25">
      <c r="B5070" s="15"/>
      <c r="C5070" s="15"/>
      <c r="D5070" s="16"/>
      <c r="E5070" s="16"/>
      <c r="F5070" s="20"/>
      <c r="G5070" s="17"/>
    </row>
    <row r="5071" spans="2:7" x14ac:dyDescent="0.25">
      <c r="B5071" s="15"/>
      <c r="C5071" s="15"/>
      <c r="D5071" s="16"/>
      <c r="E5071" s="16"/>
      <c r="F5071" s="20"/>
      <c r="G5071" s="17"/>
    </row>
    <row r="5072" spans="2:7" x14ac:dyDescent="0.25">
      <c r="B5072" s="15"/>
      <c r="C5072" s="15"/>
      <c r="D5072" s="16"/>
      <c r="E5072" s="16"/>
      <c r="F5072" s="20"/>
      <c r="G5072" s="17"/>
    </row>
    <row r="5073" spans="2:7" x14ac:dyDescent="0.25">
      <c r="B5073" s="15"/>
      <c r="C5073" s="15"/>
      <c r="D5073" s="16"/>
      <c r="E5073" s="16"/>
      <c r="F5073" s="20"/>
      <c r="G5073" s="17"/>
    </row>
    <row r="5074" spans="2:7" x14ac:dyDescent="0.25">
      <c r="B5074" s="15"/>
      <c r="C5074" s="15"/>
      <c r="D5074" s="16"/>
      <c r="E5074" s="16"/>
      <c r="F5074" s="20"/>
      <c r="G5074" s="17"/>
    </row>
    <row r="5075" spans="2:7" x14ac:dyDescent="0.25">
      <c r="B5075" s="15"/>
      <c r="C5075" s="15"/>
      <c r="D5075" s="16"/>
      <c r="E5075" s="16"/>
      <c r="F5075" s="20"/>
      <c r="G5075" s="17"/>
    </row>
    <row r="5076" spans="2:7" x14ac:dyDescent="0.25">
      <c r="B5076" s="15"/>
      <c r="C5076" s="15"/>
      <c r="D5076" s="16"/>
      <c r="E5076" s="16"/>
      <c r="F5076" s="20"/>
      <c r="G5076" s="17"/>
    </row>
    <row r="5077" spans="2:7" x14ac:dyDescent="0.25">
      <c r="B5077" s="15"/>
      <c r="C5077" s="15"/>
      <c r="D5077" s="16"/>
      <c r="E5077" s="16"/>
      <c r="F5077" s="20"/>
      <c r="G5077" s="17"/>
    </row>
    <row r="5078" spans="2:7" x14ac:dyDescent="0.25">
      <c r="B5078" s="15"/>
      <c r="C5078" s="15"/>
      <c r="D5078" s="16"/>
      <c r="E5078" s="16"/>
      <c r="F5078" s="20"/>
      <c r="G5078" s="17"/>
    </row>
    <row r="5079" spans="2:7" x14ac:dyDescent="0.25">
      <c r="B5079" s="15"/>
      <c r="C5079" s="15"/>
      <c r="D5079" s="16"/>
      <c r="E5079" s="16"/>
      <c r="F5079" s="20"/>
      <c r="G5079" s="17"/>
    </row>
    <row r="5080" spans="2:7" x14ac:dyDescent="0.25">
      <c r="B5080" s="15"/>
      <c r="C5080" s="15"/>
      <c r="D5080" s="16"/>
      <c r="E5080" s="16"/>
      <c r="F5080" s="20"/>
      <c r="G5080" s="17"/>
    </row>
    <row r="5081" spans="2:7" x14ac:dyDescent="0.25">
      <c r="B5081" s="15"/>
      <c r="C5081" s="15"/>
      <c r="D5081" s="16"/>
      <c r="E5081" s="16"/>
      <c r="F5081" s="20"/>
      <c r="G5081" s="17"/>
    </row>
    <row r="5082" spans="2:7" x14ac:dyDescent="0.25">
      <c r="B5082" s="15"/>
      <c r="C5082" s="15"/>
      <c r="D5082" s="16"/>
      <c r="E5082" s="16"/>
      <c r="F5082" s="20"/>
      <c r="G5082" s="17"/>
    </row>
    <row r="5083" spans="2:7" x14ac:dyDescent="0.25">
      <c r="B5083" s="15"/>
      <c r="C5083" s="15"/>
      <c r="D5083" s="16"/>
      <c r="E5083" s="16"/>
      <c r="F5083" s="20"/>
      <c r="G5083" s="17"/>
    </row>
    <row r="5084" spans="2:7" x14ac:dyDescent="0.25">
      <c r="B5084" s="15"/>
      <c r="C5084" s="15"/>
      <c r="D5084" s="16"/>
      <c r="E5084" s="16"/>
      <c r="F5084" s="20"/>
      <c r="G5084" s="17"/>
    </row>
    <row r="5085" spans="2:7" x14ac:dyDescent="0.25">
      <c r="B5085" s="15"/>
      <c r="C5085" s="15"/>
      <c r="D5085" s="16"/>
      <c r="E5085" s="16"/>
      <c r="F5085" s="20"/>
      <c r="G5085" s="17"/>
    </row>
    <row r="5086" spans="2:7" x14ac:dyDescent="0.25">
      <c r="B5086" s="15"/>
      <c r="C5086" s="15"/>
      <c r="D5086" s="16"/>
      <c r="E5086" s="16"/>
      <c r="F5086" s="20"/>
      <c r="G5086" s="17"/>
    </row>
    <row r="5087" spans="2:7" x14ac:dyDescent="0.25">
      <c r="B5087" s="15"/>
      <c r="C5087" s="15"/>
      <c r="D5087" s="16"/>
      <c r="E5087" s="16"/>
      <c r="F5087" s="20"/>
      <c r="G5087" s="17"/>
    </row>
    <row r="5088" spans="2:7" x14ac:dyDescent="0.25">
      <c r="B5088" s="15"/>
      <c r="C5088" s="15"/>
      <c r="D5088" s="16"/>
      <c r="E5088" s="16"/>
      <c r="F5088" s="20"/>
      <c r="G5088" s="17"/>
    </row>
    <row r="5089" spans="2:7" x14ac:dyDescent="0.25">
      <c r="B5089" s="15"/>
      <c r="C5089" s="15"/>
      <c r="D5089" s="16"/>
      <c r="E5089" s="16"/>
      <c r="F5089" s="20"/>
      <c r="G5089" s="17"/>
    </row>
    <row r="5090" spans="2:7" x14ac:dyDescent="0.25">
      <c r="B5090" s="15"/>
      <c r="C5090" s="15"/>
      <c r="D5090" s="16"/>
      <c r="E5090" s="16"/>
      <c r="F5090" s="20"/>
      <c r="G5090" s="17"/>
    </row>
    <row r="5091" spans="2:7" x14ac:dyDescent="0.25">
      <c r="B5091" s="15"/>
      <c r="C5091" s="15"/>
      <c r="D5091" s="16"/>
      <c r="E5091" s="16"/>
      <c r="F5091" s="20"/>
      <c r="G5091" s="17"/>
    </row>
    <row r="5092" spans="2:7" x14ac:dyDescent="0.25">
      <c r="B5092" s="15"/>
      <c r="C5092" s="15"/>
      <c r="D5092" s="16"/>
      <c r="E5092" s="16"/>
      <c r="F5092" s="20"/>
      <c r="G5092" s="17"/>
    </row>
    <row r="5093" spans="2:7" x14ac:dyDescent="0.25">
      <c r="B5093" s="15"/>
      <c r="C5093" s="15"/>
      <c r="D5093" s="16"/>
      <c r="E5093" s="16"/>
      <c r="F5093" s="20"/>
      <c r="G5093" s="17"/>
    </row>
    <row r="5094" spans="2:7" x14ac:dyDescent="0.25">
      <c r="B5094" s="15"/>
      <c r="C5094" s="15"/>
      <c r="D5094" s="16"/>
      <c r="E5094" s="16"/>
      <c r="F5094" s="20"/>
      <c r="G5094" s="17"/>
    </row>
    <row r="5095" spans="2:7" x14ac:dyDescent="0.25">
      <c r="B5095" s="15"/>
      <c r="C5095" s="15"/>
      <c r="D5095" s="16"/>
      <c r="E5095" s="16"/>
      <c r="F5095" s="20"/>
      <c r="G5095" s="17"/>
    </row>
    <row r="5096" spans="2:7" x14ac:dyDescent="0.25">
      <c r="B5096" s="15"/>
      <c r="C5096" s="15"/>
      <c r="D5096" s="16"/>
      <c r="E5096" s="16"/>
      <c r="F5096" s="20"/>
      <c r="G5096" s="17"/>
    </row>
    <row r="5097" spans="2:7" x14ac:dyDescent="0.25">
      <c r="B5097" s="15"/>
      <c r="C5097" s="15"/>
      <c r="D5097" s="16"/>
      <c r="E5097" s="16"/>
      <c r="F5097" s="20"/>
      <c r="G5097" s="17"/>
    </row>
    <row r="5098" spans="2:7" x14ac:dyDescent="0.25">
      <c r="B5098" s="15"/>
      <c r="C5098" s="15"/>
      <c r="D5098" s="16"/>
      <c r="E5098" s="16"/>
      <c r="F5098" s="20"/>
      <c r="G5098" s="17"/>
    </row>
    <row r="5099" spans="2:7" x14ac:dyDescent="0.25">
      <c r="B5099" s="15"/>
      <c r="C5099" s="15"/>
      <c r="D5099" s="16"/>
      <c r="E5099" s="16"/>
      <c r="F5099" s="20"/>
      <c r="G5099" s="17"/>
    </row>
    <row r="5100" spans="2:7" x14ac:dyDescent="0.25">
      <c r="B5100" s="15"/>
      <c r="C5100" s="15"/>
      <c r="D5100" s="16"/>
      <c r="E5100" s="16"/>
      <c r="F5100" s="20"/>
      <c r="G5100" s="17"/>
    </row>
    <row r="5101" spans="2:7" x14ac:dyDescent="0.25">
      <c r="B5101" s="15"/>
      <c r="C5101" s="15"/>
      <c r="D5101" s="16"/>
      <c r="E5101" s="16"/>
      <c r="F5101" s="20"/>
      <c r="G5101" s="17"/>
    </row>
    <row r="5102" spans="2:7" x14ac:dyDescent="0.25">
      <c r="B5102" s="15"/>
      <c r="C5102" s="15"/>
      <c r="D5102" s="16"/>
      <c r="E5102" s="16"/>
      <c r="F5102" s="20"/>
      <c r="G5102" s="17"/>
    </row>
    <row r="5103" spans="2:7" x14ac:dyDescent="0.25">
      <c r="B5103" s="15"/>
      <c r="C5103" s="15"/>
      <c r="D5103" s="16"/>
      <c r="E5103" s="16"/>
      <c r="F5103" s="20"/>
      <c r="G5103" s="17"/>
    </row>
    <row r="5104" spans="2:7" x14ac:dyDescent="0.25">
      <c r="B5104" s="15"/>
      <c r="C5104" s="15"/>
      <c r="D5104" s="16"/>
      <c r="E5104" s="16"/>
      <c r="F5104" s="20"/>
      <c r="G5104" s="17"/>
    </row>
    <row r="5105" spans="2:7" x14ac:dyDescent="0.25">
      <c r="B5105" s="15"/>
      <c r="C5105" s="15"/>
      <c r="D5105" s="16"/>
      <c r="E5105" s="16"/>
      <c r="F5105" s="20"/>
      <c r="G5105" s="17"/>
    </row>
    <row r="5106" spans="2:7" x14ac:dyDescent="0.25">
      <c r="B5106" s="15"/>
      <c r="C5106" s="15"/>
      <c r="D5106" s="16"/>
      <c r="E5106" s="16"/>
      <c r="F5106" s="20"/>
      <c r="G5106" s="17"/>
    </row>
    <row r="5107" spans="2:7" x14ac:dyDescent="0.25">
      <c r="B5107" s="15"/>
      <c r="C5107" s="15"/>
      <c r="D5107" s="16"/>
      <c r="E5107" s="16"/>
      <c r="F5107" s="20"/>
      <c r="G5107" s="17"/>
    </row>
    <row r="5108" spans="2:7" x14ac:dyDescent="0.25">
      <c r="B5108" s="15"/>
      <c r="C5108" s="15"/>
      <c r="D5108" s="16"/>
      <c r="E5108" s="16"/>
      <c r="F5108" s="20"/>
      <c r="G5108" s="17"/>
    </row>
    <row r="5109" spans="2:7" x14ac:dyDescent="0.25">
      <c r="B5109" s="15"/>
      <c r="C5109" s="15"/>
      <c r="D5109" s="16"/>
      <c r="E5109" s="16"/>
      <c r="F5109" s="20"/>
      <c r="G5109" s="17"/>
    </row>
    <row r="5110" spans="2:7" x14ac:dyDescent="0.25">
      <c r="B5110" s="15"/>
      <c r="C5110" s="15"/>
      <c r="D5110" s="16"/>
      <c r="E5110" s="16"/>
      <c r="F5110" s="20"/>
      <c r="G5110" s="17"/>
    </row>
    <row r="5111" spans="2:7" x14ac:dyDescent="0.25">
      <c r="B5111" s="15"/>
      <c r="C5111" s="15"/>
      <c r="D5111" s="16"/>
      <c r="E5111" s="16"/>
      <c r="F5111" s="20"/>
      <c r="G5111" s="17"/>
    </row>
    <row r="5112" spans="2:7" x14ac:dyDescent="0.25">
      <c r="B5112" s="15"/>
      <c r="C5112" s="15"/>
      <c r="D5112" s="16"/>
      <c r="E5112" s="16"/>
      <c r="F5112" s="20"/>
      <c r="G5112" s="17"/>
    </row>
    <row r="5113" spans="2:7" x14ac:dyDescent="0.25">
      <c r="B5113" s="15"/>
      <c r="C5113" s="15"/>
      <c r="D5113" s="16"/>
      <c r="E5113" s="16"/>
      <c r="F5113" s="20"/>
      <c r="G5113" s="17"/>
    </row>
    <row r="5114" spans="2:7" x14ac:dyDescent="0.25">
      <c r="B5114" s="15"/>
      <c r="C5114" s="15"/>
      <c r="D5114" s="16"/>
      <c r="E5114" s="16"/>
      <c r="F5114" s="20"/>
      <c r="G5114" s="17"/>
    </row>
    <row r="5115" spans="2:7" x14ac:dyDescent="0.25">
      <c r="B5115" s="15"/>
      <c r="C5115" s="15"/>
      <c r="D5115" s="16"/>
      <c r="E5115" s="16"/>
      <c r="F5115" s="20"/>
      <c r="G5115" s="17"/>
    </row>
    <row r="5116" spans="2:7" x14ac:dyDescent="0.25">
      <c r="B5116" s="15"/>
      <c r="C5116" s="15"/>
      <c r="D5116" s="16"/>
      <c r="E5116" s="16"/>
      <c r="F5116" s="20"/>
      <c r="G5116" s="17"/>
    </row>
    <row r="5117" spans="2:7" x14ac:dyDescent="0.25">
      <c r="B5117" s="15"/>
      <c r="C5117" s="15"/>
      <c r="D5117" s="16"/>
      <c r="E5117" s="16"/>
      <c r="F5117" s="20"/>
      <c r="G5117" s="17"/>
    </row>
    <row r="5118" spans="2:7" x14ac:dyDescent="0.25">
      <c r="B5118" s="15"/>
      <c r="C5118" s="15"/>
      <c r="D5118" s="16"/>
      <c r="E5118" s="16"/>
      <c r="F5118" s="20"/>
      <c r="G5118" s="17"/>
    </row>
    <row r="5119" spans="2:7" x14ac:dyDescent="0.25">
      <c r="B5119" s="15"/>
      <c r="C5119" s="15"/>
      <c r="D5119" s="16"/>
      <c r="E5119" s="16"/>
      <c r="F5119" s="20"/>
      <c r="G5119" s="17"/>
    </row>
    <row r="5120" spans="2:7" x14ac:dyDescent="0.25">
      <c r="B5120" s="15"/>
      <c r="C5120" s="15"/>
      <c r="D5120" s="16"/>
      <c r="E5120" s="16"/>
      <c r="F5120" s="20"/>
      <c r="G5120" s="17"/>
    </row>
    <row r="5121" spans="2:7" x14ac:dyDescent="0.25">
      <c r="B5121" s="15"/>
      <c r="C5121" s="15"/>
      <c r="D5121" s="16"/>
      <c r="E5121" s="16"/>
      <c r="F5121" s="20"/>
      <c r="G5121" s="17"/>
    </row>
    <row r="5122" spans="2:7" x14ac:dyDescent="0.25">
      <c r="B5122" s="15"/>
      <c r="C5122" s="15"/>
      <c r="D5122" s="16"/>
      <c r="E5122" s="16"/>
      <c r="F5122" s="20"/>
      <c r="G5122" s="17"/>
    </row>
    <row r="5123" spans="2:7" x14ac:dyDescent="0.25">
      <c r="B5123" s="15"/>
      <c r="C5123" s="15"/>
      <c r="D5123" s="16"/>
      <c r="E5123" s="16"/>
      <c r="F5123" s="20"/>
      <c r="G5123" s="17"/>
    </row>
    <row r="5124" spans="2:7" x14ac:dyDescent="0.25">
      <c r="B5124" s="15"/>
      <c r="C5124" s="15"/>
      <c r="D5124" s="16"/>
      <c r="E5124" s="16"/>
      <c r="F5124" s="20"/>
      <c r="G5124" s="17"/>
    </row>
    <row r="5125" spans="2:7" x14ac:dyDescent="0.25">
      <c r="B5125" s="15"/>
      <c r="C5125" s="15"/>
      <c r="D5125" s="16"/>
      <c r="E5125" s="16"/>
      <c r="F5125" s="20"/>
      <c r="G5125" s="17"/>
    </row>
    <row r="5126" spans="2:7" x14ac:dyDescent="0.25">
      <c r="B5126" s="15"/>
      <c r="C5126" s="15"/>
      <c r="D5126" s="16"/>
      <c r="E5126" s="16"/>
      <c r="F5126" s="20"/>
      <c r="G5126" s="17"/>
    </row>
    <row r="5127" spans="2:7" x14ac:dyDescent="0.25">
      <c r="B5127" s="15"/>
      <c r="C5127" s="15"/>
      <c r="D5127" s="16"/>
      <c r="E5127" s="16"/>
      <c r="F5127" s="20"/>
      <c r="G5127" s="17"/>
    </row>
    <row r="5128" spans="2:7" x14ac:dyDescent="0.25">
      <c r="B5128" s="15"/>
      <c r="C5128" s="15"/>
      <c r="D5128" s="16"/>
      <c r="E5128" s="16"/>
      <c r="F5128" s="20"/>
      <c r="G5128" s="17"/>
    </row>
    <row r="5129" spans="2:7" x14ac:dyDescent="0.25">
      <c r="B5129" s="15"/>
      <c r="C5129" s="15"/>
      <c r="D5129" s="16"/>
      <c r="E5129" s="16"/>
      <c r="F5129" s="20"/>
      <c r="G5129" s="17"/>
    </row>
    <row r="5130" spans="2:7" x14ac:dyDescent="0.25">
      <c r="B5130" s="15"/>
      <c r="C5130" s="15"/>
      <c r="D5130" s="16"/>
      <c r="E5130" s="16"/>
      <c r="F5130" s="20"/>
      <c r="G5130" s="17"/>
    </row>
    <row r="5131" spans="2:7" x14ac:dyDescent="0.25">
      <c r="B5131" s="15"/>
      <c r="C5131" s="15"/>
      <c r="D5131" s="16"/>
      <c r="E5131" s="16"/>
      <c r="F5131" s="20"/>
      <c r="G5131" s="17"/>
    </row>
    <row r="5132" spans="2:7" x14ac:dyDescent="0.25">
      <c r="B5132" s="15"/>
      <c r="C5132" s="15"/>
      <c r="D5132" s="16"/>
      <c r="E5132" s="16"/>
      <c r="F5132" s="20"/>
      <c r="G5132" s="17"/>
    </row>
    <row r="5133" spans="2:7" x14ac:dyDescent="0.25">
      <c r="B5133" s="15"/>
      <c r="C5133" s="15"/>
      <c r="D5133" s="16"/>
      <c r="E5133" s="16"/>
      <c r="F5133" s="20"/>
      <c r="G5133" s="17"/>
    </row>
    <row r="5134" spans="2:7" x14ac:dyDescent="0.25">
      <c r="B5134" s="15"/>
      <c r="C5134" s="15"/>
      <c r="D5134" s="16"/>
      <c r="E5134" s="16"/>
      <c r="F5134" s="20"/>
      <c r="G5134" s="17"/>
    </row>
    <row r="5135" spans="2:7" x14ac:dyDescent="0.25">
      <c r="B5135" s="15"/>
      <c r="C5135" s="15"/>
      <c r="D5135" s="16"/>
      <c r="E5135" s="16"/>
      <c r="F5135" s="20"/>
      <c r="G5135" s="17"/>
    </row>
    <row r="5136" spans="2:7" x14ac:dyDescent="0.25">
      <c r="B5136" s="15"/>
      <c r="C5136" s="15"/>
      <c r="D5136" s="16"/>
      <c r="E5136" s="16"/>
      <c r="F5136" s="20"/>
      <c r="G5136" s="17"/>
    </row>
    <row r="5137" spans="2:7" x14ac:dyDescent="0.25">
      <c r="B5137" s="15"/>
      <c r="C5137" s="15"/>
      <c r="D5137" s="16"/>
      <c r="E5137" s="16"/>
      <c r="F5137" s="20"/>
      <c r="G5137" s="17"/>
    </row>
    <row r="5138" spans="2:7" x14ac:dyDescent="0.25">
      <c r="B5138" s="15"/>
      <c r="C5138" s="15"/>
      <c r="D5138" s="16"/>
      <c r="E5138" s="16"/>
      <c r="F5138" s="20"/>
      <c r="G5138" s="17"/>
    </row>
    <row r="5139" spans="2:7" x14ac:dyDescent="0.25">
      <c r="B5139" s="15"/>
      <c r="C5139" s="15"/>
      <c r="D5139" s="16"/>
      <c r="E5139" s="16"/>
      <c r="F5139" s="20"/>
      <c r="G5139" s="17"/>
    </row>
    <row r="5140" spans="2:7" x14ac:dyDescent="0.25">
      <c r="B5140" s="15"/>
      <c r="C5140" s="15"/>
      <c r="D5140" s="16"/>
      <c r="E5140" s="16"/>
      <c r="F5140" s="20"/>
      <c r="G5140" s="17"/>
    </row>
    <row r="5141" spans="2:7" x14ac:dyDescent="0.25">
      <c r="B5141" s="15"/>
      <c r="C5141" s="15"/>
      <c r="D5141" s="16"/>
      <c r="E5141" s="16"/>
      <c r="F5141" s="20"/>
      <c r="G5141" s="17"/>
    </row>
    <row r="5142" spans="2:7" x14ac:dyDescent="0.25">
      <c r="B5142" s="15"/>
      <c r="C5142" s="15"/>
      <c r="D5142" s="16"/>
      <c r="E5142" s="16"/>
      <c r="F5142" s="20"/>
      <c r="G5142" s="17"/>
    </row>
    <row r="5143" spans="2:7" x14ac:dyDescent="0.25">
      <c r="B5143" s="15"/>
      <c r="C5143" s="15"/>
      <c r="D5143" s="16"/>
      <c r="E5143" s="16"/>
      <c r="F5143" s="20"/>
      <c r="G5143" s="17"/>
    </row>
    <row r="5144" spans="2:7" x14ac:dyDescent="0.25">
      <c r="B5144" s="15"/>
      <c r="C5144" s="15"/>
      <c r="D5144" s="16"/>
      <c r="E5144" s="16"/>
      <c r="F5144" s="20"/>
      <c r="G5144" s="17"/>
    </row>
    <row r="5145" spans="2:7" x14ac:dyDescent="0.25">
      <c r="B5145" s="15"/>
      <c r="C5145" s="15"/>
      <c r="D5145" s="16"/>
      <c r="E5145" s="16"/>
      <c r="F5145" s="20"/>
      <c r="G5145" s="17"/>
    </row>
    <row r="5146" spans="2:7" x14ac:dyDescent="0.25">
      <c r="B5146" s="15"/>
      <c r="C5146" s="15"/>
      <c r="D5146" s="16"/>
      <c r="E5146" s="16"/>
      <c r="F5146" s="20"/>
      <c r="G5146" s="17"/>
    </row>
    <row r="5147" spans="2:7" x14ac:dyDescent="0.25">
      <c r="B5147" s="15"/>
      <c r="C5147" s="15"/>
      <c r="D5147" s="16"/>
      <c r="E5147" s="16"/>
      <c r="F5147" s="20"/>
      <c r="G5147" s="17"/>
    </row>
    <row r="5148" spans="2:7" x14ac:dyDescent="0.25">
      <c r="B5148" s="15"/>
      <c r="C5148" s="15"/>
      <c r="D5148" s="16"/>
      <c r="E5148" s="16"/>
      <c r="F5148" s="20"/>
      <c r="G5148" s="17"/>
    </row>
    <row r="5149" spans="2:7" x14ac:dyDescent="0.25">
      <c r="B5149" s="15"/>
      <c r="C5149" s="15"/>
      <c r="D5149" s="16"/>
      <c r="E5149" s="16"/>
      <c r="F5149" s="20"/>
      <c r="G5149" s="17"/>
    </row>
    <row r="5150" spans="2:7" x14ac:dyDescent="0.25">
      <c r="B5150" s="15"/>
      <c r="C5150" s="15"/>
      <c r="D5150" s="16"/>
      <c r="E5150" s="16"/>
      <c r="F5150" s="20"/>
      <c r="G5150" s="17"/>
    </row>
    <row r="5151" spans="2:7" x14ac:dyDescent="0.25">
      <c r="B5151" s="15"/>
      <c r="C5151" s="15"/>
      <c r="D5151" s="16"/>
      <c r="E5151" s="16"/>
      <c r="F5151" s="20"/>
      <c r="G5151" s="17"/>
    </row>
    <row r="5152" spans="2:7" x14ac:dyDescent="0.25">
      <c r="B5152" s="15"/>
      <c r="C5152" s="15"/>
      <c r="D5152" s="16"/>
      <c r="E5152" s="16"/>
      <c r="F5152" s="20"/>
      <c r="G5152" s="17"/>
    </row>
    <row r="5153" spans="2:7" x14ac:dyDescent="0.25">
      <c r="B5153" s="15"/>
      <c r="C5153" s="15"/>
      <c r="D5153" s="16"/>
      <c r="E5153" s="16"/>
      <c r="F5153" s="20"/>
      <c r="G5153" s="17"/>
    </row>
    <row r="5154" spans="2:7" x14ac:dyDescent="0.25">
      <c r="B5154" s="15"/>
      <c r="C5154" s="15"/>
      <c r="D5154" s="16"/>
      <c r="E5154" s="16"/>
      <c r="F5154" s="20"/>
      <c r="G5154" s="17"/>
    </row>
    <row r="5155" spans="2:7" x14ac:dyDescent="0.25">
      <c r="B5155" s="15"/>
      <c r="C5155" s="15"/>
      <c r="D5155" s="16"/>
      <c r="E5155" s="16"/>
      <c r="F5155" s="20"/>
      <c r="G5155" s="17"/>
    </row>
    <row r="5156" spans="2:7" x14ac:dyDescent="0.25">
      <c r="B5156" s="15"/>
      <c r="C5156" s="15"/>
      <c r="D5156" s="16"/>
      <c r="E5156" s="16"/>
      <c r="F5156" s="20"/>
      <c r="G5156" s="17"/>
    </row>
    <row r="5157" spans="2:7" x14ac:dyDescent="0.25">
      <c r="B5157" s="15"/>
      <c r="C5157" s="15"/>
      <c r="D5157" s="16"/>
      <c r="E5157" s="16"/>
      <c r="F5157" s="20"/>
      <c r="G5157" s="17"/>
    </row>
    <row r="5158" spans="2:7" x14ac:dyDescent="0.25">
      <c r="B5158" s="15"/>
      <c r="C5158" s="15"/>
      <c r="D5158" s="16"/>
      <c r="E5158" s="16"/>
      <c r="F5158" s="20"/>
      <c r="G5158" s="17"/>
    </row>
    <row r="5159" spans="2:7" x14ac:dyDescent="0.25">
      <c r="B5159" s="15"/>
      <c r="C5159" s="15"/>
      <c r="D5159" s="16"/>
      <c r="E5159" s="16"/>
      <c r="F5159" s="20"/>
      <c r="G5159" s="17"/>
    </row>
    <row r="5160" spans="2:7" x14ac:dyDescent="0.25">
      <c r="B5160" s="15"/>
      <c r="C5160" s="15"/>
      <c r="D5160" s="16"/>
      <c r="E5160" s="16"/>
      <c r="F5160" s="20"/>
      <c r="G5160" s="17"/>
    </row>
    <row r="5161" spans="2:7" x14ac:dyDescent="0.25">
      <c r="B5161" s="15"/>
      <c r="C5161" s="15"/>
      <c r="D5161" s="16"/>
      <c r="E5161" s="16"/>
      <c r="F5161" s="20"/>
      <c r="G5161" s="17"/>
    </row>
    <row r="5162" spans="2:7" x14ac:dyDescent="0.25">
      <c r="B5162" s="15"/>
      <c r="C5162" s="15"/>
      <c r="D5162" s="16"/>
      <c r="E5162" s="16"/>
      <c r="F5162" s="20"/>
      <c r="G5162" s="17"/>
    </row>
    <row r="5163" spans="2:7" x14ac:dyDescent="0.25">
      <c r="B5163" s="15"/>
      <c r="C5163" s="15"/>
      <c r="D5163" s="16"/>
      <c r="E5163" s="16"/>
      <c r="F5163" s="20"/>
      <c r="G5163" s="17"/>
    </row>
    <row r="5164" spans="2:7" x14ac:dyDescent="0.25">
      <c r="B5164" s="15"/>
      <c r="C5164" s="15"/>
      <c r="D5164" s="16"/>
      <c r="E5164" s="16"/>
      <c r="F5164" s="20"/>
      <c r="G5164" s="17"/>
    </row>
    <row r="5165" spans="2:7" x14ac:dyDescent="0.25">
      <c r="B5165" s="15"/>
      <c r="C5165" s="15"/>
      <c r="D5165" s="16"/>
      <c r="E5165" s="16"/>
      <c r="F5165" s="20"/>
      <c r="G5165" s="17"/>
    </row>
    <row r="5166" spans="2:7" x14ac:dyDescent="0.25">
      <c r="B5166" s="15"/>
      <c r="C5166" s="15"/>
      <c r="D5166" s="16"/>
      <c r="E5166" s="16"/>
      <c r="F5166" s="20"/>
      <c r="G5166" s="17"/>
    </row>
    <row r="5167" spans="2:7" x14ac:dyDescent="0.25">
      <c r="B5167" s="15"/>
      <c r="C5167" s="15"/>
      <c r="D5167" s="16"/>
      <c r="E5167" s="16"/>
      <c r="F5167" s="20"/>
      <c r="G5167" s="17"/>
    </row>
    <row r="5168" spans="2:7" x14ac:dyDescent="0.25">
      <c r="B5168" s="15"/>
      <c r="C5168" s="15"/>
      <c r="D5168" s="16"/>
      <c r="E5168" s="16"/>
      <c r="F5168" s="20"/>
      <c r="G5168" s="17"/>
    </row>
    <row r="5169" spans="2:7" x14ac:dyDescent="0.25">
      <c r="B5169" s="15"/>
      <c r="C5169" s="15"/>
      <c r="D5169" s="16"/>
      <c r="E5169" s="16"/>
      <c r="F5169" s="20"/>
      <c r="G5169" s="17"/>
    </row>
    <row r="5170" spans="2:7" x14ac:dyDescent="0.25">
      <c r="B5170" s="15"/>
      <c r="C5170" s="15"/>
      <c r="D5170" s="16"/>
      <c r="E5170" s="16"/>
      <c r="F5170" s="20"/>
      <c r="G5170" s="17"/>
    </row>
    <row r="5171" spans="2:7" x14ac:dyDescent="0.25">
      <c r="B5171" s="15"/>
      <c r="C5171" s="15"/>
      <c r="D5171" s="16"/>
      <c r="E5171" s="16"/>
      <c r="F5171" s="20"/>
      <c r="G5171" s="17"/>
    </row>
    <row r="5172" spans="2:7" x14ac:dyDescent="0.25">
      <c r="B5172" s="15"/>
      <c r="C5172" s="15"/>
      <c r="D5172" s="16"/>
      <c r="E5172" s="16"/>
      <c r="F5172" s="20"/>
      <c r="G5172" s="17"/>
    </row>
    <row r="5173" spans="2:7" x14ac:dyDescent="0.25">
      <c r="B5173" s="15"/>
      <c r="C5173" s="15"/>
      <c r="D5173" s="16"/>
      <c r="E5173" s="16"/>
      <c r="F5173" s="20"/>
      <c r="G5173" s="17"/>
    </row>
    <row r="5174" spans="2:7" x14ac:dyDescent="0.25">
      <c r="B5174" s="15"/>
      <c r="C5174" s="15"/>
      <c r="D5174" s="16"/>
      <c r="E5174" s="16"/>
      <c r="F5174" s="20"/>
      <c r="G5174" s="17"/>
    </row>
    <row r="5175" spans="2:7" x14ac:dyDescent="0.25">
      <c r="B5175" s="15"/>
      <c r="C5175" s="15"/>
      <c r="D5175" s="16"/>
      <c r="E5175" s="16"/>
      <c r="F5175" s="20"/>
      <c r="G5175" s="17"/>
    </row>
    <row r="5176" spans="2:7" x14ac:dyDescent="0.25">
      <c r="B5176" s="15"/>
      <c r="C5176" s="15"/>
      <c r="D5176" s="16"/>
      <c r="E5176" s="16"/>
      <c r="F5176" s="20"/>
      <c r="G5176" s="17"/>
    </row>
    <row r="5177" spans="2:7" x14ac:dyDescent="0.25">
      <c r="B5177" s="15"/>
      <c r="C5177" s="15"/>
      <c r="D5177" s="16"/>
      <c r="E5177" s="16"/>
      <c r="F5177" s="20"/>
      <c r="G5177" s="17"/>
    </row>
    <row r="5178" spans="2:7" x14ac:dyDescent="0.25">
      <c r="B5178" s="15"/>
      <c r="C5178" s="15"/>
      <c r="D5178" s="16"/>
      <c r="E5178" s="16"/>
      <c r="F5178" s="20"/>
      <c r="G5178" s="17"/>
    </row>
    <row r="5179" spans="2:7" x14ac:dyDescent="0.25">
      <c r="B5179" s="15"/>
      <c r="C5179" s="15"/>
      <c r="D5179" s="16"/>
      <c r="E5179" s="16"/>
      <c r="F5179" s="20"/>
      <c r="G5179" s="17"/>
    </row>
    <row r="5180" spans="2:7" x14ac:dyDescent="0.25">
      <c r="B5180" s="15"/>
      <c r="C5180" s="15"/>
      <c r="D5180" s="16"/>
      <c r="E5180" s="16"/>
      <c r="F5180" s="20"/>
      <c r="G5180" s="17"/>
    </row>
    <row r="5181" spans="2:7" x14ac:dyDescent="0.25">
      <c r="B5181" s="15"/>
      <c r="C5181" s="15"/>
      <c r="D5181" s="16"/>
      <c r="E5181" s="16"/>
      <c r="F5181" s="20"/>
      <c r="G5181" s="17"/>
    </row>
    <row r="5182" spans="2:7" x14ac:dyDescent="0.25">
      <c r="B5182" s="15"/>
      <c r="C5182" s="15"/>
      <c r="D5182" s="16"/>
      <c r="E5182" s="16"/>
      <c r="F5182" s="20"/>
      <c r="G5182" s="17"/>
    </row>
    <row r="5183" spans="2:7" x14ac:dyDescent="0.25">
      <c r="B5183" s="15"/>
      <c r="C5183" s="15"/>
      <c r="D5183" s="16"/>
      <c r="E5183" s="16"/>
      <c r="F5183" s="20"/>
      <c r="G5183" s="17"/>
    </row>
    <row r="5184" spans="2:7" x14ac:dyDescent="0.25">
      <c r="B5184" s="15"/>
      <c r="C5184" s="15"/>
      <c r="D5184" s="16"/>
      <c r="E5184" s="16"/>
      <c r="F5184" s="20"/>
      <c r="G5184" s="17"/>
    </row>
    <row r="5185" spans="2:7" x14ac:dyDescent="0.25">
      <c r="B5185" s="15"/>
      <c r="C5185" s="15"/>
      <c r="D5185" s="16"/>
      <c r="E5185" s="16"/>
      <c r="F5185" s="20"/>
      <c r="G5185" s="17"/>
    </row>
    <row r="5186" spans="2:7" x14ac:dyDescent="0.25">
      <c r="B5186" s="15"/>
      <c r="C5186" s="15"/>
      <c r="D5186" s="16"/>
      <c r="E5186" s="16"/>
      <c r="F5186" s="20"/>
      <c r="G5186" s="17"/>
    </row>
    <row r="5187" spans="2:7" x14ac:dyDescent="0.25">
      <c r="B5187" s="15"/>
      <c r="C5187" s="15"/>
      <c r="D5187" s="16"/>
      <c r="E5187" s="16"/>
      <c r="F5187" s="20"/>
      <c r="G5187" s="17"/>
    </row>
    <row r="5188" spans="2:7" x14ac:dyDescent="0.25">
      <c r="B5188" s="15"/>
      <c r="C5188" s="15"/>
      <c r="D5188" s="16"/>
      <c r="E5188" s="16"/>
      <c r="F5188" s="20"/>
      <c r="G5188" s="17"/>
    </row>
    <row r="5189" spans="2:7" x14ac:dyDescent="0.25">
      <c r="B5189" s="15"/>
      <c r="C5189" s="15"/>
      <c r="D5189" s="16"/>
      <c r="E5189" s="16"/>
      <c r="F5189" s="20"/>
      <c r="G5189" s="17"/>
    </row>
    <row r="5190" spans="2:7" x14ac:dyDescent="0.25">
      <c r="B5190" s="15"/>
      <c r="C5190" s="15"/>
      <c r="D5190" s="16"/>
      <c r="E5190" s="16"/>
      <c r="F5190" s="20"/>
      <c r="G5190" s="17"/>
    </row>
    <row r="5191" spans="2:7" x14ac:dyDescent="0.25">
      <c r="B5191" s="15"/>
      <c r="C5191" s="15"/>
      <c r="D5191" s="16"/>
      <c r="E5191" s="16"/>
      <c r="F5191" s="20"/>
      <c r="G5191" s="17"/>
    </row>
    <row r="5192" spans="2:7" x14ac:dyDescent="0.25">
      <c r="B5192" s="15"/>
      <c r="C5192" s="15"/>
      <c r="D5192" s="16"/>
      <c r="E5192" s="16"/>
      <c r="F5192" s="20"/>
      <c r="G5192" s="17"/>
    </row>
    <row r="5193" spans="2:7" x14ac:dyDescent="0.25">
      <c r="B5193" s="15"/>
      <c r="C5193" s="15"/>
      <c r="D5193" s="16"/>
      <c r="E5193" s="16"/>
      <c r="F5193" s="20"/>
      <c r="G5193" s="17"/>
    </row>
    <row r="5194" spans="2:7" x14ac:dyDescent="0.25">
      <c r="B5194" s="15"/>
      <c r="C5194" s="15"/>
      <c r="D5194" s="16"/>
      <c r="E5194" s="16"/>
      <c r="F5194" s="20"/>
      <c r="G5194" s="17"/>
    </row>
    <row r="5195" spans="2:7" x14ac:dyDescent="0.25">
      <c r="B5195" s="15"/>
      <c r="C5195" s="15"/>
      <c r="D5195" s="16"/>
      <c r="E5195" s="16"/>
      <c r="F5195" s="20"/>
      <c r="G5195" s="17"/>
    </row>
    <row r="5196" spans="2:7" x14ac:dyDescent="0.25">
      <c r="B5196" s="15"/>
      <c r="C5196" s="15"/>
      <c r="D5196" s="16"/>
      <c r="E5196" s="16"/>
      <c r="F5196" s="20"/>
      <c r="G5196" s="17"/>
    </row>
    <row r="5197" spans="2:7" x14ac:dyDescent="0.25">
      <c r="B5197" s="15"/>
      <c r="C5197" s="15"/>
      <c r="D5197" s="16"/>
      <c r="E5197" s="16"/>
      <c r="F5197" s="20"/>
      <c r="G5197" s="17"/>
    </row>
    <row r="5198" spans="2:7" x14ac:dyDescent="0.25">
      <c r="B5198" s="15"/>
      <c r="C5198" s="15"/>
      <c r="D5198" s="16"/>
      <c r="E5198" s="16"/>
      <c r="F5198" s="20"/>
      <c r="G5198" s="17"/>
    </row>
    <row r="5199" spans="2:7" x14ac:dyDescent="0.25">
      <c r="B5199" s="15"/>
      <c r="C5199" s="15"/>
      <c r="D5199" s="16"/>
      <c r="E5199" s="16"/>
      <c r="F5199" s="20"/>
      <c r="G5199" s="17"/>
    </row>
    <row r="5200" spans="2:7" x14ac:dyDescent="0.25">
      <c r="B5200" s="15"/>
      <c r="C5200" s="15"/>
      <c r="D5200" s="16"/>
      <c r="E5200" s="16"/>
      <c r="F5200" s="20"/>
      <c r="G5200" s="17"/>
    </row>
    <row r="5201" spans="2:7" x14ac:dyDescent="0.25">
      <c r="B5201" s="15"/>
      <c r="C5201" s="15"/>
      <c r="D5201" s="16"/>
      <c r="E5201" s="16"/>
      <c r="F5201" s="20"/>
      <c r="G5201" s="17"/>
    </row>
    <row r="5202" spans="2:7" x14ac:dyDescent="0.25">
      <c r="B5202" s="15"/>
      <c r="C5202" s="15"/>
      <c r="D5202" s="16"/>
      <c r="E5202" s="16"/>
      <c r="F5202" s="20"/>
      <c r="G5202" s="17"/>
    </row>
    <row r="5203" spans="2:7" x14ac:dyDescent="0.25">
      <c r="B5203" s="15"/>
      <c r="C5203" s="15"/>
      <c r="D5203" s="16"/>
      <c r="E5203" s="16"/>
      <c r="F5203" s="20"/>
      <c r="G5203" s="17"/>
    </row>
    <row r="5204" spans="2:7" x14ac:dyDescent="0.25">
      <c r="B5204" s="15"/>
      <c r="C5204" s="15"/>
      <c r="D5204" s="16"/>
      <c r="E5204" s="16"/>
      <c r="F5204" s="20"/>
      <c r="G5204" s="17"/>
    </row>
    <row r="5205" spans="2:7" x14ac:dyDescent="0.25">
      <c r="B5205" s="15"/>
      <c r="C5205" s="15"/>
      <c r="D5205" s="16"/>
      <c r="E5205" s="16"/>
      <c r="F5205" s="20"/>
      <c r="G5205" s="17"/>
    </row>
    <row r="5206" spans="2:7" x14ac:dyDescent="0.25">
      <c r="B5206" s="15"/>
      <c r="C5206" s="15"/>
      <c r="D5206" s="16"/>
      <c r="E5206" s="16"/>
      <c r="F5206" s="20"/>
      <c r="G5206" s="17"/>
    </row>
    <row r="5207" spans="2:7" x14ac:dyDescent="0.25">
      <c r="B5207" s="15"/>
      <c r="C5207" s="15"/>
      <c r="D5207" s="16"/>
      <c r="E5207" s="16"/>
      <c r="F5207" s="20"/>
      <c r="G5207" s="17"/>
    </row>
    <row r="5208" spans="2:7" x14ac:dyDescent="0.25">
      <c r="B5208" s="15"/>
      <c r="C5208" s="15"/>
      <c r="D5208" s="16"/>
      <c r="E5208" s="16"/>
      <c r="F5208" s="20"/>
      <c r="G5208" s="17"/>
    </row>
    <row r="5209" spans="2:7" x14ac:dyDescent="0.25">
      <c r="B5209" s="15"/>
      <c r="C5209" s="15"/>
      <c r="D5209" s="16"/>
      <c r="E5209" s="16"/>
      <c r="F5209" s="20"/>
      <c r="G5209" s="17"/>
    </row>
    <row r="5210" spans="2:7" x14ac:dyDescent="0.25">
      <c r="B5210" s="15"/>
      <c r="C5210" s="15"/>
      <c r="D5210" s="16"/>
      <c r="E5210" s="16"/>
      <c r="F5210" s="20"/>
      <c r="G5210" s="17"/>
    </row>
    <row r="5211" spans="2:7" x14ac:dyDescent="0.25">
      <c r="B5211" s="15"/>
      <c r="C5211" s="15"/>
      <c r="D5211" s="16"/>
      <c r="E5211" s="16"/>
      <c r="F5211" s="20"/>
      <c r="G5211" s="17"/>
    </row>
    <row r="5212" spans="2:7" x14ac:dyDescent="0.25">
      <c r="B5212" s="15"/>
      <c r="C5212" s="15"/>
      <c r="D5212" s="16"/>
      <c r="E5212" s="16"/>
      <c r="F5212" s="20"/>
      <c r="G5212" s="17"/>
    </row>
    <row r="5213" spans="2:7" x14ac:dyDescent="0.25">
      <c r="B5213" s="15"/>
      <c r="C5213" s="15"/>
      <c r="D5213" s="16"/>
      <c r="E5213" s="16"/>
      <c r="F5213" s="20"/>
      <c r="G5213" s="17"/>
    </row>
    <row r="5214" spans="2:7" x14ac:dyDescent="0.25">
      <c r="B5214" s="15"/>
      <c r="C5214" s="15"/>
      <c r="D5214" s="16"/>
      <c r="E5214" s="16"/>
      <c r="F5214" s="20"/>
      <c r="G5214" s="17"/>
    </row>
    <row r="5215" spans="2:7" x14ac:dyDescent="0.25">
      <c r="B5215" s="15"/>
      <c r="C5215" s="15"/>
      <c r="D5215" s="16"/>
      <c r="E5215" s="16"/>
      <c r="F5215" s="20"/>
      <c r="G5215" s="17"/>
    </row>
    <row r="5216" spans="2:7" x14ac:dyDescent="0.25">
      <c r="B5216" s="15"/>
      <c r="C5216" s="15"/>
      <c r="D5216" s="16"/>
      <c r="E5216" s="16"/>
      <c r="F5216" s="20"/>
      <c r="G5216" s="17"/>
    </row>
    <row r="5217" spans="2:7" x14ac:dyDescent="0.25">
      <c r="B5217" s="15"/>
      <c r="C5217" s="15"/>
      <c r="D5217" s="16"/>
      <c r="E5217" s="16"/>
      <c r="F5217" s="20"/>
      <c r="G5217" s="17"/>
    </row>
    <row r="5218" spans="2:7" x14ac:dyDescent="0.25">
      <c r="B5218" s="15"/>
      <c r="C5218" s="15"/>
      <c r="D5218" s="16"/>
      <c r="E5218" s="16"/>
      <c r="F5218" s="20"/>
      <c r="G5218" s="17"/>
    </row>
    <row r="5219" spans="2:7" x14ac:dyDescent="0.25">
      <c r="B5219" s="15"/>
      <c r="C5219" s="15"/>
      <c r="D5219" s="16"/>
      <c r="E5219" s="16"/>
      <c r="F5219" s="20"/>
      <c r="G5219" s="17"/>
    </row>
    <row r="5220" spans="2:7" x14ac:dyDescent="0.25">
      <c r="B5220" s="15"/>
      <c r="C5220" s="15"/>
      <c r="D5220" s="16"/>
      <c r="E5220" s="16"/>
      <c r="F5220" s="20"/>
      <c r="G5220" s="17"/>
    </row>
    <row r="5221" spans="2:7" x14ac:dyDescent="0.25">
      <c r="B5221" s="15"/>
      <c r="C5221" s="15"/>
      <c r="D5221" s="16"/>
      <c r="E5221" s="16"/>
      <c r="F5221" s="20"/>
      <c r="G5221" s="17"/>
    </row>
    <row r="5222" spans="2:7" x14ac:dyDescent="0.25">
      <c r="B5222" s="15"/>
      <c r="C5222" s="15"/>
      <c r="D5222" s="16"/>
      <c r="E5222" s="16"/>
      <c r="F5222" s="20"/>
      <c r="G5222" s="17"/>
    </row>
    <row r="5223" spans="2:7" x14ac:dyDescent="0.25">
      <c r="B5223" s="15"/>
      <c r="C5223" s="15"/>
      <c r="D5223" s="16"/>
      <c r="E5223" s="16"/>
      <c r="F5223" s="20"/>
      <c r="G5223" s="17"/>
    </row>
    <row r="5224" spans="2:7" x14ac:dyDescent="0.25">
      <c r="B5224" s="15"/>
      <c r="C5224" s="15"/>
      <c r="D5224" s="16"/>
      <c r="E5224" s="16"/>
      <c r="F5224" s="20"/>
      <c r="G5224" s="17"/>
    </row>
    <row r="5225" spans="2:7" x14ac:dyDescent="0.25">
      <c r="B5225" s="15"/>
      <c r="C5225" s="15"/>
      <c r="D5225" s="16"/>
      <c r="E5225" s="16"/>
      <c r="F5225" s="20"/>
      <c r="G5225" s="17"/>
    </row>
    <row r="5226" spans="2:7" x14ac:dyDescent="0.25">
      <c r="B5226" s="15"/>
      <c r="C5226" s="15"/>
      <c r="D5226" s="16"/>
      <c r="E5226" s="16"/>
      <c r="F5226" s="20"/>
      <c r="G5226" s="17"/>
    </row>
    <row r="5227" spans="2:7" x14ac:dyDescent="0.25">
      <c r="B5227" s="15"/>
      <c r="C5227" s="15"/>
      <c r="D5227" s="16"/>
      <c r="E5227" s="16"/>
      <c r="F5227" s="20"/>
      <c r="G5227" s="17"/>
    </row>
    <row r="5228" spans="2:7" x14ac:dyDescent="0.25">
      <c r="B5228" s="15"/>
      <c r="C5228" s="15"/>
      <c r="D5228" s="16"/>
      <c r="E5228" s="16"/>
      <c r="F5228" s="20"/>
      <c r="G5228" s="17"/>
    </row>
    <row r="5229" spans="2:7" x14ac:dyDescent="0.25">
      <c r="B5229" s="15"/>
      <c r="C5229" s="15"/>
      <c r="D5229" s="16"/>
      <c r="E5229" s="16"/>
      <c r="F5229" s="20"/>
      <c r="G5229" s="17"/>
    </row>
    <row r="5230" spans="2:7" x14ac:dyDescent="0.25">
      <c r="B5230" s="15"/>
      <c r="C5230" s="15"/>
      <c r="D5230" s="16"/>
      <c r="E5230" s="16"/>
      <c r="F5230" s="20"/>
      <c r="G5230" s="17"/>
    </row>
    <row r="5231" spans="2:7" x14ac:dyDescent="0.25">
      <c r="B5231" s="15"/>
      <c r="C5231" s="15"/>
      <c r="D5231" s="16"/>
      <c r="E5231" s="16"/>
      <c r="F5231" s="20"/>
      <c r="G5231" s="17"/>
    </row>
    <row r="5232" spans="2:7" x14ac:dyDescent="0.25">
      <c r="B5232" s="15"/>
      <c r="C5232" s="15"/>
      <c r="D5232" s="16"/>
      <c r="E5232" s="16"/>
      <c r="F5232" s="20"/>
      <c r="G5232" s="17"/>
    </row>
    <row r="5233" spans="2:7" x14ac:dyDescent="0.25">
      <c r="B5233" s="15"/>
      <c r="C5233" s="15"/>
      <c r="D5233" s="16"/>
      <c r="E5233" s="16"/>
      <c r="F5233" s="20"/>
      <c r="G5233" s="17"/>
    </row>
    <row r="5234" spans="2:7" x14ac:dyDescent="0.25">
      <c r="B5234" s="15"/>
      <c r="C5234" s="15"/>
      <c r="D5234" s="16"/>
      <c r="E5234" s="16"/>
      <c r="F5234" s="20"/>
      <c r="G5234" s="17"/>
    </row>
    <row r="5235" spans="2:7" x14ac:dyDescent="0.25">
      <c r="B5235" s="15"/>
      <c r="C5235" s="15"/>
      <c r="D5235" s="16"/>
      <c r="E5235" s="16"/>
      <c r="F5235" s="20"/>
      <c r="G5235" s="17"/>
    </row>
    <row r="5236" spans="2:7" x14ac:dyDescent="0.25">
      <c r="B5236" s="15"/>
      <c r="C5236" s="15"/>
      <c r="D5236" s="16"/>
      <c r="E5236" s="16"/>
      <c r="F5236" s="20"/>
      <c r="G5236" s="17"/>
    </row>
    <row r="5237" spans="2:7" x14ac:dyDescent="0.25">
      <c r="B5237" s="15"/>
      <c r="C5237" s="15"/>
      <c r="D5237" s="16"/>
      <c r="E5237" s="16"/>
      <c r="F5237" s="20"/>
      <c r="G5237" s="17"/>
    </row>
    <row r="5238" spans="2:7" x14ac:dyDescent="0.25">
      <c r="B5238" s="15"/>
      <c r="C5238" s="15"/>
      <c r="D5238" s="16"/>
      <c r="E5238" s="16"/>
      <c r="F5238" s="20"/>
      <c r="G5238" s="17"/>
    </row>
    <row r="5239" spans="2:7" x14ac:dyDescent="0.25">
      <c r="B5239" s="15"/>
      <c r="C5239" s="15"/>
      <c r="D5239" s="16"/>
      <c r="E5239" s="16"/>
      <c r="F5239" s="20"/>
      <c r="G5239" s="17"/>
    </row>
    <row r="5240" spans="2:7" x14ac:dyDescent="0.25">
      <c r="B5240" s="15"/>
      <c r="C5240" s="15"/>
      <c r="D5240" s="16"/>
      <c r="E5240" s="16"/>
      <c r="F5240" s="20"/>
      <c r="G5240" s="17"/>
    </row>
    <row r="5241" spans="2:7" x14ac:dyDescent="0.25">
      <c r="B5241" s="15"/>
      <c r="C5241" s="15"/>
      <c r="D5241" s="16"/>
      <c r="E5241" s="16"/>
      <c r="F5241" s="20"/>
      <c r="G5241" s="17"/>
    </row>
    <row r="5242" spans="2:7" x14ac:dyDescent="0.25">
      <c r="B5242" s="15"/>
      <c r="C5242" s="15"/>
      <c r="D5242" s="16"/>
      <c r="E5242" s="16"/>
      <c r="F5242" s="20"/>
      <c r="G5242" s="17"/>
    </row>
    <row r="5243" spans="2:7" x14ac:dyDescent="0.25">
      <c r="B5243" s="15"/>
      <c r="C5243" s="15"/>
      <c r="D5243" s="16"/>
      <c r="E5243" s="16"/>
      <c r="F5243" s="20"/>
      <c r="G5243" s="17"/>
    </row>
    <row r="5244" spans="2:7" x14ac:dyDescent="0.25">
      <c r="B5244" s="15"/>
      <c r="C5244" s="15"/>
      <c r="D5244" s="16"/>
      <c r="E5244" s="16"/>
      <c r="F5244" s="20"/>
      <c r="G5244" s="17"/>
    </row>
    <row r="5245" spans="2:7" x14ac:dyDescent="0.25">
      <c r="B5245" s="15"/>
      <c r="C5245" s="15"/>
      <c r="D5245" s="16"/>
      <c r="E5245" s="16"/>
      <c r="F5245" s="20"/>
      <c r="G5245" s="17"/>
    </row>
    <row r="5246" spans="2:7" x14ac:dyDescent="0.25">
      <c r="B5246" s="15"/>
      <c r="C5246" s="15"/>
      <c r="D5246" s="16"/>
      <c r="E5246" s="16"/>
      <c r="F5246" s="20"/>
      <c r="G5246" s="17"/>
    </row>
    <row r="5247" spans="2:7" x14ac:dyDescent="0.25">
      <c r="B5247" s="15"/>
      <c r="C5247" s="15"/>
      <c r="D5247" s="16"/>
      <c r="E5247" s="16"/>
      <c r="F5247" s="20"/>
      <c r="G5247" s="17"/>
    </row>
    <row r="5248" spans="2:7" x14ac:dyDescent="0.25">
      <c r="B5248" s="15"/>
      <c r="C5248" s="15"/>
      <c r="D5248" s="16"/>
      <c r="E5248" s="16"/>
      <c r="F5248" s="20"/>
      <c r="G5248" s="17"/>
    </row>
    <row r="5249" spans="2:7" x14ac:dyDescent="0.25">
      <c r="B5249" s="15"/>
      <c r="C5249" s="15"/>
      <c r="D5249" s="16"/>
      <c r="E5249" s="16"/>
      <c r="F5249" s="20"/>
      <c r="G5249" s="17"/>
    </row>
    <row r="5250" spans="2:7" x14ac:dyDescent="0.25">
      <c r="B5250" s="15"/>
      <c r="C5250" s="15"/>
      <c r="D5250" s="16"/>
      <c r="E5250" s="16"/>
      <c r="F5250" s="20"/>
      <c r="G5250" s="17"/>
    </row>
    <row r="5251" spans="2:7" x14ac:dyDescent="0.25">
      <c r="B5251" s="15"/>
      <c r="C5251" s="15"/>
      <c r="D5251" s="16"/>
      <c r="E5251" s="16"/>
      <c r="F5251" s="20"/>
      <c r="G5251" s="17"/>
    </row>
    <row r="5252" spans="2:7" x14ac:dyDescent="0.25">
      <c r="B5252" s="15"/>
      <c r="C5252" s="15"/>
      <c r="D5252" s="16"/>
      <c r="E5252" s="16"/>
      <c r="F5252" s="20"/>
      <c r="G5252" s="17"/>
    </row>
    <row r="5253" spans="2:7" x14ac:dyDescent="0.25">
      <c r="B5253" s="15"/>
      <c r="C5253" s="15"/>
      <c r="D5253" s="16"/>
      <c r="E5253" s="16"/>
      <c r="F5253" s="20"/>
      <c r="G5253" s="17"/>
    </row>
    <row r="5254" spans="2:7" x14ac:dyDescent="0.25">
      <c r="B5254" s="15"/>
      <c r="C5254" s="15"/>
      <c r="D5254" s="16"/>
      <c r="E5254" s="16"/>
      <c r="F5254" s="20"/>
      <c r="G5254" s="17"/>
    </row>
    <row r="5255" spans="2:7" x14ac:dyDescent="0.25">
      <c r="B5255" s="15"/>
      <c r="C5255" s="15"/>
      <c r="D5255" s="16"/>
      <c r="E5255" s="16"/>
      <c r="F5255" s="20"/>
      <c r="G5255" s="17"/>
    </row>
    <row r="5256" spans="2:7" x14ac:dyDescent="0.25">
      <c r="B5256" s="15"/>
      <c r="C5256" s="15"/>
      <c r="D5256" s="16"/>
      <c r="E5256" s="16"/>
      <c r="F5256" s="20"/>
      <c r="G5256" s="17"/>
    </row>
    <row r="5257" spans="2:7" x14ac:dyDescent="0.25">
      <c r="B5257" s="15"/>
      <c r="C5257" s="15"/>
      <c r="D5257" s="16"/>
      <c r="E5257" s="16"/>
      <c r="F5257" s="20"/>
      <c r="G5257" s="17"/>
    </row>
    <row r="5258" spans="2:7" x14ac:dyDescent="0.25">
      <c r="B5258" s="15"/>
      <c r="C5258" s="15"/>
      <c r="D5258" s="16"/>
      <c r="E5258" s="16"/>
      <c r="F5258" s="20"/>
      <c r="G5258" s="17"/>
    </row>
    <row r="5259" spans="2:7" x14ac:dyDescent="0.25">
      <c r="B5259" s="15"/>
      <c r="C5259" s="15"/>
      <c r="D5259" s="16"/>
      <c r="E5259" s="16"/>
      <c r="F5259" s="20"/>
      <c r="G5259" s="17"/>
    </row>
    <row r="5260" spans="2:7" x14ac:dyDescent="0.25">
      <c r="B5260" s="15"/>
      <c r="C5260" s="15"/>
      <c r="D5260" s="16"/>
      <c r="E5260" s="16"/>
      <c r="F5260" s="20"/>
      <c r="G5260" s="17"/>
    </row>
    <row r="5261" spans="2:7" x14ac:dyDescent="0.25">
      <c r="B5261" s="15"/>
      <c r="C5261" s="15"/>
      <c r="D5261" s="16"/>
      <c r="E5261" s="16"/>
      <c r="F5261" s="20"/>
      <c r="G5261" s="17"/>
    </row>
    <row r="5262" spans="2:7" x14ac:dyDescent="0.25">
      <c r="B5262" s="15"/>
      <c r="C5262" s="15"/>
      <c r="D5262" s="16"/>
      <c r="E5262" s="16"/>
      <c r="F5262" s="20"/>
      <c r="G5262" s="17"/>
    </row>
    <row r="5263" spans="2:7" x14ac:dyDescent="0.25">
      <c r="B5263" s="15"/>
      <c r="C5263" s="15"/>
      <c r="D5263" s="16"/>
      <c r="E5263" s="16"/>
      <c r="F5263" s="20"/>
      <c r="G5263" s="17"/>
    </row>
    <row r="5264" spans="2:7" x14ac:dyDescent="0.25">
      <c r="B5264" s="15"/>
      <c r="C5264" s="15"/>
      <c r="D5264" s="16"/>
      <c r="E5264" s="16"/>
      <c r="F5264" s="20"/>
      <c r="G5264" s="17"/>
    </row>
    <row r="5265" spans="2:7" x14ac:dyDescent="0.25">
      <c r="B5265" s="15"/>
      <c r="C5265" s="15"/>
      <c r="D5265" s="16"/>
      <c r="E5265" s="16"/>
      <c r="F5265" s="20"/>
      <c r="G5265" s="17"/>
    </row>
    <row r="5266" spans="2:7" x14ac:dyDescent="0.25">
      <c r="B5266" s="15"/>
      <c r="C5266" s="15"/>
      <c r="D5266" s="16"/>
      <c r="E5266" s="16"/>
      <c r="F5266" s="20"/>
      <c r="G5266" s="17"/>
    </row>
    <row r="5267" spans="2:7" x14ac:dyDescent="0.25">
      <c r="B5267" s="15"/>
      <c r="C5267" s="15"/>
      <c r="D5267" s="16"/>
      <c r="E5267" s="16"/>
      <c r="F5267" s="20"/>
      <c r="G5267" s="17"/>
    </row>
    <row r="5268" spans="2:7" x14ac:dyDescent="0.25">
      <c r="B5268" s="15"/>
      <c r="C5268" s="15"/>
      <c r="D5268" s="16"/>
      <c r="E5268" s="16"/>
      <c r="F5268" s="20"/>
      <c r="G5268" s="17"/>
    </row>
    <row r="5269" spans="2:7" x14ac:dyDescent="0.25">
      <c r="B5269" s="15"/>
      <c r="C5269" s="15"/>
      <c r="D5269" s="16"/>
      <c r="E5269" s="16"/>
      <c r="F5269" s="20"/>
      <c r="G5269" s="17"/>
    </row>
    <row r="5270" spans="2:7" x14ac:dyDescent="0.25">
      <c r="B5270" s="15"/>
      <c r="C5270" s="15"/>
      <c r="D5270" s="16"/>
      <c r="E5270" s="16"/>
      <c r="F5270" s="20"/>
      <c r="G5270" s="17"/>
    </row>
    <row r="5271" spans="2:7" x14ac:dyDescent="0.25">
      <c r="B5271" s="15"/>
      <c r="C5271" s="15"/>
      <c r="D5271" s="16"/>
      <c r="E5271" s="16"/>
      <c r="F5271" s="20"/>
      <c r="G5271" s="17"/>
    </row>
    <row r="5272" spans="2:7" x14ac:dyDescent="0.25">
      <c r="B5272" s="15"/>
      <c r="C5272" s="15"/>
      <c r="D5272" s="16"/>
      <c r="E5272" s="16"/>
      <c r="F5272" s="20"/>
      <c r="G5272" s="17"/>
    </row>
    <row r="5273" spans="2:7" x14ac:dyDescent="0.25">
      <c r="B5273" s="15"/>
      <c r="C5273" s="15"/>
      <c r="D5273" s="16"/>
      <c r="E5273" s="16"/>
      <c r="F5273" s="20"/>
      <c r="G5273" s="17"/>
    </row>
    <row r="5274" spans="2:7" x14ac:dyDescent="0.25">
      <c r="B5274" s="15"/>
      <c r="C5274" s="15"/>
      <c r="D5274" s="16"/>
      <c r="E5274" s="16"/>
      <c r="F5274" s="20"/>
      <c r="G5274" s="17"/>
    </row>
    <row r="5275" spans="2:7" x14ac:dyDescent="0.25">
      <c r="B5275" s="15"/>
      <c r="C5275" s="15"/>
      <c r="D5275" s="16"/>
      <c r="E5275" s="16"/>
      <c r="F5275" s="20"/>
      <c r="G5275" s="17"/>
    </row>
    <row r="5276" spans="2:7" x14ac:dyDescent="0.25">
      <c r="B5276" s="15"/>
      <c r="C5276" s="15"/>
      <c r="D5276" s="16"/>
      <c r="E5276" s="16"/>
      <c r="F5276" s="20"/>
      <c r="G5276" s="17"/>
    </row>
    <row r="5277" spans="2:7" x14ac:dyDescent="0.25">
      <c r="B5277" s="15"/>
      <c r="C5277" s="15"/>
      <c r="D5277" s="16"/>
      <c r="E5277" s="16"/>
      <c r="F5277" s="20"/>
      <c r="G5277" s="17"/>
    </row>
    <row r="5278" spans="2:7" x14ac:dyDescent="0.25">
      <c r="B5278" s="15"/>
      <c r="C5278" s="15"/>
      <c r="D5278" s="16"/>
      <c r="E5278" s="16"/>
      <c r="F5278" s="20"/>
      <c r="G5278" s="17"/>
    </row>
    <row r="5279" spans="2:7" x14ac:dyDescent="0.25">
      <c r="B5279" s="15"/>
      <c r="C5279" s="15"/>
      <c r="D5279" s="16"/>
      <c r="E5279" s="16"/>
      <c r="F5279" s="20"/>
      <c r="G5279" s="17"/>
    </row>
    <row r="5280" spans="2:7" x14ac:dyDescent="0.25">
      <c r="B5280" s="15"/>
      <c r="C5280" s="15"/>
      <c r="D5280" s="16"/>
      <c r="E5280" s="16"/>
      <c r="F5280" s="20"/>
      <c r="G5280" s="17"/>
    </row>
    <row r="5281" spans="2:7" x14ac:dyDescent="0.25">
      <c r="B5281" s="15"/>
      <c r="C5281" s="15"/>
      <c r="D5281" s="16"/>
      <c r="E5281" s="16"/>
      <c r="F5281" s="20"/>
      <c r="G5281" s="17"/>
    </row>
    <row r="5282" spans="2:7" x14ac:dyDescent="0.25">
      <c r="B5282" s="15"/>
      <c r="C5282" s="15"/>
      <c r="D5282" s="16"/>
      <c r="E5282" s="16"/>
      <c r="F5282" s="20"/>
      <c r="G5282" s="17"/>
    </row>
    <row r="5283" spans="2:7" x14ac:dyDescent="0.25">
      <c r="B5283" s="15"/>
      <c r="C5283" s="15"/>
      <c r="D5283" s="16"/>
      <c r="E5283" s="16"/>
      <c r="F5283" s="20"/>
      <c r="G5283" s="17"/>
    </row>
    <row r="5284" spans="2:7" x14ac:dyDescent="0.25">
      <c r="B5284" s="15"/>
      <c r="C5284" s="15"/>
      <c r="D5284" s="16"/>
      <c r="E5284" s="16"/>
      <c r="F5284" s="20"/>
      <c r="G5284" s="17"/>
    </row>
    <row r="5285" spans="2:7" x14ac:dyDescent="0.25">
      <c r="B5285" s="15"/>
      <c r="C5285" s="15"/>
      <c r="D5285" s="16"/>
      <c r="E5285" s="16"/>
      <c r="F5285" s="20"/>
      <c r="G5285" s="17"/>
    </row>
    <row r="5286" spans="2:7" x14ac:dyDescent="0.25">
      <c r="B5286" s="15"/>
      <c r="C5286" s="15"/>
      <c r="D5286" s="16"/>
      <c r="E5286" s="16"/>
      <c r="F5286" s="20"/>
      <c r="G5286" s="17"/>
    </row>
    <row r="5287" spans="2:7" x14ac:dyDescent="0.25">
      <c r="B5287" s="15"/>
      <c r="C5287" s="15"/>
      <c r="D5287" s="16"/>
      <c r="E5287" s="16"/>
      <c r="F5287" s="20"/>
      <c r="G5287" s="17"/>
    </row>
    <row r="5288" spans="2:7" x14ac:dyDescent="0.25">
      <c r="B5288" s="15"/>
      <c r="C5288" s="15"/>
      <c r="D5288" s="16"/>
      <c r="E5288" s="16"/>
      <c r="F5288" s="20"/>
      <c r="G5288" s="16"/>
    </row>
    <row r="5289" spans="2:7" x14ac:dyDescent="0.25">
      <c r="B5289" s="15"/>
      <c r="C5289" s="15"/>
      <c r="D5289" s="16"/>
      <c r="E5289" s="16"/>
      <c r="F5289" s="20"/>
      <c r="G5289" s="17"/>
    </row>
    <row r="5290" spans="2:7" x14ac:dyDescent="0.25">
      <c r="B5290" s="15"/>
      <c r="C5290" s="15"/>
      <c r="D5290" s="16"/>
      <c r="E5290" s="16"/>
      <c r="F5290" s="20"/>
      <c r="G5290" s="17"/>
    </row>
    <row r="5291" spans="2:7" x14ac:dyDescent="0.25">
      <c r="B5291" s="15"/>
      <c r="C5291" s="15"/>
      <c r="D5291" s="16"/>
      <c r="E5291" s="16"/>
      <c r="F5291" s="20"/>
      <c r="G5291" s="17"/>
    </row>
    <row r="5292" spans="2:7" x14ac:dyDescent="0.25">
      <c r="B5292" s="15"/>
      <c r="C5292" s="15"/>
      <c r="D5292" s="16"/>
      <c r="E5292" s="16"/>
      <c r="F5292" s="20"/>
      <c r="G5292" s="17"/>
    </row>
    <row r="5293" spans="2:7" x14ac:dyDescent="0.25">
      <c r="B5293" s="15"/>
      <c r="C5293" s="15"/>
      <c r="D5293" s="16"/>
      <c r="E5293" s="16"/>
      <c r="F5293" s="20"/>
      <c r="G5293" s="17"/>
    </row>
    <row r="5294" spans="2:7" x14ac:dyDescent="0.25">
      <c r="B5294" s="15"/>
      <c r="C5294" s="15"/>
      <c r="D5294" s="16"/>
      <c r="E5294" s="16"/>
      <c r="F5294" s="20"/>
      <c r="G5294" s="17"/>
    </row>
    <row r="5295" spans="2:7" x14ac:dyDescent="0.25">
      <c r="B5295" s="15"/>
      <c r="C5295" s="15"/>
      <c r="D5295" s="16"/>
      <c r="E5295" s="16"/>
      <c r="F5295" s="20"/>
      <c r="G5295" s="17"/>
    </row>
    <row r="5296" spans="2:7" x14ac:dyDescent="0.25">
      <c r="B5296" s="15"/>
      <c r="C5296" s="15"/>
      <c r="D5296" s="16"/>
      <c r="E5296" s="16"/>
      <c r="F5296" s="20"/>
      <c r="G5296" s="17"/>
    </row>
    <row r="5297" spans="2:7" x14ac:dyDescent="0.25">
      <c r="B5297" s="15"/>
      <c r="C5297" s="15"/>
      <c r="D5297" s="16"/>
      <c r="E5297" s="16"/>
      <c r="F5297" s="20"/>
      <c r="G5297" s="17"/>
    </row>
    <row r="5298" spans="2:7" x14ac:dyDescent="0.25">
      <c r="B5298" s="15"/>
      <c r="C5298" s="15"/>
      <c r="D5298" s="16"/>
      <c r="E5298" s="16"/>
      <c r="F5298" s="20"/>
      <c r="G5298" s="17"/>
    </row>
    <row r="5299" spans="2:7" x14ac:dyDescent="0.25">
      <c r="B5299" s="15"/>
      <c r="C5299" s="15"/>
      <c r="D5299" s="16"/>
      <c r="E5299" s="16"/>
      <c r="F5299" s="20"/>
      <c r="G5299" s="17"/>
    </row>
    <row r="5300" spans="2:7" x14ac:dyDescent="0.25">
      <c r="B5300" s="15"/>
      <c r="C5300" s="15"/>
      <c r="D5300" s="16"/>
      <c r="E5300" s="16"/>
      <c r="F5300" s="20"/>
      <c r="G5300" s="17"/>
    </row>
    <row r="5301" spans="2:7" x14ac:dyDescent="0.25">
      <c r="B5301" s="15"/>
      <c r="C5301" s="15"/>
      <c r="D5301" s="16"/>
      <c r="E5301" s="16"/>
      <c r="F5301" s="20"/>
      <c r="G5301" s="17"/>
    </row>
    <row r="5302" spans="2:7" x14ac:dyDescent="0.25">
      <c r="B5302" s="15"/>
      <c r="C5302" s="15"/>
      <c r="D5302" s="16"/>
      <c r="E5302" s="16"/>
      <c r="F5302" s="20"/>
      <c r="G5302" s="17"/>
    </row>
    <row r="5303" spans="2:7" x14ac:dyDescent="0.25">
      <c r="B5303" s="15"/>
      <c r="C5303" s="15"/>
      <c r="D5303" s="16"/>
      <c r="E5303" s="16"/>
      <c r="F5303" s="20"/>
      <c r="G5303" s="17"/>
    </row>
    <row r="5304" spans="2:7" x14ac:dyDescent="0.25">
      <c r="B5304" s="15"/>
      <c r="C5304" s="15"/>
      <c r="D5304" s="16"/>
      <c r="E5304" s="16"/>
      <c r="F5304" s="20"/>
      <c r="G5304" s="17"/>
    </row>
    <row r="5305" spans="2:7" x14ac:dyDescent="0.25">
      <c r="B5305" s="15"/>
      <c r="C5305" s="15"/>
      <c r="D5305" s="16"/>
      <c r="E5305" s="16"/>
      <c r="F5305" s="20"/>
      <c r="G5305" s="17"/>
    </row>
    <row r="5306" spans="2:7" x14ac:dyDescent="0.25">
      <c r="B5306" s="15"/>
      <c r="C5306" s="15"/>
      <c r="D5306" s="16"/>
      <c r="E5306" s="16"/>
      <c r="F5306" s="20"/>
      <c r="G5306" s="17"/>
    </row>
    <row r="5307" spans="2:7" x14ac:dyDescent="0.25">
      <c r="B5307" s="15"/>
      <c r="C5307" s="15"/>
      <c r="D5307" s="16"/>
      <c r="E5307" s="16"/>
      <c r="F5307" s="20"/>
      <c r="G5307" s="17"/>
    </row>
    <row r="5308" spans="2:7" x14ac:dyDescent="0.25">
      <c r="B5308" s="15"/>
      <c r="C5308" s="15"/>
      <c r="D5308" s="16"/>
      <c r="E5308" s="16"/>
      <c r="F5308" s="20"/>
      <c r="G5308" s="17"/>
    </row>
    <row r="5309" spans="2:7" x14ac:dyDescent="0.25">
      <c r="B5309" s="15"/>
      <c r="C5309" s="15"/>
      <c r="D5309" s="16"/>
      <c r="E5309" s="16"/>
      <c r="F5309" s="20"/>
      <c r="G5309" s="17"/>
    </row>
    <row r="5310" spans="2:7" x14ac:dyDescent="0.25">
      <c r="B5310" s="15"/>
      <c r="C5310" s="15"/>
      <c r="D5310" s="16"/>
      <c r="E5310" s="16"/>
      <c r="F5310" s="20"/>
      <c r="G5310" s="17"/>
    </row>
    <row r="5311" spans="2:7" x14ac:dyDescent="0.25">
      <c r="B5311" s="15"/>
      <c r="C5311" s="15"/>
      <c r="D5311" s="16"/>
      <c r="E5311" s="16"/>
      <c r="F5311" s="20"/>
      <c r="G5311" s="17"/>
    </row>
    <row r="5312" spans="2:7" x14ac:dyDescent="0.25">
      <c r="B5312" s="15"/>
      <c r="C5312" s="15"/>
      <c r="D5312" s="16"/>
      <c r="E5312" s="16"/>
      <c r="F5312" s="20"/>
      <c r="G5312" s="17"/>
    </row>
    <row r="5313" spans="2:7" x14ac:dyDescent="0.25">
      <c r="B5313" s="15"/>
      <c r="C5313" s="15"/>
      <c r="D5313" s="16"/>
      <c r="E5313" s="16"/>
      <c r="F5313" s="20"/>
      <c r="G5313" s="17"/>
    </row>
    <row r="5314" spans="2:7" x14ac:dyDescent="0.25">
      <c r="B5314" s="15"/>
      <c r="C5314" s="15"/>
      <c r="D5314" s="16"/>
      <c r="E5314" s="16"/>
      <c r="F5314" s="20"/>
      <c r="G5314" s="17"/>
    </row>
    <row r="5315" spans="2:7" x14ac:dyDescent="0.25">
      <c r="B5315" s="15"/>
      <c r="C5315" s="15"/>
      <c r="D5315" s="16"/>
      <c r="E5315" s="16"/>
      <c r="F5315" s="20"/>
      <c r="G5315" s="17"/>
    </row>
    <row r="5316" spans="2:7" x14ac:dyDescent="0.25">
      <c r="B5316" s="15"/>
      <c r="C5316" s="15"/>
      <c r="D5316" s="16"/>
      <c r="E5316" s="16"/>
      <c r="F5316" s="20"/>
      <c r="G5316" s="17"/>
    </row>
    <row r="5317" spans="2:7" x14ac:dyDescent="0.25">
      <c r="B5317" s="15"/>
      <c r="C5317" s="15"/>
      <c r="D5317" s="16"/>
      <c r="E5317" s="16"/>
      <c r="F5317" s="20"/>
      <c r="G5317" s="17"/>
    </row>
    <row r="5318" spans="2:7" x14ac:dyDescent="0.25">
      <c r="B5318" s="15"/>
      <c r="C5318" s="15"/>
      <c r="D5318" s="16"/>
      <c r="E5318" s="16"/>
      <c r="F5318" s="20"/>
      <c r="G5318" s="17"/>
    </row>
    <row r="5319" spans="2:7" x14ac:dyDescent="0.25">
      <c r="B5319" s="15"/>
      <c r="C5319" s="15"/>
      <c r="D5319" s="16"/>
      <c r="E5319" s="16"/>
      <c r="F5319" s="20"/>
      <c r="G5319" s="17"/>
    </row>
    <row r="5320" spans="2:7" x14ac:dyDescent="0.25">
      <c r="B5320" s="15"/>
      <c r="C5320" s="15"/>
      <c r="D5320" s="16"/>
      <c r="E5320" s="16"/>
      <c r="F5320" s="20"/>
      <c r="G5320" s="17"/>
    </row>
    <row r="5321" spans="2:7" x14ac:dyDescent="0.25">
      <c r="B5321" s="15"/>
      <c r="C5321" s="15"/>
      <c r="D5321" s="16"/>
      <c r="E5321" s="16"/>
      <c r="F5321" s="20"/>
      <c r="G5321" s="17"/>
    </row>
    <row r="5322" spans="2:7" x14ac:dyDescent="0.25">
      <c r="B5322" s="15"/>
      <c r="C5322" s="15"/>
      <c r="D5322" s="16"/>
      <c r="E5322" s="16"/>
      <c r="F5322" s="20"/>
      <c r="G5322" s="17"/>
    </row>
    <row r="5323" spans="2:7" x14ac:dyDescent="0.25">
      <c r="B5323" s="15"/>
      <c r="C5323" s="15"/>
      <c r="D5323" s="16"/>
      <c r="E5323" s="16"/>
      <c r="F5323" s="20"/>
      <c r="G5323" s="17"/>
    </row>
    <row r="5324" spans="2:7" x14ac:dyDescent="0.25">
      <c r="B5324" s="15"/>
      <c r="C5324" s="15"/>
      <c r="D5324" s="16"/>
      <c r="E5324" s="16"/>
      <c r="F5324" s="20"/>
      <c r="G5324" s="17"/>
    </row>
    <row r="5325" spans="2:7" x14ac:dyDescent="0.25">
      <c r="B5325" s="15"/>
      <c r="C5325" s="15"/>
      <c r="D5325" s="16"/>
      <c r="E5325" s="16"/>
      <c r="F5325" s="20"/>
      <c r="G5325" s="17"/>
    </row>
    <row r="5326" spans="2:7" x14ac:dyDescent="0.25">
      <c r="B5326" s="15"/>
      <c r="C5326" s="15"/>
      <c r="D5326" s="16"/>
      <c r="E5326" s="16"/>
      <c r="F5326" s="20"/>
      <c r="G5326" s="17"/>
    </row>
    <row r="5327" spans="2:7" x14ac:dyDescent="0.25">
      <c r="B5327" s="15"/>
      <c r="C5327" s="15"/>
      <c r="D5327" s="16"/>
      <c r="E5327" s="16"/>
      <c r="F5327" s="20"/>
      <c r="G5327" s="17"/>
    </row>
    <row r="5328" spans="2:7" x14ac:dyDescent="0.25">
      <c r="B5328" s="15"/>
      <c r="C5328" s="15"/>
      <c r="D5328" s="16"/>
      <c r="E5328" s="16"/>
      <c r="F5328" s="20"/>
      <c r="G5328" s="17"/>
    </row>
    <row r="5329" spans="2:7" x14ac:dyDescent="0.25">
      <c r="B5329" s="15"/>
      <c r="C5329" s="15"/>
      <c r="D5329" s="16"/>
      <c r="E5329" s="16"/>
      <c r="F5329" s="20"/>
      <c r="G5329" s="17"/>
    </row>
    <row r="5330" spans="2:7" x14ac:dyDescent="0.25">
      <c r="B5330" s="15"/>
      <c r="C5330" s="15"/>
      <c r="D5330" s="16"/>
      <c r="E5330" s="18"/>
      <c r="F5330" s="20"/>
      <c r="G5330" s="17"/>
    </row>
    <row r="5331" spans="2:7" x14ac:dyDescent="0.25">
      <c r="B5331" s="15"/>
      <c r="C5331" s="15"/>
      <c r="D5331" s="16"/>
      <c r="E5331" s="16"/>
      <c r="F5331" s="20"/>
      <c r="G5331" s="17"/>
    </row>
    <row r="5332" spans="2:7" x14ac:dyDescent="0.25">
      <c r="B5332" s="15"/>
      <c r="C5332" s="15"/>
      <c r="D5332" s="16"/>
      <c r="E5332" s="16"/>
      <c r="F5332" s="20"/>
      <c r="G5332" s="17"/>
    </row>
    <row r="5333" spans="2:7" x14ac:dyDescent="0.25">
      <c r="B5333" s="15"/>
      <c r="C5333" s="15"/>
      <c r="D5333" s="16"/>
      <c r="E5333" s="16"/>
      <c r="F5333" s="20"/>
      <c r="G5333" s="17"/>
    </row>
    <row r="5334" spans="2:7" x14ac:dyDescent="0.25">
      <c r="B5334" s="15"/>
      <c r="C5334" s="15"/>
      <c r="D5334" s="16"/>
      <c r="E5334" s="16"/>
      <c r="F5334" s="20"/>
      <c r="G5334" s="17"/>
    </row>
    <row r="5335" spans="2:7" x14ac:dyDescent="0.25">
      <c r="B5335" s="15"/>
      <c r="C5335" s="15"/>
      <c r="D5335" s="16"/>
      <c r="E5335" s="16"/>
      <c r="F5335" s="20"/>
      <c r="G5335" s="17"/>
    </row>
    <row r="5336" spans="2:7" x14ac:dyDescent="0.25">
      <c r="B5336" s="15"/>
      <c r="C5336" s="15"/>
      <c r="D5336" s="16"/>
      <c r="E5336" s="16"/>
      <c r="F5336" s="20"/>
      <c r="G5336" s="17"/>
    </row>
    <row r="5337" spans="2:7" x14ac:dyDescent="0.25">
      <c r="B5337" s="15"/>
      <c r="C5337" s="15"/>
      <c r="D5337" s="16"/>
      <c r="E5337" s="16"/>
      <c r="F5337" s="20"/>
      <c r="G5337" s="17"/>
    </row>
    <row r="5338" spans="2:7" x14ac:dyDescent="0.25">
      <c r="B5338" s="15"/>
      <c r="C5338" s="15"/>
      <c r="D5338" s="16"/>
      <c r="E5338" s="16"/>
      <c r="F5338" s="20"/>
      <c r="G5338" s="17"/>
    </row>
    <row r="5339" spans="2:7" x14ac:dyDescent="0.25">
      <c r="B5339" s="15"/>
      <c r="C5339" s="15"/>
      <c r="D5339" s="16"/>
      <c r="E5339" s="16"/>
      <c r="F5339" s="20"/>
      <c r="G5339" s="13"/>
    </row>
    <row r="5340" spans="2:7" x14ac:dyDescent="0.25">
      <c r="B5340" s="15"/>
      <c r="C5340" s="15"/>
      <c r="D5340" s="16"/>
      <c r="E5340" s="16"/>
      <c r="F5340" s="20"/>
      <c r="G5340" s="17"/>
    </row>
  </sheetData>
  <autoFilter ref="B1:G4540">
    <sortState ref="B2:G5528">
      <sortCondition ref="D1:D4728"/>
    </sortState>
  </autoFilter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B4558"/>
  <sheetViews>
    <sheetView topLeftCell="A477" workbookViewId="0">
      <selection activeCell="A492" sqref="A492"/>
    </sheetView>
  </sheetViews>
  <sheetFormatPr baseColWidth="10" defaultRowHeight="15" x14ac:dyDescent="0.25"/>
  <cols>
    <col min="1" max="1" width="10" style="2" bestFit="1" customWidth="1"/>
    <col min="2" max="2" width="59.28515625" style="2" bestFit="1" customWidth="1"/>
    <col min="3" max="16384" width="11.42578125" style="2"/>
  </cols>
  <sheetData>
    <row r="1" spans="1:2" x14ac:dyDescent="0.25">
      <c r="A1" s="26" t="s">
        <v>12309</v>
      </c>
      <c r="B1" s="26" t="s">
        <v>12310</v>
      </c>
    </row>
    <row r="2" spans="1:2" x14ac:dyDescent="0.25">
      <c r="A2" s="27" t="s">
        <v>13245</v>
      </c>
      <c r="B2" s="28" t="s">
        <v>13246</v>
      </c>
    </row>
    <row r="3" spans="1:2" x14ac:dyDescent="0.25">
      <c r="A3" s="27" t="s">
        <v>13247</v>
      </c>
      <c r="B3" s="28"/>
    </row>
    <row r="4" spans="1:2" x14ac:dyDescent="0.25">
      <c r="A4" s="27" t="s">
        <v>13248</v>
      </c>
      <c r="B4" s="28"/>
    </row>
    <row r="5" spans="1:2" x14ac:dyDescent="0.25">
      <c r="A5" s="27" t="s">
        <v>13249</v>
      </c>
      <c r="B5" s="28"/>
    </row>
    <row r="6" spans="1:2" x14ac:dyDescent="0.25">
      <c r="A6" s="27" t="s">
        <v>13250</v>
      </c>
      <c r="B6" s="28"/>
    </row>
    <row r="7" spans="1:2" x14ac:dyDescent="0.25">
      <c r="A7" s="27" t="s">
        <v>13251</v>
      </c>
      <c r="B7" s="28"/>
    </row>
    <row r="8" spans="1:2" x14ac:dyDescent="0.25">
      <c r="A8" s="27" t="s">
        <v>13252</v>
      </c>
      <c r="B8" s="28"/>
    </row>
    <row r="9" spans="1:2" x14ac:dyDescent="0.25">
      <c r="A9" s="27" t="s">
        <v>13253</v>
      </c>
      <c r="B9" s="28"/>
    </row>
    <row r="10" spans="1:2" x14ac:dyDescent="0.25">
      <c r="A10" s="27" t="s">
        <v>13254</v>
      </c>
      <c r="B10" s="28"/>
    </row>
    <row r="11" spans="1:2" x14ac:dyDescent="0.25">
      <c r="A11" s="27" t="s">
        <v>13255</v>
      </c>
      <c r="B11" s="28"/>
    </row>
    <row r="12" spans="1:2" x14ac:dyDescent="0.25">
      <c r="A12" s="27" t="s">
        <v>13256</v>
      </c>
      <c r="B12" s="28"/>
    </row>
    <row r="13" spans="1:2" x14ac:dyDescent="0.25">
      <c r="A13" s="27" t="s">
        <v>13257</v>
      </c>
      <c r="B13" s="28" t="s">
        <v>13258</v>
      </c>
    </row>
    <row r="14" spans="1:2" x14ac:dyDescent="0.25">
      <c r="A14" s="27" t="s">
        <v>13259</v>
      </c>
      <c r="B14" s="28"/>
    </row>
    <row r="15" spans="1:2" x14ac:dyDescent="0.25">
      <c r="A15" s="27" t="s">
        <v>13260</v>
      </c>
      <c r="B15" s="28"/>
    </row>
    <row r="16" spans="1:2" x14ac:dyDescent="0.25">
      <c r="A16" s="27" t="s">
        <v>13261</v>
      </c>
      <c r="B16" s="28"/>
    </row>
    <row r="17" spans="1:2" x14ac:dyDescent="0.25">
      <c r="A17" s="27" t="s">
        <v>13262</v>
      </c>
      <c r="B17" s="28"/>
    </row>
    <row r="18" spans="1:2" x14ac:dyDescent="0.25">
      <c r="A18" s="27" t="s">
        <v>13263</v>
      </c>
      <c r="B18" s="28"/>
    </row>
    <row r="19" spans="1:2" x14ac:dyDescent="0.25">
      <c r="A19" s="27" t="s">
        <v>13264</v>
      </c>
      <c r="B19" s="28"/>
    </row>
    <row r="20" spans="1:2" x14ac:dyDescent="0.25">
      <c r="A20" s="27" t="s">
        <v>13265</v>
      </c>
      <c r="B20" s="28" t="s">
        <v>13266</v>
      </c>
    </row>
    <row r="21" spans="1:2" x14ac:dyDescent="0.25">
      <c r="A21" s="27" t="s">
        <v>13267</v>
      </c>
      <c r="B21" s="28"/>
    </row>
    <row r="22" spans="1:2" x14ac:dyDescent="0.25">
      <c r="A22" s="27">
        <v>120</v>
      </c>
      <c r="B22" s="28" t="s">
        <v>13268</v>
      </c>
    </row>
    <row r="23" spans="1:2" x14ac:dyDescent="0.25">
      <c r="A23" s="27">
        <v>123</v>
      </c>
      <c r="B23" s="28" t="s">
        <v>13269</v>
      </c>
    </row>
    <row r="24" spans="1:2" x14ac:dyDescent="0.25">
      <c r="A24" s="27">
        <v>124</v>
      </c>
      <c r="B24" s="28" t="s">
        <v>13270</v>
      </c>
    </row>
    <row r="25" spans="1:2" x14ac:dyDescent="0.25">
      <c r="A25" s="27">
        <v>126</v>
      </c>
      <c r="B25" s="28" t="s">
        <v>13271</v>
      </c>
    </row>
    <row r="26" spans="1:2" x14ac:dyDescent="0.25">
      <c r="A26" s="27">
        <v>127</v>
      </c>
      <c r="B26" s="25" t="s">
        <v>13272</v>
      </c>
    </row>
    <row r="27" spans="1:2" x14ac:dyDescent="0.25">
      <c r="A27" s="27">
        <v>128</v>
      </c>
      <c r="B27" s="28" t="s">
        <v>13273</v>
      </c>
    </row>
    <row r="28" spans="1:2" x14ac:dyDescent="0.25">
      <c r="A28" s="27">
        <v>129</v>
      </c>
      <c r="B28" s="28" t="s">
        <v>13274</v>
      </c>
    </row>
    <row r="29" spans="1:2" x14ac:dyDescent="0.25">
      <c r="A29" s="27">
        <v>1</v>
      </c>
      <c r="B29" s="28" t="s">
        <v>13275</v>
      </c>
    </row>
    <row r="30" spans="1:2" x14ac:dyDescent="0.25">
      <c r="A30" s="27">
        <v>1</v>
      </c>
      <c r="B30" s="28" t="s">
        <v>13276</v>
      </c>
    </row>
    <row r="31" spans="1:2" x14ac:dyDescent="0.25">
      <c r="A31" s="27">
        <v>10</v>
      </c>
      <c r="B31" s="28" t="s">
        <v>13277</v>
      </c>
    </row>
    <row r="32" spans="1:2" x14ac:dyDescent="0.25">
      <c r="A32" s="27">
        <v>1000040</v>
      </c>
      <c r="B32" s="28" t="s">
        <v>10940</v>
      </c>
    </row>
    <row r="33" spans="1:2" x14ac:dyDescent="0.25">
      <c r="A33" s="27">
        <v>1000195</v>
      </c>
      <c r="B33" s="28" t="s">
        <v>10941</v>
      </c>
    </row>
    <row r="34" spans="1:2" x14ac:dyDescent="0.25">
      <c r="A34" s="27">
        <v>1000198</v>
      </c>
      <c r="B34" s="28" t="s">
        <v>10942</v>
      </c>
    </row>
    <row r="35" spans="1:2" x14ac:dyDescent="0.25">
      <c r="A35" s="27">
        <v>1000256</v>
      </c>
      <c r="B35" s="28" t="s">
        <v>10943</v>
      </c>
    </row>
    <row r="36" spans="1:2" x14ac:dyDescent="0.25">
      <c r="A36" s="27">
        <v>1000257</v>
      </c>
      <c r="B36" s="28" t="s">
        <v>10944</v>
      </c>
    </row>
    <row r="37" spans="1:2" x14ac:dyDescent="0.25">
      <c r="A37" s="27">
        <v>1000798</v>
      </c>
      <c r="B37" s="28" t="s">
        <v>10074</v>
      </c>
    </row>
    <row r="38" spans="1:2" x14ac:dyDescent="0.25">
      <c r="A38" s="27">
        <v>1000799</v>
      </c>
      <c r="B38" s="28" t="s">
        <v>8397</v>
      </c>
    </row>
    <row r="39" spans="1:2" x14ac:dyDescent="0.25">
      <c r="A39" s="27">
        <v>1000800</v>
      </c>
      <c r="B39" s="28" t="s">
        <v>10945</v>
      </c>
    </row>
    <row r="40" spans="1:2" x14ac:dyDescent="0.25">
      <c r="A40" s="27">
        <v>1000802</v>
      </c>
      <c r="B40" s="28" t="s">
        <v>8394</v>
      </c>
    </row>
    <row r="41" spans="1:2" x14ac:dyDescent="0.25">
      <c r="A41" s="27">
        <v>1000803</v>
      </c>
      <c r="B41" s="28" t="s">
        <v>8396</v>
      </c>
    </row>
    <row r="42" spans="1:2" x14ac:dyDescent="0.25">
      <c r="A42" s="27">
        <v>1000808</v>
      </c>
      <c r="B42" s="28" t="s">
        <v>8398</v>
      </c>
    </row>
    <row r="43" spans="1:2" x14ac:dyDescent="0.25">
      <c r="A43" s="27">
        <v>1000809</v>
      </c>
      <c r="B43" s="28" t="s">
        <v>8393</v>
      </c>
    </row>
    <row r="44" spans="1:2" x14ac:dyDescent="0.25">
      <c r="A44" s="27">
        <v>1000810</v>
      </c>
      <c r="B44" s="28" t="s">
        <v>8399</v>
      </c>
    </row>
    <row r="45" spans="1:2" x14ac:dyDescent="0.25">
      <c r="A45" s="27">
        <v>1000811</v>
      </c>
      <c r="B45" s="28" t="s">
        <v>8395</v>
      </c>
    </row>
    <row r="46" spans="1:2" x14ac:dyDescent="0.25">
      <c r="A46" s="27">
        <v>1000812</v>
      </c>
      <c r="B46" s="28" t="s">
        <v>12311</v>
      </c>
    </row>
    <row r="47" spans="1:2" x14ac:dyDescent="0.25">
      <c r="A47" s="27">
        <v>1000888</v>
      </c>
      <c r="B47" s="28" t="s">
        <v>10946</v>
      </c>
    </row>
    <row r="48" spans="1:2" x14ac:dyDescent="0.25">
      <c r="A48" s="27">
        <v>1000950</v>
      </c>
      <c r="B48" s="28" t="s">
        <v>10947</v>
      </c>
    </row>
    <row r="49" spans="1:2" x14ac:dyDescent="0.25">
      <c r="A49" s="27">
        <v>1000960</v>
      </c>
      <c r="B49" s="28" t="s">
        <v>10948</v>
      </c>
    </row>
    <row r="50" spans="1:2" x14ac:dyDescent="0.25">
      <c r="A50" s="27">
        <v>1000970</v>
      </c>
      <c r="B50" s="28" t="s">
        <v>10949</v>
      </c>
    </row>
    <row r="51" spans="1:2" x14ac:dyDescent="0.25">
      <c r="A51" s="27">
        <v>1000984</v>
      </c>
      <c r="B51" s="28" t="s">
        <v>10950</v>
      </c>
    </row>
    <row r="52" spans="1:2" x14ac:dyDescent="0.25">
      <c r="A52" s="27">
        <v>1000985</v>
      </c>
      <c r="B52" s="28" t="s">
        <v>10951</v>
      </c>
    </row>
    <row r="53" spans="1:2" x14ac:dyDescent="0.25">
      <c r="A53" s="27">
        <v>1000988</v>
      </c>
      <c r="B53" s="28" t="s">
        <v>10952</v>
      </c>
    </row>
    <row r="54" spans="1:2" x14ac:dyDescent="0.25">
      <c r="A54" s="27" t="s">
        <v>13278</v>
      </c>
      <c r="B54" s="28"/>
    </row>
    <row r="55" spans="1:2" x14ac:dyDescent="0.25">
      <c r="A55" s="27" t="s">
        <v>13279</v>
      </c>
      <c r="B55" s="28"/>
    </row>
    <row r="56" spans="1:2" x14ac:dyDescent="0.25">
      <c r="A56" s="27" t="s">
        <v>13280</v>
      </c>
      <c r="B56" s="28" t="s">
        <v>13281</v>
      </c>
    </row>
    <row r="57" spans="1:2" x14ac:dyDescent="0.25">
      <c r="A57" s="27" t="s">
        <v>13282</v>
      </c>
      <c r="B57" s="28" t="s">
        <v>13283</v>
      </c>
    </row>
    <row r="58" spans="1:2" x14ac:dyDescent="0.25">
      <c r="A58" s="27" t="s">
        <v>13284</v>
      </c>
      <c r="B58" s="28" t="s">
        <v>13285</v>
      </c>
    </row>
    <row r="59" spans="1:2" x14ac:dyDescent="0.25">
      <c r="A59" s="27" t="s">
        <v>13286</v>
      </c>
      <c r="B59" s="28"/>
    </row>
    <row r="60" spans="1:2" x14ac:dyDescent="0.25">
      <c r="A60" s="27" t="s">
        <v>13287</v>
      </c>
      <c r="B60" s="28" t="s">
        <v>13288</v>
      </c>
    </row>
    <row r="61" spans="1:2" x14ac:dyDescent="0.25">
      <c r="A61" s="27" t="s">
        <v>13289</v>
      </c>
      <c r="B61" s="28"/>
    </row>
    <row r="62" spans="1:2" x14ac:dyDescent="0.25">
      <c r="A62" s="27" t="s">
        <v>13290</v>
      </c>
      <c r="B62" s="28"/>
    </row>
    <row r="63" spans="1:2" x14ac:dyDescent="0.25">
      <c r="A63" s="27" t="s">
        <v>13291</v>
      </c>
      <c r="B63" s="28" t="s">
        <v>13292</v>
      </c>
    </row>
    <row r="64" spans="1:2" x14ac:dyDescent="0.25">
      <c r="A64" s="27">
        <v>1110000</v>
      </c>
      <c r="B64" s="28" t="s">
        <v>10953</v>
      </c>
    </row>
    <row r="65" spans="1:2" x14ac:dyDescent="0.25">
      <c r="A65" s="27">
        <v>1120001</v>
      </c>
      <c r="B65" s="28" t="s">
        <v>8680</v>
      </c>
    </row>
    <row r="66" spans="1:2" x14ac:dyDescent="0.25">
      <c r="A66" s="27">
        <v>1120002</v>
      </c>
      <c r="B66" s="28" t="s">
        <v>8681</v>
      </c>
    </row>
    <row r="67" spans="1:2" x14ac:dyDescent="0.25">
      <c r="A67" s="27">
        <v>1120003</v>
      </c>
      <c r="B67" s="28" t="s">
        <v>8500</v>
      </c>
    </row>
    <row r="68" spans="1:2" x14ac:dyDescent="0.25">
      <c r="A68" s="27">
        <v>1120004</v>
      </c>
      <c r="B68" s="28" t="s">
        <v>8501</v>
      </c>
    </row>
    <row r="69" spans="1:2" x14ac:dyDescent="0.25">
      <c r="A69" s="27">
        <v>1120005</v>
      </c>
      <c r="B69" s="28" t="s">
        <v>8502</v>
      </c>
    </row>
    <row r="70" spans="1:2" x14ac:dyDescent="0.25">
      <c r="A70" s="27">
        <v>1120006</v>
      </c>
      <c r="B70" s="25" t="s">
        <v>8503</v>
      </c>
    </row>
    <row r="71" spans="1:2" x14ac:dyDescent="0.25">
      <c r="A71" s="27">
        <v>1120007</v>
      </c>
      <c r="B71" s="28" t="s">
        <v>8682</v>
      </c>
    </row>
    <row r="72" spans="1:2" x14ac:dyDescent="0.25">
      <c r="A72" s="27">
        <v>1120008</v>
      </c>
      <c r="B72" s="28" t="s">
        <v>8683</v>
      </c>
    </row>
    <row r="73" spans="1:2" x14ac:dyDescent="0.25">
      <c r="A73" s="27">
        <v>1120009</v>
      </c>
      <c r="B73" s="28" t="s">
        <v>10954</v>
      </c>
    </row>
    <row r="74" spans="1:2" x14ac:dyDescent="0.25">
      <c r="A74" s="27">
        <v>1120010</v>
      </c>
      <c r="B74" s="28" t="s">
        <v>10955</v>
      </c>
    </row>
    <row r="75" spans="1:2" x14ac:dyDescent="0.25">
      <c r="A75" s="27">
        <v>1120011</v>
      </c>
      <c r="B75" s="28" t="s">
        <v>8568</v>
      </c>
    </row>
    <row r="76" spans="1:2" x14ac:dyDescent="0.25">
      <c r="A76" s="27">
        <v>1120012</v>
      </c>
      <c r="B76" s="28" t="s">
        <v>8569</v>
      </c>
    </row>
    <row r="77" spans="1:2" x14ac:dyDescent="0.25">
      <c r="A77" s="27">
        <v>1120013</v>
      </c>
      <c r="B77" s="28" t="s">
        <v>8504</v>
      </c>
    </row>
    <row r="78" spans="1:2" x14ac:dyDescent="0.25">
      <c r="A78" s="27">
        <v>1120014</v>
      </c>
      <c r="B78" s="28" t="s">
        <v>8686</v>
      </c>
    </row>
    <row r="79" spans="1:2" x14ac:dyDescent="0.25">
      <c r="A79" s="27">
        <v>1120015</v>
      </c>
      <c r="B79" s="28" t="s">
        <v>8687</v>
      </c>
    </row>
    <row r="80" spans="1:2" x14ac:dyDescent="0.25">
      <c r="A80" s="27">
        <v>1120016</v>
      </c>
      <c r="B80" s="28" t="s">
        <v>8688</v>
      </c>
    </row>
    <row r="81" spans="1:2" x14ac:dyDescent="0.25">
      <c r="A81" s="27">
        <v>1120017</v>
      </c>
      <c r="B81" s="28" t="s">
        <v>10956</v>
      </c>
    </row>
    <row r="82" spans="1:2" x14ac:dyDescent="0.25">
      <c r="A82" s="27">
        <v>1120020</v>
      </c>
      <c r="B82" s="28" t="s">
        <v>10957</v>
      </c>
    </row>
    <row r="83" spans="1:2" x14ac:dyDescent="0.25">
      <c r="A83" s="27">
        <v>1120024</v>
      </c>
      <c r="B83" s="28" t="s">
        <v>10958</v>
      </c>
    </row>
    <row r="84" spans="1:2" x14ac:dyDescent="0.25">
      <c r="A84" s="27">
        <v>1120025</v>
      </c>
      <c r="B84" s="28" t="s">
        <v>10959</v>
      </c>
    </row>
    <row r="85" spans="1:2" x14ac:dyDescent="0.25">
      <c r="A85" s="27">
        <v>1120030</v>
      </c>
      <c r="B85" s="28" t="s">
        <v>8693</v>
      </c>
    </row>
    <row r="86" spans="1:2" x14ac:dyDescent="0.25">
      <c r="A86" s="27">
        <v>1120031</v>
      </c>
      <c r="B86" s="28" t="s">
        <v>10960</v>
      </c>
    </row>
    <row r="87" spans="1:2" x14ac:dyDescent="0.25">
      <c r="A87" s="27">
        <v>1120032</v>
      </c>
      <c r="B87" s="28" t="s">
        <v>10961</v>
      </c>
    </row>
    <row r="88" spans="1:2" x14ac:dyDescent="0.25">
      <c r="A88" s="27">
        <v>1120050</v>
      </c>
      <c r="B88" s="28" t="s">
        <v>8759</v>
      </c>
    </row>
    <row r="89" spans="1:2" x14ac:dyDescent="0.25">
      <c r="A89" s="27">
        <v>1120051</v>
      </c>
      <c r="B89" s="28" t="s">
        <v>8760</v>
      </c>
    </row>
    <row r="90" spans="1:2" x14ac:dyDescent="0.25">
      <c r="A90" s="27">
        <v>1120052</v>
      </c>
      <c r="B90" s="28" t="s">
        <v>8761</v>
      </c>
    </row>
    <row r="91" spans="1:2" x14ac:dyDescent="0.25">
      <c r="A91" s="27">
        <v>1120053</v>
      </c>
      <c r="B91" s="28" t="s">
        <v>8762</v>
      </c>
    </row>
    <row r="92" spans="1:2" x14ac:dyDescent="0.25">
      <c r="A92" s="27">
        <v>1120055</v>
      </c>
      <c r="B92" s="28" t="s">
        <v>8730</v>
      </c>
    </row>
    <row r="93" spans="1:2" x14ac:dyDescent="0.25">
      <c r="A93" s="27">
        <v>1120056</v>
      </c>
      <c r="B93" s="28" t="s">
        <v>8731</v>
      </c>
    </row>
    <row r="94" spans="1:2" x14ac:dyDescent="0.25">
      <c r="A94" s="27">
        <v>1120057</v>
      </c>
      <c r="B94" s="28" t="s">
        <v>8732</v>
      </c>
    </row>
    <row r="95" spans="1:2" x14ac:dyDescent="0.25">
      <c r="A95" s="27">
        <v>1120058</v>
      </c>
      <c r="B95" s="28" t="s">
        <v>8733</v>
      </c>
    </row>
    <row r="96" spans="1:2" x14ac:dyDescent="0.25">
      <c r="A96" s="27">
        <v>1120060</v>
      </c>
      <c r="B96" s="28" t="s">
        <v>8739</v>
      </c>
    </row>
    <row r="97" spans="1:2" x14ac:dyDescent="0.25">
      <c r="A97" s="27">
        <v>1120061</v>
      </c>
      <c r="B97" s="28" t="s">
        <v>8740</v>
      </c>
    </row>
    <row r="98" spans="1:2" x14ac:dyDescent="0.25">
      <c r="A98" s="27">
        <v>1120062</v>
      </c>
      <c r="B98" s="28" t="s">
        <v>8741</v>
      </c>
    </row>
    <row r="99" spans="1:2" x14ac:dyDescent="0.25">
      <c r="A99" s="27">
        <v>1120063</v>
      </c>
      <c r="B99" s="28" t="s">
        <v>8742</v>
      </c>
    </row>
    <row r="100" spans="1:2" x14ac:dyDescent="0.25">
      <c r="A100" s="27">
        <v>1120064</v>
      </c>
      <c r="B100" s="28" t="s">
        <v>10962</v>
      </c>
    </row>
    <row r="101" spans="1:2" x14ac:dyDescent="0.25">
      <c r="A101" s="27">
        <v>1120065</v>
      </c>
      <c r="B101" s="28" t="s">
        <v>10963</v>
      </c>
    </row>
    <row r="102" spans="1:2" x14ac:dyDescent="0.25">
      <c r="A102" s="27">
        <v>1120066</v>
      </c>
      <c r="B102" s="28" t="s">
        <v>10964</v>
      </c>
    </row>
    <row r="103" spans="1:2" x14ac:dyDescent="0.25">
      <c r="A103" s="27">
        <v>1120067</v>
      </c>
      <c r="B103" s="28" t="s">
        <v>10965</v>
      </c>
    </row>
    <row r="104" spans="1:2" x14ac:dyDescent="0.25">
      <c r="A104" s="27">
        <v>1120068</v>
      </c>
      <c r="B104" s="28" t="s">
        <v>10966</v>
      </c>
    </row>
    <row r="105" spans="1:2" x14ac:dyDescent="0.25">
      <c r="A105" s="27">
        <v>1120069</v>
      </c>
      <c r="B105" s="28" t="s">
        <v>10967</v>
      </c>
    </row>
    <row r="106" spans="1:2" x14ac:dyDescent="0.25">
      <c r="A106" s="27">
        <v>1120070</v>
      </c>
      <c r="B106" s="28" t="s">
        <v>10968</v>
      </c>
    </row>
    <row r="107" spans="1:2" x14ac:dyDescent="0.25">
      <c r="A107" s="27">
        <v>1120071</v>
      </c>
      <c r="B107" s="28" t="s">
        <v>10969</v>
      </c>
    </row>
    <row r="108" spans="1:2" x14ac:dyDescent="0.25">
      <c r="A108" s="27">
        <v>1120072</v>
      </c>
      <c r="B108" s="28" t="s">
        <v>8755</v>
      </c>
    </row>
    <row r="109" spans="1:2" x14ac:dyDescent="0.25">
      <c r="A109" s="27">
        <v>1120073</v>
      </c>
      <c r="B109" s="28" t="s">
        <v>8756</v>
      </c>
    </row>
    <row r="110" spans="1:2" x14ac:dyDescent="0.25">
      <c r="A110" s="27">
        <v>1120074</v>
      </c>
      <c r="B110" s="28" t="s">
        <v>8757</v>
      </c>
    </row>
    <row r="111" spans="1:2" x14ac:dyDescent="0.25">
      <c r="A111" s="27">
        <v>1120075</v>
      </c>
      <c r="B111" s="28" t="s">
        <v>8758</v>
      </c>
    </row>
    <row r="112" spans="1:2" x14ac:dyDescent="0.25">
      <c r="A112" s="27">
        <v>1120076</v>
      </c>
      <c r="B112" s="28" t="s">
        <v>10970</v>
      </c>
    </row>
    <row r="113" spans="1:2" x14ac:dyDescent="0.25">
      <c r="A113" s="27">
        <v>1120077</v>
      </c>
      <c r="B113" s="28" t="s">
        <v>10971</v>
      </c>
    </row>
    <row r="114" spans="1:2" x14ac:dyDescent="0.25">
      <c r="A114" s="27">
        <v>1120078</v>
      </c>
      <c r="B114" s="28" t="s">
        <v>10972</v>
      </c>
    </row>
    <row r="115" spans="1:2" x14ac:dyDescent="0.25">
      <c r="A115" s="27">
        <v>1120079</v>
      </c>
      <c r="B115" s="28" t="s">
        <v>10973</v>
      </c>
    </row>
    <row r="116" spans="1:2" x14ac:dyDescent="0.25">
      <c r="A116" s="27">
        <v>1120106</v>
      </c>
      <c r="B116" s="28" t="s">
        <v>8509</v>
      </c>
    </row>
    <row r="117" spans="1:2" x14ac:dyDescent="0.25">
      <c r="A117" s="27">
        <v>1120107</v>
      </c>
      <c r="B117" s="28" t="s">
        <v>8510</v>
      </c>
    </row>
    <row r="118" spans="1:2" x14ac:dyDescent="0.25">
      <c r="A118" s="27">
        <v>1120110</v>
      </c>
      <c r="B118" s="28" t="s">
        <v>8511</v>
      </c>
    </row>
    <row r="119" spans="1:2" x14ac:dyDescent="0.25">
      <c r="A119" s="27">
        <v>1120111</v>
      </c>
      <c r="B119" s="28" t="s">
        <v>8512</v>
      </c>
    </row>
    <row r="120" spans="1:2" x14ac:dyDescent="0.25">
      <c r="A120" s="27">
        <v>1120112</v>
      </c>
      <c r="B120" s="28" t="s">
        <v>10974</v>
      </c>
    </row>
    <row r="121" spans="1:2" x14ac:dyDescent="0.25">
      <c r="A121" s="27" t="s">
        <v>13293</v>
      </c>
      <c r="B121" s="28"/>
    </row>
    <row r="122" spans="1:2" x14ac:dyDescent="0.25">
      <c r="A122" s="27">
        <v>1120125</v>
      </c>
      <c r="B122" s="28" t="s">
        <v>8562</v>
      </c>
    </row>
    <row r="123" spans="1:2" x14ac:dyDescent="0.25">
      <c r="A123" s="27">
        <v>1120126</v>
      </c>
      <c r="B123" s="28" t="s">
        <v>8563</v>
      </c>
    </row>
    <row r="124" spans="1:2" x14ac:dyDescent="0.25">
      <c r="A124" s="27">
        <v>1120130</v>
      </c>
      <c r="B124" s="28" t="s">
        <v>8593</v>
      </c>
    </row>
    <row r="125" spans="1:2" x14ac:dyDescent="0.25">
      <c r="A125" s="27" t="s">
        <v>13294</v>
      </c>
      <c r="B125" s="28"/>
    </row>
    <row r="126" spans="1:2" x14ac:dyDescent="0.25">
      <c r="A126" s="27">
        <v>1120131</v>
      </c>
      <c r="B126" s="28" t="s">
        <v>8594</v>
      </c>
    </row>
    <row r="127" spans="1:2" x14ac:dyDescent="0.25">
      <c r="A127" s="27">
        <v>1120132</v>
      </c>
      <c r="B127" s="28" t="s">
        <v>8595</v>
      </c>
    </row>
    <row r="128" spans="1:2" x14ac:dyDescent="0.25">
      <c r="A128" s="27">
        <v>1120133</v>
      </c>
      <c r="B128" s="28" t="s">
        <v>8596</v>
      </c>
    </row>
    <row r="129" spans="1:2" x14ac:dyDescent="0.25">
      <c r="A129" s="27">
        <v>1120136</v>
      </c>
      <c r="B129" s="28" t="s">
        <v>10975</v>
      </c>
    </row>
    <row r="130" spans="1:2" x14ac:dyDescent="0.25">
      <c r="A130" s="27">
        <v>1120140</v>
      </c>
      <c r="B130" s="28" t="s">
        <v>8583</v>
      </c>
    </row>
    <row r="131" spans="1:2" x14ac:dyDescent="0.25">
      <c r="A131" s="27">
        <v>1120141</v>
      </c>
      <c r="B131" s="28" t="s">
        <v>8694</v>
      </c>
    </row>
    <row r="132" spans="1:2" x14ac:dyDescent="0.25">
      <c r="A132" s="27">
        <v>1120142</v>
      </c>
      <c r="B132" s="25" t="s">
        <v>8695</v>
      </c>
    </row>
    <row r="133" spans="1:2" x14ac:dyDescent="0.25">
      <c r="A133" s="27">
        <v>1120143</v>
      </c>
      <c r="B133" s="28" t="s">
        <v>8696</v>
      </c>
    </row>
    <row r="134" spans="1:2" x14ac:dyDescent="0.25">
      <c r="A134" s="27">
        <v>1120144</v>
      </c>
      <c r="B134" s="28" t="s">
        <v>8697</v>
      </c>
    </row>
    <row r="135" spans="1:2" x14ac:dyDescent="0.25">
      <c r="A135" s="27">
        <v>1120147</v>
      </c>
      <c r="B135" s="28" t="s">
        <v>10976</v>
      </c>
    </row>
    <row r="136" spans="1:2" x14ac:dyDescent="0.25">
      <c r="A136" s="27">
        <v>1120148</v>
      </c>
      <c r="B136" s="28" t="s">
        <v>10977</v>
      </c>
    </row>
    <row r="137" spans="1:2" x14ac:dyDescent="0.25">
      <c r="A137" s="27">
        <v>1120149</v>
      </c>
      <c r="B137" s="28" t="s">
        <v>10978</v>
      </c>
    </row>
    <row r="138" spans="1:2" x14ac:dyDescent="0.25">
      <c r="A138" s="27">
        <v>1120150</v>
      </c>
      <c r="B138" s="28" t="s">
        <v>8584</v>
      </c>
    </row>
    <row r="139" spans="1:2" x14ac:dyDescent="0.25">
      <c r="A139" s="27">
        <v>1120151</v>
      </c>
      <c r="B139" s="28" t="s">
        <v>8791</v>
      </c>
    </row>
    <row r="140" spans="1:2" x14ac:dyDescent="0.25">
      <c r="A140" s="27">
        <v>1120152</v>
      </c>
      <c r="B140" s="28" t="s">
        <v>8792</v>
      </c>
    </row>
    <row r="141" spans="1:2" x14ac:dyDescent="0.25">
      <c r="A141" s="27">
        <v>1120153</v>
      </c>
      <c r="B141" s="28" t="s">
        <v>8793</v>
      </c>
    </row>
    <row r="142" spans="1:2" x14ac:dyDescent="0.25">
      <c r="A142" s="27">
        <v>1120160</v>
      </c>
      <c r="B142" s="28" t="s">
        <v>8585</v>
      </c>
    </row>
    <row r="143" spans="1:2" x14ac:dyDescent="0.25">
      <c r="A143" s="27">
        <v>1120165</v>
      </c>
      <c r="B143" s="28" t="s">
        <v>8525</v>
      </c>
    </row>
    <row r="144" spans="1:2" x14ac:dyDescent="0.25">
      <c r="A144" s="27">
        <v>1120166</v>
      </c>
      <c r="B144" s="28" t="s">
        <v>8526</v>
      </c>
    </row>
    <row r="145" spans="1:2" x14ac:dyDescent="0.25">
      <c r="A145" s="27">
        <v>1120167</v>
      </c>
      <c r="B145" s="28" t="s">
        <v>8527</v>
      </c>
    </row>
    <row r="146" spans="1:2" x14ac:dyDescent="0.25">
      <c r="A146" s="27">
        <v>1120168</v>
      </c>
      <c r="B146" s="28" t="s">
        <v>8528</v>
      </c>
    </row>
    <row r="147" spans="1:2" x14ac:dyDescent="0.25">
      <c r="A147" s="27">
        <v>1120170</v>
      </c>
      <c r="B147" s="28" t="s">
        <v>8587</v>
      </c>
    </row>
    <row r="148" spans="1:2" x14ac:dyDescent="0.25">
      <c r="A148" s="27">
        <v>1120173</v>
      </c>
      <c r="B148" s="28" t="s">
        <v>8794</v>
      </c>
    </row>
    <row r="149" spans="1:2" x14ac:dyDescent="0.25">
      <c r="A149" s="27">
        <v>1120174</v>
      </c>
      <c r="B149" s="28" t="s">
        <v>8795</v>
      </c>
    </row>
    <row r="150" spans="1:2" x14ac:dyDescent="0.25">
      <c r="A150" s="27">
        <v>1120175</v>
      </c>
      <c r="B150" s="28" t="s">
        <v>8586</v>
      </c>
    </row>
    <row r="151" spans="1:2" x14ac:dyDescent="0.25">
      <c r="A151" s="27">
        <v>1120176</v>
      </c>
      <c r="B151" s="28" t="s">
        <v>8796</v>
      </c>
    </row>
    <row r="152" spans="1:2" x14ac:dyDescent="0.25">
      <c r="A152" s="27">
        <v>1120177</v>
      </c>
      <c r="B152" s="28" t="s">
        <v>8797</v>
      </c>
    </row>
    <row r="153" spans="1:2" x14ac:dyDescent="0.25">
      <c r="A153" s="27">
        <v>1120180</v>
      </c>
      <c r="B153" s="28" t="s">
        <v>8588</v>
      </c>
    </row>
    <row r="154" spans="1:2" x14ac:dyDescent="0.25">
      <c r="A154" s="27">
        <v>1120182</v>
      </c>
      <c r="B154" s="28" t="s">
        <v>8609</v>
      </c>
    </row>
    <row r="155" spans="1:2" x14ac:dyDescent="0.25">
      <c r="A155" s="27" t="s">
        <v>13295</v>
      </c>
      <c r="B155" s="28"/>
    </row>
    <row r="156" spans="1:2" x14ac:dyDescent="0.25">
      <c r="A156" s="27">
        <v>1120183</v>
      </c>
      <c r="B156" s="28" t="s">
        <v>8610</v>
      </c>
    </row>
    <row r="157" spans="1:2" x14ac:dyDescent="0.25">
      <c r="A157" s="27" t="s">
        <v>13296</v>
      </c>
      <c r="B157" s="28"/>
    </row>
    <row r="158" spans="1:2" x14ac:dyDescent="0.25">
      <c r="A158" s="27">
        <v>1120184</v>
      </c>
      <c r="B158" s="28" t="s">
        <v>8611</v>
      </c>
    </row>
    <row r="159" spans="1:2" x14ac:dyDescent="0.25">
      <c r="A159" s="27" t="s">
        <v>13297</v>
      </c>
      <c r="B159" s="28"/>
    </row>
    <row r="160" spans="1:2" x14ac:dyDescent="0.25">
      <c r="A160" s="27">
        <v>1120185</v>
      </c>
      <c r="B160" s="28" t="s">
        <v>8612</v>
      </c>
    </row>
    <row r="161" spans="1:2" x14ac:dyDescent="0.25">
      <c r="A161" s="27" t="s">
        <v>13298</v>
      </c>
      <c r="B161" s="28"/>
    </row>
    <row r="162" spans="1:2" x14ac:dyDescent="0.25">
      <c r="A162" s="27">
        <v>1120188</v>
      </c>
      <c r="B162" s="28" t="s">
        <v>8716</v>
      </c>
    </row>
    <row r="163" spans="1:2" x14ac:dyDescent="0.25">
      <c r="A163" s="27">
        <v>1120190</v>
      </c>
      <c r="B163" s="28" t="s">
        <v>8589</v>
      </c>
    </row>
    <row r="164" spans="1:2" x14ac:dyDescent="0.25">
      <c r="A164" s="27">
        <v>1120191</v>
      </c>
      <c r="B164" s="28" t="s">
        <v>8743</v>
      </c>
    </row>
    <row r="165" spans="1:2" x14ac:dyDescent="0.25">
      <c r="A165" s="27">
        <v>1120192</v>
      </c>
      <c r="B165" s="28" t="s">
        <v>8744</v>
      </c>
    </row>
    <row r="166" spans="1:2" x14ac:dyDescent="0.25">
      <c r="A166" s="27">
        <v>1120193</v>
      </c>
      <c r="B166" s="28" t="s">
        <v>8745</v>
      </c>
    </row>
    <row r="167" spans="1:2" x14ac:dyDescent="0.25">
      <c r="A167" s="27">
        <v>1120194</v>
      </c>
      <c r="B167" s="28" t="s">
        <v>8746</v>
      </c>
    </row>
    <row r="168" spans="1:2" x14ac:dyDescent="0.25">
      <c r="A168" s="27">
        <v>1120195</v>
      </c>
      <c r="B168" s="28" t="s">
        <v>8590</v>
      </c>
    </row>
    <row r="169" spans="1:2" x14ac:dyDescent="0.25">
      <c r="A169" s="27">
        <v>1120196</v>
      </c>
      <c r="B169" s="28" t="s">
        <v>8714</v>
      </c>
    </row>
    <row r="170" spans="1:2" x14ac:dyDescent="0.25">
      <c r="A170" s="27">
        <v>1120197</v>
      </c>
      <c r="B170" s="28" t="s">
        <v>8715</v>
      </c>
    </row>
    <row r="171" spans="1:2" x14ac:dyDescent="0.25">
      <c r="A171" s="27">
        <v>1120199</v>
      </c>
      <c r="B171" s="28" t="s">
        <v>10979</v>
      </c>
    </row>
    <row r="172" spans="1:2" x14ac:dyDescent="0.25">
      <c r="A172" s="27">
        <v>1120200</v>
      </c>
      <c r="B172" s="28" t="s">
        <v>8717</v>
      </c>
    </row>
    <row r="173" spans="1:2" x14ac:dyDescent="0.25">
      <c r="A173" s="27">
        <v>1120201</v>
      </c>
      <c r="B173" s="28" t="s">
        <v>8718</v>
      </c>
    </row>
    <row r="174" spans="1:2" x14ac:dyDescent="0.25">
      <c r="A174" s="27">
        <v>1120202</v>
      </c>
      <c r="B174" s="28" t="s">
        <v>8719</v>
      </c>
    </row>
    <row r="175" spans="1:2" x14ac:dyDescent="0.25">
      <c r="A175" s="27">
        <v>1120203</v>
      </c>
      <c r="B175" s="28" t="s">
        <v>8720</v>
      </c>
    </row>
    <row r="176" spans="1:2" x14ac:dyDescent="0.25">
      <c r="A176" s="27">
        <v>1120204</v>
      </c>
      <c r="B176" s="28" t="s">
        <v>8721</v>
      </c>
    </row>
    <row r="177" spans="1:2" x14ac:dyDescent="0.25">
      <c r="A177" s="27" t="s">
        <v>13299</v>
      </c>
      <c r="B177" s="28"/>
    </row>
    <row r="178" spans="1:2" x14ac:dyDescent="0.25">
      <c r="A178" s="27">
        <v>1120206</v>
      </c>
      <c r="B178" s="28" t="s">
        <v>8513</v>
      </c>
    </row>
    <row r="179" spans="1:2" x14ac:dyDescent="0.25">
      <c r="A179" s="27">
        <v>1120207</v>
      </c>
      <c r="B179" s="28" t="s">
        <v>8514</v>
      </c>
    </row>
    <row r="180" spans="1:2" x14ac:dyDescent="0.25">
      <c r="A180" s="27">
        <v>1120208</v>
      </c>
      <c r="B180" s="28" t="s">
        <v>8515</v>
      </c>
    </row>
    <row r="181" spans="1:2" x14ac:dyDescent="0.25">
      <c r="A181" s="27">
        <v>1120209</v>
      </c>
      <c r="B181" s="28" t="s">
        <v>8516</v>
      </c>
    </row>
    <row r="182" spans="1:2" x14ac:dyDescent="0.25">
      <c r="A182" s="27">
        <v>1120210</v>
      </c>
      <c r="B182" s="28" t="s">
        <v>10980</v>
      </c>
    </row>
    <row r="183" spans="1:2" x14ac:dyDescent="0.25">
      <c r="A183" s="27">
        <v>1120211</v>
      </c>
      <c r="B183" s="28" t="s">
        <v>10981</v>
      </c>
    </row>
    <row r="184" spans="1:2" x14ac:dyDescent="0.25">
      <c r="A184" s="27">
        <v>1120212</v>
      </c>
      <c r="B184" s="28" t="s">
        <v>10982</v>
      </c>
    </row>
    <row r="185" spans="1:2" x14ac:dyDescent="0.25">
      <c r="A185" s="27">
        <v>1120213</v>
      </c>
      <c r="B185" s="28" t="s">
        <v>10983</v>
      </c>
    </row>
    <row r="186" spans="1:2" x14ac:dyDescent="0.25">
      <c r="A186" s="27">
        <v>1120214</v>
      </c>
      <c r="B186" s="28" t="s">
        <v>8734</v>
      </c>
    </row>
    <row r="187" spans="1:2" x14ac:dyDescent="0.25">
      <c r="A187" s="27">
        <v>1120215</v>
      </c>
      <c r="B187" s="28" t="s">
        <v>8735</v>
      </c>
    </row>
    <row r="188" spans="1:2" x14ac:dyDescent="0.25">
      <c r="A188" s="27">
        <v>1120216</v>
      </c>
      <c r="B188" s="28" t="s">
        <v>8736</v>
      </c>
    </row>
    <row r="189" spans="1:2" x14ac:dyDescent="0.25">
      <c r="A189" s="27">
        <v>1120217</v>
      </c>
      <c r="B189" s="28" t="s">
        <v>8737</v>
      </c>
    </row>
    <row r="190" spans="1:2" x14ac:dyDescent="0.25">
      <c r="A190" s="27">
        <v>1120220</v>
      </c>
      <c r="B190" s="28" t="s">
        <v>10984</v>
      </c>
    </row>
    <row r="191" spans="1:2" x14ac:dyDescent="0.25">
      <c r="A191" s="27">
        <v>1120221</v>
      </c>
      <c r="B191" s="28" t="s">
        <v>10985</v>
      </c>
    </row>
    <row r="192" spans="1:2" x14ac:dyDescent="0.25">
      <c r="A192" s="27">
        <v>1120222</v>
      </c>
      <c r="B192" s="28" t="s">
        <v>10986</v>
      </c>
    </row>
    <row r="193" spans="1:2" x14ac:dyDescent="0.25">
      <c r="A193" s="27">
        <v>1120223</v>
      </c>
      <c r="B193" s="28" t="s">
        <v>10987</v>
      </c>
    </row>
    <row r="194" spans="1:2" x14ac:dyDescent="0.25">
      <c r="A194" s="27">
        <v>1120224</v>
      </c>
      <c r="B194" s="28" t="s">
        <v>8607</v>
      </c>
    </row>
    <row r="195" spans="1:2" x14ac:dyDescent="0.25">
      <c r="A195" s="27">
        <v>1120225</v>
      </c>
      <c r="B195" s="28" t="s">
        <v>8608</v>
      </c>
    </row>
    <row r="196" spans="1:2" x14ac:dyDescent="0.25">
      <c r="A196" s="27">
        <v>1120230</v>
      </c>
      <c r="B196" s="28" t="s">
        <v>10409</v>
      </c>
    </row>
    <row r="197" spans="1:2" x14ac:dyDescent="0.25">
      <c r="A197" s="27">
        <v>1120231</v>
      </c>
      <c r="B197" s="28" t="s">
        <v>10410</v>
      </c>
    </row>
    <row r="198" spans="1:2" x14ac:dyDescent="0.25">
      <c r="A198" s="27">
        <v>1120232</v>
      </c>
      <c r="B198" s="28" t="s">
        <v>10411</v>
      </c>
    </row>
    <row r="199" spans="1:2" x14ac:dyDescent="0.25">
      <c r="A199" s="27">
        <v>1120233</v>
      </c>
      <c r="B199" s="28" t="s">
        <v>8747</v>
      </c>
    </row>
    <row r="200" spans="1:2" x14ac:dyDescent="0.25">
      <c r="A200" s="27">
        <v>1120234</v>
      </c>
      <c r="B200" s="28" t="s">
        <v>8748</v>
      </c>
    </row>
    <row r="201" spans="1:2" x14ac:dyDescent="0.25">
      <c r="A201" s="27">
        <v>1120235</v>
      </c>
      <c r="B201" s="28" t="s">
        <v>8749</v>
      </c>
    </row>
    <row r="202" spans="1:2" x14ac:dyDescent="0.25">
      <c r="A202" s="27">
        <v>1120236</v>
      </c>
      <c r="B202" s="28" t="s">
        <v>8750</v>
      </c>
    </row>
    <row r="203" spans="1:2" x14ac:dyDescent="0.25">
      <c r="A203" s="27">
        <v>1120238</v>
      </c>
      <c r="B203" s="28" t="s">
        <v>10420</v>
      </c>
    </row>
    <row r="204" spans="1:2" x14ac:dyDescent="0.25">
      <c r="A204" s="27">
        <v>1120239</v>
      </c>
      <c r="B204" s="28" t="s">
        <v>10988</v>
      </c>
    </row>
    <row r="205" spans="1:2" x14ac:dyDescent="0.25">
      <c r="A205" s="27">
        <v>1120240</v>
      </c>
      <c r="B205" s="28" t="s">
        <v>10989</v>
      </c>
    </row>
    <row r="206" spans="1:2" x14ac:dyDescent="0.25">
      <c r="A206" s="27">
        <v>1120241</v>
      </c>
      <c r="B206" s="28" t="s">
        <v>8574</v>
      </c>
    </row>
    <row r="207" spans="1:2" x14ac:dyDescent="0.25">
      <c r="A207" s="27">
        <v>1120242</v>
      </c>
      <c r="B207" s="28" t="s">
        <v>8575</v>
      </c>
    </row>
    <row r="208" spans="1:2" x14ac:dyDescent="0.25">
      <c r="A208" s="27">
        <v>1120243</v>
      </c>
      <c r="B208" s="28" t="s">
        <v>8576</v>
      </c>
    </row>
    <row r="209" spans="1:2" x14ac:dyDescent="0.25">
      <c r="A209" s="27">
        <v>1120246</v>
      </c>
      <c r="B209" s="28" t="s">
        <v>8565</v>
      </c>
    </row>
    <row r="210" spans="1:2" x14ac:dyDescent="0.25">
      <c r="A210" s="27" t="s">
        <v>13300</v>
      </c>
      <c r="B210" s="28" t="s">
        <v>13301</v>
      </c>
    </row>
    <row r="211" spans="1:2" x14ac:dyDescent="0.25">
      <c r="A211" s="27">
        <v>1120247</v>
      </c>
      <c r="B211" s="28" t="s">
        <v>8566</v>
      </c>
    </row>
    <row r="212" spans="1:2" x14ac:dyDescent="0.25">
      <c r="A212" s="27" t="s">
        <v>13302</v>
      </c>
      <c r="B212" s="28" t="s">
        <v>13303</v>
      </c>
    </row>
    <row r="213" spans="1:2" x14ac:dyDescent="0.25">
      <c r="A213" s="27">
        <v>1120248</v>
      </c>
      <c r="B213" s="28" t="s">
        <v>8567</v>
      </c>
    </row>
    <row r="214" spans="1:2" x14ac:dyDescent="0.25">
      <c r="A214" s="27">
        <v>1120250</v>
      </c>
      <c r="B214" s="28" t="s">
        <v>10990</v>
      </c>
    </row>
    <row r="215" spans="1:2" x14ac:dyDescent="0.25">
      <c r="A215" s="27">
        <v>1120251</v>
      </c>
      <c r="B215" s="25" t="s">
        <v>10991</v>
      </c>
    </row>
    <row r="216" spans="1:2" x14ac:dyDescent="0.25">
      <c r="A216" s="27">
        <v>1120263</v>
      </c>
      <c r="B216" s="28" t="s">
        <v>8706</v>
      </c>
    </row>
    <row r="217" spans="1:2" x14ac:dyDescent="0.25">
      <c r="A217" s="27">
        <v>1120264</v>
      </c>
      <c r="B217" s="28" t="s">
        <v>8707</v>
      </c>
    </row>
    <row r="218" spans="1:2" x14ac:dyDescent="0.25">
      <c r="A218" s="27">
        <v>1120265</v>
      </c>
      <c r="B218" s="28" t="s">
        <v>8708</v>
      </c>
    </row>
    <row r="219" spans="1:2" x14ac:dyDescent="0.25">
      <c r="A219" s="27">
        <v>1120266</v>
      </c>
      <c r="B219" s="28" t="s">
        <v>8709</v>
      </c>
    </row>
    <row r="220" spans="1:2" x14ac:dyDescent="0.25">
      <c r="A220" s="27">
        <v>1120267</v>
      </c>
      <c r="B220" s="28" t="s">
        <v>8698</v>
      </c>
    </row>
    <row r="221" spans="1:2" x14ac:dyDescent="0.25">
      <c r="A221" s="27">
        <v>1120268</v>
      </c>
      <c r="B221" s="28" t="s">
        <v>8699</v>
      </c>
    </row>
    <row r="222" spans="1:2" x14ac:dyDescent="0.25">
      <c r="A222" s="27">
        <v>1120269</v>
      </c>
      <c r="B222" s="28" t="s">
        <v>8700</v>
      </c>
    </row>
    <row r="223" spans="1:2" x14ac:dyDescent="0.25">
      <c r="A223" s="27">
        <v>1120270</v>
      </c>
      <c r="B223" s="28" t="s">
        <v>8701</v>
      </c>
    </row>
    <row r="224" spans="1:2" x14ac:dyDescent="0.25">
      <c r="A224" s="27">
        <v>1120271</v>
      </c>
      <c r="B224" s="28" t="s">
        <v>8710</v>
      </c>
    </row>
    <row r="225" spans="1:2" x14ac:dyDescent="0.25">
      <c r="A225" s="27">
        <v>1120272</v>
      </c>
      <c r="B225" s="28" t="s">
        <v>8711</v>
      </c>
    </row>
    <row r="226" spans="1:2" x14ac:dyDescent="0.25">
      <c r="A226" s="27">
        <v>1120273</v>
      </c>
      <c r="B226" s="28" t="s">
        <v>8712</v>
      </c>
    </row>
    <row r="227" spans="1:2" x14ac:dyDescent="0.25">
      <c r="A227" s="27">
        <v>1120274</v>
      </c>
      <c r="B227" s="28" t="s">
        <v>8713</v>
      </c>
    </row>
    <row r="228" spans="1:2" x14ac:dyDescent="0.25">
      <c r="A228" s="27">
        <v>1120275</v>
      </c>
      <c r="B228" s="28" t="s">
        <v>8702</v>
      </c>
    </row>
    <row r="229" spans="1:2" x14ac:dyDescent="0.25">
      <c r="A229" s="27">
        <v>1120276</v>
      </c>
      <c r="B229" s="28" t="s">
        <v>8703</v>
      </c>
    </row>
    <row r="230" spans="1:2" x14ac:dyDescent="0.25">
      <c r="A230" s="27">
        <v>1120277</v>
      </c>
      <c r="B230" s="28" t="s">
        <v>8704</v>
      </c>
    </row>
    <row r="231" spans="1:2" x14ac:dyDescent="0.25">
      <c r="A231" s="27">
        <v>1120278</v>
      </c>
      <c r="B231" s="28" t="s">
        <v>8705</v>
      </c>
    </row>
    <row r="232" spans="1:2" x14ac:dyDescent="0.25">
      <c r="A232" s="27">
        <v>1120280</v>
      </c>
      <c r="B232" s="28" t="s">
        <v>10416</v>
      </c>
    </row>
    <row r="233" spans="1:2" x14ac:dyDescent="0.25">
      <c r="A233" s="27">
        <v>1120281</v>
      </c>
      <c r="B233" s="28" t="s">
        <v>10992</v>
      </c>
    </row>
    <row r="234" spans="1:2" x14ac:dyDescent="0.25">
      <c r="A234" s="27">
        <v>1120285</v>
      </c>
      <c r="B234" s="28" t="s">
        <v>8564</v>
      </c>
    </row>
    <row r="235" spans="1:2" x14ac:dyDescent="0.25">
      <c r="A235" s="27" t="s">
        <v>13304</v>
      </c>
      <c r="B235" s="28" t="s">
        <v>13305</v>
      </c>
    </row>
    <row r="236" spans="1:2" x14ac:dyDescent="0.25">
      <c r="A236" s="27">
        <v>1120286</v>
      </c>
      <c r="B236" s="28" t="s">
        <v>10993</v>
      </c>
    </row>
    <row r="237" spans="1:2" x14ac:dyDescent="0.25">
      <c r="A237" s="27">
        <v>1120287</v>
      </c>
      <c r="B237" s="28" t="s">
        <v>10994</v>
      </c>
    </row>
    <row r="238" spans="1:2" x14ac:dyDescent="0.25">
      <c r="A238" s="27">
        <v>1120288</v>
      </c>
      <c r="B238" s="28" t="s">
        <v>10995</v>
      </c>
    </row>
    <row r="239" spans="1:2" x14ac:dyDescent="0.25">
      <c r="A239" s="27">
        <v>1120289</v>
      </c>
      <c r="B239" s="28" t="s">
        <v>10996</v>
      </c>
    </row>
    <row r="240" spans="1:2" x14ac:dyDescent="0.25">
      <c r="A240" s="27">
        <v>1120290</v>
      </c>
      <c r="B240" s="28" t="s">
        <v>8570</v>
      </c>
    </row>
    <row r="241" spans="1:2" x14ac:dyDescent="0.25">
      <c r="A241" s="27">
        <v>1120291</v>
      </c>
      <c r="B241" s="28" t="s">
        <v>8571</v>
      </c>
    </row>
    <row r="242" spans="1:2" x14ac:dyDescent="0.25">
      <c r="A242" s="27">
        <v>1120292</v>
      </c>
      <c r="B242" s="28" t="s">
        <v>8572</v>
      </c>
    </row>
    <row r="243" spans="1:2" x14ac:dyDescent="0.25">
      <c r="A243" s="27">
        <v>1120293</v>
      </c>
      <c r="B243" s="28" t="s">
        <v>8573</v>
      </c>
    </row>
    <row r="244" spans="1:2" x14ac:dyDescent="0.25">
      <c r="A244" s="27">
        <v>1120294</v>
      </c>
      <c r="B244" s="28" t="s">
        <v>10997</v>
      </c>
    </row>
    <row r="245" spans="1:2" x14ac:dyDescent="0.25">
      <c r="A245" s="27">
        <v>1120299</v>
      </c>
      <c r="B245" s="28" t="s">
        <v>10998</v>
      </c>
    </row>
    <row r="246" spans="1:2" x14ac:dyDescent="0.25">
      <c r="A246" s="27">
        <v>1120300</v>
      </c>
      <c r="B246" s="28" t="s">
        <v>10999</v>
      </c>
    </row>
    <row r="247" spans="1:2" x14ac:dyDescent="0.25">
      <c r="A247" s="27" t="s">
        <v>13306</v>
      </c>
      <c r="B247" s="28"/>
    </row>
    <row r="248" spans="1:2" x14ac:dyDescent="0.25">
      <c r="A248" s="27">
        <v>1120301</v>
      </c>
      <c r="B248" s="28" t="s">
        <v>11000</v>
      </c>
    </row>
    <row r="249" spans="1:2" x14ac:dyDescent="0.25">
      <c r="A249" s="27" t="s">
        <v>13307</v>
      </c>
      <c r="B249" s="28"/>
    </row>
    <row r="250" spans="1:2" x14ac:dyDescent="0.25">
      <c r="A250" s="27">
        <v>1120302</v>
      </c>
      <c r="B250" s="28" t="s">
        <v>11001</v>
      </c>
    </row>
    <row r="251" spans="1:2" x14ac:dyDescent="0.25">
      <c r="A251" s="27" t="s">
        <v>13308</v>
      </c>
      <c r="B251" s="28"/>
    </row>
    <row r="252" spans="1:2" x14ac:dyDescent="0.25">
      <c r="A252" s="27">
        <v>1120303</v>
      </c>
      <c r="B252" s="28" t="s">
        <v>11002</v>
      </c>
    </row>
    <row r="253" spans="1:2" x14ac:dyDescent="0.25">
      <c r="A253" s="27">
        <v>1120305</v>
      </c>
      <c r="B253" s="28" t="s">
        <v>8591</v>
      </c>
    </row>
    <row r="254" spans="1:2" x14ac:dyDescent="0.25">
      <c r="A254" s="27">
        <v>1120306</v>
      </c>
      <c r="B254" s="28" t="s">
        <v>8592</v>
      </c>
    </row>
    <row r="255" spans="1:2" x14ac:dyDescent="0.25">
      <c r="A255" s="27">
        <v>1120307</v>
      </c>
      <c r="B255" s="28" t="s">
        <v>11003</v>
      </c>
    </row>
    <row r="256" spans="1:2" x14ac:dyDescent="0.25">
      <c r="A256" s="27">
        <v>1120310</v>
      </c>
      <c r="B256" s="28" t="s">
        <v>11004</v>
      </c>
    </row>
    <row r="257" spans="1:2" x14ac:dyDescent="0.25">
      <c r="A257" s="27" t="s">
        <v>13309</v>
      </c>
      <c r="B257" s="28"/>
    </row>
    <row r="258" spans="1:2" x14ac:dyDescent="0.25">
      <c r="A258" s="27">
        <v>1120311</v>
      </c>
      <c r="B258" s="28" t="s">
        <v>11005</v>
      </c>
    </row>
    <row r="259" spans="1:2" x14ac:dyDescent="0.25">
      <c r="A259" s="27" t="s">
        <v>13310</v>
      </c>
      <c r="B259" s="28"/>
    </row>
    <row r="260" spans="1:2" x14ac:dyDescent="0.25">
      <c r="A260" s="27">
        <v>1120312</v>
      </c>
      <c r="B260" s="28" t="s">
        <v>10974</v>
      </c>
    </row>
    <row r="261" spans="1:2" x14ac:dyDescent="0.25">
      <c r="A261" s="27" t="s">
        <v>13311</v>
      </c>
      <c r="B261" s="28"/>
    </row>
    <row r="262" spans="1:2" x14ac:dyDescent="0.25">
      <c r="A262" s="27">
        <v>1120313</v>
      </c>
      <c r="B262" s="28" t="s">
        <v>11006</v>
      </c>
    </row>
    <row r="263" spans="1:2" x14ac:dyDescent="0.25">
      <c r="A263" s="27">
        <v>1120315</v>
      </c>
      <c r="B263" s="28" t="s">
        <v>8623</v>
      </c>
    </row>
    <row r="264" spans="1:2" x14ac:dyDescent="0.25">
      <c r="A264" s="27">
        <v>1120316</v>
      </c>
      <c r="B264" s="28" t="s">
        <v>8624</v>
      </c>
    </row>
    <row r="265" spans="1:2" x14ac:dyDescent="0.25">
      <c r="A265" s="27">
        <v>1120317</v>
      </c>
      <c r="B265" s="28" t="s">
        <v>8625</v>
      </c>
    </row>
    <row r="266" spans="1:2" x14ac:dyDescent="0.25">
      <c r="A266" s="27">
        <v>1120318</v>
      </c>
      <c r="B266" s="28" t="s">
        <v>8626</v>
      </c>
    </row>
    <row r="267" spans="1:2" x14ac:dyDescent="0.25">
      <c r="A267" s="27">
        <v>1120319</v>
      </c>
      <c r="B267" s="28" t="s">
        <v>11007</v>
      </c>
    </row>
    <row r="268" spans="1:2" x14ac:dyDescent="0.25">
      <c r="A268" s="27">
        <v>1120320</v>
      </c>
      <c r="B268" s="28" t="s">
        <v>11008</v>
      </c>
    </row>
    <row r="269" spans="1:2" x14ac:dyDescent="0.25">
      <c r="A269" s="27">
        <v>1120321</v>
      </c>
      <c r="B269" s="28" t="s">
        <v>11009</v>
      </c>
    </row>
    <row r="270" spans="1:2" x14ac:dyDescent="0.25">
      <c r="A270" s="27">
        <v>1120322</v>
      </c>
      <c r="B270" s="28" t="s">
        <v>11010</v>
      </c>
    </row>
    <row r="271" spans="1:2" x14ac:dyDescent="0.25">
      <c r="A271" s="27">
        <v>1120323</v>
      </c>
      <c r="B271" s="28" t="s">
        <v>8654</v>
      </c>
    </row>
    <row r="272" spans="1:2" x14ac:dyDescent="0.25">
      <c r="A272" s="27">
        <v>1120324</v>
      </c>
      <c r="B272" s="28" t="s">
        <v>8655</v>
      </c>
    </row>
    <row r="273" spans="1:2" x14ac:dyDescent="0.25">
      <c r="A273" s="27">
        <v>1120325</v>
      </c>
      <c r="B273" s="28" t="s">
        <v>8656</v>
      </c>
    </row>
    <row r="274" spans="1:2" x14ac:dyDescent="0.25">
      <c r="A274" s="27">
        <v>1120326</v>
      </c>
      <c r="B274" s="28" t="s">
        <v>8657</v>
      </c>
    </row>
    <row r="275" spans="1:2" x14ac:dyDescent="0.25">
      <c r="A275" s="27">
        <v>1120327</v>
      </c>
      <c r="B275" s="28" t="s">
        <v>11011</v>
      </c>
    </row>
    <row r="276" spans="1:2" x14ac:dyDescent="0.25">
      <c r="A276" s="27">
        <v>1120330</v>
      </c>
      <c r="B276" s="28" t="s">
        <v>8638</v>
      </c>
    </row>
    <row r="277" spans="1:2" x14ac:dyDescent="0.25">
      <c r="A277" s="27" t="s">
        <v>13312</v>
      </c>
      <c r="B277" s="28"/>
    </row>
    <row r="278" spans="1:2" x14ac:dyDescent="0.25">
      <c r="A278" s="27">
        <v>1120331</v>
      </c>
      <c r="B278" s="28" t="s">
        <v>8639</v>
      </c>
    </row>
    <row r="279" spans="1:2" x14ac:dyDescent="0.25">
      <c r="A279" s="27" t="s">
        <v>13313</v>
      </c>
      <c r="B279" s="28"/>
    </row>
    <row r="280" spans="1:2" x14ac:dyDescent="0.25">
      <c r="A280" s="27">
        <v>1120332</v>
      </c>
      <c r="B280" s="28" t="s">
        <v>11012</v>
      </c>
    </row>
    <row r="281" spans="1:2" x14ac:dyDescent="0.25">
      <c r="A281" s="27" t="s">
        <v>13314</v>
      </c>
      <c r="B281" s="28"/>
    </row>
    <row r="282" spans="1:2" x14ac:dyDescent="0.25">
      <c r="A282" s="27">
        <v>1120333</v>
      </c>
      <c r="B282" s="28" t="s">
        <v>8634</v>
      </c>
    </row>
    <row r="283" spans="1:2" x14ac:dyDescent="0.25">
      <c r="A283" s="27">
        <v>1120334</v>
      </c>
      <c r="B283" s="28" t="s">
        <v>8635</v>
      </c>
    </row>
    <row r="284" spans="1:2" x14ac:dyDescent="0.25">
      <c r="A284" s="27">
        <v>1120335</v>
      </c>
      <c r="B284" s="28" t="s">
        <v>8636</v>
      </c>
    </row>
    <row r="285" spans="1:2" x14ac:dyDescent="0.25">
      <c r="A285" s="27">
        <v>1120336</v>
      </c>
      <c r="B285" s="28" t="s">
        <v>8637</v>
      </c>
    </row>
    <row r="286" spans="1:2" x14ac:dyDescent="0.25">
      <c r="A286" s="27">
        <v>1120350</v>
      </c>
      <c r="B286" s="28" t="s">
        <v>11013</v>
      </c>
    </row>
    <row r="287" spans="1:2" x14ac:dyDescent="0.25">
      <c r="A287" s="27">
        <v>1120351</v>
      </c>
      <c r="B287" s="28" t="s">
        <v>11014</v>
      </c>
    </row>
    <row r="288" spans="1:2" x14ac:dyDescent="0.25">
      <c r="A288" s="27">
        <v>1120352</v>
      </c>
      <c r="B288" s="28" t="s">
        <v>10010</v>
      </c>
    </row>
    <row r="289" spans="1:2" x14ac:dyDescent="0.25">
      <c r="A289" s="27">
        <v>1120353</v>
      </c>
      <c r="B289" s="28" t="s">
        <v>11015</v>
      </c>
    </row>
    <row r="290" spans="1:2" x14ac:dyDescent="0.25">
      <c r="A290" s="27">
        <v>1120354</v>
      </c>
      <c r="B290" s="28" t="s">
        <v>11016</v>
      </c>
    </row>
    <row r="291" spans="1:2" x14ac:dyDescent="0.25">
      <c r="A291" s="27">
        <v>1120355</v>
      </c>
      <c r="B291" s="28" t="s">
        <v>10038</v>
      </c>
    </row>
    <row r="292" spans="1:2" x14ac:dyDescent="0.25">
      <c r="A292" s="27">
        <v>1120367</v>
      </c>
      <c r="B292" s="28" t="s">
        <v>8672</v>
      </c>
    </row>
    <row r="293" spans="1:2" x14ac:dyDescent="0.25">
      <c r="A293" s="27">
        <v>1120368</v>
      </c>
      <c r="B293" s="28" t="s">
        <v>8671</v>
      </c>
    </row>
    <row r="294" spans="1:2" x14ac:dyDescent="0.25">
      <c r="A294" s="27">
        <v>1120369</v>
      </c>
      <c r="B294" s="28" t="s">
        <v>8670</v>
      </c>
    </row>
    <row r="295" spans="1:2" x14ac:dyDescent="0.25">
      <c r="A295" s="27">
        <v>1120400</v>
      </c>
      <c r="B295" s="28" t="s">
        <v>8601</v>
      </c>
    </row>
    <row r="296" spans="1:2" x14ac:dyDescent="0.25">
      <c r="A296" s="27" t="s">
        <v>13315</v>
      </c>
      <c r="B296" s="28"/>
    </row>
    <row r="297" spans="1:2" x14ac:dyDescent="0.25">
      <c r="A297" s="27">
        <v>1120401</v>
      </c>
      <c r="B297" s="28" t="s">
        <v>8602</v>
      </c>
    </row>
    <row r="298" spans="1:2" x14ac:dyDescent="0.25">
      <c r="A298" s="27" t="s">
        <v>13316</v>
      </c>
      <c r="B298" s="28"/>
    </row>
    <row r="299" spans="1:2" x14ac:dyDescent="0.25">
      <c r="A299" s="27">
        <v>1120402</v>
      </c>
      <c r="B299" s="28" t="s">
        <v>8603</v>
      </c>
    </row>
    <row r="300" spans="1:2" x14ac:dyDescent="0.25">
      <c r="A300" s="27" t="s">
        <v>13317</v>
      </c>
      <c r="B300" s="28"/>
    </row>
    <row r="301" spans="1:2" x14ac:dyDescent="0.25">
      <c r="A301" s="27">
        <v>1120414</v>
      </c>
      <c r="B301" s="28" t="s">
        <v>8798</v>
      </c>
    </row>
    <row r="302" spans="1:2" x14ac:dyDescent="0.25">
      <c r="A302" s="27">
        <v>1120415</v>
      </c>
      <c r="B302" s="28" t="s">
        <v>8799</v>
      </c>
    </row>
    <row r="303" spans="1:2" x14ac:dyDescent="0.25">
      <c r="A303" s="27">
        <v>1120416</v>
      </c>
      <c r="B303" s="28" t="s">
        <v>8800</v>
      </c>
    </row>
    <row r="304" spans="1:2" x14ac:dyDescent="0.25">
      <c r="A304" s="27">
        <v>1120417</v>
      </c>
      <c r="B304" s="28" t="s">
        <v>8801</v>
      </c>
    </row>
    <row r="305" spans="1:2" x14ac:dyDescent="0.25">
      <c r="A305" s="27" t="s">
        <v>13318</v>
      </c>
      <c r="B305" s="28"/>
    </row>
    <row r="306" spans="1:2" x14ac:dyDescent="0.25">
      <c r="A306" s="27">
        <v>1120428</v>
      </c>
      <c r="B306" s="28" t="s">
        <v>8836</v>
      </c>
    </row>
    <row r="307" spans="1:2" x14ac:dyDescent="0.25">
      <c r="A307" s="27">
        <v>1120429</v>
      </c>
      <c r="B307" s="28" t="s">
        <v>8837</v>
      </c>
    </row>
    <row r="308" spans="1:2" x14ac:dyDescent="0.25">
      <c r="A308" s="27">
        <v>1120430</v>
      </c>
      <c r="B308" s="28" t="s">
        <v>8838</v>
      </c>
    </row>
    <row r="309" spans="1:2" x14ac:dyDescent="0.25">
      <c r="A309" s="27">
        <v>1120431</v>
      </c>
      <c r="B309" s="28" t="s">
        <v>11017</v>
      </c>
    </row>
    <row r="310" spans="1:2" x14ac:dyDescent="0.25">
      <c r="A310" s="27">
        <v>1120433</v>
      </c>
      <c r="B310" s="28" t="s">
        <v>8523</v>
      </c>
    </row>
    <row r="311" spans="1:2" x14ac:dyDescent="0.25">
      <c r="A311" s="27">
        <v>1120434</v>
      </c>
      <c r="B311" s="28" t="s">
        <v>8524</v>
      </c>
    </row>
    <row r="312" spans="1:2" x14ac:dyDescent="0.25">
      <c r="A312" s="27">
        <v>1120441</v>
      </c>
      <c r="B312" s="28" t="s">
        <v>13319</v>
      </c>
    </row>
    <row r="313" spans="1:2" x14ac:dyDescent="0.25">
      <c r="A313" s="27">
        <v>1120442</v>
      </c>
      <c r="B313" s="28" t="s">
        <v>13320</v>
      </c>
    </row>
    <row r="314" spans="1:2" x14ac:dyDescent="0.25">
      <c r="A314" s="27" t="s">
        <v>13321</v>
      </c>
      <c r="B314" s="28"/>
    </row>
    <row r="315" spans="1:2" x14ac:dyDescent="0.25">
      <c r="A315" s="27">
        <v>1120443</v>
      </c>
      <c r="B315" s="28" t="s">
        <v>13322</v>
      </c>
    </row>
    <row r="316" spans="1:2" x14ac:dyDescent="0.25">
      <c r="A316" s="27" t="s">
        <v>13323</v>
      </c>
      <c r="B316" s="28"/>
    </row>
    <row r="317" spans="1:2" x14ac:dyDescent="0.25">
      <c r="A317" s="27">
        <v>1120444</v>
      </c>
      <c r="B317" s="28" t="s">
        <v>13324</v>
      </c>
    </row>
    <row r="318" spans="1:2" x14ac:dyDescent="0.25">
      <c r="A318" s="27" t="s">
        <v>13325</v>
      </c>
      <c r="B318" s="28"/>
    </row>
    <row r="319" spans="1:2" x14ac:dyDescent="0.25">
      <c r="A319" s="27">
        <v>1120445</v>
      </c>
      <c r="B319" s="28" t="s">
        <v>8521</v>
      </c>
    </row>
    <row r="320" spans="1:2" x14ac:dyDescent="0.25">
      <c r="A320" s="27">
        <v>1120446</v>
      </c>
      <c r="B320" s="28" t="s">
        <v>8522</v>
      </c>
    </row>
    <row r="321" spans="1:2" x14ac:dyDescent="0.25">
      <c r="A321" s="27">
        <v>1120447</v>
      </c>
      <c r="B321" s="28" t="s">
        <v>11018</v>
      </c>
    </row>
    <row r="322" spans="1:2" x14ac:dyDescent="0.25">
      <c r="A322" s="27">
        <v>1120448</v>
      </c>
      <c r="B322" s="28" t="s">
        <v>8841</v>
      </c>
    </row>
    <row r="323" spans="1:2" x14ac:dyDescent="0.25">
      <c r="A323" s="27">
        <v>1120449</v>
      </c>
      <c r="B323" s="28" t="s">
        <v>8840</v>
      </c>
    </row>
    <row r="324" spans="1:2" x14ac:dyDescent="0.25">
      <c r="A324" s="27">
        <v>1120450</v>
      </c>
      <c r="B324" s="28" t="s">
        <v>8839</v>
      </c>
    </row>
    <row r="325" spans="1:2" x14ac:dyDescent="0.25">
      <c r="A325" s="27">
        <v>1120451</v>
      </c>
      <c r="B325" s="28" t="s">
        <v>8554</v>
      </c>
    </row>
    <row r="326" spans="1:2" x14ac:dyDescent="0.25">
      <c r="A326" s="27">
        <v>1120452</v>
      </c>
      <c r="B326" s="28" t="s">
        <v>8555</v>
      </c>
    </row>
    <row r="327" spans="1:2" x14ac:dyDescent="0.25">
      <c r="A327" s="27">
        <v>1120453</v>
      </c>
      <c r="B327" s="28" t="s">
        <v>8556</v>
      </c>
    </row>
    <row r="328" spans="1:2" x14ac:dyDescent="0.25">
      <c r="A328" s="27">
        <v>1120454</v>
      </c>
      <c r="B328" s="28" t="s">
        <v>8557</v>
      </c>
    </row>
    <row r="329" spans="1:2" x14ac:dyDescent="0.25">
      <c r="A329" s="27">
        <v>1120455</v>
      </c>
      <c r="B329" s="28" t="s">
        <v>8550</v>
      </c>
    </row>
    <row r="330" spans="1:2" x14ac:dyDescent="0.25">
      <c r="A330" s="27">
        <v>1120457</v>
      </c>
      <c r="B330" s="28" t="s">
        <v>8560</v>
      </c>
    </row>
    <row r="331" spans="1:2" x14ac:dyDescent="0.25">
      <c r="A331" s="27">
        <v>1120458</v>
      </c>
      <c r="B331" s="28" t="s">
        <v>8558</v>
      </c>
    </row>
    <row r="332" spans="1:2" x14ac:dyDescent="0.25">
      <c r="A332" s="27">
        <v>1120459</v>
      </c>
      <c r="B332" s="28" t="s">
        <v>8559</v>
      </c>
    </row>
    <row r="333" spans="1:2" x14ac:dyDescent="0.25">
      <c r="A333" s="27">
        <v>1120460</v>
      </c>
      <c r="B333" s="28" t="s">
        <v>8561</v>
      </c>
    </row>
    <row r="334" spans="1:2" x14ac:dyDescent="0.25">
      <c r="A334" s="27">
        <v>1120462</v>
      </c>
      <c r="B334" s="28" t="s">
        <v>8645</v>
      </c>
    </row>
    <row r="335" spans="1:2" x14ac:dyDescent="0.25">
      <c r="A335" s="27">
        <v>1120463</v>
      </c>
      <c r="B335" s="28" t="s">
        <v>8646</v>
      </c>
    </row>
    <row r="336" spans="1:2" x14ac:dyDescent="0.25">
      <c r="A336" s="27">
        <v>1120464</v>
      </c>
      <c r="B336" s="28" t="s">
        <v>8647</v>
      </c>
    </row>
    <row r="337" spans="1:2" x14ac:dyDescent="0.25">
      <c r="A337" s="27">
        <v>1120470</v>
      </c>
      <c r="B337" s="28" t="s">
        <v>11019</v>
      </c>
    </row>
    <row r="338" spans="1:2" x14ac:dyDescent="0.25">
      <c r="A338" s="27">
        <v>1120471</v>
      </c>
      <c r="B338" s="28" t="s">
        <v>11020</v>
      </c>
    </row>
    <row r="339" spans="1:2" x14ac:dyDescent="0.25">
      <c r="A339" s="27">
        <v>1120472</v>
      </c>
      <c r="B339" s="28" t="s">
        <v>11021</v>
      </c>
    </row>
    <row r="340" spans="1:2" x14ac:dyDescent="0.25">
      <c r="A340" s="27">
        <v>1120473</v>
      </c>
      <c r="B340" s="28" t="s">
        <v>11022</v>
      </c>
    </row>
    <row r="341" spans="1:2" x14ac:dyDescent="0.25">
      <c r="A341" s="27">
        <v>1120474</v>
      </c>
      <c r="B341" s="28" t="s">
        <v>11023</v>
      </c>
    </row>
    <row r="342" spans="1:2" x14ac:dyDescent="0.25">
      <c r="A342" s="27">
        <v>1120475</v>
      </c>
      <c r="B342" s="28" t="s">
        <v>11024</v>
      </c>
    </row>
    <row r="343" spans="1:2" x14ac:dyDescent="0.25">
      <c r="A343" s="27">
        <v>1120478</v>
      </c>
      <c r="B343" s="28" t="s">
        <v>8652</v>
      </c>
    </row>
    <row r="344" spans="1:2" x14ac:dyDescent="0.25">
      <c r="A344" s="27">
        <v>1120479</v>
      </c>
      <c r="B344" s="28" t="s">
        <v>8653</v>
      </c>
    </row>
    <row r="345" spans="1:2" x14ac:dyDescent="0.25">
      <c r="A345" s="27">
        <v>1120480</v>
      </c>
      <c r="B345" s="28" t="s">
        <v>11025</v>
      </c>
    </row>
    <row r="346" spans="1:2" x14ac:dyDescent="0.25">
      <c r="A346" s="27">
        <v>1120485</v>
      </c>
      <c r="B346" s="28" t="s">
        <v>10418</v>
      </c>
    </row>
    <row r="347" spans="1:2" x14ac:dyDescent="0.25">
      <c r="A347" s="27">
        <v>1120486</v>
      </c>
      <c r="B347" s="28" t="s">
        <v>10419</v>
      </c>
    </row>
    <row r="348" spans="1:2" x14ac:dyDescent="0.25">
      <c r="A348" s="27">
        <v>1120490</v>
      </c>
      <c r="B348" s="28" t="s">
        <v>11026</v>
      </c>
    </row>
    <row r="349" spans="1:2" x14ac:dyDescent="0.25">
      <c r="A349" s="27">
        <v>1120491</v>
      </c>
      <c r="B349" s="28" t="s">
        <v>11027</v>
      </c>
    </row>
    <row r="350" spans="1:2" x14ac:dyDescent="0.25">
      <c r="A350" s="27">
        <v>1120492</v>
      </c>
      <c r="B350" s="28" t="s">
        <v>11028</v>
      </c>
    </row>
    <row r="351" spans="1:2" x14ac:dyDescent="0.25">
      <c r="A351" s="27">
        <v>1120493</v>
      </c>
      <c r="B351" s="28" t="s">
        <v>12411</v>
      </c>
    </row>
    <row r="352" spans="1:2" x14ac:dyDescent="0.25">
      <c r="A352" s="27">
        <v>1120494</v>
      </c>
      <c r="B352" s="28" t="s">
        <v>12412</v>
      </c>
    </row>
    <row r="353" spans="1:2" x14ac:dyDescent="0.25">
      <c r="A353" s="27">
        <v>1120495</v>
      </c>
      <c r="B353" s="28" t="s">
        <v>11029</v>
      </c>
    </row>
    <row r="354" spans="1:2" x14ac:dyDescent="0.25">
      <c r="A354" s="27">
        <v>1120496</v>
      </c>
      <c r="B354" s="28" t="s">
        <v>8598</v>
      </c>
    </row>
    <row r="355" spans="1:2" x14ac:dyDescent="0.25">
      <c r="A355" s="27" t="s">
        <v>13326</v>
      </c>
      <c r="B355" s="28"/>
    </row>
    <row r="356" spans="1:2" x14ac:dyDescent="0.25">
      <c r="A356" s="27">
        <v>1120497</v>
      </c>
      <c r="B356" s="28" t="s">
        <v>8599</v>
      </c>
    </row>
    <row r="357" spans="1:2" x14ac:dyDescent="0.25">
      <c r="A357" s="27" t="s">
        <v>13327</v>
      </c>
      <c r="B357" s="28"/>
    </row>
    <row r="358" spans="1:2" x14ac:dyDescent="0.25">
      <c r="A358" s="27">
        <v>1120498</v>
      </c>
      <c r="B358" s="28" t="s">
        <v>8600</v>
      </c>
    </row>
    <row r="359" spans="1:2" x14ac:dyDescent="0.25">
      <c r="A359" s="27" t="s">
        <v>13328</v>
      </c>
      <c r="B359" s="28"/>
    </row>
    <row r="360" spans="1:2" x14ac:dyDescent="0.25">
      <c r="A360" s="27">
        <v>1120499</v>
      </c>
      <c r="B360" s="28" t="s">
        <v>8597</v>
      </c>
    </row>
    <row r="361" spans="1:2" x14ac:dyDescent="0.25">
      <c r="A361" s="27" t="s">
        <v>13329</v>
      </c>
      <c r="B361" s="28"/>
    </row>
    <row r="362" spans="1:2" x14ac:dyDescent="0.25">
      <c r="A362" s="27">
        <v>1120500</v>
      </c>
      <c r="B362" s="28" t="s">
        <v>8726</v>
      </c>
    </row>
    <row r="363" spans="1:2" x14ac:dyDescent="0.25">
      <c r="A363" s="27">
        <v>1120501</v>
      </c>
      <c r="B363" s="28" t="s">
        <v>8727</v>
      </c>
    </row>
    <row r="364" spans="1:2" x14ac:dyDescent="0.25">
      <c r="A364" s="27">
        <v>1120502</v>
      </c>
      <c r="B364" s="28" t="s">
        <v>8728</v>
      </c>
    </row>
    <row r="365" spans="1:2" x14ac:dyDescent="0.25">
      <c r="A365" s="27">
        <v>1120503</v>
      </c>
      <c r="B365" s="28" t="s">
        <v>8729</v>
      </c>
    </row>
    <row r="366" spans="1:2" x14ac:dyDescent="0.25">
      <c r="A366" s="27">
        <v>1120504</v>
      </c>
      <c r="B366" s="28" t="s">
        <v>8751</v>
      </c>
    </row>
    <row r="367" spans="1:2" x14ac:dyDescent="0.25">
      <c r="A367" s="27">
        <v>1120505</v>
      </c>
      <c r="B367" s="28" t="s">
        <v>8752</v>
      </c>
    </row>
    <row r="368" spans="1:2" x14ac:dyDescent="0.25">
      <c r="A368" s="27">
        <v>1120506</v>
      </c>
      <c r="B368" s="28" t="s">
        <v>8753</v>
      </c>
    </row>
    <row r="369" spans="1:2" x14ac:dyDescent="0.25">
      <c r="A369" s="27">
        <v>1120507</v>
      </c>
      <c r="B369" s="28" t="s">
        <v>8754</v>
      </c>
    </row>
    <row r="370" spans="1:2" x14ac:dyDescent="0.25">
      <c r="A370" s="27">
        <v>1120512</v>
      </c>
      <c r="B370" s="25" t="s">
        <v>11030</v>
      </c>
    </row>
    <row r="371" spans="1:2" x14ac:dyDescent="0.25">
      <c r="A371" s="27">
        <v>1120513</v>
      </c>
      <c r="B371" s="28" t="s">
        <v>11031</v>
      </c>
    </row>
    <row r="372" spans="1:2" x14ac:dyDescent="0.25">
      <c r="A372" s="27">
        <v>1120514</v>
      </c>
      <c r="B372" s="28" t="s">
        <v>11032</v>
      </c>
    </row>
    <row r="373" spans="1:2" x14ac:dyDescent="0.25">
      <c r="A373" s="27">
        <v>1120520</v>
      </c>
      <c r="B373" s="28" t="s">
        <v>8533</v>
      </c>
    </row>
    <row r="374" spans="1:2" x14ac:dyDescent="0.25">
      <c r="A374" s="27">
        <v>1120530</v>
      </c>
      <c r="B374" s="28" t="s">
        <v>8738</v>
      </c>
    </row>
    <row r="375" spans="1:2" x14ac:dyDescent="0.25">
      <c r="A375" s="27">
        <v>1120555</v>
      </c>
      <c r="B375" s="28" t="s">
        <v>8723</v>
      </c>
    </row>
    <row r="376" spans="1:2" x14ac:dyDescent="0.25">
      <c r="A376" s="27">
        <v>1120556</v>
      </c>
      <c r="B376" s="28" t="s">
        <v>8724</v>
      </c>
    </row>
    <row r="377" spans="1:2" x14ac:dyDescent="0.25">
      <c r="A377" s="27">
        <v>1120557</v>
      </c>
      <c r="B377" s="28" t="s">
        <v>8725</v>
      </c>
    </row>
    <row r="378" spans="1:2" x14ac:dyDescent="0.25">
      <c r="A378" s="27">
        <v>1120560</v>
      </c>
      <c r="B378" s="28" t="s">
        <v>10975</v>
      </c>
    </row>
    <row r="379" spans="1:2" x14ac:dyDescent="0.25">
      <c r="A379" s="27">
        <v>1120595</v>
      </c>
      <c r="B379" s="28" t="s">
        <v>11033</v>
      </c>
    </row>
    <row r="380" spans="1:2" x14ac:dyDescent="0.25">
      <c r="A380" s="27">
        <v>1120596</v>
      </c>
      <c r="B380" s="28" t="s">
        <v>11034</v>
      </c>
    </row>
    <row r="381" spans="1:2" x14ac:dyDescent="0.25">
      <c r="A381" s="27">
        <v>1120598</v>
      </c>
      <c r="B381" s="28" t="s">
        <v>11035</v>
      </c>
    </row>
    <row r="382" spans="1:2" x14ac:dyDescent="0.25">
      <c r="A382" s="27">
        <v>1120599</v>
      </c>
      <c r="B382" s="28" t="s">
        <v>11036</v>
      </c>
    </row>
    <row r="383" spans="1:2" x14ac:dyDescent="0.25">
      <c r="A383" s="27">
        <v>1120600</v>
      </c>
      <c r="B383" s="28" t="s">
        <v>11037</v>
      </c>
    </row>
    <row r="384" spans="1:2" x14ac:dyDescent="0.25">
      <c r="A384" s="27">
        <v>1120601</v>
      </c>
      <c r="B384" s="28" t="s">
        <v>11038</v>
      </c>
    </row>
    <row r="385" spans="1:2" x14ac:dyDescent="0.25">
      <c r="A385" s="27">
        <v>1120602</v>
      </c>
      <c r="B385" s="28" t="s">
        <v>11039</v>
      </c>
    </row>
    <row r="386" spans="1:2" x14ac:dyDescent="0.25">
      <c r="A386" s="27">
        <v>1120603</v>
      </c>
      <c r="B386" s="28" t="s">
        <v>11040</v>
      </c>
    </row>
    <row r="387" spans="1:2" x14ac:dyDescent="0.25">
      <c r="A387" s="27">
        <v>1120615</v>
      </c>
      <c r="B387" s="28" t="s">
        <v>11041</v>
      </c>
    </row>
    <row r="388" spans="1:2" x14ac:dyDescent="0.25">
      <c r="A388" s="27">
        <v>1120616</v>
      </c>
      <c r="B388" s="28" t="s">
        <v>11042</v>
      </c>
    </row>
    <row r="389" spans="1:2" x14ac:dyDescent="0.25">
      <c r="A389" s="27">
        <v>1120617</v>
      </c>
      <c r="B389" s="28" t="s">
        <v>11043</v>
      </c>
    </row>
    <row r="390" spans="1:2" x14ac:dyDescent="0.25">
      <c r="A390" s="27">
        <v>1120618</v>
      </c>
      <c r="B390" s="28" t="s">
        <v>11044</v>
      </c>
    </row>
    <row r="391" spans="1:2" x14ac:dyDescent="0.25">
      <c r="A391" s="27">
        <v>1120619</v>
      </c>
      <c r="B391" s="28" t="s">
        <v>8505</v>
      </c>
    </row>
    <row r="392" spans="1:2" x14ac:dyDescent="0.25">
      <c r="A392" s="27">
        <v>1120620</v>
      </c>
      <c r="B392" s="28" t="s">
        <v>8506</v>
      </c>
    </row>
    <row r="393" spans="1:2" x14ac:dyDescent="0.25">
      <c r="A393" s="27">
        <v>1120621</v>
      </c>
      <c r="B393" s="28" t="s">
        <v>8507</v>
      </c>
    </row>
    <row r="394" spans="1:2" x14ac:dyDescent="0.25">
      <c r="A394" s="27" t="s">
        <v>13330</v>
      </c>
      <c r="B394" s="25"/>
    </row>
    <row r="395" spans="1:2" x14ac:dyDescent="0.25">
      <c r="A395" s="27">
        <v>1120622</v>
      </c>
      <c r="B395" s="28" t="s">
        <v>8508</v>
      </c>
    </row>
    <row r="396" spans="1:2" x14ac:dyDescent="0.25">
      <c r="A396" s="27">
        <v>1120623</v>
      </c>
      <c r="B396" s="28" t="s">
        <v>8534</v>
      </c>
    </row>
    <row r="397" spans="1:2" x14ac:dyDescent="0.25">
      <c r="A397" s="27">
        <v>1120624</v>
      </c>
      <c r="B397" s="28" t="s">
        <v>8535</v>
      </c>
    </row>
    <row r="398" spans="1:2" x14ac:dyDescent="0.25">
      <c r="A398" s="27">
        <v>1120625</v>
      </c>
      <c r="B398" s="28" t="s">
        <v>8536</v>
      </c>
    </row>
    <row r="399" spans="1:2" x14ac:dyDescent="0.25">
      <c r="A399" s="27">
        <v>1120626</v>
      </c>
      <c r="B399" s="28" t="s">
        <v>8537</v>
      </c>
    </row>
    <row r="400" spans="1:2" x14ac:dyDescent="0.25">
      <c r="A400" s="27">
        <v>1120630</v>
      </c>
      <c r="B400" s="28" t="s">
        <v>8722</v>
      </c>
    </row>
    <row r="401" spans="1:2" x14ac:dyDescent="0.25">
      <c r="A401" s="27">
        <v>1120631</v>
      </c>
      <c r="B401" s="28" t="s">
        <v>11045</v>
      </c>
    </row>
    <row r="402" spans="1:2" x14ac:dyDescent="0.25">
      <c r="A402" s="27">
        <v>1120632</v>
      </c>
      <c r="B402" s="28" t="s">
        <v>11046</v>
      </c>
    </row>
    <row r="403" spans="1:2" x14ac:dyDescent="0.25">
      <c r="A403" s="27">
        <v>1120640</v>
      </c>
      <c r="B403" s="28" t="s">
        <v>8529</v>
      </c>
    </row>
    <row r="404" spans="1:2" x14ac:dyDescent="0.25">
      <c r="A404" s="27">
        <v>1120641</v>
      </c>
      <c r="B404" s="28" t="s">
        <v>8530</v>
      </c>
    </row>
    <row r="405" spans="1:2" x14ac:dyDescent="0.25">
      <c r="A405" s="27">
        <v>1120642</v>
      </c>
      <c r="B405" s="28" t="s">
        <v>8531</v>
      </c>
    </row>
    <row r="406" spans="1:2" x14ac:dyDescent="0.25">
      <c r="A406" s="27">
        <v>1120643</v>
      </c>
      <c r="B406" s="28" t="s">
        <v>8532</v>
      </c>
    </row>
    <row r="407" spans="1:2" x14ac:dyDescent="0.25">
      <c r="A407" s="27">
        <v>1120650</v>
      </c>
      <c r="B407" s="28" t="s">
        <v>11047</v>
      </c>
    </row>
    <row r="408" spans="1:2" x14ac:dyDescent="0.25">
      <c r="A408" s="27">
        <v>1120651</v>
      </c>
      <c r="B408" s="28" t="s">
        <v>11048</v>
      </c>
    </row>
    <row r="409" spans="1:2" x14ac:dyDescent="0.25">
      <c r="A409" s="27">
        <v>1120652</v>
      </c>
      <c r="B409" s="28" t="s">
        <v>11049</v>
      </c>
    </row>
    <row r="410" spans="1:2" x14ac:dyDescent="0.25">
      <c r="A410" s="27">
        <v>1120653</v>
      </c>
      <c r="B410" s="28" t="s">
        <v>11050</v>
      </c>
    </row>
    <row r="411" spans="1:2" x14ac:dyDescent="0.25">
      <c r="A411" s="27">
        <v>1120666</v>
      </c>
      <c r="B411" s="28" t="s">
        <v>8627</v>
      </c>
    </row>
    <row r="412" spans="1:2" x14ac:dyDescent="0.25">
      <c r="A412" s="27">
        <v>1120667</v>
      </c>
      <c r="B412" s="28" t="s">
        <v>8628</v>
      </c>
    </row>
    <row r="413" spans="1:2" x14ac:dyDescent="0.25">
      <c r="A413" s="27">
        <v>1120668</v>
      </c>
      <c r="B413" s="28" t="s">
        <v>8629</v>
      </c>
    </row>
    <row r="414" spans="1:2" x14ac:dyDescent="0.25">
      <c r="A414" s="27">
        <v>1120669</v>
      </c>
      <c r="B414" s="28" t="s">
        <v>8630</v>
      </c>
    </row>
    <row r="415" spans="1:2" x14ac:dyDescent="0.25">
      <c r="A415" s="27">
        <v>1120680</v>
      </c>
      <c r="B415" s="28" t="s">
        <v>11051</v>
      </c>
    </row>
    <row r="416" spans="1:2" x14ac:dyDescent="0.25">
      <c r="A416" s="27">
        <v>1120681</v>
      </c>
      <c r="B416" s="28" t="s">
        <v>11052</v>
      </c>
    </row>
    <row r="417" spans="1:2" x14ac:dyDescent="0.25">
      <c r="A417" s="27">
        <v>1120682</v>
      </c>
      <c r="B417" s="28" t="s">
        <v>11053</v>
      </c>
    </row>
    <row r="418" spans="1:2" x14ac:dyDescent="0.25">
      <c r="A418" s="27">
        <v>1120700</v>
      </c>
      <c r="B418" s="28" t="s">
        <v>10417</v>
      </c>
    </row>
    <row r="419" spans="1:2" x14ac:dyDescent="0.25">
      <c r="A419" s="27">
        <v>1120710</v>
      </c>
      <c r="B419" s="28" t="s">
        <v>8604</v>
      </c>
    </row>
    <row r="420" spans="1:2" x14ac:dyDescent="0.25">
      <c r="A420" s="27">
        <v>1120711</v>
      </c>
      <c r="B420" s="28" t="s">
        <v>8605</v>
      </c>
    </row>
    <row r="421" spans="1:2" x14ac:dyDescent="0.25">
      <c r="A421" s="27">
        <v>1120712</v>
      </c>
      <c r="B421" s="28" t="s">
        <v>8606</v>
      </c>
    </row>
    <row r="422" spans="1:2" x14ac:dyDescent="0.25">
      <c r="A422" s="27">
        <v>1120720</v>
      </c>
      <c r="B422" s="28" t="s">
        <v>8775</v>
      </c>
    </row>
    <row r="423" spans="1:2" x14ac:dyDescent="0.25">
      <c r="A423" s="27">
        <v>1120721</v>
      </c>
      <c r="B423" s="28" t="s">
        <v>8776</v>
      </c>
    </row>
    <row r="424" spans="1:2" x14ac:dyDescent="0.25">
      <c r="A424" s="27">
        <v>1120722</v>
      </c>
      <c r="B424" s="28" t="s">
        <v>8777</v>
      </c>
    </row>
    <row r="425" spans="1:2" x14ac:dyDescent="0.25">
      <c r="A425" s="27">
        <v>1120723</v>
      </c>
      <c r="B425" s="28" t="s">
        <v>8778</v>
      </c>
    </row>
    <row r="426" spans="1:2" x14ac:dyDescent="0.25">
      <c r="A426" s="27">
        <v>1120724</v>
      </c>
      <c r="B426" s="28" t="s">
        <v>8787</v>
      </c>
    </row>
    <row r="427" spans="1:2" x14ac:dyDescent="0.25">
      <c r="A427" s="27">
        <v>1120725</v>
      </c>
      <c r="B427" s="28" t="s">
        <v>8788</v>
      </c>
    </row>
    <row r="428" spans="1:2" x14ac:dyDescent="0.25">
      <c r="A428" s="27">
        <v>1120726</v>
      </c>
      <c r="B428" s="28" t="s">
        <v>8789</v>
      </c>
    </row>
    <row r="429" spans="1:2" x14ac:dyDescent="0.25">
      <c r="A429" s="27">
        <v>1120727</v>
      </c>
      <c r="B429" s="28" t="s">
        <v>8790</v>
      </c>
    </row>
    <row r="430" spans="1:2" x14ac:dyDescent="0.25">
      <c r="A430" s="27">
        <v>1120728</v>
      </c>
      <c r="B430" s="28" t="s">
        <v>8771</v>
      </c>
    </row>
    <row r="431" spans="1:2" x14ac:dyDescent="0.25">
      <c r="A431" s="27">
        <v>1120729</v>
      </c>
      <c r="B431" s="28" t="s">
        <v>8772</v>
      </c>
    </row>
    <row r="432" spans="1:2" x14ac:dyDescent="0.25">
      <c r="A432" s="27">
        <v>1120730</v>
      </c>
      <c r="B432" s="28" t="s">
        <v>8773</v>
      </c>
    </row>
    <row r="433" spans="1:2" x14ac:dyDescent="0.25">
      <c r="A433" s="27">
        <v>1120731</v>
      </c>
      <c r="B433" s="28" t="s">
        <v>8774</v>
      </c>
    </row>
    <row r="434" spans="1:2" x14ac:dyDescent="0.25">
      <c r="A434" s="27">
        <v>1120732</v>
      </c>
      <c r="B434" s="28" t="s">
        <v>8783</v>
      </c>
    </row>
    <row r="435" spans="1:2" x14ac:dyDescent="0.25">
      <c r="A435" s="27">
        <v>1120733</v>
      </c>
      <c r="B435" s="28" t="s">
        <v>8784</v>
      </c>
    </row>
    <row r="436" spans="1:2" x14ac:dyDescent="0.25">
      <c r="A436" s="27">
        <v>1120734</v>
      </c>
      <c r="B436" s="28" t="s">
        <v>8785</v>
      </c>
    </row>
    <row r="437" spans="1:2" x14ac:dyDescent="0.25">
      <c r="A437" s="27">
        <v>1120735</v>
      </c>
      <c r="B437" s="28" t="s">
        <v>8786</v>
      </c>
    </row>
    <row r="438" spans="1:2" x14ac:dyDescent="0.25">
      <c r="A438" s="27">
        <v>1120736</v>
      </c>
      <c r="B438" s="28" t="s">
        <v>8763</v>
      </c>
    </row>
    <row r="439" spans="1:2" x14ac:dyDescent="0.25">
      <c r="A439" s="27">
        <v>1120737</v>
      </c>
      <c r="B439" s="28" t="s">
        <v>8764</v>
      </c>
    </row>
    <row r="440" spans="1:2" x14ac:dyDescent="0.25">
      <c r="A440" s="27">
        <v>1120738</v>
      </c>
      <c r="B440" s="28" t="s">
        <v>8765</v>
      </c>
    </row>
    <row r="441" spans="1:2" x14ac:dyDescent="0.25">
      <c r="A441" s="27">
        <v>1120739</v>
      </c>
      <c r="B441" s="28" t="s">
        <v>8766</v>
      </c>
    </row>
    <row r="442" spans="1:2" x14ac:dyDescent="0.25">
      <c r="A442" s="27" t="s">
        <v>13331</v>
      </c>
      <c r="B442" s="28"/>
    </row>
    <row r="443" spans="1:2" x14ac:dyDescent="0.25">
      <c r="A443" s="27">
        <v>1120742</v>
      </c>
      <c r="B443" s="28" t="s">
        <v>8779</v>
      </c>
    </row>
    <row r="444" spans="1:2" x14ac:dyDescent="0.25">
      <c r="A444" s="27">
        <v>1120743</v>
      </c>
      <c r="B444" s="25" t="s">
        <v>8780</v>
      </c>
    </row>
    <row r="445" spans="1:2" x14ac:dyDescent="0.25">
      <c r="A445" s="27">
        <v>1120744</v>
      </c>
      <c r="B445" s="28" t="s">
        <v>8781</v>
      </c>
    </row>
    <row r="446" spans="1:2" x14ac:dyDescent="0.25">
      <c r="A446" s="27">
        <v>1120745</v>
      </c>
      <c r="B446" s="28" t="s">
        <v>8782</v>
      </c>
    </row>
    <row r="447" spans="1:2" x14ac:dyDescent="0.25">
      <c r="A447" s="27">
        <v>1120746</v>
      </c>
      <c r="B447" s="28" t="s">
        <v>8767</v>
      </c>
    </row>
    <row r="448" spans="1:2" x14ac:dyDescent="0.25">
      <c r="A448" s="27">
        <v>1120747</v>
      </c>
      <c r="B448" s="28" t="s">
        <v>8768</v>
      </c>
    </row>
    <row r="449" spans="1:2" x14ac:dyDescent="0.25">
      <c r="A449" s="27">
        <v>1120748</v>
      </c>
      <c r="B449" s="28" t="s">
        <v>8769</v>
      </c>
    </row>
    <row r="450" spans="1:2" x14ac:dyDescent="0.25">
      <c r="A450" s="27">
        <v>1120749</v>
      </c>
      <c r="B450" s="28" t="s">
        <v>8770</v>
      </c>
    </row>
    <row r="451" spans="1:2" x14ac:dyDescent="0.25">
      <c r="A451" s="27">
        <v>1120750</v>
      </c>
      <c r="B451" s="28" t="s">
        <v>8640</v>
      </c>
    </row>
    <row r="452" spans="1:2" x14ac:dyDescent="0.25">
      <c r="A452" s="27">
        <v>1120751</v>
      </c>
      <c r="B452" s="28" t="s">
        <v>8641</v>
      </c>
    </row>
    <row r="453" spans="1:2" x14ac:dyDescent="0.25">
      <c r="A453" s="27" t="s">
        <v>13332</v>
      </c>
      <c r="B453" s="28"/>
    </row>
    <row r="454" spans="1:2" x14ac:dyDescent="0.25">
      <c r="A454" s="27">
        <v>1120752</v>
      </c>
      <c r="B454" s="28" t="s">
        <v>8642</v>
      </c>
    </row>
    <row r="455" spans="1:2" x14ac:dyDescent="0.25">
      <c r="A455" s="27" t="s">
        <v>13333</v>
      </c>
      <c r="B455" s="28"/>
    </row>
    <row r="456" spans="1:2" x14ac:dyDescent="0.25">
      <c r="A456" s="27">
        <v>1120753</v>
      </c>
      <c r="B456" s="28" t="s">
        <v>8643</v>
      </c>
    </row>
    <row r="457" spans="1:2" x14ac:dyDescent="0.25">
      <c r="A457" s="27">
        <v>1120760</v>
      </c>
      <c r="B457" s="28" t="s">
        <v>12312</v>
      </c>
    </row>
    <row r="458" spans="1:2" x14ac:dyDescent="0.25">
      <c r="A458" s="27">
        <v>1120761</v>
      </c>
      <c r="B458" s="28" t="s">
        <v>12313</v>
      </c>
    </row>
    <row r="459" spans="1:2" x14ac:dyDescent="0.25">
      <c r="A459" s="27">
        <v>1120762</v>
      </c>
      <c r="B459" s="28" t="s">
        <v>12314</v>
      </c>
    </row>
    <row r="460" spans="1:2" x14ac:dyDescent="0.25">
      <c r="A460" s="27">
        <v>1120764</v>
      </c>
      <c r="B460" s="28" t="s">
        <v>10393</v>
      </c>
    </row>
    <row r="461" spans="1:2" x14ac:dyDescent="0.25">
      <c r="A461" s="27">
        <v>1120765</v>
      </c>
      <c r="B461" s="28" t="s">
        <v>10388</v>
      </c>
    </row>
    <row r="462" spans="1:2" x14ac:dyDescent="0.25">
      <c r="A462" s="27">
        <v>1120766</v>
      </c>
      <c r="B462" s="28" t="s">
        <v>10389</v>
      </c>
    </row>
    <row r="463" spans="1:2" x14ac:dyDescent="0.25">
      <c r="A463" s="27">
        <v>1120767</v>
      </c>
      <c r="B463" s="28" t="s">
        <v>10390</v>
      </c>
    </row>
    <row r="464" spans="1:2" x14ac:dyDescent="0.25">
      <c r="A464" s="27">
        <v>1120768</v>
      </c>
      <c r="B464" s="28" t="s">
        <v>11054</v>
      </c>
    </row>
    <row r="465" spans="1:2" x14ac:dyDescent="0.25">
      <c r="A465" s="27">
        <v>1120770</v>
      </c>
      <c r="B465" s="28" t="s">
        <v>11055</v>
      </c>
    </row>
    <row r="466" spans="1:2" x14ac:dyDescent="0.25">
      <c r="A466" s="27">
        <v>1120771</v>
      </c>
      <c r="B466" s="28" t="s">
        <v>10396</v>
      </c>
    </row>
    <row r="467" spans="1:2" x14ac:dyDescent="0.25">
      <c r="A467" s="27">
        <v>1120772</v>
      </c>
      <c r="B467" s="28" t="s">
        <v>10394</v>
      </c>
    </row>
    <row r="468" spans="1:2" x14ac:dyDescent="0.25">
      <c r="A468" s="27">
        <v>1120773</v>
      </c>
      <c r="B468" s="25" t="s">
        <v>10395</v>
      </c>
    </row>
    <row r="469" spans="1:2" x14ac:dyDescent="0.25">
      <c r="A469" s="27">
        <v>1120774</v>
      </c>
      <c r="B469" s="28" t="s">
        <v>11056</v>
      </c>
    </row>
    <row r="470" spans="1:2" x14ac:dyDescent="0.25">
      <c r="A470" s="27">
        <v>1120775</v>
      </c>
      <c r="B470" s="28" t="s">
        <v>11057</v>
      </c>
    </row>
    <row r="471" spans="1:2" x14ac:dyDescent="0.25">
      <c r="A471" s="27">
        <v>1120776</v>
      </c>
      <c r="B471" s="28" t="s">
        <v>10402</v>
      </c>
    </row>
    <row r="472" spans="1:2" x14ac:dyDescent="0.25">
      <c r="A472" s="27">
        <v>1120777</v>
      </c>
      <c r="B472" s="28" t="s">
        <v>10403</v>
      </c>
    </row>
    <row r="473" spans="1:2" x14ac:dyDescent="0.25">
      <c r="A473" s="27">
        <v>1120778</v>
      </c>
      <c r="B473" s="28" t="s">
        <v>10404</v>
      </c>
    </row>
    <row r="474" spans="1:2" x14ac:dyDescent="0.25">
      <c r="A474" s="27">
        <v>1120780</v>
      </c>
      <c r="B474" s="28" t="s">
        <v>10397</v>
      </c>
    </row>
    <row r="475" spans="1:2" x14ac:dyDescent="0.25">
      <c r="A475" s="27">
        <v>1120781</v>
      </c>
      <c r="B475" s="28" t="s">
        <v>10398</v>
      </c>
    </row>
    <row r="476" spans="1:2" x14ac:dyDescent="0.25">
      <c r="A476" s="27">
        <v>1120782</v>
      </c>
      <c r="B476" s="28" t="s">
        <v>11058</v>
      </c>
    </row>
    <row r="477" spans="1:2" x14ac:dyDescent="0.25">
      <c r="A477" s="27">
        <v>1120783</v>
      </c>
      <c r="B477" s="28" t="s">
        <v>11059</v>
      </c>
    </row>
    <row r="478" spans="1:2" x14ac:dyDescent="0.25">
      <c r="A478" s="27">
        <v>1120784</v>
      </c>
      <c r="B478" s="28" t="s">
        <v>11060</v>
      </c>
    </row>
    <row r="479" spans="1:2" x14ac:dyDescent="0.25">
      <c r="A479" s="27">
        <v>1120785</v>
      </c>
      <c r="B479" s="28" t="s">
        <v>10391</v>
      </c>
    </row>
    <row r="480" spans="1:2" x14ac:dyDescent="0.25">
      <c r="A480" s="27">
        <v>1120786</v>
      </c>
      <c r="B480" s="28" t="s">
        <v>10392</v>
      </c>
    </row>
    <row r="481" spans="1:2" x14ac:dyDescent="0.25">
      <c r="A481" s="27">
        <v>1120787</v>
      </c>
      <c r="B481" s="28" t="s">
        <v>11061</v>
      </c>
    </row>
    <row r="482" spans="1:2" x14ac:dyDescent="0.25">
      <c r="A482" s="27">
        <v>1120789</v>
      </c>
      <c r="B482" s="28" t="s">
        <v>8689</v>
      </c>
    </row>
    <row r="483" spans="1:2" x14ac:dyDescent="0.25">
      <c r="A483" s="27">
        <v>1120790</v>
      </c>
      <c r="B483" s="28" t="s">
        <v>8690</v>
      </c>
    </row>
    <row r="484" spans="1:2" x14ac:dyDescent="0.25">
      <c r="A484" s="27">
        <v>1120791</v>
      </c>
      <c r="B484" s="28" t="s">
        <v>8691</v>
      </c>
    </row>
    <row r="485" spans="1:2" x14ac:dyDescent="0.25">
      <c r="A485" s="27">
        <v>1120792</v>
      </c>
      <c r="B485" s="28" t="s">
        <v>8692</v>
      </c>
    </row>
    <row r="486" spans="1:2" x14ac:dyDescent="0.25">
      <c r="A486" s="27">
        <v>1120793</v>
      </c>
      <c r="B486" s="28" t="s">
        <v>8685</v>
      </c>
    </row>
    <row r="487" spans="1:2" x14ac:dyDescent="0.25">
      <c r="A487" s="27">
        <v>1120795</v>
      </c>
      <c r="B487" s="28" t="s">
        <v>10414</v>
      </c>
    </row>
    <row r="488" spans="1:2" x14ac:dyDescent="0.25">
      <c r="A488" s="27">
        <v>1120796</v>
      </c>
      <c r="B488" s="28" t="s">
        <v>10415</v>
      </c>
    </row>
    <row r="489" spans="1:2" x14ac:dyDescent="0.25">
      <c r="A489" s="27">
        <v>1120797</v>
      </c>
      <c r="B489" s="28" t="s">
        <v>11062</v>
      </c>
    </row>
    <row r="490" spans="1:2" x14ac:dyDescent="0.25">
      <c r="A490" s="27">
        <v>1120798</v>
      </c>
      <c r="B490" s="28" t="s">
        <v>11063</v>
      </c>
    </row>
    <row r="491" spans="1:2" x14ac:dyDescent="0.25">
      <c r="A491" s="27">
        <v>1120799</v>
      </c>
      <c r="B491" s="28" t="s">
        <v>8684</v>
      </c>
    </row>
    <row r="492" spans="1:2" x14ac:dyDescent="0.25">
      <c r="A492" s="27">
        <v>1120800</v>
      </c>
      <c r="B492" s="28" t="s">
        <v>8613</v>
      </c>
    </row>
    <row r="493" spans="1:2" x14ac:dyDescent="0.25">
      <c r="A493" s="27" t="s">
        <v>13334</v>
      </c>
      <c r="B493" s="28"/>
    </row>
    <row r="494" spans="1:2" x14ac:dyDescent="0.25">
      <c r="A494" s="27">
        <v>1120801</v>
      </c>
      <c r="B494" s="28" t="s">
        <v>8614</v>
      </c>
    </row>
    <row r="495" spans="1:2" x14ac:dyDescent="0.25">
      <c r="A495" s="27" t="s">
        <v>13335</v>
      </c>
      <c r="B495" s="28"/>
    </row>
    <row r="496" spans="1:2" x14ac:dyDescent="0.25">
      <c r="A496" s="27">
        <v>1120802</v>
      </c>
      <c r="B496" s="28" t="s">
        <v>8615</v>
      </c>
    </row>
    <row r="497" spans="1:2" x14ac:dyDescent="0.25">
      <c r="A497" s="27" t="s">
        <v>13336</v>
      </c>
      <c r="B497" s="28"/>
    </row>
    <row r="498" spans="1:2" x14ac:dyDescent="0.25">
      <c r="A498" s="27">
        <v>1120803</v>
      </c>
      <c r="B498" s="28" t="s">
        <v>8616</v>
      </c>
    </row>
    <row r="499" spans="1:2" x14ac:dyDescent="0.25">
      <c r="A499" s="27" t="s">
        <v>13337</v>
      </c>
      <c r="B499" s="28"/>
    </row>
    <row r="500" spans="1:2" x14ac:dyDescent="0.25">
      <c r="A500" s="27">
        <v>1120804</v>
      </c>
      <c r="B500" s="28" t="s">
        <v>11064</v>
      </c>
    </row>
    <row r="501" spans="1:2" x14ac:dyDescent="0.25">
      <c r="A501" s="27">
        <v>1120805</v>
      </c>
      <c r="B501" s="28" t="s">
        <v>11065</v>
      </c>
    </row>
    <row r="502" spans="1:2" x14ac:dyDescent="0.25">
      <c r="A502" s="27">
        <v>1120806</v>
      </c>
      <c r="B502" s="28" t="s">
        <v>11066</v>
      </c>
    </row>
    <row r="503" spans="1:2" x14ac:dyDescent="0.25">
      <c r="A503" s="27">
        <v>1120840</v>
      </c>
      <c r="B503" s="28" t="s">
        <v>10405</v>
      </c>
    </row>
    <row r="504" spans="1:2" x14ac:dyDescent="0.25">
      <c r="A504" s="27">
        <v>1120841</v>
      </c>
      <c r="B504" s="28" t="s">
        <v>10406</v>
      </c>
    </row>
    <row r="505" spans="1:2" x14ac:dyDescent="0.25">
      <c r="A505" s="27">
        <v>1120842</v>
      </c>
      <c r="B505" s="28" t="s">
        <v>10407</v>
      </c>
    </row>
    <row r="506" spans="1:2" x14ac:dyDescent="0.25">
      <c r="A506" s="27">
        <v>1120843</v>
      </c>
      <c r="B506" s="28" t="s">
        <v>10408</v>
      </c>
    </row>
    <row r="507" spans="1:2" x14ac:dyDescent="0.25">
      <c r="A507" s="27">
        <v>1120850</v>
      </c>
      <c r="B507" s="28" t="s">
        <v>8538</v>
      </c>
    </row>
    <row r="508" spans="1:2" x14ac:dyDescent="0.25">
      <c r="A508" s="27">
        <v>1120851</v>
      </c>
      <c r="B508" s="28" t="s">
        <v>8539</v>
      </c>
    </row>
    <row r="509" spans="1:2" x14ac:dyDescent="0.25">
      <c r="A509" s="27">
        <v>1120852</v>
      </c>
      <c r="B509" s="28" t="s">
        <v>8540</v>
      </c>
    </row>
    <row r="510" spans="1:2" x14ac:dyDescent="0.25">
      <c r="A510" s="27">
        <v>1120853</v>
      </c>
      <c r="B510" s="28" t="s">
        <v>8541</v>
      </c>
    </row>
    <row r="511" spans="1:2" x14ac:dyDescent="0.25">
      <c r="A511" s="27">
        <v>1120856</v>
      </c>
      <c r="B511" s="28" t="s">
        <v>8517</v>
      </c>
    </row>
    <row r="512" spans="1:2" x14ac:dyDescent="0.25">
      <c r="A512" s="27">
        <v>1120857</v>
      </c>
      <c r="B512" s="28" t="s">
        <v>8518</v>
      </c>
    </row>
    <row r="513" spans="1:2" x14ac:dyDescent="0.25">
      <c r="A513" s="27">
        <v>1120858</v>
      </c>
      <c r="B513" s="28" t="s">
        <v>8542</v>
      </c>
    </row>
    <row r="514" spans="1:2" x14ac:dyDescent="0.25">
      <c r="A514" s="27">
        <v>1120859</v>
      </c>
      <c r="B514" s="28" t="s">
        <v>8543</v>
      </c>
    </row>
    <row r="515" spans="1:2" x14ac:dyDescent="0.25">
      <c r="A515" s="27">
        <v>1120860</v>
      </c>
      <c r="B515" s="28" t="s">
        <v>8519</v>
      </c>
    </row>
    <row r="516" spans="1:2" x14ac:dyDescent="0.25">
      <c r="A516" s="27">
        <v>1120861</v>
      </c>
      <c r="B516" s="28" t="s">
        <v>8520</v>
      </c>
    </row>
    <row r="517" spans="1:2" x14ac:dyDescent="0.25">
      <c r="A517" s="27">
        <v>1120862</v>
      </c>
      <c r="B517" s="28" t="s">
        <v>8544</v>
      </c>
    </row>
    <row r="518" spans="1:2" x14ac:dyDescent="0.25">
      <c r="A518" s="27">
        <v>1120863</v>
      </c>
      <c r="B518" s="28" t="s">
        <v>8545</v>
      </c>
    </row>
    <row r="519" spans="1:2" x14ac:dyDescent="0.25">
      <c r="A519" s="27">
        <v>1120870</v>
      </c>
      <c r="B519" s="28" t="s">
        <v>13338</v>
      </c>
    </row>
    <row r="520" spans="1:2" x14ac:dyDescent="0.25">
      <c r="A520" s="27">
        <v>1120873</v>
      </c>
      <c r="B520" s="28" t="s">
        <v>8631</v>
      </c>
    </row>
    <row r="521" spans="1:2" x14ac:dyDescent="0.25">
      <c r="A521" s="27">
        <v>1120875</v>
      </c>
      <c r="B521" s="28" t="s">
        <v>8644</v>
      </c>
    </row>
    <row r="522" spans="1:2" x14ac:dyDescent="0.25">
      <c r="A522" s="27">
        <v>1120876</v>
      </c>
      <c r="B522" s="28" t="s">
        <v>8677</v>
      </c>
    </row>
    <row r="523" spans="1:2" x14ac:dyDescent="0.25">
      <c r="A523" s="27">
        <v>1120877</v>
      </c>
      <c r="B523" s="28" t="s">
        <v>8650</v>
      </c>
    </row>
    <row r="524" spans="1:2" x14ac:dyDescent="0.25">
      <c r="A524" s="27">
        <v>1120878</v>
      </c>
      <c r="B524" s="28" t="s">
        <v>8648</v>
      </c>
    </row>
    <row r="525" spans="1:2" x14ac:dyDescent="0.25">
      <c r="A525" s="27">
        <v>1120879</v>
      </c>
      <c r="B525" s="28" t="s">
        <v>8678</v>
      </c>
    </row>
    <row r="526" spans="1:2" x14ac:dyDescent="0.25">
      <c r="A526" s="27">
        <v>1120880</v>
      </c>
      <c r="B526" s="28" t="s">
        <v>8649</v>
      </c>
    </row>
    <row r="527" spans="1:2" x14ac:dyDescent="0.25">
      <c r="A527" s="27">
        <v>1120881</v>
      </c>
      <c r="B527" s="28" t="s">
        <v>8632</v>
      </c>
    </row>
    <row r="528" spans="1:2" x14ac:dyDescent="0.25">
      <c r="A528" s="27">
        <v>1120882</v>
      </c>
      <c r="B528" s="28" t="s">
        <v>8633</v>
      </c>
    </row>
    <row r="529" spans="1:2" x14ac:dyDescent="0.25">
      <c r="A529" s="27">
        <v>1120883</v>
      </c>
      <c r="B529" s="28" t="s">
        <v>11067</v>
      </c>
    </row>
    <row r="530" spans="1:2" x14ac:dyDescent="0.25">
      <c r="A530" s="27">
        <v>1120884</v>
      </c>
      <c r="B530" s="28" t="s">
        <v>11068</v>
      </c>
    </row>
    <row r="531" spans="1:2" x14ac:dyDescent="0.25">
      <c r="A531" s="27">
        <v>1120885</v>
      </c>
      <c r="B531" s="28" t="s">
        <v>11069</v>
      </c>
    </row>
    <row r="532" spans="1:2" x14ac:dyDescent="0.25">
      <c r="A532" s="27">
        <v>1120886</v>
      </c>
      <c r="B532" s="28" t="s">
        <v>11070</v>
      </c>
    </row>
    <row r="533" spans="1:2" x14ac:dyDescent="0.25">
      <c r="A533" s="27">
        <v>1120887</v>
      </c>
      <c r="B533" s="28" t="s">
        <v>8679</v>
      </c>
    </row>
    <row r="534" spans="1:2" x14ac:dyDescent="0.25">
      <c r="A534" s="27">
        <v>1120888</v>
      </c>
      <c r="B534" s="28" t="s">
        <v>11071</v>
      </c>
    </row>
    <row r="535" spans="1:2" x14ac:dyDescent="0.25">
      <c r="A535" s="27">
        <v>1120900</v>
      </c>
      <c r="B535" s="28" t="s">
        <v>8658</v>
      </c>
    </row>
    <row r="536" spans="1:2" x14ac:dyDescent="0.25">
      <c r="A536" s="27">
        <v>1120901</v>
      </c>
      <c r="B536" s="28" t="s">
        <v>8659</v>
      </c>
    </row>
    <row r="537" spans="1:2" x14ac:dyDescent="0.25">
      <c r="A537" s="27" t="s">
        <v>13339</v>
      </c>
      <c r="B537" s="28"/>
    </row>
    <row r="538" spans="1:2" x14ac:dyDescent="0.25">
      <c r="A538" s="27">
        <v>1120902</v>
      </c>
      <c r="B538" s="28" t="s">
        <v>8660</v>
      </c>
    </row>
    <row r="539" spans="1:2" x14ac:dyDescent="0.25">
      <c r="A539" s="27" t="s">
        <v>13340</v>
      </c>
      <c r="B539" s="28"/>
    </row>
    <row r="540" spans="1:2" x14ac:dyDescent="0.25">
      <c r="A540" s="27">
        <v>1120903</v>
      </c>
      <c r="B540" s="28" t="s">
        <v>8661</v>
      </c>
    </row>
    <row r="541" spans="1:2" x14ac:dyDescent="0.25">
      <c r="A541" s="27">
        <v>1120904</v>
      </c>
      <c r="B541" s="28" t="s">
        <v>8662</v>
      </c>
    </row>
    <row r="542" spans="1:2" x14ac:dyDescent="0.25">
      <c r="A542" s="27">
        <v>1120910</v>
      </c>
      <c r="B542" s="28" t="s">
        <v>8663</v>
      </c>
    </row>
    <row r="543" spans="1:2" x14ac:dyDescent="0.25">
      <c r="A543" s="27">
        <v>1120911</v>
      </c>
      <c r="B543" s="28" t="s">
        <v>8664</v>
      </c>
    </row>
    <row r="544" spans="1:2" x14ac:dyDescent="0.25">
      <c r="A544" s="27">
        <v>1120920</v>
      </c>
      <c r="B544" s="28" t="s">
        <v>11072</v>
      </c>
    </row>
    <row r="545" spans="1:2" x14ac:dyDescent="0.25">
      <c r="A545" s="27">
        <v>1120921</v>
      </c>
      <c r="B545" s="28" t="s">
        <v>11073</v>
      </c>
    </row>
    <row r="546" spans="1:2" x14ac:dyDescent="0.25">
      <c r="A546" s="27">
        <v>1120922</v>
      </c>
      <c r="B546" s="28" t="s">
        <v>11074</v>
      </c>
    </row>
    <row r="547" spans="1:2" x14ac:dyDescent="0.25">
      <c r="A547" s="27">
        <v>1120923</v>
      </c>
      <c r="B547" s="28" t="s">
        <v>11075</v>
      </c>
    </row>
    <row r="548" spans="1:2" x14ac:dyDescent="0.25">
      <c r="A548" s="27">
        <v>1120940</v>
      </c>
      <c r="B548" s="28" t="s">
        <v>8665</v>
      </c>
    </row>
    <row r="549" spans="1:2" x14ac:dyDescent="0.25">
      <c r="A549" s="27">
        <v>112094034</v>
      </c>
      <c r="B549" s="28" t="s">
        <v>13341</v>
      </c>
    </row>
    <row r="550" spans="1:2" x14ac:dyDescent="0.25">
      <c r="A550" s="27">
        <v>112094036</v>
      </c>
      <c r="B550" s="28" t="s">
        <v>13342</v>
      </c>
    </row>
    <row r="551" spans="1:2" x14ac:dyDescent="0.25">
      <c r="A551" s="27">
        <v>112094038</v>
      </c>
      <c r="B551" s="28" t="s">
        <v>13343</v>
      </c>
    </row>
    <row r="552" spans="1:2" x14ac:dyDescent="0.25">
      <c r="A552" s="27">
        <v>112094040</v>
      </c>
      <c r="B552" s="28" t="s">
        <v>13344</v>
      </c>
    </row>
    <row r="553" spans="1:2" x14ac:dyDescent="0.25">
      <c r="A553" s="27">
        <v>112094044</v>
      </c>
      <c r="B553" s="28" t="s">
        <v>13345</v>
      </c>
    </row>
    <row r="554" spans="1:2" x14ac:dyDescent="0.25">
      <c r="A554" s="27">
        <v>112094046</v>
      </c>
      <c r="B554" s="28" t="s">
        <v>13346</v>
      </c>
    </row>
    <row r="555" spans="1:2" x14ac:dyDescent="0.25">
      <c r="A555" s="27">
        <v>112094048</v>
      </c>
      <c r="B555" s="28" t="s">
        <v>13347</v>
      </c>
    </row>
    <row r="556" spans="1:2" x14ac:dyDescent="0.25">
      <c r="A556" s="27">
        <v>112094052</v>
      </c>
      <c r="B556" s="28" t="s">
        <v>13348</v>
      </c>
    </row>
    <row r="557" spans="1:2" x14ac:dyDescent="0.25">
      <c r="A557" s="27">
        <v>1120941</v>
      </c>
      <c r="B557" s="28" t="s">
        <v>8666</v>
      </c>
    </row>
    <row r="558" spans="1:2" x14ac:dyDescent="0.25">
      <c r="A558" s="27">
        <v>112094152</v>
      </c>
      <c r="B558" s="28" t="s">
        <v>13349</v>
      </c>
    </row>
    <row r="559" spans="1:2" x14ac:dyDescent="0.25">
      <c r="A559" s="27">
        <v>112094154</v>
      </c>
      <c r="B559" s="28" t="s">
        <v>13350</v>
      </c>
    </row>
    <row r="560" spans="1:2" x14ac:dyDescent="0.25">
      <c r="A560" s="27">
        <v>1120942</v>
      </c>
      <c r="B560" s="28" t="s">
        <v>8667</v>
      </c>
    </row>
    <row r="561" spans="1:2" x14ac:dyDescent="0.25">
      <c r="A561" s="27">
        <v>112094256</v>
      </c>
      <c r="B561" s="28" t="s">
        <v>13351</v>
      </c>
    </row>
    <row r="562" spans="1:2" x14ac:dyDescent="0.25">
      <c r="A562" s="27">
        <v>112094258</v>
      </c>
      <c r="B562" s="28" t="s">
        <v>13352</v>
      </c>
    </row>
    <row r="563" spans="1:2" x14ac:dyDescent="0.25">
      <c r="A563" s="27">
        <v>112094260</v>
      </c>
      <c r="B563" s="28" t="s">
        <v>13353</v>
      </c>
    </row>
    <row r="564" spans="1:2" x14ac:dyDescent="0.25">
      <c r="A564" s="27">
        <v>1120943</v>
      </c>
      <c r="B564" s="28" t="s">
        <v>8668</v>
      </c>
    </row>
    <row r="565" spans="1:2" x14ac:dyDescent="0.25">
      <c r="A565" s="27">
        <v>1120946</v>
      </c>
      <c r="B565" s="28" t="s">
        <v>8673</v>
      </c>
    </row>
    <row r="566" spans="1:2" x14ac:dyDescent="0.25">
      <c r="A566" s="27" t="s">
        <v>13354</v>
      </c>
      <c r="B566" s="28"/>
    </row>
    <row r="567" spans="1:2" x14ac:dyDescent="0.25">
      <c r="A567" s="27">
        <v>1120947</v>
      </c>
      <c r="B567" s="28" t="s">
        <v>8674</v>
      </c>
    </row>
    <row r="568" spans="1:2" x14ac:dyDescent="0.25">
      <c r="A568" s="27" t="s">
        <v>13355</v>
      </c>
      <c r="B568" s="28"/>
    </row>
    <row r="569" spans="1:2" x14ac:dyDescent="0.25">
      <c r="A569" s="27">
        <v>1120948</v>
      </c>
      <c r="B569" s="28" t="s">
        <v>8675</v>
      </c>
    </row>
    <row r="570" spans="1:2" x14ac:dyDescent="0.25">
      <c r="A570" s="27" t="s">
        <v>13356</v>
      </c>
      <c r="B570" s="28"/>
    </row>
    <row r="571" spans="1:2" x14ac:dyDescent="0.25">
      <c r="A571" s="27">
        <v>1120949</v>
      </c>
      <c r="B571" s="28" t="s">
        <v>8676</v>
      </c>
    </row>
    <row r="572" spans="1:2" x14ac:dyDescent="0.25">
      <c r="A572" s="27">
        <v>1120950</v>
      </c>
      <c r="B572" s="28" t="s">
        <v>8546</v>
      </c>
    </row>
    <row r="573" spans="1:2" x14ac:dyDescent="0.25">
      <c r="A573" s="27">
        <v>1120952</v>
      </c>
      <c r="B573" s="28" t="s">
        <v>8547</v>
      </c>
    </row>
    <row r="574" spans="1:2" x14ac:dyDescent="0.25">
      <c r="A574" s="27">
        <v>1120953</v>
      </c>
      <c r="B574" s="28" t="s">
        <v>8548</v>
      </c>
    </row>
    <row r="575" spans="1:2" x14ac:dyDescent="0.25">
      <c r="A575" s="27">
        <v>1120954</v>
      </c>
      <c r="B575" s="28" t="s">
        <v>8549</v>
      </c>
    </row>
    <row r="576" spans="1:2" x14ac:dyDescent="0.25">
      <c r="A576" s="27">
        <v>1120963</v>
      </c>
      <c r="B576" s="28" t="s">
        <v>11076</v>
      </c>
    </row>
    <row r="577" spans="1:2" x14ac:dyDescent="0.25">
      <c r="A577" s="27">
        <v>1120977</v>
      </c>
      <c r="B577" s="28" t="s">
        <v>8651</v>
      </c>
    </row>
    <row r="578" spans="1:2" x14ac:dyDescent="0.25">
      <c r="A578" s="27">
        <v>1120978</v>
      </c>
      <c r="B578" s="28" t="s">
        <v>8669</v>
      </c>
    </row>
    <row r="579" spans="1:2" x14ac:dyDescent="0.25">
      <c r="A579" s="27">
        <v>1120979</v>
      </c>
      <c r="B579" s="25" t="s">
        <v>11077</v>
      </c>
    </row>
    <row r="580" spans="1:2" x14ac:dyDescent="0.25">
      <c r="A580" s="27">
        <v>1120980</v>
      </c>
      <c r="B580" s="28" t="s">
        <v>11078</v>
      </c>
    </row>
    <row r="581" spans="1:2" x14ac:dyDescent="0.25">
      <c r="A581" s="27">
        <v>1121003</v>
      </c>
      <c r="B581" s="28" t="s">
        <v>13357</v>
      </c>
    </row>
    <row r="582" spans="1:2" x14ac:dyDescent="0.25">
      <c r="A582" s="27">
        <v>1121004</v>
      </c>
      <c r="B582" s="28" t="s">
        <v>13358</v>
      </c>
    </row>
    <row r="583" spans="1:2" x14ac:dyDescent="0.25">
      <c r="A583" s="27">
        <v>1121005</v>
      </c>
      <c r="B583" s="28" t="s">
        <v>13359</v>
      </c>
    </row>
    <row r="584" spans="1:2" x14ac:dyDescent="0.25">
      <c r="A584" s="27">
        <v>1121006</v>
      </c>
      <c r="B584" s="28" t="s">
        <v>13360</v>
      </c>
    </row>
    <row r="585" spans="1:2" x14ac:dyDescent="0.25">
      <c r="A585" s="27">
        <v>1121106</v>
      </c>
      <c r="B585" s="28" t="s">
        <v>13361</v>
      </c>
    </row>
    <row r="586" spans="1:2" x14ac:dyDescent="0.25">
      <c r="A586" s="27">
        <v>1121107</v>
      </c>
      <c r="B586" s="28" t="s">
        <v>13362</v>
      </c>
    </row>
    <row r="587" spans="1:2" x14ac:dyDescent="0.25">
      <c r="A587" s="27">
        <v>1121110</v>
      </c>
      <c r="B587" s="28" t="s">
        <v>13363</v>
      </c>
    </row>
    <row r="588" spans="1:2" x14ac:dyDescent="0.25">
      <c r="A588" s="27">
        <v>1121111</v>
      </c>
      <c r="B588" s="28" t="s">
        <v>13364</v>
      </c>
    </row>
    <row r="589" spans="1:2" x14ac:dyDescent="0.25">
      <c r="A589" s="27">
        <v>1121130</v>
      </c>
      <c r="B589" s="28" t="s">
        <v>13365</v>
      </c>
    </row>
    <row r="590" spans="1:2" x14ac:dyDescent="0.25">
      <c r="A590" s="27">
        <v>1121131</v>
      </c>
      <c r="B590" s="28" t="s">
        <v>13366</v>
      </c>
    </row>
    <row r="591" spans="1:2" x14ac:dyDescent="0.25">
      <c r="A591" s="27">
        <v>1121132</v>
      </c>
      <c r="B591" s="28" t="s">
        <v>13367</v>
      </c>
    </row>
    <row r="592" spans="1:2" x14ac:dyDescent="0.25">
      <c r="A592" s="27">
        <v>1121133</v>
      </c>
      <c r="B592" s="28" t="s">
        <v>13368</v>
      </c>
    </row>
    <row r="593" spans="1:2" x14ac:dyDescent="0.25">
      <c r="A593" s="27">
        <v>1121140</v>
      </c>
      <c r="B593" s="28" t="s">
        <v>13369</v>
      </c>
    </row>
    <row r="594" spans="1:2" x14ac:dyDescent="0.25">
      <c r="A594" s="27">
        <v>1121150</v>
      </c>
      <c r="B594" s="28" t="s">
        <v>13370</v>
      </c>
    </row>
    <row r="595" spans="1:2" x14ac:dyDescent="0.25">
      <c r="A595" s="27">
        <v>1121160</v>
      </c>
      <c r="B595" s="28" t="s">
        <v>13371</v>
      </c>
    </row>
    <row r="596" spans="1:2" x14ac:dyDescent="0.25">
      <c r="A596" s="27">
        <v>1121165</v>
      </c>
      <c r="B596" s="28" t="s">
        <v>13372</v>
      </c>
    </row>
    <row r="597" spans="1:2" x14ac:dyDescent="0.25">
      <c r="A597" s="27">
        <v>1121166</v>
      </c>
      <c r="B597" s="28" t="s">
        <v>13373</v>
      </c>
    </row>
    <row r="598" spans="1:2" x14ac:dyDescent="0.25">
      <c r="A598" s="27">
        <v>1121167</v>
      </c>
      <c r="B598" s="28" t="s">
        <v>13374</v>
      </c>
    </row>
    <row r="599" spans="1:2" x14ac:dyDescent="0.25">
      <c r="A599" s="27">
        <v>1121168</v>
      </c>
      <c r="B599" s="28" t="s">
        <v>13375</v>
      </c>
    </row>
    <row r="600" spans="1:2" x14ac:dyDescent="0.25">
      <c r="A600" s="27">
        <v>1121170</v>
      </c>
      <c r="B600" s="28" t="s">
        <v>13376</v>
      </c>
    </row>
    <row r="601" spans="1:2" x14ac:dyDescent="0.25">
      <c r="A601" s="27">
        <v>1121175</v>
      </c>
      <c r="B601" s="28" t="s">
        <v>13377</v>
      </c>
    </row>
    <row r="602" spans="1:2" x14ac:dyDescent="0.25">
      <c r="A602" s="27">
        <v>1121180</v>
      </c>
      <c r="B602" s="28" t="s">
        <v>13378</v>
      </c>
    </row>
    <row r="603" spans="1:2" x14ac:dyDescent="0.25">
      <c r="A603" s="27">
        <v>1121182</v>
      </c>
      <c r="B603" s="28" t="s">
        <v>13379</v>
      </c>
    </row>
    <row r="604" spans="1:2" x14ac:dyDescent="0.25">
      <c r="A604" s="27">
        <v>1121183</v>
      </c>
      <c r="B604" s="28" t="s">
        <v>13380</v>
      </c>
    </row>
    <row r="605" spans="1:2" x14ac:dyDescent="0.25">
      <c r="A605" s="27">
        <v>1121184</v>
      </c>
      <c r="B605" s="28" t="s">
        <v>13381</v>
      </c>
    </row>
    <row r="606" spans="1:2" x14ac:dyDescent="0.25">
      <c r="A606" s="27">
        <v>1121185</v>
      </c>
      <c r="B606" s="28" t="s">
        <v>13382</v>
      </c>
    </row>
    <row r="607" spans="1:2" x14ac:dyDescent="0.25">
      <c r="A607" s="27">
        <v>1121190</v>
      </c>
      <c r="B607" s="28" t="s">
        <v>13383</v>
      </c>
    </row>
    <row r="608" spans="1:2" x14ac:dyDescent="0.25">
      <c r="A608" s="27">
        <v>1121195</v>
      </c>
      <c r="B608" s="28" t="s">
        <v>13384</v>
      </c>
    </row>
    <row r="609" spans="1:2" x14ac:dyDescent="0.25">
      <c r="A609" s="27">
        <v>1121206</v>
      </c>
      <c r="B609" s="28" t="s">
        <v>13385</v>
      </c>
    </row>
    <row r="610" spans="1:2" x14ac:dyDescent="0.25">
      <c r="A610" s="27">
        <v>1121207</v>
      </c>
      <c r="B610" s="28" t="s">
        <v>13386</v>
      </c>
    </row>
    <row r="611" spans="1:2" x14ac:dyDescent="0.25">
      <c r="A611" s="27">
        <v>1121208</v>
      </c>
      <c r="B611" s="28" t="s">
        <v>13387</v>
      </c>
    </row>
    <row r="612" spans="1:2" x14ac:dyDescent="0.25">
      <c r="A612" s="27">
        <v>1121209</v>
      </c>
      <c r="B612" s="28" t="s">
        <v>13388</v>
      </c>
    </row>
    <row r="613" spans="1:2" x14ac:dyDescent="0.25">
      <c r="A613" s="27">
        <v>1121224</v>
      </c>
      <c r="B613" s="28" t="s">
        <v>13389</v>
      </c>
    </row>
    <row r="614" spans="1:2" x14ac:dyDescent="0.25">
      <c r="A614" s="27">
        <v>1121225</v>
      </c>
      <c r="B614" s="28" t="s">
        <v>13390</v>
      </c>
    </row>
    <row r="615" spans="1:2" x14ac:dyDescent="0.25">
      <c r="A615" s="27">
        <v>1121246</v>
      </c>
      <c r="B615" s="28" t="s">
        <v>13391</v>
      </c>
    </row>
    <row r="616" spans="1:2" x14ac:dyDescent="0.25">
      <c r="A616" s="27">
        <v>1121247</v>
      </c>
      <c r="B616" s="28" t="s">
        <v>13392</v>
      </c>
    </row>
    <row r="617" spans="1:2" x14ac:dyDescent="0.25">
      <c r="A617" s="27">
        <v>1121248</v>
      </c>
      <c r="B617" s="28" t="s">
        <v>13393</v>
      </c>
    </row>
    <row r="618" spans="1:2" x14ac:dyDescent="0.25">
      <c r="A618" s="27">
        <v>1121285</v>
      </c>
      <c r="B618" s="28" t="s">
        <v>13394</v>
      </c>
    </row>
    <row r="619" spans="1:2" x14ac:dyDescent="0.25">
      <c r="A619" s="27">
        <v>1121315</v>
      </c>
      <c r="B619" s="28" t="s">
        <v>13395</v>
      </c>
    </row>
    <row r="620" spans="1:2" x14ac:dyDescent="0.25">
      <c r="A620" s="27">
        <v>1121316</v>
      </c>
      <c r="B620" s="28" t="s">
        <v>13396</v>
      </c>
    </row>
    <row r="621" spans="1:2" x14ac:dyDescent="0.25">
      <c r="A621" s="27">
        <v>1121317</v>
      </c>
      <c r="B621" s="28" t="s">
        <v>13397</v>
      </c>
    </row>
    <row r="622" spans="1:2" x14ac:dyDescent="0.25">
      <c r="A622" s="27">
        <v>1121318</v>
      </c>
      <c r="B622" s="28" t="s">
        <v>13398</v>
      </c>
    </row>
    <row r="623" spans="1:2" x14ac:dyDescent="0.25">
      <c r="A623" s="27">
        <v>1121323</v>
      </c>
      <c r="B623" s="28" t="s">
        <v>13399</v>
      </c>
    </row>
    <row r="624" spans="1:2" x14ac:dyDescent="0.25">
      <c r="A624" s="27">
        <v>1121324</v>
      </c>
      <c r="B624" s="28" t="s">
        <v>13400</v>
      </c>
    </row>
    <row r="625" spans="1:2" x14ac:dyDescent="0.25">
      <c r="A625" s="27">
        <v>1121325</v>
      </c>
      <c r="B625" s="28" t="s">
        <v>13401</v>
      </c>
    </row>
    <row r="626" spans="1:2" x14ac:dyDescent="0.25">
      <c r="A626" s="27">
        <v>1121330</v>
      </c>
      <c r="B626" s="28" t="s">
        <v>13402</v>
      </c>
    </row>
    <row r="627" spans="1:2" x14ac:dyDescent="0.25">
      <c r="A627" s="27">
        <v>1121331</v>
      </c>
      <c r="B627" s="28" t="s">
        <v>13403</v>
      </c>
    </row>
    <row r="628" spans="1:2" x14ac:dyDescent="0.25">
      <c r="A628" s="27">
        <v>1121332</v>
      </c>
      <c r="B628" s="28" t="s">
        <v>13404</v>
      </c>
    </row>
    <row r="629" spans="1:2" x14ac:dyDescent="0.25">
      <c r="A629" s="27">
        <v>1121333</v>
      </c>
      <c r="B629" s="28" t="s">
        <v>13405</v>
      </c>
    </row>
    <row r="630" spans="1:2" x14ac:dyDescent="0.25">
      <c r="A630" s="27">
        <v>1121334</v>
      </c>
      <c r="B630" s="28" t="s">
        <v>13406</v>
      </c>
    </row>
    <row r="631" spans="1:2" x14ac:dyDescent="0.25">
      <c r="A631" s="27">
        <v>1121335</v>
      </c>
      <c r="B631" s="28" t="s">
        <v>13407</v>
      </c>
    </row>
    <row r="632" spans="1:2" x14ac:dyDescent="0.25">
      <c r="A632" s="27">
        <v>1121336</v>
      </c>
      <c r="B632" s="28" t="s">
        <v>13408</v>
      </c>
    </row>
    <row r="633" spans="1:2" x14ac:dyDescent="0.25">
      <c r="A633" s="27">
        <v>1121400</v>
      </c>
      <c r="B633" s="28" t="s">
        <v>13409</v>
      </c>
    </row>
    <row r="634" spans="1:2" x14ac:dyDescent="0.25">
      <c r="A634" s="27">
        <v>1121401</v>
      </c>
      <c r="B634" s="28" t="s">
        <v>13410</v>
      </c>
    </row>
    <row r="635" spans="1:2" x14ac:dyDescent="0.25">
      <c r="A635" s="27">
        <v>1121402</v>
      </c>
      <c r="B635" s="28" t="s">
        <v>13411</v>
      </c>
    </row>
    <row r="636" spans="1:2" x14ac:dyDescent="0.25">
      <c r="A636" s="27">
        <v>1121433</v>
      </c>
      <c r="B636" s="28" t="s">
        <v>13412</v>
      </c>
    </row>
    <row r="637" spans="1:2" x14ac:dyDescent="0.25">
      <c r="A637" s="27">
        <v>1121434</v>
      </c>
      <c r="B637" s="28" t="s">
        <v>13413</v>
      </c>
    </row>
    <row r="638" spans="1:2" x14ac:dyDescent="0.25">
      <c r="A638" s="27">
        <v>1121441</v>
      </c>
      <c r="B638" s="28" t="s">
        <v>13414</v>
      </c>
    </row>
    <row r="639" spans="1:2" x14ac:dyDescent="0.25">
      <c r="A639" s="27">
        <v>1121442</v>
      </c>
      <c r="B639" s="28" t="s">
        <v>13415</v>
      </c>
    </row>
    <row r="640" spans="1:2" x14ac:dyDescent="0.25">
      <c r="A640" s="27">
        <v>1121443</v>
      </c>
      <c r="B640" s="28" t="s">
        <v>13416</v>
      </c>
    </row>
    <row r="641" spans="1:2" x14ac:dyDescent="0.25">
      <c r="A641" s="27">
        <v>1121444</v>
      </c>
      <c r="B641" s="28" t="s">
        <v>13417</v>
      </c>
    </row>
    <row r="642" spans="1:2" x14ac:dyDescent="0.25">
      <c r="A642" s="27">
        <v>1121445</v>
      </c>
      <c r="B642" s="28" t="s">
        <v>13418</v>
      </c>
    </row>
    <row r="643" spans="1:2" x14ac:dyDescent="0.25">
      <c r="A643" s="27">
        <v>1121446</v>
      </c>
      <c r="B643" s="28" t="s">
        <v>13419</v>
      </c>
    </row>
    <row r="644" spans="1:2" x14ac:dyDescent="0.25">
      <c r="A644" s="27">
        <v>1121462</v>
      </c>
      <c r="B644" s="28" t="s">
        <v>13420</v>
      </c>
    </row>
    <row r="645" spans="1:2" x14ac:dyDescent="0.25">
      <c r="A645" s="27">
        <v>1121463</v>
      </c>
      <c r="B645" s="28" t="s">
        <v>13421</v>
      </c>
    </row>
    <row r="646" spans="1:2" x14ac:dyDescent="0.25">
      <c r="A646" s="27">
        <v>1121464</v>
      </c>
      <c r="B646" s="28" t="s">
        <v>13422</v>
      </c>
    </row>
    <row r="647" spans="1:2" x14ac:dyDescent="0.25">
      <c r="A647" s="27">
        <v>1121478</v>
      </c>
      <c r="B647" s="28" t="s">
        <v>13423</v>
      </c>
    </row>
    <row r="648" spans="1:2" x14ac:dyDescent="0.25">
      <c r="A648" s="27">
        <v>1121479</v>
      </c>
      <c r="B648" s="28" t="s">
        <v>13424</v>
      </c>
    </row>
    <row r="649" spans="1:2" x14ac:dyDescent="0.25">
      <c r="A649" s="27">
        <v>1121493</v>
      </c>
      <c r="B649" s="28" t="s">
        <v>13425</v>
      </c>
    </row>
    <row r="650" spans="1:2" x14ac:dyDescent="0.25">
      <c r="A650" s="27">
        <v>1121496</v>
      </c>
      <c r="B650" s="28" t="s">
        <v>13426</v>
      </c>
    </row>
    <row r="651" spans="1:2" x14ac:dyDescent="0.25">
      <c r="A651" s="27">
        <v>1121497</v>
      </c>
      <c r="B651" s="28" t="s">
        <v>13427</v>
      </c>
    </row>
    <row r="652" spans="1:2" x14ac:dyDescent="0.25">
      <c r="A652" s="27">
        <v>1121498</v>
      </c>
      <c r="B652" s="28" t="s">
        <v>13428</v>
      </c>
    </row>
    <row r="653" spans="1:2" x14ac:dyDescent="0.25">
      <c r="A653" s="27">
        <v>1121499</v>
      </c>
      <c r="B653" s="28" t="s">
        <v>13429</v>
      </c>
    </row>
    <row r="654" spans="1:2" x14ac:dyDescent="0.25">
      <c r="A654" s="27">
        <v>1121512</v>
      </c>
      <c r="B654" s="28" t="s">
        <v>13430</v>
      </c>
    </row>
    <row r="655" spans="1:2" x14ac:dyDescent="0.25">
      <c r="A655" s="27">
        <v>1121513</v>
      </c>
      <c r="B655" s="28" t="s">
        <v>13431</v>
      </c>
    </row>
    <row r="656" spans="1:2" x14ac:dyDescent="0.25">
      <c r="A656" s="27">
        <v>1121514</v>
      </c>
      <c r="B656" s="28" t="s">
        <v>13432</v>
      </c>
    </row>
    <row r="657" spans="1:2" x14ac:dyDescent="0.25">
      <c r="A657" s="27">
        <v>1121623</v>
      </c>
      <c r="B657" s="28" t="s">
        <v>13433</v>
      </c>
    </row>
    <row r="658" spans="1:2" x14ac:dyDescent="0.25">
      <c r="A658" s="27">
        <v>1121624</v>
      </c>
      <c r="B658" s="25" t="s">
        <v>13434</v>
      </c>
    </row>
    <row r="659" spans="1:2" x14ac:dyDescent="0.25">
      <c r="A659" s="27">
        <v>1121625</v>
      </c>
      <c r="B659" s="25" t="s">
        <v>13435</v>
      </c>
    </row>
    <row r="660" spans="1:2" x14ac:dyDescent="0.25">
      <c r="A660" s="27">
        <v>1121626</v>
      </c>
      <c r="B660" s="28" t="s">
        <v>13436</v>
      </c>
    </row>
    <row r="661" spans="1:2" x14ac:dyDescent="0.25">
      <c r="A661" s="27">
        <v>1121640</v>
      </c>
      <c r="B661" s="25" t="s">
        <v>13437</v>
      </c>
    </row>
    <row r="662" spans="1:2" x14ac:dyDescent="0.25">
      <c r="A662" s="27">
        <v>1121641</v>
      </c>
      <c r="B662" s="28" t="s">
        <v>13438</v>
      </c>
    </row>
    <row r="663" spans="1:2" x14ac:dyDescent="0.25">
      <c r="A663" s="27">
        <v>1121642</v>
      </c>
      <c r="B663" s="28" t="s">
        <v>13439</v>
      </c>
    </row>
    <row r="664" spans="1:2" x14ac:dyDescent="0.25">
      <c r="A664" s="27">
        <v>1121643</v>
      </c>
      <c r="B664" s="28" t="s">
        <v>13440</v>
      </c>
    </row>
    <row r="665" spans="1:2" x14ac:dyDescent="0.25">
      <c r="A665" s="27">
        <v>1121666</v>
      </c>
      <c r="B665" s="28" t="s">
        <v>13441</v>
      </c>
    </row>
    <row r="666" spans="1:2" x14ac:dyDescent="0.25">
      <c r="A666" s="27">
        <v>1121667</v>
      </c>
      <c r="B666" s="28" t="s">
        <v>13442</v>
      </c>
    </row>
    <row r="667" spans="1:2" x14ac:dyDescent="0.25">
      <c r="A667" s="27">
        <v>1121668</v>
      </c>
      <c r="B667" s="25" t="s">
        <v>13443</v>
      </c>
    </row>
    <row r="668" spans="1:2" x14ac:dyDescent="0.25">
      <c r="A668" s="27">
        <v>1121669</v>
      </c>
      <c r="B668" s="28" t="s">
        <v>13444</v>
      </c>
    </row>
    <row r="669" spans="1:2" x14ac:dyDescent="0.25">
      <c r="A669" s="27">
        <v>1121750</v>
      </c>
      <c r="B669" s="28" t="s">
        <v>13445</v>
      </c>
    </row>
    <row r="670" spans="1:2" x14ac:dyDescent="0.25">
      <c r="A670" s="27">
        <v>1121751</v>
      </c>
      <c r="B670" s="28" t="s">
        <v>13446</v>
      </c>
    </row>
    <row r="671" spans="1:2" x14ac:dyDescent="0.25">
      <c r="A671" s="27">
        <v>1121752</v>
      </c>
      <c r="B671" s="28" t="s">
        <v>13447</v>
      </c>
    </row>
    <row r="672" spans="1:2" x14ac:dyDescent="0.25">
      <c r="A672" s="27">
        <v>1121753</v>
      </c>
      <c r="B672" s="25" t="s">
        <v>13448</v>
      </c>
    </row>
    <row r="673" spans="1:2" x14ac:dyDescent="0.25">
      <c r="A673" s="27">
        <v>1121800</v>
      </c>
      <c r="B673" s="28" t="s">
        <v>13449</v>
      </c>
    </row>
    <row r="674" spans="1:2" x14ac:dyDescent="0.25">
      <c r="A674" s="27">
        <v>1121801</v>
      </c>
      <c r="B674" s="28" t="s">
        <v>13450</v>
      </c>
    </row>
    <row r="675" spans="1:2" x14ac:dyDescent="0.25">
      <c r="A675" s="27">
        <v>1121802</v>
      </c>
      <c r="B675" s="28" t="s">
        <v>13451</v>
      </c>
    </row>
    <row r="676" spans="1:2" x14ac:dyDescent="0.25">
      <c r="A676" s="27">
        <v>1121803</v>
      </c>
      <c r="B676" s="28" t="s">
        <v>13452</v>
      </c>
    </row>
    <row r="677" spans="1:2" x14ac:dyDescent="0.25">
      <c r="A677" s="27">
        <v>1121850</v>
      </c>
      <c r="B677" s="25" t="s">
        <v>13453</v>
      </c>
    </row>
    <row r="678" spans="1:2" x14ac:dyDescent="0.25">
      <c r="A678" s="27">
        <v>1121851</v>
      </c>
      <c r="B678" s="28" t="s">
        <v>13454</v>
      </c>
    </row>
    <row r="679" spans="1:2" x14ac:dyDescent="0.25">
      <c r="A679" s="27">
        <v>1121852</v>
      </c>
      <c r="B679" s="28" t="s">
        <v>13455</v>
      </c>
    </row>
    <row r="680" spans="1:2" x14ac:dyDescent="0.25">
      <c r="A680" s="27">
        <v>1121853</v>
      </c>
      <c r="B680" s="28" t="s">
        <v>13456</v>
      </c>
    </row>
    <row r="681" spans="1:2" x14ac:dyDescent="0.25">
      <c r="A681" s="27">
        <v>1121856</v>
      </c>
      <c r="B681" s="28" t="s">
        <v>13457</v>
      </c>
    </row>
    <row r="682" spans="1:2" x14ac:dyDescent="0.25">
      <c r="A682" s="27">
        <v>1121857</v>
      </c>
      <c r="B682" s="28" t="s">
        <v>13458</v>
      </c>
    </row>
    <row r="683" spans="1:2" x14ac:dyDescent="0.25">
      <c r="A683" s="27">
        <v>1121858</v>
      </c>
      <c r="B683" s="28" t="s">
        <v>13459</v>
      </c>
    </row>
    <row r="684" spans="1:2" x14ac:dyDescent="0.25">
      <c r="A684" s="27">
        <v>1121859</v>
      </c>
      <c r="B684" s="28" t="s">
        <v>13460</v>
      </c>
    </row>
    <row r="685" spans="1:2" x14ac:dyDescent="0.25">
      <c r="A685" s="27">
        <v>1121860</v>
      </c>
      <c r="B685" s="28" t="s">
        <v>13461</v>
      </c>
    </row>
    <row r="686" spans="1:2" x14ac:dyDescent="0.25">
      <c r="A686" s="27">
        <v>1121861</v>
      </c>
      <c r="B686" s="28" t="s">
        <v>13462</v>
      </c>
    </row>
    <row r="687" spans="1:2" x14ac:dyDescent="0.25">
      <c r="A687" s="27">
        <v>1121862</v>
      </c>
      <c r="B687" s="28" t="s">
        <v>13463</v>
      </c>
    </row>
    <row r="688" spans="1:2" x14ac:dyDescent="0.25">
      <c r="A688" s="27">
        <v>1121863</v>
      </c>
      <c r="B688" s="28" t="s">
        <v>13464</v>
      </c>
    </row>
    <row r="689" spans="1:2" x14ac:dyDescent="0.25">
      <c r="A689" s="27">
        <v>1121873</v>
      </c>
      <c r="B689" s="28" t="s">
        <v>13465</v>
      </c>
    </row>
    <row r="690" spans="1:2" x14ac:dyDescent="0.25">
      <c r="A690" s="27">
        <v>1121875</v>
      </c>
      <c r="B690" s="28" t="s">
        <v>13466</v>
      </c>
    </row>
    <row r="691" spans="1:2" x14ac:dyDescent="0.25">
      <c r="A691" s="27">
        <v>1121876</v>
      </c>
      <c r="B691" s="28" t="s">
        <v>13467</v>
      </c>
    </row>
    <row r="692" spans="1:2" x14ac:dyDescent="0.25">
      <c r="A692" s="27">
        <v>1121877</v>
      </c>
      <c r="B692" s="28" t="s">
        <v>13468</v>
      </c>
    </row>
    <row r="693" spans="1:2" x14ac:dyDescent="0.25">
      <c r="A693" s="27">
        <v>1121879</v>
      </c>
      <c r="B693" s="28" t="s">
        <v>13469</v>
      </c>
    </row>
    <row r="694" spans="1:2" x14ac:dyDescent="0.25">
      <c r="A694" s="27">
        <v>1121881</v>
      </c>
      <c r="B694" s="28" t="s">
        <v>13470</v>
      </c>
    </row>
    <row r="695" spans="1:2" x14ac:dyDescent="0.25">
      <c r="A695" s="27">
        <v>1121882</v>
      </c>
      <c r="B695" s="28" t="s">
        <v>13471</v>
      </c>
    </row>
    <row r="696" spans="1:2" x14ac:dyDescent="0.25">
      <c r="A696" s="27">
        <v>1121887</v>
      </c>
      <c r="B696" s="28" t="s">
        <v>13472</v>
      </c>
    </row>
    <row r="697" spans="1:2" x14ac:dyDescent="0.25">
      <c r="A697" s="27">
        <v>1121900</v>
      </c>
      <c r="B697" s="28" t="s">
        <v>13473</v>
      </c>
    </row>
    <row r="698" spans="1:2" x14ac:dyDescent="0.25">
      <c r="A698" s="27">
        <v>1121901</v>
      </c>
      <c r="B698" s="28" t="s">
        <v>13474</v>
      </c>
    </row>
    <row r="699" spans="1:2" x14ac:dyDescent="0.25">
      <c r="A699" s="27">
        <v>1121902</v>
      </c>
      <c r="B699" s="28" t="s">
        <v>13475</v>
      </c>
    </row>
    <row r="700" spans="1:2" x14ac:dyDescent="0.25">
      <c r="A700" s="27">
        <v>1121903</v>
      </c>
      <c r="B700" s="28" t="s">
        <v>13476</v>
      </c>
    </row>
    <row r="701" spans="1:2" x14ac:dyDescent="0.25">
      <c r="A701" s="27">
        <v>1121904</v>
      </c>
      <c r="B701" s="28" t="s">
        <v>13477</v>
      </c>
    </row>
    <row r="702" spans="1:2" x14ac:dyDescent="0.25">
      <c r="A702" s="27">
        <v>1121940</v>
      </c>
      <c r="B702" s="28" t="s">
        <v>13478</v>
      </c>
    </row>
    <row r="703" spans="1:2" x14ac:dyDescent="0.25">
      <c r="A703" s="27">
        <v>1121941</v>
      </c>
      <c r="B703" s="28" t="s">
        <v>13479</v>
      </c>
    </row>
    <row r="704" spans="1:2" x14ac:dyDescent="0.25">
      <c r="A704" s="27">
        <v>1121942</v>
      </c>
      <c r="B704" s="28" t="s">
        <v>13480</v>
      </c>
    </row>
    <row r="705" spans="1:2" x14ac:dyDescent="0.25">
      <c r="A705" s="27">
        <v>1121943</v>
      </c>
      <c r="B705" s="28" t="s">
        <v>13481</v>
      </c>
    </row>
    <row r="706" spans="1:2" x14ac:dyDescent="0.25">
      <c r="A706" s="27">
        <v>1121946</v>
      </c>
      <c r="B706" s="28" t="s">
        <v>13482</v>
      </c>
    </row>
    <row r="707" spans="1:2" x14ac:dyDescent="0.25">
      <c r="A707" s="27">
        <v>1121947</v>
      </c>
      <c r="B707" s="28" t="s">
        <v>13483</v>
      </c>
    </row>
    <row r="708" spans="1:2" x14ac:dyDescent="0.25">
      <c r="A708" s="27">
        <v>1121948</v>
      </c>
      <c r="B708" s="28" t="s">
        <v>13484</v>
      </c>
    </row>
    <row r="709" spans="1:2" x14ac:dyDescent="0.25">
      <c r="A709" s="27">
        <v>1121949</v>
      </c>
      <c r="B709" s="28" t="s">
        <v>13485</v>
      </c>
    </row>
    <row r="710" spans="1:2" x14ac:dyDescent="0.25">
      <c r="A710" s="27">
        <v>1121950</v>
      </c>
      <c r="B710" s="28" t="s">
        <v>13486</v>
      </c>
    </row>
    <row r="711" spans="1:2" x14ac:dyDescent="0.25">
      <c r="A711" s="27">
        <v>1121952</v>
      </c>
      <c r="B711" s="28" t="s">
        <v>13487</v>
      </c>
    </row>
    <row r="712" spans="1:2" x14ac:dyDescent="0.25">
      <c r="A712" s="27">
        <v>1121953</v>
      </c>
      <c r="B712" s="28" t="s">
        <v>13488</v>
      </c>
    </row>
    <row r="713" spans="1:2" x14ac:dyDescent="0.25">
      <c r="A713" s="27">
        <v>1121954</v>
      </c>
      <c r="B713" s="28" t="s">
        <v>13489</v>
      </c>
    </row>
    <row r="714" spans="1:2" x14ac:dyDescent="0.25">
      <c r="A714" s="27">
        <v>1121977</v>
      </c>
      <c r="B714" s="28" t="s">
        <v>13490</v>
      </c>
    </row>
    <row r="715" spans="1:2" x14ac:dyDescent="0.25">
      <c r="A715" s="27">
        <v>1121978</v>
      </c>
      <c r="B715" s="28" t="s">
        <v>13491</v>
      </c>
    </row>
    <row r="716" spans="1:2" x14ac:dyDescent="0.25">
      <c r="A716" s="27">
        <v>1121979</v>
      </c>
      <c r="B716" s="28" t="s">
        <v>13492</v>
      </c>
    </row>
    <row r="717" spans="1:2" x14ac:dyDescent="0.25">
      <c r="A717" s="27">
        <v>1121980</v>
      </c>
      <c r="B717" s="28" t="s">
        <v>13493</v>
      </c>
    </row>
    <row r="718" spans="1:2" x14ac:dyDescent="0.25">
      <c r="A718" s="27">
        <v>1123456</v>
      </c>
      <c r="B718" s="28" t="s">
        <v>8551</v>
      </c>
    </row>
    <row r="719" spans="1:2" x14ac:dyDescent="0.25">
      <c r="A719" s="27">
        <v>1123457</v>
      </c>
      <c r="B719" s="28" t="s">
        <v>8552</v>
      </c>
    </row>
    <row r="720" spans="1:2" x14ac:dyDescent="0.25">
      <c r="A720" s="27">
        <v>1123458</v>
      </c>
      <c r="B720" s="28" t="s">
        <v>8553</v>
      </c>
    </row>
    <row r="721" spans="1:2" x14ac:dyDescent="0.25">
      <c r="A721" s="27">
        <v>1130000</v>
      </c>
      <c r="B721" s="28" t="s">
        <v>10062</v>
      </c>
    </row>
    <row r="722" spans="1:2" x14ac:dyDescent="0.25">
      <c r="A722" s="27">
        <v>1130001</v>
      </c>
      <c r="B722" s="28" t="s">
        <v>11079</v>
      </c>
    </row>
    <row r="723" spans="1:2" x14ac:dyDescent="0.25">
      <c r="A723" s="27">
        <v>1130002</v>
      </c>
      <c r="B723" s="28" t="s">
        <v>11080</v>
      </c>
    </row>
    <row r="724" spans="1:2" x14ac:dyDescent="0.25">
      <c r="A724" s="27">
        <v>1130003</v>
      </c>
      <c r="B724" s="28" t="s">
        <v>11081</v>
      </c>
    </row>
    <row r="725" spans="1:2" x14ac:dyDescent="0.25">
      <c r="A725" s="27">
        <v>1130008</v>
      </c>
      <c r="B725" s="28" t="s">
        <v>10362</v>
      </c>
    </row>
    <row r="726" spans="1:2" x14ac:dyDescent="0.25">
      <c r="A726" s="27">
        <v>1130009</v>
      </c>
      <c r="B726" s="28" t="s">
        <v>10364</v>
      </c>
    </row>
    <row r="727" spans="1:2" x14ac:dyDescent="0.25">
      <c r="A727" s="27">
        <v>1130226</v>
      </c>
      <c r="B727" s="28" t="s">
        <v>10399</v>
      </c>
    </row>
    <row r="728" spans="1:2" x14ac:dyDescent="0.25">
      <c r="A728" s="27">
        <v>1130254</v>
      </c>
      <c r="B728" s="28" t="s">
        <v>10065</v>
      </c>
    </row>
    <row r="729" spans="1:2" x14ac:dyDescent="0.25">
      <c r="A729" s="27">
        <v>1130255</v>
      </c>
      <c r="B729" s="28" t="s">
        <v>10064</v>
      </c>
    </row>
    <row r="730" spans="1:2" x14ac:dyDescent="0.25">
      <c r="A730" s="27">
        <v>1130284</v>
      </c>
      <c r="B730" s="28" t="s">
        <v>11082</v>
      </c>
    </row>
    <row r="731" spans="1:2" x14ac:dyDescent="0.25">
      <c r="A731" s="27" t="s">
        <v>13494</v>
      </c>
      <c r="B731" s="28"/>
    </row>
    <row r="732" spans="1:2" x14ac:dyDescent="0.25">
      <c r="A732" s="27">
        <v>1130285</v>
      </c>
      <c r="B732" s="28" t="s">
        <v>11083</v>
      </c>
    </row>
    <row r="733" spans="1:2" x14ac:dyDescent="0.25">
      <c r="A733" s="27">
        <v>1130495</v>
      </c>
      <c r="B733" s="28" t="s">
        <v>10365</v>
      </c>
    </row>
    <row r="734" spans="1:2" x14ac:dyDescent="0.25">
      <c r="A734" s="27">
        <v>1130496</v>
      </c>
      <c r="B734" s="28" t="s">
        <v>10361</v>
      </c>
    </row>
    <row r="735" spans="1:2" x14ac:dyDescent="0.25">
      <c r="A735" s="27">
        <v>1130549</v>
      </c>
      <c r="B735" s="28" t="s">
        <v>10063</v>
      </c>
    </row>
    <row r="736" spans="1:2" x14ac:dyDescent="0.25">
      <c r="A736" s="27">
        <v>1130555</v>
      </c>
      <c r="B736" s="28" t="s">
        <v>10400</v>
      </c>
    </row>
    <row r="737" spans="1:2" x14ac:dyDescent="0.25">
      <c r="A737" s="27">
        <v>1130713</v>
      </c>
      <c r="B737" s="28" t="s">
        <v>10363</v>
      </c>
    </row>
    <row r="738" spans="1:2" x14ac:dyDescent="0.25">
      <c r="A738" s="27">
        <v>1130745</v>
      </c>
      <c r="B738" s="28" t="s">
        <v>11084</v>
      </c>
    </row>
    <row r="739" spans="1:2" x14ac:dyDescent="0.25">
      <c r="A739" s="27">
        <v>1130750</v>
      </c>
      <c r="B739" s="28" t="s">
        <v>11085</v>
      </c>
    </row>
    <row r="740" spans="1:2" x14ac:dyDescent="0.25">
      <c r="A740" s="27">
        <v>1130751</v>
      </c>
      <c r="B740" s="28" t="s">
        <v>11086</v>
      </c>
    </row>
    <row r="741" spans="1:2" x14ac:dyDescent="0.25">
      <c r="A741" s="27">
        <v>1130894</v>
      </c>
      <c r="B741" s="28" t="s">
        <v>10401</v>
      </c>
    </row>
    <row r="742" spans="1:2" x14ac:dyDescent="0.25">
      <c r="A742" s="27">
        <v>1130900</v>
      </c>
      <c r="B742" s="28" t="s">
        <v>11087</v>
      </c>
    </row>
    <row r="743" spans="1:2" x14ac:dyDescent="0.25">
      <c r="A743" s="27">
        <v>1130965</v>
      </c>
      <c r="B743" s="28" t="s">
        <v>11088</v>
      </c>
    </row>
    <row r="744" spans="1:2" x14ac:dyDescent="0.25">
      <c r="A744" s="27">
        <v>1140000</v>
      </c>
      <c r="B744" s="28" t="s">
        <v>11089</v>
      </c>
    </row>
    <row r="745" spans="1:2" x14ac:dyDescent="0.25">
      <c r="A745" s="27">
        <v>1140001</v>
      </c>
      <c r="B745" s="28" t="s">
        <v>10412</v>
      </c>
    </row>
    <row r="746" spans="1:2" x14ac:dyDescent="0.25">
      <c r="A746" s="27" t="s">
        <v>13495</v>
      </c>
      <c r="B746" s="28"/>
    </row>
    <row r="747" spans="1:2" x14ac:dyDescent="0.25">
      <c r="A747" s="27">
        <v>1200001</v>
      </c>
      <c r="B747" s="28" t="s">
        <v>8617</v>
      </c>
    </row>
    <row r="748" spans="1:2" x14ac:dyDescent="0.25">
      <c r="A748" s="27" t="s">
        <v>13496</v>
      </c>
      <c r="B748" s="28" t="s">
        <v>13497</v>
      </c>
    </row>
    <row r="749" spans="1:2" x14ac:dyDescent="0.25">
      <c r="A749" s="27" t="s">
        <v>13498</v>
      </c>
      <c r="B749" s="28"/>
    </row>
    <row r="750" spans="1:2" x14ac:dyDescent="0.25">
      <c r="A750" s="27" t="s">
        <v>13499</v>
      </c>
      <c r="B750" s="28"/>
    </row>
    <row r="751" spans="1:2" x14ac:dyDescent="0.25">
      <c r="A751" s="27">
        <v>1200003</v>
      </c>
      <c r="B751" s="28" t="s">
        <v>8618</v>
      </c>
    </row>
    <row r="752" spans="1:2" x14ac:dyDescent="0.25">
      <c r="A752" s="27" t="s">
        <v>13500</v>
      </c>
      <c r="B752" s="28"/>
    </row>
    <row r="753" spans="1:2" x14ac:dyDescent="0.25">
      <c r="A753" s="27">
        <v>1200004</v>
      </c>
      <c r="B753" s="28" t="s">
        <v>8619</v>
      </c>
    </row>
    <row r="754" spans="1:2" x14ac:dyDescent="0.25">
      <c r="A754" s="27" t="s">
        <v>13501</v>
      </c>
      <c r="B754" s="25"/>
    </row>
    <row r="755" spans="1:2" x14ac:dyDescent="0.25">
      <c r="A755" s="27">
        <v>1200005</v>
      </c>
      <c r="B755" s="28" t="s">
        <v>8620</v>
      </c>
    </row>
    <row r="756" spans="1:2" x14ac:dyDescent="0.25">
      <c r="A756" s="27" t="s">
        <v>13502</v>
      </c>
      <c r="B756" s="28"/>
    </row>
    <row r="757" spans="1:2" x14ac:dyDescent="0.25">
      <c r="A757" s="27">
        <v>1200011</v>
      </c>
      <c r="B757" s="28" t="s">
        <v>8577</v>
      </c>
    </row>
    <row r="758" spans="1:2" x14ac:dyDescent="0.25">
      <c r="A758" s="27" t="s">
        <v>13503</v>
      </c>
      <c r="B758" s="28"/>
    </row>
    <row r="759" spans="1:2" x14ac:dyDescent="0.25">
      <c r="A759" s="27">
        <v>1200012</v>
      </c>
      <c r="B759" s="28" t="s">
        <v>8578</v>
      </c>
    </row>
    <row r="760" spans="1:2" x14ac:dyDescent="0.25">
      <c r="A760" s="27" t="s">
        <v>13504</v>
      </c>
      <c r="B760" s="28"/>
    </row>
    <row r="761" spans="1:2" x14ac:dyDescent="0.25">
      <c r="A761" s="27">
        <v>1200013</v>
      </c>
      <c r="B761" s="28" t="s">
        <v>8579</v>
      </c>
    </row>
    <row r="762" spans="1:2" x14ac:dyDescent="0.25">
      <c r="A762" s="27" t="s">
        <v>13505</v>
      </c>
      <c r="B762" s="28"/>
    </row>
    <row r="763" spans="1:2" x14ac:dyDescent="0.25">
      <c r="A763" s="27">
        <v>1200014</v>
      </c>
      <c r="B763" s="28" t="s">
        <v>8580</v>
      </c>
    </row>
    <row r="764" spans="1:2" x14ac:dyDescent="0.25">
      <c r="A764" s="27" t="s">
        <v>13506</v>
      </c>
      <c r="B764" s="28"/>
    </row>
    <row r="765" spans="1:2" x14ac:dyDescent="0.25">
      <c r="A765" s="27">
        <v>1200015</v>
      </c>
      <c r="B765" s="28" t="s">
        <v>8581</v>
      </c>
    </row>
    <row r="766" spans="1:2" x14ac:dyDescent="0.25">
      <c r="A766" s="27" t="s">
        <v>13507</v>
      </c>
      <c r="B766" s="28"/>
    </row>
    <row r="767" spans="1:2" x14ac:dyDescent="0.25">
      <c r="A767" s="27">
        <v>1200016</v>
      </c>
      <c r="B767" s="28" t="s">
        <v>8582</v>
      </c>
    </row>
    <row r="768" spans="1:2" x14ac:dyDescent="0.25">
      <c r="A768" s="27" t="s">
        <v>13508</v>
      </c>
      <c r="B768" s="28"/>
    </row>
    <row r="769" spans="1:2" x14ac:dyDescent="0.25">
      <c r="A769" s="27">
        <v>1200900</v>
      </c>
      <c r="B769" s="28" t="s">
        <v>8621</v>
      </c>
    </row>
    <row r="770" spans="1:2" x14ac:dyDescent="0.25">
      <c r="A770" s="27" t="s">
        <v>13509</v>
      </c>
      <c r="B770" s="28"/>
    </row>
    <row r="771" spans="1:2" x14ac:dyDescent="0.25">
      <c r="A771" s="27">
        <v>1200901</v>
      </c>
      <c r="B771" s="28" t="s">
        <v>8622</v>
      </c>
    </row>
    <row r="772" spans="1:2" x14ac:dyDescent="0.25">
      <c r="A772" s="27" t="s">
        <v>13510</v>
      </c>
      <c r="B772" s="28"/>
    </row>
    <row r="773" spans="1:2" x14ac:dyDescent="0.25">
      <c r="A773" s="27">
        <v>1213131</v>
      </c>
      <c r="B773" s="28" t="s">
        <v>11090</v>
      </c>
    </row>
    <row r="774" spans="1:2" x14ac:dyDescent="0.25">
      <c r="A774" s="27">
        <v>123456789</v>
      </c>
      <c r="B774" s="27">
        <v>123456789</v>
      </c>
    </row>
    <row r="775" spans="1:2" x14ac:dyDescent="0.25">
      <c r="A775" s="27">
        <v>1407001</v>
      </c>
      <c r="B775" s="28" t="s">
        <v>10648</v>
      </c>
    </row>
    <row r="776" spans="1:2" x14ac:dyDescent="0.25">
      <c r="A776" s="27">
        <v>1407093</v>
      </c>
      <c r="B776" s="28" t="s">
        <v>10650</v>
      </c>
    </row>
    <row r="777" spans="1:2" x14ac:dyDescent="0.25">
      <c r="A777" s="27">
        <v>1407094</v>
      </c>
      <c r="B777" s="28" t="s">
        <v>10649</v>
      </c>
    </row>
    <row r="778" spans="1:2" x14ac:dyDescent="0.25">
      <c r="A778" s="27">
        <v>1524057</v>
      </c>
      <c r="B778" s="28" t="s">
        <v>11091</v>
      </c>
    </row>
    <row r="779" spans="1:2" x14ac:dyDescent="0.25">
      <c r="A779" s="27" t="s">
        <v>13511</v>
      </c>
      <c r="B779" s="28"/>
    </row>
    <row r="780" spans="1:2" x14ac:dyDescent="0.25">
      <c r="A780" s="27">
        <v>1524058</v>
      </c>
      <c r="B780" s="28" t="s">
        <v>11092</v>
      </c>
    </row>
    <row r="781" spans="1:2" x14ac:dyDescent="0.25">
      <c r="A781" s="27">
        <v>1900100</v>
      </c>
      <c r="B781" s="28" t="s">
        <v>11093</v>
      </c>
    </row>
    <row r="782" spans="1:2" x14ac:dyDescent="0.25">
      <c r="A782" s="27" t="s">
        <v>13512</v>
      </c>
      <c r="B782" s="28" t="s">
        <v>13513</v>
      </c>
    </row>
    <row r="783" spans="1:2" x14ac:dyDescent="0.25">
      <c r="A783" s="27" t="s">
        <v>13514</v>
      </c>
      <c r="B783" s="28"/>
    </row>
    <row r="784" spans="1:2" x14ac:dyDescent="0.25">
      <c r="A784" s="27">
        <v>2</v>
      </c>
      <c r="B784" s="28" t="s">
        <v>13515</v>
      </c>
    </row>
    <row r="785" spans="1:2" x14ac:dyDescent="0.25">
      <c r="A785" s="27">
        <v>2000036</v>
      </c>
      <c r="B785" s="28" t="s">
        <v>11094</v>
      </c>
    </row>
    <row r="786" spans="1:2" x14ac:dyDescent="0.25">
      <c r="A786" s="27">
        <v>2000258</v>
      </c>
      <c r="B786" s="28" t="s">
        <v>11095</v>
      </c>
    </row>
    <row r="787" spans="1:2" x14ac:dyDescent="0.25">
      <c r="A787" s="27">
        <v>2000386</v>
      </c>
      <c r="B787" s="28" t="s">
        <v>11096</v>
      </c>
    </row>
    <row r="788" spans="1:2" x14ac:dyDescent="0.25">
      <c r="A788" s="27">
        <v>2014109</v>
      </c>
      <c r="B788" s="28" t="s">
        <v>11097</v>
      </c>
    </row>
    <row r="789" spans="1:2" x14ac:dyDescent="0.25">
      <c r="A789" s="27">
        <v>2101000</v>
      </c>
      <c r="B789" s="28" t="s">
        <v>9262</v>
      </c>
    </row>
    <row r="790" spans="1:2" x14ac:dyDescent="0.25">
      <c r="A790" s="27" t="s">
        <v>13516</v>
      </c>
      <c r="B790" s="28"/>
    </row>
    <row r="791" spans="1:2" x14ac:dyDescent="0.25">
      <c r="A791" s="27">
        <v>2101001</v>
      </c>
      <c r="B791" s="28" t="s">
        <v>11098</v>
      </c>
    </row>
    <row r="792" spans="1:2" x14ac:dyDescent="0.25">
      <c r="A792" s="27">
        <v>2101002</v>
      </c>
      <c r="B792" s="28" t="s">
        <v>11099</v>
      </c>
    </row>
    <row r="793" spans="1:2" x14ac:dyDescent="0.25">
      <c r="A793" s="27">
        <v>2101003</v>
      </c>
      <c r="B793" s="28" t="s">
        <v>11100</v>
      </c>
    </row>
    <row r="794" spans="1:2" x14ac:dyDescent="0.25">
      <c r="A794" s="27">
        <v>2101004</v>
      </c>
      <c r="B794" s="28" t="s">
        <v>11101</v>
      </c>
    </row>
    <row r="795" spans="1:2" x14ac:dyDescent="0.25">
      <c r="A795" s="27">
        <v>2101005</v>
      </c>
      <c r="B795" s="28" t="s">
        <v>11102</v>
      </c>
    </row>
    <row r="796" spans="1:2" x14ac:dyDescent="0.25">
      <c r="A796" s="27">
        <v>2101006</v>
      </c>
      <c r="B796" s="28" t="s">
        <v>11103</v>
      </c>
    </row>
    <row r="797" spans="1:2" x14ac:dyDescent="0.25">
      <c r="A797" s="27">
        <v>2101007</v>
      </c>
      <c r="B797" s="28" t="s">
        <v>11104</v>
      </c>
    </row>
    <row r="798" spans="1:2" x14ac:dyDescent="0.25">
      <c r="A798" s="27">
        <v>2101008</v>
      </c>
      <c r="B798" s="28" t="s">
        <v>11105</v>
      </c>
    </row>
    <row r="799" spans="1:2" x14ac:dyDescent="0.25">
      <c r="A799" s="27">
        <v>2101009</v>
      </c>
      <c r="B799" s="28" t="s">
        <v>13517</v>
      </c>
    </row>
    <row r="800" spans="1:2" x14ac:dyDescent="0.25">
      <c r="A800" s="27">
        <v>2101010</v>
      </c>
      <c r="B800" s="28" t="s">
        <v>11106</v>
      </c>
    </row>
    <row r="801" spans="1:2" x14ac:dyDescent="0.25">
      <c r="A801" s="27">
        <v>2101011</v>
      </c>
      <c r="B801" s="28" t="s">
        <v>11107</v>
      </c>
    </row>
    <row r="802" spans="1:2" x14ac:dyDescent="0.25">
      <c r="A802" s="27">
        <v>2101012</v>
      </c>
      <c r="B802" s="28" t="s">
        <v>11108</v>
      </c>
    </row>
    <row r="803" spans="1:2" x14ac:dyDescent="0.25">
      <c r="A803" s="27">
        <v>2101013</v>
      </c>
      <c r="B803" s="28" t="s">
        <v>11109</v>
      </c>
    </row>
    <row r="804" spans="1:2" x14ac:dyDescent="0.25">
      <c r="A804" s="27">
        <v>2101014</v>
      </c>
      <c r="B804" s="28" t="s">
        <v>11110</v>
      </c>
    </row>
    <row r="805" spans="1:2" x14ac:dyDescent="0.25">
      <c r="A805" s="27">
        <v>2101015</v>
      </c>
      <c r="B805" s="28" t="s">
        <v>11111</v>
      </c>
    </row>
    <row r="806" spans="1:2" x14ac:dyDescent="0.25">
      <c r="A806" s="27">
        <v>2101016</v>
      </c>
      <c r="B806" s="28" t="s">
        <v>11112</v>
      </c>
    </row>
    <row r="807" spans="1:2" x14ac:dyDescent="0.25">
      <c r="A807" s="27">
        <v>2101026</v>
      </c>
      <c r="B807" s="28" t="s">
        <v>11113</v>
      </c>
    </row>
    <row r="808" spans="1:2" x14ac:dyDescent="0.25">
      <c r="A808" s="27">
        <v>2101027</v>
      </c>
      <c r="B808" s="28" t="s">
        <v>13518</v>
      </c>
    </row>
    <row r="809" spans="1:2" x14ac:dyDescent="0.25">
      <c r="A809" s="27">
        <v>2101060</v>
      </c>
      <c r="B809" s="28" t="s">
        <v>11114</v>
      </c>
    </row>
    <row r="810" spans="1:2" x14ac:dyDescent="0.25">
      <c r="A810" s="27">
        <v>2101098</v>
      </c>
      <c r="B810" s="28" t="s">
        <v>11115</v>
      </c>
    </row>
    <row r="811" spans="1:2" x14ac:dyDescent="0.25">
      <c r="A811" s="27">
        <v>2101100</v>
      </c>
      <c r="B811" s="28" t="s">
        <v>9236</v>
      </c>
    </row>
    <row r="812" spans="1:2" x14ac:dyDescent="0.25">
      <c r="A812" s="27">
        <v>2101101</v>
      </c>
      <c r="B812" s="28" t="s">
        <v>9277</v>
      </c>
    </row>
    <row r="813" spans="1:2" x14ac:dyDescent="0.25">
      <c r="A813" s="27">
        <v>2101102</v>
      </c>
      <c r="B813" s="28" t="s">
        <v>12315</v>
      </c>
    </row>
    <row r="814" spans="1:2" x14ac:dyDescent="0.25">
      <c r="A814" s="27">
        <v>2101103</v>
      </c>
      <c r="B814" s="28" t="s">
        <v>9237</v>
      </c>
    </row>
    <row r="815" spans="1:2" x14ac:dyDescent="0.25">
      <c r="A815" s="27">
        <v>2101105</v>
      </c>
      <c r="B815" s="28" t="s">
        <v>9264</v>
      </c>
    </row>
    <row r="816" spans="1:2" x14ac:dyDescent="0.25">
      <c r="A816" s="27">
        <v>2101106</v>
      </c>
      <c r="B816" s="28" t="s">
        <v>9263</v>
      </c>
    </row>
    <row r="817" spans="1:2" x14ac:dyDescent="0.25">
      <c r="A817" s="27">
        <v>2101108</v>
      </c>
      <c r="B817" s="28" t="s">
        <v>12413</v>
      </c>
    </row>
    <row r="818" spans="1:2" x14ac:dyDescent="0.25">
      <c r="A818" s="27">
        <v>2101109</v>
      </c>
      <c r="B818" s="28" t="s">
        <v>12414</v>
      </c>
    </row>
    <row r="819" spans="1:2" x14ac:dyDescent="0.25">
      <c r="A819" s="27">
        <v>2101110</v>
      </c>
      <c r="B819" s="28" t="s">
        <v>9238</v>
      </c>
    </row>
    <row r="820" spans="1:2" x14ac:dyDescent="0.25">
      <c r="A820" s="27">
        <v>2101111</v>
      </c>
      <c r="B820" s="28" t="s">
        <v>9261</v>
      </c>
    </row>
    <row r="821" spans="1:2" x14ac:dyDescent="0.25">
      <c r="A821" s="27">
        <v>2101113</v>
      </c>
      <c r="B821" s="28" t="s">
        <v>11116</v>
      </c>
    </row>
    <row r="822" spans="1:2" x14ac:dyDescent="0.25">
      <c r="A822" s="27">
        <v>2101114</v>
      </c>
      <c r="B822" s="28" t="s">
        <v>11117</v>
      </c>
    </row>
    <row r="823" spans="1:2" x14ac:dyDescent="0.25">
      <c r="A823" s="27">
        <v>2101115</v>
      </c>
      <c r="B823" s="28" t="s">
        <v>9257</v>
      </c>
    </row>
    <row r="824" spans="1:2" x14ac:dyDescent="0.25">
      <c r="A824" s="27">
        <v>2101116</v>
      </c>
      <c r="B824" s="28" t="s">
        <v>11118</v>
      </c>
    </row>
    <row r="825" spans="1:2" x14ac:dyDescent="0.25">
      <c r="A825" s="27">
        <v>2101117</v>
      </c>
      <c r="B825" s="28" t="s">
        <v>11119</v>
      </c>
    </row>
    <row r="826" spans="1:2" x14ac:dyDescent="0.25">
      <c r="A826" s="27">
        <v>2101120</v>
      </c>
      <c r="B826" s="28" t="s">
        <v>13519</v>
      </c>
    </row>
    <row r="827" spans="1:2" x14ac:dyDescent="0.25">
      <c r="A827" s="27">
        <v>2101121</v>
      </c>
      <c r="B827" s="28" t="s">
        <v>13520</v>
      </c>
    </row>
    <row r="828" spans="1:2" x14ac:dyDescent="0.25">
      <c r="A828" s="27">
        <v>2101158</v>
      </c>
      <c r="B828" s="28" t="s">
        <v>11120</v>
      </c>
    </row>
    <row r="829" spans="1:2" x14ac:dyDescent="0.25">
      <c r="A829" s="27">
        <v>2101200</v>
      </c>
      <c r="B829" s="28" t="s">
        <v>9253</v>
      </c>
    </row>
    <row r="830" spans="1:2" x14ac:dyDescent="0.25">
      <c r="A830" s="27">
        <v>2101201</v>
      </c>
      <c r="B830" s="28" t="s">
        <v>11121</v>
      </c>
    </row>
    <row r="831" spans="1:2" x14ac:dyDescent="0.25">
      <c r="A831" s="27">
        <v>2101202</v>
      </c>
      <c r="B831" s="28" t="s">
        <v>9255</v>
      </c>
    </row>
    <row r="832" spans="1:2" x14ac:dyDescent="0.25">
      <c r="A832" s="27">
        <v>2101203</v>
      </c>
      <c r="B832" s="28" t="s">
        <v>9254</v>
      </c>
    </row>
    <row r="833" spans="1:2" x14ac:dyDescent="0.25">
      <c r="A833" s="27">
        <v>2101210</v>
      </c>
      <c r="B833" s="28" t="s">
        <v>11122</v>
      </c>
    </row>
    <row r="834" spans="1:2" x14ac:dyDescent="0.25">
      <c r="A834" s="27">
        <v>2101211</v>
      </c>
      <c r="B834" s="28" t="s">
        <v>11123</v>
      </c>
    </row>
    <row r="835" spans="1:2" x14ac:dyDescent="0.25">
      <c r="A835" s="27">
        <v>2101220</v>
      </c>
      <c r="B835" s="28" t="s">
        <v>11124</v>
      </c>
    </row>
    <row r="836" spans="1:2" x14ac:dyDescent="0.25">
      <c r="A836" s="27">
        <v>2101251</v>
      </c>
      <c r="B836" s="28" t="s">
        <v>11125</v>
      </c>
    </row>
    <row r="837" spans="1:2" x14ac:dyDescent="0.25">
      <c r="A837" s="27">
        <v>2101300</v>
      </c>
      <c r="B837" s="28" t="s">
        <v>9239</v>
      </c>
    </row>
    <row r="838" spans="1:2" x14ac:dyDescent="0.25">
      <c r="A838" s="27">
        <v>2101301</v>
      </c>
      <c r="B838" s="28" t="s">
        <v>9267</v>
      </c>
    </row>
    <row r="839" spans="1:2" x14ac:dyDescent="0.25">
      <c r="A839" s="27">
        <v>2101302</v>
      </c>
      <c r="B839" s="28" t="s">
        <v>12415</v>
      </c>
    </row>
    <row r="840" spans="1:2" x14ac:dyDescent="0.25">
      <c r="A840" s="27">
        <v>2101303</v>
      </c>
      <c r="B840" s="28" t="s">
        <v>12416</v>
      </c>
    </row>
    <row r="841" spans="1:2" x14ac:dyDescent="0.25">
      <c r="A841" s="27">
        <v>2101321</v>
      </c>
      <c r="B841" s="28" t="s">
        <v>11126</v>
      </c>
    </row>
    <row r="842" spans="1:2" x14ac:dyDescent="0.25">
      <c r="A842" s="27">
        <v>2101322</v>
      </c>
      <c r="B842" s="28" t="s">
        <v>11127</v>
      </c>
    </row>
    <row r="843" spans="1:2" x14ac:dyDescent="0.25">
      <c r="A843" s="27">
        <v>2101333</v>
      </c>
      <c r="B843" s="28" t="s">
        <v>11128</v>
      </c>
    </row>
    <row r="844" spans="1:2" x14ac:dyDescent="0.25">
      <c r="A844" s="27">
        <v>2101350</v>
      </c>
      <c r="B844" s="28" t="s">
        <v>10798</v>
      </c>
    </row>
    <row r="845" spans="1:2" x14ac:dyDescent="0.25">
      <c r="A845" s="27">
        <v>2101351</v>
      </c>
      <c r="B845" s="28" t="s">
        <v>10797</v>
      </c>
    </row>
    <row r="846" spans="1:2" x14ac:dyDescent="0.25">
      <c r="A846" s="27">
        <v>2101369</v>
      </c>
      <c r="B846" s="28" t="s">
        <v>11129</v>
      </c>
    </row>
    <row r="847" spans="1:2" x14ac:dyDescent="0.25">
      <c r="A847" s="27">
        <v>2101395</v>
      </c>
      <c r="B847" s="28" t="s">
        <v>9231</v>
      </c>
    </row>
    <row r="848" spans="1:2" x14ac:dyDescent="0.25">
      <c r="A848" s="27">
        <v>2101396</v>
      </c>
      <c r="B848" s="28" t="s">
        <v>9230</v>
      </c>
    </row>
    <row r="849" spans="1:2" x14ac:dyDescent="0.25">
      <c r="A849" s="27">
        <v>2101397</v>
      </c>
      <c r="B849" s="28" t="s">
        <v>11130</v>
      </c>
    </row>
    <row r="850" spans="1:2" x14ac:dyDescent="0.25">
      <c r="A850" s="27">
        <v>2101400</v>
      </c>
      <c r="B850" s="28" t="s">
        <v>12316</v>
      </c>
    </row>
    <row r="851" spans="1:2" x14ac:dyDescent="0.25">
      <c r="A851" s="27">
        <v>2101401</v>
      </c>
      <c r="B851" s="28" t="s">
        <v>12317</v>
      </c>
    </row>
    <row r="852" spans="1:2" x14ac:dyDescent="0.25">
      <c r="A852" s="27">
        <v>2101493</v>
      </c>
      <c r="B852" s="28" t="s">
        <v>9265</v>
      </c>
    </row>
    <row r="853" spans="1:2" x14ac:dyDescent="0.25">
      <c r="A853" s="27">
        <v>2101494</v>
      </c>
      <c r="B853" s="28" t="s">
        <v>11131</v>
      </c>
    </row>
    <row r="854" spans="1:2" x14ac:dyDescent="0.25">
      <c r="A854" s="27">
        <v>2101495</v>
      </c>
      <c r="B854" s="28" t="s">
        <v>9233</v>
      </c>
    </row>
    <row r="855" spans="1:2" x14ac:dyDescent="0.25">
      <c r="A855" s="27">
        <v>2101496</v>
      </c>
      <c r="B855" s="28" t="s">
        <v>9266</v>
      </c>
    </row>
    <row r="856" spans="1:2" x14ac:dyDescent="0.25">
      <c r="A856" s="27">
        <v>2101497</v>
      </c>
      <c r="B856" s="28" t="s">
        <v>11132</v>
      </c>
    </row>
    <row r="857" spans="1:2" x14ac:dyDescent="0.25">
      <c r="A857" s="27">
        <v>2101498</v>
      </c>
      <c r="B857" s="28" t="s">
        <v>9229</v>
      </c>
    </row>
    <row r="858" spans="1:2" x14ac:dyDescent="0.25">
      <c r="A858" s="27">
        <v>2101499</v>
      </c>
      <c r="B858" s="28" t="s">
        <v>9232</v>
      </c>
    </row>
    <row r="859" spans="1:2" x14ac:dyDescent="0.25">
      <c r="A859" s="27">
        <v>2101500</v>
      </c>
      <c r="B859" s="28" t="s">
        <v>9260</v>
      </c>
    </row>
    <row r="860" spans="1:2" x14ac:dyDescent="0.25">
      <c r="A860" s="27">
        <v>2101501</v>
      </c>
      <c r="B860" s="28" t="s">
        <v>11133</v>
      </c>
    </row>
    <row r="861" spans="1:2" x14ac:dyDescent="0.25">
      <c r="A861" s="27">
        <v>2101502</v>
      </c>
      <c r="B861" s="28" t="s">
        <v>12417</v>
      </c>
    </row>
    <row r="862" spans="1:2" x14ac:dyDescent="0.25">
      <c r="A862" s="27">
        <v>2101503</v>
      </c>
      <c r="B862" s="28" t="s">
        <v>12418</v>
      </c>
    </row>
    <row r="863" spans="1:2" x14ac:dyDescent="0.25">
      <c r="A863" s="27">
        <v>2101510</v>
      </c>
      <c r="B863" s="28" t="s">
        <v>10795</v>
      </c>
    </row>
    <row r="864" spans="1:2" x14ac:dyDescent="0.25">
      <c r="A864" s="27">
        <v>2101520</v>
      </c>
      <c r="B864" s="28" t="s">
        <v>12419</v>
      </c>
    </row>
    <row r="865" spans="1:2" x14ac:dyDescent="0.25">
      <c r="A865" s="27">
        <v>2101521</v>
      </c>
      <c r="B865" s="28" t="s">
        <v>12420</v>
      </c>
    </row>
    <row r="866" spans="1:2" x14ac:dyDescent="0.25">
      <c r="A866" s="27">
        <v>2101530</v>
      </c>
      <c r="B866" s="28" t="s">
        <v>12318</v>
      </c>
    </row>
    <row r="867" spans="1:2" x14ac:dyDescent="0.25">
      <c r="A867" s="27">
        <v>2101531</v>
      </c>
      <c r="B867" s="28" t="s">
        <v>12319</v>
      </c>
    </row>
    <row r="868" spans="1:2" x14ac:dyDescent="0.25">
      <c r="A868" s="27">
        <v>2101532</v>
      </c>
      <c r="B868" s="28" t="s">
        <v>13521</v>
      </c>
    </row>
    <row r="869" spans="1:2" x14ac:dyDescent="0.25">
      <c r="A869" s="27">
        <v>2101533</v>
      </c>
      <c r="B869" s="28" t="s">
        <v>13522</v>
      </c>
    </row>
    <row r="870" spans="1:2" x14ac:dyDescent="0.25">
      <c r="A870" s="27">
        <v>2101550</v>
      </c>
      <c r="B870" s="28" t="s">
        <v>10792</v>
      </c>
    </row>
    <row r="871" spans="1:2" x14ac:dyDescent="0.25">
      <c r="A871" s="27">
        <v>2101551</v>
      </c>
      <c r="B871" s="28" t="s">
        <v>10791</v>
      </c>
    </row>
    <row r="872" spans="1:2" x14ac:dyDescent="0.25">
      <c r="A872" s="27">
        <v>2101552</v>
      </c>
      <c r="B872" s="28" t="s">
        <v>11134</v>
      </c>
    </row>
    <row r="873" spans="1:2" x14ac:dyDescent="0.25">
      <c r="A873" s="27">
        <v>2101553</v>
      </c>
      <c r="B873" s="25" t="s">
        <v>11135</v>
      </c>
    </row>
    <row r="874" spans="1:2" x14ac:dyDescent="0.25">
      <c r="A874" s="27">
        <v>2101555</v>
      </c>
      <c r="B874" s="28" t="s">
        <v>10802</v>
      </c>
    </row>
    <row r="875" spans="1:2" x14ac:dyDescent="0.25">
      <c r="A875" s="27">
        <v>2101556</v>
      </c>
      <c r="B875" s="28" t="s">
        <v>10801</v>
      </c>
    </row>
    <row r="876" spans="1:2" x14ac:dyDescent="0.25">
      <c r="A876" s="27">
        <v>2101557</v>
      </c>
      <c r="B876" s="28" t="s">
        <v>11136</v>
      </c>
    </row>
    <row r="877" spans="1:2" x14ac:dyDescent="0.25">
      <c r="A877" s="27">
        <v>2101558</v>
      </c>
      <c r="B877" s="28" t="s">
        <v>11137</v>
      </c>
    </row>
    <row r="878" spans="1:2" x14ac:dyDescent="0.25">
      <c r="A878" s="27">
        <v>2101559</v>
      </c>
      <c r="B878" s="28" t="s">
        <v>11138</v>
      </c>
    </row>
    <row r="879" spans="1:2" x14ac:dyDescent="0.25">
      <c r="A879" s="27">
        <v>2101560</v>
      </c>
      <c r="B879" s="28" t="s">
        <v>11139</v>
      </c>
    </row>
    <row r="880" spans="1:2" x14ac:dyDescent="0.25">
      <c r="A880" s="27">
        <v>2101561</v>
      </c>
      <c r="B880" s="28" t="s">
        <v>10799</v>
      </c>
    </row>
    <row r="881" spans="1:2" x14ac:dyDescent="0.25">
      <c r="A881" s="27">
        <v>2101562</v>
      </c>
      <c r="B881" s="28" t="s">
        <v>10800</v>
      </c>
    </row>
    <row r="882" spans="1:2" x14ac:dyDescent="0.25">
      <c r="A882" s="27">
        <v>2101563</v>
      </c>
      <c r="B882" s="28" t="s">
        <v>10796</v>
      </c>
    </row>
    <row r="883" spans="1:2" x14ac:dyDescent="0.25">
      <c r="A883" s="27">
        <v>2101564</v>
      </c>
      <c r="B883" s="28" t="s">
        <v>11140</v>
      </c>
    </row>
    <row r="884" spans="1:2" x14ac:dyDescent="0.25">
      <c r="A884" s="27">
        <v>2101565</v>
      </c>
      <c r="B884" s="28" t="s">
        <v>10805</v>
      </c>
    </row>
    <row r="885" spans="1:2" x14ac:dyDescent="0.25">
      <c r="A885" s="27">
        <v>2101566</v>
      </c>
      <c r="B885" s="28" t="s">
        <v>10806</v>
      </c>
    </row>
    <row r="886" spans="1:2" x14ac:dyDescent="0.25">
      <c r="A886" s="27">
        <v>2101567</v>
      </c>
      <c r="B886" s="28" t="s">
        <v>10803</v>
      </c>
    </row>
    <row r="887" spans="1:2" x14ac:dyDescent="0.25">
      <c r="A887" s="27">
        <v>2101568</v>
      </c>
      <c r="B887" s="28" t="s">
        <v>10804</v>
      </c>
    </row>
    <row r="888" spans="1:2" x14ac:dyDescent="0.25">
      <c r="A888" s="27">
        <v>2101569</v>
      </c>
      <c r="B888" s="28" t="s">
        <v>10807</v>
      </c>
    </row>
    <row r="889" spans="1:2" x14ac:dyDescent="0.25">
      <c r="A889" s="27">
        <v>2101570</v>
      </c>
      <c r="B889" s="28" t="s">
        <v>10808</v>
      </c>
    </row>
    <row r="890" spans="1:2" x14ac:dyDescent="0.25">
      <c r="A890" s="27">
        <v>2101580</v>
      </c>
      <c r="B890" s="28" t="s">
        <v>11141</v>
      </c>
    </row>
    <row r="891" spans="1:2" x14ac:dyDescent="0.25">
      <c r="A891" s="27">
        <v>2101590</v>
      </c>
      <c r="B891" s="28" t="s">
        <v>11142</v>
      </c>
    </row>
    <row r="892" spans="1:2" x14ac:dyDescent="0.25">
      <c r="A892" s="27">
        <v>2101600</v>
      </c>
      <c r="B892" s="28" t="s">
        <v>11143</v>
      </c>
    </row>
    <row r="893" spans="1:2" x14ac:dyDescent="0.25">
      <c r="A893" s="27">
        <v>2101601</v>
      </c>
      <c r="B893" s="28" t="s">
        <v>11144</v>
      </c>
    </row>
    <row r="894" spans="1:2" x14ac:dyDescent="0.25">
      <c r="A894" s="27">
        <v>2101602</v>
      </c>
      <c r="B894" s="28" t="s">
        <v>11145</v>
      </c>
    </row>
    <row r="895" spans="1:2" x14ac:dyDescent="0.25">
      <c r="A895" s="27">
        <v>2101603</v>
      </c>
      <c r="B895" s="28" t="s">
        <v>11146</v>
      </c>
    </row>
    <row r="896" spans="1:2" x14ac:dyDescent="0.25">
      <c r="A896" s="27">
        <v>2101604</v>
      </c>
      <c r="B896" s="28" t="s">
        <v>11147</v>
      </c>
    </row>
    <row r="897" spans="1:2" x14ac:dyDescent="0.25">
      <c r="A897" s="27">
        <v>2101605</v>
      </c>
      <c r="B897" s="28" t="s">
        <v>11148</v>
      </c>
    </row>
    <row r="898" spans="1:2" x14ac:dyDescent="0.25">
      <c r="A898" s="27">
        <v>2101650</v>
      </c>
      <c r="B898" s="28" t="s">
        <v>10793</v>
      </c>
    </row>
    <row r="899" spans="1:2" x14ac:dyDescent="0.25">
      <c r="A899" s="27">
        <v>2101651</v>
      </c>
      <c r="B899" s="28" t="s">
        <v>10794</v>
      </c>
    </row>
    <row r="900" spans="1:2" x14ac:dyDescent="0.25">
      <c r="A900" s="27">
        <v>2101657</v>
      </c>
      <c r="B900" s="28" t="s">
        <v>11149</v>
      </c>
    </row>
    <row r="901" spans="1:2" x14ac:dyDescent="0.25">
      <c r="A901" s="27">
        <v>2101658</v>
      </c>
      <c r="B901" s="28" t="s">
        <v>11150</v>
      </c>
    </row>
    <row r="902" spans="1:2" x14ac:dyDescent="0.25">
      <c r="A902" s="27">
        <v>2101666</v>
      </c>
      <c r="B902" s="28" t="s">
        <v>11151</v>
      </c>
    </row>
    <row r="903" spans="1:2" x14ac:dyDescent="0.25">
      <c r="A903" s="27">
        <v>2101741</v>
      </c>
      <c r="B903" s="28" t="s">
        <v>9274</v>
      </c>
    </row>
    <row r="904" spans="1:2" x14ac:dyDescent="0.25">
      <c r="A904" s="27">
        <v>2101742</v>
      </c>
      <c r="B904" s="28" t="s">
        <v>9275</v>
      </c>
    </row>
    <row r="905" spans="1:2" x14ac:dyDescent="0.25">
      <c r="A905" s="27">
        <v>2101743</v>
      </c>
      <c r="B905" s="28" t="s">
        <v>11152</v>
      </c>
    </row>
    <row r="906" spans="1:2" x14ac:dyDescent="0.25">
      <c r="A906" s="27">
        <v>2101744</v>
      </c>
      <c r="B906" s="28" t="s">
        <v>11153</v>
      </c>
    </row>
    <row r="907" spans="1:2" x14ac:dyDescent="0.25">
      <c r="A907" s="27">
        <v>2101750</v>
      </c>
      <c r="B907" s="28" t="s">
        <v>9241</v>
      </c>
    </row>
    <row r="908" spans="1:2" x14ac:dyDescent="0.25">
      <c r="A908" s="27">
        <v>2101751</v>
      </c>
      <c r="B908" s="28" t="s">
        <v>9269</v>
      </c>
    </row>
    <row r="909" spans="1:2" x14ac:dyDescent="0.25">
      <c r="A909" s="27">
        <v>2101752</v>
      </c>
      <c r="B909" s="28" t="s">
        <v>9268</v>
      </c>
    </row>
    <row r="910" spans="1:2" x14ac:dyDescent="0.25">
      <c r="A910" s="27">
        <v>2101760</v>
      </c>
      <c r="B910" s="28" t="s">
        <v>13523</v>
      </c>
    </row>
    <row r="911" spans="1:2" x14ac:dyDescent="0.25">
      <c r="A911" s="27">
        <v>2101761</v>
      </c>
      <c r="B911" s="28" t="s">
        <v>13524</v>
      </c>
    </row>
    <row r="912" spans="1:2" x14ac:dyDescent="0.25">
      <c r="A912" s="27">
        <v>2101770</v>
      </c>
      <c r="B912" s="28" t="s">
        <v>13525</v>
      </c>
    </row>
    <row r="913" spans="1:2" x14ac:dyDescent="0.25">
      <c r="A913" s="27">
        <v>2101771</v>
      </c>
      <c r="B913" s="28" t="s">
        <v>13526</v>
      </c>
    </row>
    <row r="914" spans="1:2" x14ac:dyDescent="0.25">
      <c r="A914" s="27">
        <v>2101799</v>
      </c>
      <c r="B914" s="28" t="s">
        <v>9240</v>
      </c>
    </row>
    <row r="915" spans="1:2" x14ac:dyDescent="0.25">
      <c r="A915" s="27">
        <v>2101802</v>
      </c>
      <c r="B915" s="28" t="s">
        <v>12320</v>
      </c>
    </row>
    <row r="916" spans="1:2" x14ac:dyDescent="0.25">
      <c r="A916" s="27">
        <v>2101803</v>
      </c>
      <c r="B916" s="28" t="s">
        <v>12321</v>
      </c>
    </row>
    <row r="917" spans="1:2" x14ac:dyDescent="0.25">
      <c r="A917" s="27">
        <v>2101877</v>
      </c>
      <c r="B917" s="28" t="s">
        <v>9235</v>
      </c>
    </row>
    <row r="918" spans="1:2" x14ac:dyDescent="0.25">
      <c r="A918" s="27">
        <v>2101878</v>
      </c>
      <c r="B918" s="28" t="s">
        <v>9234</v>
      </c>
    </row>
    <row r="919" spans="1:2" x14ac:dyDescent="0.25">
      <c r="A919" s="27">
        <v>2101879</v>
      </c>
      <c r="B919" s="28" t="s">
        <v>9252</v>
      </c>
    </row>
    <row r="920" spans="1:2" x14ac:dyDescent="0.25">
      <c r="A920" s="27">
        <v>2101880</v>
      </c>
      <c r="B920" s="28" t="s">
        <v>9251</v>
      </c>
    </row>
    <row r="921" spans="1:2" x14ac:dyDescent="0.25">
      <c r="A921" s="27">
        <v>2101888</v>
      </c>
      <c r="B921" s="28" t="s">
        <v>9246</v>
      </c>
    </row>
    <row r="922" spans="1:2" x14ac:dyDescent="0.25">
      <c r="A922" s="27">
        <v>2101889</v>
      </c>
      <c r="B922" s="28" t="s">
        <v>9248</v>
      </c>
    </row>
    <row r="923" spans="1:2" x14ac:dyDescent="0.25">
      <c r="A923" s="27" t="s">
        <v>13527</v>
      </c>
      <c r="B923" s="28"/>
    </row>
    <row r="924" spans="1:2" x14ac:dyDescent="0.25">
      <c r="A924" s="27">
        <v>2101895</v>
      </c>
      <c r="B924" s="28" t="s">
        <v>12421</v>
      </c>
    </row>
    <row r="925" spans="1:2" x14ac:dyDescent="0.25">
      <c r="A925" s="27">
        <v>2101896</v>
      </c>
      <c r="B925" s="28" t="s">
        <v>12422</v>
      </c>
    </row>
    <row r="926" spans="1:2" x14ac:dyDescent="0.25">
      <c r="A926" s="27">
        <v>2101897</v>
      </c>
      <c r="B926" s="28" t="s">
        <v>12423</v>
      </c>
    </row>
    <row r="927" spans="1:2" x14ac:dyDescent="0.25">
      <c r="A927" s="27">
        <v>2101898</v>
      </c>
      <c r="B927" s="28" t="s">
        <v>12424</v>
      </c>
    </row>
    <row r="928" spans="1:2" x14ac:dyDescent="0.25">
      <c r="A928" s="27">
        <v>2101900</v>
      </c>
      <c r="B928" s="28" t="s">
        <v>9243</v>
      </c>
    </row>
    <row r="929" spans="1:2" x14ac:dyDescent="0.25">
      <c r="A929" s="27">
        <v>2101901</v>
      </c>
      <c r="B929" s="28" t="s">
        <v>9271</v>
      </c>
    </row>
    <row r="930" spans="1:2" x14ac:dyDescent="0.25">
      <c r="A930" s="27">
        <v>2101902</v>
      </c>
      <c r="B930" s="28" t="s">
        <v>9270</v>
      </c>
    </row>
    <row r="931" spans="1:2" x14ac:dyDescent="0.25">
      <c r="A931" s="27">
        <v>2101903</v>
      </c>
      <c r="B931" s="28" t="s">
        <v>9244</v>
      </c>
    </row>
    <row r="932" spans="1:2" x14ac:dyDescent="0.25">
      <c r="A932" s="27">
        <v>2101904</v>
      </c>
      <c r="B932" s="28" t="s">
        <v>9245</v>
      </c>
    </row>
    <row r="933" spans="1:2" x14ac:dyDescent="0.25">
      <c r="A933" s="27">
        <v>2101950</v>
      </c>
      <c r="B933" s="28" t="s">
        <v>11154</v>
      </c>
    </row>
    <row r="934" spans="1:2" x14ac:dyDescent="0.25">
      <c r="A934" s="27">
        <v>2101951</v>
      </c>
      <c r="B934" s="28" t="s">
        <v>11155</v>
      </c>
    </row>
    <row r="935" spans="1:2" x14ac:dyDescent="0.25">
      <c r="A935" s="27">
        <v>2101987</v>
      </c>
      <c r="B935" s="28" t="s">
        <v>11156</v>
      </c>
    </row>
    <row r="936" spans="1:2" x14ac:dyDescent="0.25">
      <c r="A936" s="27">
        <v>2101988</v>
      </c>
      <c r="B936" s="28" t="s">
        <v>13528</v>
      </c>
    </row>
    <row r="937" spans="1:2" x14ac:dyDescent="0.25">
      <c r="A937" s="27">
        <v>2101999</v>
      </c>
      <c r="B937" s="28" t="s">
        <v>9242</v>
      </c>
    </row>
    <row r="938" spans="1:2" x14ac:dyDescent="0.25">
      <c r="A938" s="27">
        <v>2103005</v>
      </c>
      <c r="B938" s="28" t="s">
        <v>9249</v>
      </c>
    </row>
    <row r="939" spans="1:2" x14ac:dyDescent="0.25">
      <c r="A939" s="27">
        <v>2103010</v>
      </c>
      <c r="B939" s="28" t="s">
        <v>11157</v>
      </c>
    </row>
    <row r="940" spans="1:2" x14ac:dyDescent="0.25">
      <c r="A940" s="27">
        <v>2103011</v>
      </c>
      <c r="B940" s="28" t="s">
        <v>11158</v>
      </c>
    </row>
    <row r="941" spans="1:2" x14ac:dyDescent="0.25">
      <c r="A941" s="27">
        <v>2103019</v>
      </c>
      <c r="B941" s="28" t="s">
        <v>11159</v>
      </c>
    </row>
    <row r="942" spans="1:2" x14ac:dyDescent="0.25">
      <c r="A942" s="27">
        <v>2103050</v>
      </c>
      <c r="B942" s="28" t="s">
        <v>13529</v>
      </c>
    </row>
    <row r="943" spans="1:2" x14ac:dyDescent="0.25">
      <c r="A943" s="27">
        <v>2103051</v>
      </c>
      <c r="B943" s="28" t="s">
        <v>10780</v>
      </c>
    </row>
    <row r="944" spans="1:2" x14ac:dyDescent="0.25">
      <c r="A944" s="27">
        <v>2103052</v>
      </c>
      <c r="B944" s="28" t="s">
        <v>13530</v>
      </c>
    </row>
    <row r="945" spans="1:2" x14ac:dyDescent="0.25">
      <c r="A945" s="27">
        <v>2103067</v>
      </c>
      <c r="B945" s="28" t="s">
        <v>9258</v>
      </c>
    </row>
    <row r="946" spans="1:2" x14ac:dyDescent="0.25">
      <c r="A946" s="27">
        <v>2103068</v>
      </c>
      <c r="B946" s="28" t="s">
        <v>9247</v>
      </c>
    </row>
    <row r="947" spans="1:2" x14ac:dyDescent="0.25">
      <c r="A947" s="27">
        <v>2103069</v>
      </c>
      <c r="B947" s="28" t="s">
        <v>9259</v>
      </c>
    </row>
    <row r="948" spans="1:2" x14ac:dyDescent="0.25">
      <c r="A948" s="27">
        <v>2103070</v>
      </c>
      <c r="B948" s="28" t="s">
        <v>11160</v>
      </c>
    </row>
    <row r="949" spans="1:2" x14ac:dyDescent="0.25">
      <c r="A949" s="27">
        <v>2103071</v>
      </c>
      <c r="B949" s="28" t="s">
        <v>11161</v>
      </c>
    </row>
    <row r="950" spans="1:2" x14ac:dyDescent="0.25">
      <c r="A950" s="27">
        <v>2103072</v>
      </c>
      <c r="B950" s="28" t="s">
        <v>11162</v>
      </c>
    </row>
    <row r="951" spans="1:2" x14ac:dyDescent="0.25">
      <c r="A951" s="27">
        <v>2103073</v>
      </c>
      <c r="B951" s="28" t="s">
        <v>11163</v>
      </c>
    </row>
    <row r="952" spans="1:2" x14ac:dyDescent="0.25">
      <c r="A952" s="27">
        <v>2103090</v>
      </c>
      <c r="B952" s="28" t="s">
        <v>13531</v>
      </c>
    </row>
    <row r="953" spans="1:2" x14ac:dyDescent="0.25">
      <c r="A953" s="27">
        <v>2103091</v>
      </c>
      <c r="B953" s="28" t="s">
        <v>11164</v>
      </c>
    </row>
    <row r="954" spans="1:2" x14ac:dyDescent="0.25">
      <c r="A954" s="27">
        <v>2103092</v>
      </c>
      <c r="B954" s="28" t="s">
        <v>13532</v>
      </c>
    </row>
    <row r="955" spans="1:2" x14ac:dyDescent="0.25">
      <c r="A955" s="27">
        <v>2103135</v>
      </c>
      <c r="B955" s="28" t="s">
        <v>11165</v>
      </c>
    </row>
    <row r="956" spans="1:2" x14ac:dyDescent="0.25">
      <c r="A956" s="27">
        <v>2103199</v>
      </c>
      <c r="B956" s="28" t="s">
        <v>9256</v>
      </c>
    </row>
    <row r="957" spans="1:2" x14ac:dyDescent="0.25">
      <c r="A957" s="27">
        <v>2103200</v>
      </c>
      <c r="B957" s="28" t="s">
        <v>10820</v>
      </c>
    </row>
    <row r="958" spans="1:2" x14ac:dyDescent="0.25">
      <c r="A958" s="27">
        <v>2103209</v>
      </c>
      <c r="B958" s="28" t="s">
        <v>9276</v>
      </c>
    </row>
    <row r="959" spans="1:2" x14ac:dyDescent="0.25">
      <c r="A959" s="27">
        <v>2103217</v>
      </c>
      <c r="B959" s="28" t="s">
        <v>10821</v>
      </c>
    </row>
    <row r="960" spans="1:2" x14ac:dyDescent="0.25">
      <c r="A960" s="27">
        <v>2103218</v>
      </c>
      <c r="B960" s="28" t="s">
        <v>9273</v>
      </c>
    </row>
    <row r="961" spans="1:2" x14ac:dyDescent="0.25">
      <c r="A961" s="27">
        <v>2103219</v>
      </c>
      <c r="B961" s="28" t="s">
        <v>10819</v>
      </c>
    </row>
    <row r="962" spans="1:2" x14ac:dyDescent="0.25">
      <c r="A962" s="27">
        <v>2103220</v>
      </c>
      <c r="B962" s="28" t="s">
        <v>10822</v>
      </c>
    </row>
    <row r="963" spans="1:2" x14ac:dyDescent="0.25">
      <c r="A963" s="27">
        <v>2103221</v>
      </c>
      <c r="B963" s="28" t="s">
        <v>10823</v>
      </c>
    </row>
    <row r="964" spans="1:2" x14ac:dyDescent="0.25">
      <c r="A964" s="27">
        <v>2103222</v>
      </c>
      <c r="B964" s="28" t="s">
        <v>10824</v>
      </c>
    </row>
    <row r="965" spans="1:2" x14ac:dyDescent="0.25">
      <c r="A965" s="27">
        <v>2103223</v>
      </c>
      <c r="B965" s="28" t="s">
        <v>9272</v>
      </c>
    </row>
    <row r="966" spans="1:2" x14ac:dyDescent="0.25">
      <c r="A966" s="27">
        <v>2103495</v>
      </c>
      <c r="B966" s="28" t="s">
        <v>10818</v>
      </c>
    </row>
    <row r="967" spans="1:2" x14ac:dyDescent="0.25">
      <c r="A967" s="27">
        <v>2103500</v>
      </c>
      <c r="B967" s="28" t="s">
        <v>9250</v>
      </c>
    </row>
    <row r="968" spans="1:2" x14ac:dyDescent="0.25">
      <c r="A968" s="27">
        <v>2103530</v>
      </c>
      <c r="B968" s="28" t="s">
        <v>11166</v>
      </c>
    </row>
    <row r="969" spans="1:2" x14ac:dyDescent="0.25">
      <c r="A969" s="27">
        <v>2103785</v>
      </c>
      <c r="B969" s="28" t="s">
        <v>11167</v>
      </c>
    </row>
    <row r="970" spans="1:2" x14ac:dyDescent="0.25">
      <c r="A970" s="27">
        <v>2103888</v>
      </c>
      <c r="B970" s="28" t="s">
        <v>11168</v>
      </c>
    </row>
    <row r="971" spans="1:2" x14ac:dyDescent="0.25">
      <c r="A971" s="27">
        <v>210388808</v>
      </c>
      <c r="B971" s="28" t="s">
        <v>11169</v>
      </c>
    </row>
    <row r="972" spans="1:2" x14ac:dyDescent="0.25">
      <c r="A972" s="27">
        <v>2105007</v>
      </c>
      <c r="B972" s="28" t="s">
        <v>11170</v>
      </c>
    </row>
    <row r="973" spans="1:2" x14ac:dyDescent="0.25">
      <c r="A973" s="27">
        <v>2105008</v>
      </c>
      <c r="B973" s="28" t="s">
        <v>10830</v>
      </c>
    </row>
    <row r="974" spans="1:2" x14ac:dyDescent="0.25">
      <c r="A974" s="27">
        <v>2105009</v>
      </c>
      <c r="B974" s="28" t="s">
        <v>10829</v>
      </c>
    </row>
    <row r="975" spans="1:2" x14ac:dyDescent="0.25">
      <c r="A975" s="27">
        <v>2105352</v>
      </c>
      <c r="B975" s="28" t="s">
        <v>10828</v>
      </c>
    </row>
    <row r="976" spans="1:2" x14ac:dyDescent="0.25">
      <c r="A976" s="27">
        <v>2105353</v>
      </c>
      <c r="B976" s="28" t="s">
        <v>10827</v>
      </c>
    </row>
    <row r="977" spans="1:2" x14ac:dyDescent="0.25">
      <c r="A977" s="27">
        <v>2105552</v>
      </c>
      <c r="B977" s="28" t="s">
        <v>10826</v>
      </c>
    </row>
    <row r="978" spans="1:2" x14ac:dyDescent="0.25">
      <c r="A978" s="27">
        <v>2105553</v>
      </c>
      <c r="B978" s="28" t="s">
        <v>10825</v>
      </c>
    </row>
    <row r="979" spans="1:2" x14ac:dyDescent="0.25">
      <c r="A979" s="27">
        <v>2105999</v>
      </c>
      <c r="B979" s="28" t="s">
        <v>10815</v>
      </c>
    </row>
    <row r="980" spans="1:2" x14ac:dyDescent="0.25">
      <c r="A980" s="27">
        <v>2203072</v>
      </c>
      <c r="B980" s="28" t="s">
        <v>11171</v>
      </c>
    </row>
    <row r="981" spans="1:2" x14ac:dyDescent="0.25">
      <c r="A981" s="27">
        <v>2220000</v>
      </c>
      <c r="B981" s="28" t="s">
        <v>11172</v>
      </c>
    </row>
    <row r="982" spans="1:2" x14ac:dyDescent="0.25">
      <c r="A982" s="27">
        <v>2220004</v>
      </c>
      <c r="B982" s="28" t="s">
        <v>10779</v>
      </c>
    </row>
    <row r="983" spans="1:2" x14ac:dyDescent="0.25">
      <c r="A983" s="27">
        <v>2220024</v>
      </c>
      <c r="B983" s="28" t="s">
        <v>11173</v>
      </c>
    </row>
    <row r="984" spans="1:2" x14ac:dyDescent="0.25">
      <c r="A984" s="27">
        <v>2220027</v>
      </c>
      <c r="B984" s="28" t="s">
        <v>10817</v>
      </c>
    </row>
    <row r="985" spans="1:2" x14ac:dyDescent="0.25">
      <c r="A985" s="27">
        <v>2220028</v>
      </c>
      <c r="B985" s="28" t="s">
        <v>10816</v>
      </c>
    </row>
    <row r="986" spans="1:2" x14ac:dyDescent="0.25">
      <c r="A986" s="27">
        <v>2220030</v>
      </c>
      <c r="B986" s="28" t="s">
        <v>10644</v>
      </c>
    </row>
    <row r="987" spans="1:2" x14ac:dyDescent="0.25">
      <c r="A987" s="27">
        <v>2220032</v>
      </c>
      <c r="B987" s="28" t="s">
        <v>10646</v>
      </c>
    </row>
    <row r="988" spans="1:2" x14ac:dyDescent="0.25">
      <c r="A988" s="27">
        <v>2220034</v>
      </c>
      <c r="B988" s="28" t="s">
        <v>10645</v>
      </c>
    </row>
    <row r="989" spans="1:2" x14ac:dyDescent="0.25">
      <c r="A989" s="27">
        <v>2220037</v>
      </c>
      <c r="B989" s="28" t="s">
        <v>10647</v>
      </c>
    </row>
    <row r="990" spans="1:2" x14ac:dyDescent="0.25">
      <c r="A990" s="27">
        <v>2220053</v>
      </c>
      <c r="B990" s="28" t="s">
        <v>10811</v>
      </c>
    </row>
    <row r="991" spans="1:2" x14ac:dyDescent="0.25">
      <c r="A991" s="27">
        <v>2220074</v>
      </c>
      <c r="B991" s="28" t="s">
        <v>10810</v>
      </c>
    </row>
    <row r="992" spans="1:2" x14ac:dyDescent="0.25">
      <c r="A992" s="27">
        <v>2220076</v>
      </c>
      <c r="B992" s="28" t="s">
        <v>10813</v>
      </c>
    </row>
    <row r="993" spans="1:2" x14ac:dyDescent="0.25">
      <c r="A993" s="27">
        <v>2220078</v>
      </c>
      <c r="B993" s="28" t="s">
        <v>10812</v>
      </c>
    </row>
    <row r="994" spans="1:2" x14ac:dyDescent="0.25">
      <c r="A994" s="27">
        <v>2220080</v>
      </c>
      <c r="B994" s="28" t="s">
        <v>11174</v>
      </c>
    </row>
    <row r="995" spans="1:2" x14ac:dyDescent="0.25">
      <c r="A995" s="27">
        <v>2220081</v>
      </c>
      <c r="B995" s="28" t="s">
        <v>11175</v>
      </c>
    </row>
    <row r="996" spans="1:2" x14ac:dyDescent="0.25">
      <c r="A996" s="27">
        <v>2220099</v>
      </c>
      <c r="B996" s="28" t="s">
        <v>11176</v>
      </c>
    </row>
    <row r="997" spans="1:2" x14ac:dyDescent="0.25">
      <c r="A997" s="27">
        <v>2220100</v>
      </c>
      <c r="B997" s="28" t="s">
        <v>10814</v>
      </c>
    </row>
    <row r="998" spans="1:2" x14ac:dyDescent="0.25">
      <c r="A998" s="27">
        <v>2220111</v>
      </c>
      <c r="B998" s="28" t="s">
        <v>12425</v>
      </c>
    </row>
    <row r="999" spans="1:2" x14ac:dyDescent="0.25">
      <c r="A999" s="27">
        <v>2220128</v>
      </c>
      <c r="B999" s="28" t="s">
        <v>10781</v>
      </c>
    </row>
    <row r="1000" spans="1:2" x14ac:dyDescent="0.25">
      <c r="A1000" s="27">
        <v>2220130</v>
      </c>
      <c r="B1000" s="28" t="s">
        <v>11177</v>
      </c>
    </row>
    <row r="1001" spans="1:2" x14ac:dyDescent="0.25">
      <c r="A1001" s="27">
        <v>2220136</v>
      </c>
      <c r="B1001" s="25" t="s">
        <v>11178</v>
      </c>
    </row>
    <row r="1002" spans="1:2" x14ac:dyDescent="0.25">
      <c r="A1002" s="27">
        <v>2220250</v>
      </c>
      <c r="B1002" s="28" t="s">
        <v>11179</v>
      </c>
    </row>
    <row r="1003" spans="1:2" x14ac:dyDescent="0.25">
      <c r="A1003" s="27">
        <v>2220252</v>
      </c>
      <c r="B1003" s="28" t="s">
        <v>11180</v>
      </c>
    </row>
    <row r="1004" spans="1:2" x14ac:dyDescent="0.25">
      <c r="A1004" s="27">
        <v>2220253</v>
      </c>
      <c r="B1004" s="28" t="s">
        <v>10776</v>
      </c>
    </row>
    <row r="1005" spans="1:2" x14ac:dyDescent="0.25">
      <c r="A1005" s="27">
        <v>2220254</v>
      </c>
      <c r="B1005" s="28" t="s">
        <v>10786</v>
      </c>
    </row>
    <row r="1006" spans="1:2" x14ac:dyDescent="0.25">
      <c r="A1006" s="27">
        <v>2220255</v>
      </c>
      <c r="B1006" s="28" t="s">
        <v>11181</v>
      </c>
    </row>
    <row r="1007" spans="1:2" x14ac:dyDescent="0.25">
      <c r="A1007" s="27">
        <v>2220256</v>
      </c>
      <c r="B1007" s="28" t="s">
        <v>11182</v>
      </c>
    </row>
    <row r="1008" spans="1:2" x14ac:dyDescent="0.25">
      <c r="A1008" s="27">
        <v>2220257</v>
      </c>
      <c r="B1008" s="28" t="s">
        <v>11183</v>
      </c>
    </row>
    <row r="1009" spans="1:2" x14ac:dyDescent="0.25">
      <c r="A1009" s="27">
        <v>2220258</v>
      </c>
      <c r="B1009" s="28" t="s">
        <v>11184</v>
      </c>
    </row>
    <row r="1010" spans="1:2" x14ac:dyDescent="0.25">
      <c r="A1010" s="27">
        <v>2220292</v>
      </c>
      <c r="B1010" s="28" t="s">
        <v>10775</v>
      </c>
    </row>
    <row r="1011" spans="1:2" x14ac:dyDescent="0.25">
      <c r="A1011" s="27">
        <v>2220333</v>
      </c>
      <c r="B1011" s="28" t="s">
        <v>10777</v>
      </c>
    </row>
    <row r="1012" spans="1:2" x14ac:dyDescent="0.25">
      <c r="A1012" s="27">
        <v>2220335</v>
      </c>
      <c r="B1012" s="28" t="s">
        <v>12322</v>
      </c>
    </row>
    <row r="1013" spans="1:2" x14ac:dyDescent="0.25">
      <c r="A1013" s="27">
        <v>2220336</v>
      </c>
      <c r="B1013" s="28" t="s">
        <v>11185</v>
      </c>
    </row>
    <row r="1014" spans="1:2" x14ac:dyDescent="0.25">
      <c r="A1014" s="27">
        <v>2220345</v>
      </c>
      <c r="B1014" s="28" t="s">
        <v>11186</v>
      </c>
    </row>
    <row r="1015" spans="1:2" x14ac:dyDescent="0.25">
      <c r="A1015" s="27">
        <v>2220389</v>
      </c>
      <c r="B1015" s="28" t="s">
        <v>11187</v>
      </c>
    </row>
    <row r="1016" spans="1:2" x14ac:dyDescent="0.25">
      <c r="A1016" s="27">
        <v>2220421</v>
      </c>
      <c r="B1016" s="28" t="s">
        <v>11188</v>
      </c>
    </row>
    <row r="1017" spans="1:2" x14ac:dyDescent="0.25">
      <c r="A1017" s="27">
        <v>2220422</v>
      </c>
      <c r="B1017" s="28" t="s">
        <v>10787</v>
      </c>
    </row>
    <row r="1018" spans="1:2" x14ac:dyDescent="0.25">
      <c r="A1018" s="27">
        <v>2220444</v>
      </c>
      <c r="B1018" s="28" t="s">
        <v>10789</v>
      </c>
    </row>
    <row r="1019" spans="1:2" x14ac:dyDescent="0.25">
      <c r="A1019" s="27">
        <v>2220450</v>
      </c>
      <c r="B1019" s="28" t="s">
        <v>11189</v>
      </c>
    </row>
    <row r="1020" spans="1:2" x14ac:dyDescent="0.25">
      <c r="A1020" s="27">
        <v>2220451</v>
      </c>
      <c r="B1020" s="28" t="s">
        <v>11190</v>
      </c>
    </row>
    <row r="1021" spans="1:2" x14ac:dyDescent="0.25">
      <c r="A1021" s="27">
        <v>2220456</v>
      </c>
      <c r="B1021" s="28" t="s">
        <v>10788</v>
      </c>
    </row>
    <row r="1022" spans="1:2" x14ac:dyDescent="0.25">
      <c r="A1022" s="27">
        <v>2220520</v>
      </c>
      <c r="B1022" s="28" t="s">
        <v>10783</v>
      </c>
    </row>
    <row r="1023" spans="1:2" x14ac:dyDescent="0.25">
      <c r="A1023" s="27">
        <v>2220555</v>
      </c>
      <c r="B1023" s="28" t="s">
        <v>11191</v>
      </c>
    </row>
    <row r="1024" spans="1:2" x14ac:dyDescent="0.25">
      <c r="A1024" s="27">
        <v>2220591</v>
      </c>
      <c r="B1024" s="28" t="s">
        <v>11192</v>
      </c>
    </row>
    <row r="1025" spans="1:2" x14ac:dyDescent="0.25">
      <c r="A1025" s="27">
        <v>2220601</v>
      </c>
      <c r="B1025" s="28" t="s">
        <v>10782</v>
      </c>
    </row>
    <row r="1026" spans="1:2" x14ac:dyDescent="0.25">
      <c r="A1026" s="27">
        <v>2220666</v>
      </c>
      <c r="B1026" s="28" t="s">
        <v>11193</v>
      </c>
    </row>
    <row r="1027" spans="1:2" x14ac:dyDescent="0.25">
      <c r="A1027" s="27">
        <v>2220750</v>
      </c>
      <c r="B1027" s="28" t="s">
        <v>10784</v>
      </c>
    </row>
    <row r="1028" spans="1:2" x14ac:dyDescent="0.25">
      <c r="A1028" s="27">
        <v>2220751</v>
      </c>
      <c r="B1028" s="28" t="s">
        <v>10785</v>
      </c>
    </row>
    <row r="1029" spans="1:2" x14ac:dyDescent="0.25">
      <c r="A1029" s="27">
        <v>2220755</v>
      </c>
      <c r="B1029" s="28" t="s">
        <v>11194</v>
      </c>
    </row>
    <row r="1030" spans="1:2" x14ac:dyDescent="0.25">
      <c r="A1030" s="27">
        <v>2220756</v>
      </c>
      <c r="B1030" s="28" t="s">
        <v>11195</v>
      </c>
    </row>
    <row r="1031" spans="1:2" x14ac:dyDescent="0.25">
      <c r="A1031" s="27">
        <v>2220777</v>
      </c>
      <c r="B1031" s="28" t="s">
        <v>11196</v>
      </c>
    </row>
    <row r="1032" spans="1:2" x14ac:dyDescent="0.25">
      <c r="A1032" s="27">
        <v>2220856</v>
      </c>
      <c r="B1032" s="28" t="s">
        <v>10778</v>
      </c>
    </row>
    <row r="1033" spans="1:2" x14ac:dyDescent="0.25">
      <c r="A1033" s="27">
        <v>2220888</v>
      </c>
      <c r="B1033" s="28" t="s">
        <v>11197</v>
      </c>
    </row>
    <row r="1034" spans="1:2" x14ac:dyDescent="0.25">
      <c r="A1034" s="27">
        <v>2220909</v>
      </c>
      <c r="B1034" s="28" t="s">
        <v>11198</v>
      </c>
    </row>
    <row r="1035" spans="1:2" x14ac:dyDescent="0.25">
      <c r="A1035" s="27">
        <v>2220999</v>
      </c>
      <c r="B1035" s="28" t="s">
        <v>10790</v>
      </c>
    </row>
    <row r="1036" spans="1:2" x14ac:dyDescent="0.25">
      <c r="A1036" s="27">
        <v>2230600</v>
      </c>
      <c r="B1036" s="28" t="s">
        <v>10809</v>
      </c>
    </row>
    <row r="1037" spans="1:2" x14ac:dyDescent="0.25">
      <c r="A1037" s="27">
        <v>2301001</v>
      </c>
      <c r="B1037" s="28" t="s">
        <v>10882</v>
      </c>
    </row>
    <row r="1038" spans="1:2" x14ac:dyDescent="0.25">
      <c r="A1038" s="27">
        <v>2301002</v>
      </c>
      <c r="B1038" s="28" t="s">
        <v>10883</v>
      </c>
    </row>
    <row r="1039" spans="1:2" x14ac:dyDescent="0.25">
      <c r="A1039" s="27">
        <v>2301003</v>
      </c>
      <c r="B1039" s="28" t="s">
        <v>12323</v>
      </c>
    </row>
    <row r="1040" spans="1:2" x14ac:dyDescent="0.25">
      <c r="A1040" s="27">
        <v>2301046</v>
      </c>
      <c r="B1040" s="28" t="s">
        <v>10896</v>
      </c>
    </row>
    <row r="1041" spans="1:2" x14ac:dyDescent="0.25">
      <c r="A1041" s="27">
        <v>2301047</v>
      </c>
      <c r="B1041" s="28" t="s">
        <v>10894</v>
      </c>
    </row>
    <row r="1042" spans="1:2" x14ac:dyDescent="0.25">
      <c r="A1042" s="27">
        <v>2301048</v>
      </c>
      <c r="B1042" s="28" t="s">
        <v>10887</v>
      </c>
    </row>
    <row r="1043" spans="1:2" x14ac:dyDescent="0.25">
      <c r="A1043" s="27">
        <v>2301143</v>
      </c>
      <c r="B1043" s="28" t="s">
        <v>10759</v>
      </c>
    </row>
    <row r="1044" spans="1:2" x14ac:dyDescent="0.25">
      <c r="A1044" s="27">
        <v>2301158</v>
      </c>
      <c r="B1044" s="28" t="s">
        <v>10886</v>
      </c>
    </row>
    <row r="1045" spans="1:2" x14ac:dyDescent="0.25">
      <c r="A1045" s="27">
        <v>2301160</v>
      </c>
      <c r="B1045" s="28" t="s">
        <v>10895</v>
      </c>
    </row>
    <row r="1046" spans="1:2" x14ac:dyDescent="0.25">
      <c r="A1046" s="27">
        <v>2301175</v>
      </c>
      <c r="B1046" s="28" t="s">
        <v>11199</v>
      </c>
    </row>
    <row r="1047" spans="1:2" x14ac:dyDescent="0.25">
      <c r="A1047" s="27">
        <v>2301300</v>
      </c>
      <c r="B1047" s="28" t="s">
        <v>10889</v>
      </c>
    </row>
    <row r="1048" spans="1:2" x14ac:dyDescent="0.25">
      <c r="A1048" s="27">
        <v>2301333</v>
      </c>
      <c r="B1048" s="28" t="s">
        <v>10892</v>
      </c>
    </row>
    <row r="1049" spans="1:2" x14ac:dyDescent="0.25">
      <c r="A1049" s="27">
        <v>2301520</v>
      </c>
      <c r="B1049" s="28" t="s">
        <v>10897</v>
      </c>
    </row>
    <row r="1050" spans="1:2" x14ac:dyDescent="0.25">
      <c r="A1050" s="27">
        <v>2301601</v>
      </c>
      <c r="B1050" s="28" t="s">
        <v>11200</v>
      </c>
    </row>
    <row r="1051" spans="1:2" x14ac:dyDescent="0.25">
      <c r="A1051" s="27">
        <v>2301666</v>
      </c>
      <c r="B1051" s="28" t="s">
        <v>10893</v>
      </c>
    </row>
    <row r="1052" spans="1:2" x14ac:dyDescent="0.25">
      <c r="A1052" s="27">
        <v>2301777</v>
      </c>
      <c r="B1052" s="28" t="s">
        <v>10890</v>
      </c>
    </row>
    <row r="1053" spans="1:2" x14ac:dyDescent="0.25">
      <c r="A1053" s="27">
        <v>2301852</v>
      </c>
      <c r="B1053" s="28" t="s">
        <v>10888</v>
      </c>
    </row>
    <row r="1054" spans="1:2" x14ac:dyDescent="0.25">
      <c r="A1054" s="27">
        <v>2301887</v>
      </c>
      <c r="B1054" s="28" t="s">
        <v>10885</v>
      </c>
    </row>
    <row r="1055" spans="1:2" x14ac:dyDescent="0.25">
      <c r="A1055" s="27">
        <v>2301888</v>
      </c>
      <c r="B1055" s="28" t="s">
        <v>10884</v>
      </c>
    </row>
    <row r="1056" spans="1:2" x14ac:dyDescent="0.25">
      <c r="A1056" s="27">
        <v>2301900</v>
      </c>
      <c r="B1056" s="28" t="s">
        <v>10891</v>
      </c>
    </row>
    <row r="1057" spans="1:2" x14ac:dyDescent="0.25">
      <c r="A1057" s="27">
        <v>2401012</v>
      </c>
      <c r="B1057" s="28" t="s">
        <v>11201</v>
      </c>
    </row>
    <row r="1058" spans="1:2" x14ac:dyDescent="0.25">
      <c r="A1058" s="27">
        <v>2401021</v>
      </c>
      <c r="B1058" s="28" t="s">
        <v>11202</v>
      </c>
    </row>
    <row r="1059" spans="1:2" x14ac:dyDescent="0.25">
      <c r="A1059" s="27">
        <v>2401022</v>
      </c>
      <c r="B1059" s="28" t="s">
        <v>9207</v>
      </c>
    </row>
    <row r="1060" spans="1:2" x14ac:dyDescent="0.25">
      <c r="A1060" s="27">
        <v>2401023</v>
      </c>
      <c r="B1060" s="28" t="s">
        <v>11203</v>
      </c>
    </row>
    <row r="1061" spans="1:2" x14ac:dyDescent="0.25">
      <c r="A1061" s="27">
        <v>2401024</v>
      </c>
      <c r="B1061" s="28" t="s">
        <v>11204</v>
      </c>
    </row>
    <row r="1062" spans="1:2" x14ac:dyDescent="0.25">
      <c r="A1062" s="27">
        <v>2401025</v>
      </c>
      <c r="B1062" s="28" t="s">
        <v>13533</v>
      </c>
    </row>
    <row r="1063" spans="1:2" x14ac:dyDescent="0.25">
      <c r="A1063" s="27">
        <v>2401026</v>
      </c>
      <c r="B1063" s="28" t="s">
        <v>11113</v>
      </c>
    </row>
    <row r="1064" spans="1:2" x14ac:dyDescent="0.25">
      <c r="A1064" s="27">
        <v>2401100</v>
      </c>
      <c r="B1064" s="28" t="s">
        <v>9225</v>
      </c>
    </row>
    <row r="1065" spans="1:2" x14ac:dyDescent="0.25">
      <c r="A1065" s="27">
        <v>2401101</v>
      </c>
      <c r="B1065" s="28" t="s">
        <v>9196</v>
      </c>
    </row>
    <row r="1066" spans="1:2" x14ac:dyDescent="0.25">
      <c r="A1066" s="27">
        <v>2401103</v>
      </c>
      <c r="B1066" s="28" t="s">
        <v>9211</v>
      </c>
    </row>
    <row r="1067" spans="1:2" x14ac:dyDescent="0.25">
      <c r="A1067" s="27">
        <v>2401110</v>
      </c>
      <c r="B1067" s="28" t="s">
        <v>12324</v>
      </c>
    </row>
    <row r="1068" spans="1:2" x14ac:dyDescent="0.25">
      <c r="A1068" s="27">
        <v>2401111</v>
      </c>
      <c r="B1068" s="28" t="s">
        <v>12325</v>
      </c>
    </row>
    <row r="1069" spans="1:2" x14ac:dyDescent="0.25">
      <c r="A1069" s="27">
        <v>2401123</v>
      </c>
      <c r="B1069" s="28" t="s">
        <v>11205</v>
      </c>
    </row>
    <row r="1070" spans="1:2" x14ac:dyDescent="0.25">
      <c r="A1070" s="27">
        <v>2401200</v>
      </c>
      <c r="B1070" s="28" t="s">
        <v>11206</v>
      </c>
    </row>
    <row r="1071" spans="1:2" x14ac:dyDescent="0.25">
      <c r="A1071" s="27">
        <v>2401201</v>
      </c>
      <c r="B1071" s="28" t="s">
        <v>11207</v>
      </c>
    </row>
    <row r="1072" spans="1:2" x14ac:dyDescent="0.25">
      <c r="A1072" s="27">
        <v>2401242</v>
      </c>
      <c r="B1072" s="28" t="s">
        <v>9197</v>
      </c>
    </row>
    <row r="1073" spans="1:2" x14ac:dyDescent="0.25">
      <c r="A1073" s="27">
        <v>2401249</v>
      </c>
      <c r="B1073" s="28" t="s">
        <v>9204</v>
      </c>
    </row>
    <row r="1074" spans="1:2" x14ac:dyDescent="0.25">
      <c r="A1074" s="27">
        <v>2401250</v>
      </c>
      <c r="B1074" s="28" t="s">
        <v>9206</v>
      </c>
    </row>
    <row r="1075" spans="1:2" x14ac:dyDescent="0.25">
      <c r="A1075" s="27">
        <v>2401258</v>
      </c>
      <c r="B1075" s="28" t="s">
        <v>9224</v>
      </c>
    </row>
    <row r="1076" spans="1:2" x14ac:dyDescent="0.25">
      <c r="A1076" s="27">
        <v>2401260</v>
      </c>
      <c r="B1076" s="28" t="s">
        <v>11208</v>
      </c>
    </row>
    <row r="1077" spans="1:2" x14ac:dyDescent="0.25">
      <c r="A1077" s="27">
        <v>2401298</v>
      </c>
      <c r="B1077" s="28" t="s">
        <v>9220</v>
      </c>
    </row>
    <row r="1078" spans="1:2" x14ac:dyDescent="0.25">
      <c r="A1078" s="27">
        <v>2401350</v>
      </c>
      <c r="B1078" s="28" t="s">
        <v>9218</v>
      </c>
    </row>
    <row r="1079" spans="1:2" x14ac:dyDescent="0.25">
      <c r="A1079" s="27">
        <v>2401550</v>
      </c>
      <c r="B1079" s="28" t="s">
        <v>9198</v>
      </c>
    </row>
    <row r="1080" spans="1:2" x14ac:dyDescent="0.25">
      <c r="A1080" s="27">
        <v>2401555</v>
      </c>
      <c r="B1080" s="28" t="s">
        <v>9221</v>
      </c>
    </row>
    <row r="1081" spans="1:2" x14ac:dyDescent="0.25">
      <c r="A1081" s="27">
        <v>2401584</v>
      </c>
      <c r="B1081" s="28" t="s">
        <v>9202</v>
      </c>
    </row>
    <row r="1082" spans="1:2" x14ac:dyDescent="0.25">
      <c r="A1082" s="27">
        <v>2401800</v>
      </c>
      <c r="B1082" s="28" t="s">
        <v>9199</v>
      </c>
    </row>
    <row r="1083" spans="1:2" x14ac:dyDescent="0.25">
      <c r="A1083" s="27">
        <v>2401803</v>
      </c>
      <c r="B1083" s="28" t="s">
        <v>11209</v>
      </c>
    </row>
    <row r="1084" spans="1:2" x14ac:dyDescent="0.25">
      <c r="A1084" s="27" t="s">
        <v>13534</v>
      </c>
      <c r="B1084" s="28"/>
    </row>
    <row r="1085" spans="1:2" x14ac:dyDescent="0.25">
      <c r="A1085" s="27">
        <v>2401805</v>
      </c>
      <c r="B1085" s="28" t="s">
        <v>9200</v>
      </c>
    </row>
    <row r="1086" spans="1:2" x14ac:dyDescent="0.25">
      <c r="A1086" s="27">
        <v>2401806</v>
      </c>
      <c r="B1086" s="28" t="s">
        <v>9219</v>
      </c>
    </row>
    <row r="1087" spans="1:2" x14ac:dyDescent="0.25">
      <c r="A1087" s="27">
        <v>2601003</v>
      </c>
      <c r="B1087" s="28" t="s">
        <v>10880</v>
      </c>
    </row>
    <row r="1088" spans="1:2" x14ac:dyDescent="0.25">
      <c r="A1088" s="27">
        <v>2601004</v>
      </c>
      <c r="B1088" s="28" t="s">
        <v>10877</v>
      </c>
    </row>
    <row r="1089" spans="1:2" x14ac:dyDescent="0.25">
      <c r="A1089" s="27">
        <v>2601005</v>
      </c>
      <c r="B1089" s="25" t="s">
        <v>10879</v>
      </c>
    </row>
    <row r="1090" spans="1:2" x14ac:dyDescent="0.25">
      <c r="A1090" s="27">
        <v>2601006</v>
      </c>
      <c r="B1090" s="28" t="s">
        <v>11210</v>
      </c>
    </row>
    <row r="1091" spans="1:2" x14ac:dyDescent="0.25">
      <c r="A1091" s="27">
        <v>2601007</v>
      </c>
      <c r="B1091" s="28" t="s">
        <v>11211</v>
      </c>
    </row>
    <row r="1092" spans="1:2" x14ac:dyDescent="0.25">
      <c r="A1092" s="27">
        <v>2601495</v>
      </c>
      <c r="B1092" s="28" t="s">
        <v>8847</v>
      </c>
    </row>
    <row r="1093" spans="1:2" x14ac:dyDescent="0.25">
      <c r="A1093" s="27">
        <v>2601496</v>
      </c>
      <c r="B1093" s="28" t="s">
        <v>8846</v>
      </c>
    </row>
    <row r="1094" spans="1:2" x14ac:dyDescent="0.25">
      <c r="A1094" s="27">
        <v>2601594</v>
      </c>
      <c r="B1094" s="28" t="s">
        <v>8850</v>
      </c>
    </row>
    <row r="1095" spans="1:2" x14ac:dyDescent="0.25">
      <c r="A1095" s="27">
        <v>2601750</v>
      </c>
      <c r="B1095" s="28" t="s">
        <v>10878</v>
      </c>
    </row>
    <row r="1096" spans="1:2" x14ac:dyDescent="0.25">
      <c r="A1096" s="27">
        <v>2601850</v>
      </c>
      <c r="B1096" s="28" t="s">
        <v>11212</v>
      </c>
    </row>
    <row r="1097" spans="1:2" x14ac:dyDescent="0.25">
      <c r="A1097" s="27">
        <v>2601851</v>
      </c>
      <c r="B1097" s="28" t="s">
        <v>11213</v>
      </c>
    </row>
    <row r="1098" spans="1:2" x14ac:dyDescent="0.25">
      <c r="A1098" s="27">
        <v>2601888</v>
      </c>
      <c r="B1098" s="28" t="s">
        <v>10881</v>
      </c>
    </row>
    <row r="1099" spans="1:2" x14ac:dyDescent="0.25">
      <c r="A1099" s="27">
        <v>2601900</v>
      </c>
      <c r="B1099" s="28" t="s">
        <v>8849</v>
      </c>
    </row>
    <row r="1100" spans="1:2" x14ac:dyDescent="0.25">
      <c r="A1100" s="27">
        <v>2601901</v>
      </c>
      <c r="B1100" s="28" t="s">
        <v>8848</v>
      </c>
    </row>
    <row r="1101" spans="1:2" x14ac:dyDescent="0.25">
      <c r="A1101" s="27">
        <v>2727030</v>
      </c>
      <c r="B1101" s="28" t="s">
        <v>9417</v>
      </c>
    </row>
    <row r="1102" spans="1:2" x14ac:dyDescent="0.25">
      <c r="A1102" s="27">
        <v>2846646</v>
      </c>
      <c r="B1102" s="28" t="s">
        <v>11214</v>
      </c>
    </row>
    <row r="1103" spans="1:2" x14ac:dyDescent="0.25">
      <c r="A1103" s="27">
        <v>2849103</v>
      </c>
      <c r="B1103" s="28" t="s">
        <v>11215</v>
      </c>
    </row>
    <row r="1104" spans="1:2" x14ac:dyDescent="0.25">
      <c r="A1104" s="27">
        <v>2849225</v>
      </c>
      <c r="B1104" s="28" t="s">
        <v>11216</v>
      </c>
    </row>
    <row r="1105" spans="1:2" x14ac:dyDescent="0.25">
      <c r="A1105" s="27">
        <v>2849230</v>
      </c>
      <c r="B1105" s="28" t="s">
        <v>11217</v>
      </c>
    </row>
    <row r="1106" spans="1:2" x14ac:dyDescent="0.25">
      <c r="A1106" s="27">
        <v>2849231</v>
      </c>
      <c r="B1106" s="28" t="s">
        <v>11218</v>
      </c>
    </row>
    <row r="1107" spans="1:2" x14ac:dyDescent="0.25">
      <c r="A1107" s="27">
        <v>2849232</v>
      </c>
      <c r="B1107" s="28" t="s">
        <v>11219</v>
      </c>
    </row>
    <row r="1108" spans="1:2" x14ac:dyDescent="0.25">
      <c r="A1108" s="27">
        <v>2849233</v>
      </c>
      <c r="B1108" s="28" t="s">
        <v>11220</v>
      </c>
    </row>
    <row r="1109" spans="1:2" x14ac:dyDescent="0.25">
      <c r="A1109" s="27">
        <v>2849238</v>
      </c>
      <c r="B1109" s="28" t="s">
        <v>11221</v>
      </c>
    </row>
    <row r="1110" spans="1:2" x14ac:dyDescent="0.25">
      <c r="A1110" s="27">
        <v>2849250</v>
      </c>
      <c r="B1110" s="28" t="s">
        <v>11222</v>
      </c>
    </row>
    <row r="1111" spans="1:2" x14ac:dyDescent="0.25">
      <c r="A1111" s="27">
        <v>2849302</v>
      </c>
      <c r="B1111" s="28" t="s">
        <v>11223</v>
      </c>
    </row>
    <row r="1112" spans="1:2" x14ac:dyDescent="0.25">
      <c r="A1112" s="27">
        <v>2849304</v>
      </c>
      <c r="B1112" s="28" t="s">
        <v>11224</v>
      </c>
    </row>
    <row r="1113" spans="1:2" x14ac:dyDescent="0.25">
      <c r="A1113" s="27">
        <v>2849361</v>
      </c>
      <c r="B1113" s="28" t="s">
        <v>11225</v>
      </c>
    </row>
    <row r="1114" spans="1:2" x14ac:dyDescent="0.25">
      <c r="A1114" s="27">
        <v>2849425</v>
      </c>
      <c r="B1114" s="28" t="s">
        <v>11226</v>
      </c>
    </row>
    <row r="1115" spans="1:2" x14ac:dyDescent="0.25">
      <c r="A1115" s="27">
        <v>2849437</v>
      </c>
      <c r="B1115" s="28" t="s">
        <v>11227</v>
      </c>
    </row>
    <row r="1116" spans="1:2" x14ac:dyDescent="0.25">
      <c r="A1116" s="27">
        <v>2849438</v>
      </c>
      <c r="B1116" s="28" t="s">
        <v>11228</v>
      </c>
    </row>
    <row r="1117" spans="1:2" x14ac:dyDescent="0.25">
      <c r="A1117" s="27">
        <v>2849450</v>
      </c>
      <c r="B1117" s="28" t="s">
        <v>11229</v>
      </c>
    </row>
    <row r="1118" spans="1:2" x14ac:dyDescent="0.25">
      <c r="A1118" s="27">
        <v>2849505</v>
      </c>
      <c r="B1118" s="28" t="s">
        <v>11230</v>
      </c>
    </row>
    <row r="1119" spans="1:2" x14ac:dyDescent="0.25">
      <c r="A1119" s="27">
        <v>2849525</v>
      </c>
      <c r="B1119" s="28" t="s">
        <v>11231</v>
      </c>
    </row>
    <row r="1120" spans="1:2" x14ac:dyDescent="0.25">
      <c r="A1120" s="27">
        <v>2849538</v>
      </c>
      <c r="B1120" s="28" t="s">
        <v>11232</v>
      </c>
    </row>
    <row r="1121" spans="1:2" x14ac:dyDescent="0.25">
      <c r="A1121" s="27">
        <v>2849549</v>
      </c>
      <c r="B1121" s="28" t="s">
        <v>11233</v>
      </c>
    </row>
    <row r="1122" spans="1:2" x14ac:dyDescent="0.25">
      <c r="A1122" s="27">
        <v>2849612</v>
      </c>
      <c r="B1122" s="28" t="s">
        <v>11234</v>
      </c>
    </row>
    <row r="1123" spans="1:2" x14ac:dyDescent="0.25">
      <c r="A1123" s="27">
        <v>2849646</v>
      </c>
      <c r="B1123" s="28" t="s">
        <v>11235</v>
      </c>
    </row>
    <row r="1124" spans="1:2" x14ac:dyDescent="0.25">
      <c r="A1124" s="27">
        <v>2849647</v>
      </c>
      <c r="B1124" s="28" t="s">
        <v>11236</v>
      </c>
    </row>
    <row r="1125" spans="1:2" x14ac:dyDescent="0.25">
      <c r="A1125" s="27">
        <v>2849648</v>
      </c>
      <c r="B1125" s="28" t="s">
        <v>11237</v>
      </c>
    </row>
    <row r="1126" spans="1:2" x14ac:dyDescent="0.25">
      <c r="A1126" s="27">
        <v>2849736</v>
      </c>
      <c r="B1126" s="28" t="s">
        <v>11238</v>
      </c>
    </row>
    <row r="1127" spans="1:2" x14ac:dyDescent="0.25">
      <c r="A1127" s="27">
        <v>2849737</v>
      </c>
      <c r="B1127" s="28" t="s">
        <v>11239</v>
      </c>
    </row>
    <row r="1128" spans="1:2" x14ac:dyDescent="0.25">
      <c r="A1128" s="27">
        <v>2849738</v>
      </c>
      <c r="B1128" s="28" t="s">
        <v>11240</v>
      </c>
    </row>
    <row r="1129" spans="1:2" x14ac:dyDescent="0.25">
      <c r="A1129" s="27">
        <v>2849907</v>
      </c>
      <c r="B1129" s="28" t="s">
        <v>11241</v>
      </c>
    </row>
    <row r="1130" spans="1:2" x14ac:dyDescent="0.25">
      <c r="A1130" s="27" t="s">
        <v>13535</v>
      </c>
      <c r="B1130" s="28"/>
    </row>
    <row r="1131" spans="1:2" x14ac:dyDescent="0.25">
      <c r="A1131" s="27">
        <v>3</v>
      </c>
      <c r="B1131" s="28" t="s">
        <v>13536</v>
      </c>
    </row>
    <row r="1132" spans="1:2" x14ac:dyDescent="0.25">
      <c r="A1132" s="27" t="s">
        <v>13537</v>
      </c>
      <c r="B1132" s="28" t="s">
        <v>13538</v>
      </c>
    </row>
    <row r="1133" spans="1:2" x14ac:dyDescent="0.25">
      <c r="A1133" s="27">
        <v>3101024</v>
      </c>
      <c r="B1133" s="28" t="s">
        <v>9363</v>
      </c>
    </row>
    <row r="1134" spans="1:2" x14ac:dyDescent="0.25">
      <c r="A1134" s="27">
        <v>3101025</v>
      </c>
      <c r="B1134" s="28" t="s">
        <v>10413</v>
      </c>
    </row>
    <row r="1135" spans="1:2" x14ac:dyDescent="0.25">
      <c r="A1135" s="27">
        <v>3101027</v>
      </c>
      <c r="B1135" s="28" t="s">
        <v>11242</v>
      </c>
    </row>
    <row r="1136" spans="1:2" x14ac:dyDescent="0.25">
      <c r="A1136" s="27">
        <v>3101028</v>
      </c>
      <c r="B1136" s="28" t="s">
        <v>11243</v>
      </c>
    </row>
    <row r="1137" spans="1:2" x14ac:dyDescent="0.25">
      <c r="A1137" s="27">
        <v>3101100</v>
      </c>
      <c r="B1137" s="28" t="s">
        <v>9361</v>
      </c>
    </row>
    <row r="1138" spans="1:2" x14ac:dyDescent="0.25">
      <c r="A1138" s="27">
        <v>3101101</v>
      </c>
      <c r="B1138" s="28" t="s">
        <v>9360</v>
      </c>
    </row>
    <row r="1139" spans="1:2" x14ac:dyDescent="0.25">
      <c r="A1139" s="27">
        <v>3101102</v>
      </c>
      <c r="B1139" s="28" t="s">
        <v>9364</v>
      </c>
    </row>
    <row r="1140" spans="1:2" x14ac:dyDescent="0.25">
      <c r="A1140" s="27">
        <v>3101103</v>
      </c>
      <c r="B1140" s="28" t="s">
        <v>9362</v>
      </c>
    </row>
    <row r="1141" spans="1:2" x14ac:dyDescent="0.25">
      <c r="A1141" s="27">
        <v>3101370</v>
      </c>
      <c r="B1141" s="28" t="s">
        <v>9365</v>
      </c>
    </row>
    <row r="1142" spans="1:2" x14ac:dyDescent="0.25">
      <c r="A1142" s="27">
        <v>3101485</v>
      </c>
      <c r="B1142" s="28" t="s">
        <v>9359</v>
      </c>
    </row>
    <row r="1143" spans="1:2" x14ac:dyDescent="0.25">
      <c r="A1143" s="27">
        <v>3101486</v>
      </c>
      <c r="B1143" s="28" t="s">
        <v>10421</v>
      </c>
    </row>
    <row r="1144" spans="1:2" x14ac:dyDescent="0.25">
      <c r="A1144" s="27">
        <v>3101487</v>
      </c>
      <c r="B1144" s="28" t="s">
        <v>9159</v>
      </c>
    </row>
    <row r="1145" spans="1:2" x14ac:dyDescent="0.25">
      <c r="A1145" s="27">
        <v>3101488</v>
      </c>
      <c r="B1145" s="28" t="s">
        <v>8401</v>
      </c>
    </row>
    <row r="1146" spans="1:2" x14ac:dyDescent="0.25">
      <c r="A1146" s="27">
        <v>3101489</v>
      </c>
      <c r="B1146" s="28" t="s">
        <v>9373</v>
      </c>
    </row>
    <row r="1147" spans="1:2" x14ac:dyDescent="0.25">
      <c r="A1147" s="27">
        <v>3101555</v>
      </c>
      <c r="B1147" s="28" t="s">
        <v>9367</v>
      </c>
    </row>
    <row r="1148" spans="1:2" x14ac:dyDescent="0.25">
      <c r="A1148" s="27">
        <v>3101666</v>
      </c>
      <c r="B1148" s="28" t="s">
        <v>9368</v>
      </c>
    </row>
    <row r="1149" spans="1:2" x14ac:dyDescent="0.25">
      <c r="A1149" s="27">
        <v>3101777</v>
      </c>
      <c r="B1149" s="28" t="s">
        <v>9366</v>
      </c>
    </row>
    <row r="1150" spans="1:2" x14ac:dyDescent="0.25">
      <c r="A1150" s="27">
        <v>3101888</v>
      </c>
      <c r="B1150" s="28" t="s">
        <v>9358</v>
      </c>
    </row>
    <row r="1151" spans="1:2" x14ac:dyDescent="0.25">
      <c r="A1151" s="27">
        <v>3101948</v>
      </c>
      <c r="B1151" s="28" t="s">
        <v>9371</v>
      </c>
    </row>
    <row r="1152" spans="1:2" x14ac:dyDescent="0.25">
      <c r="A1152" s="27">
        <v>3101949</v>
      </c>
      <c r="B1152" s="28" t="s">
        <v>9372</v>
      </c>
    </row>
    <row r="1153" spans="1:2" x14ac:dyDescent="0.25">
      <c r="A1153" s="27">
        <v>3101998</v>
      </c>
      <c r="B1153" s="28" t="s">
        <v>11244</v>
      </c>
    </row>
    <row r="1154" spans="1:2" x14ac:dyDescent="0.25">
      <c r="A1154" s="27">
        <v>3101999</v>
      </c>
      <c r="B1154" s="28" t="s">
        <v>9369</v>
      </c>
    </row>
    <row r="1155" spans="1:2" x14ac:dyDescent="0.25">
      <c r="A1155" s="27">
        <v>4</v>
      </c>
      <c r="B1155" s="28" t="s">
        <v>13539</v>
      </c>
    </row>
    <row r="1156" spans="1:2" x14ac:dyDescent="0.25">
      <c r="A1156" s="27">
        <v>4027105</v>
      </c>
      <c r="B1156" s="28" t="s">
        <v>11245</v>
      </c>
    </row>
    <row r="1157" spans="1:2" x14ac:dyDescent="0.25">
      <c r="A1157" s="27" t="s">
        <v>13540</v>
      </c>
      <c r="B1157" s="28"/>
    </row>
    <row r="1158" spans="1:2" x14ac:dyDescent="0.25">
      <c r="A1158" s="27">
        <v>4027142</v>
      </c>
      <c r="B1158" s="28" t="s">
        <v>11246</v>
      </c>
    </row>
    <row r="1159" spans="1:2" x14ac:dyDescent="0.25">
      <c r="A1159" s="27" t="s">
        <v>13541</v>
      </c>
      <c r="B1159" s="28"/>
    </row>
    <row r="1160" spans="1:2" x14ac:dyDescent="0.25">
      <c r="A1160" s="27">
        <v>4027710</v>
      </c>
      <c r="B1160" s="28" t="s">
        <v>11247</v>
      </c>
    </row>
    <row r="1161" spans="1:2" x14ac:dyDescent="0.25">
      <c r="A1161" s="27" t="s">
        <v>13542</v>
      </c>
      <c r="B1161" s="28"/>
    </row>
    <row r="1162" spans="1:2" x14ac:dyDescent="0.25">
      <c r="A1162" s="27">
        <v>4027813</v>
      </c>
      <c r="B1162" s="28" t="s">
        <v>11248</v>
      </c>
    </row>
    <row r="1163" spans="1:2" x14ac:dyDescent="0.25">
      <c r="A1163" s="27" t="s">
        <v>13543</v>
      </c>
      <c r="B1163" s="28"/>
    </row>
    <row r="1164" spans="1:2" x14ac:dyDescent="0.25">
      <c r="A1164" s="27">
        <v>4101002</v>
      </c>
      <c r="B1164" s="28" t="s">
        <v>11249</v>
      </c>
    </row>
    <row r="1165" spans="1:2" x14ac:dyDescent="0.25">
      <c r="A1165" s="27">
        <v>4101003</v>
      </c>
      <c r="B1165" s="28" t="s">
        <v>11250</v>
      </c>
    </row>
    <row r="1166" spans="1:2" x14ac:dyDescent="0.25">
      <c r="A1166" s="27">
        <v>4120000</v>
      </c>
      <c r="B1166" s="28" t="s">
        <v>8937</v>
      </c>
    </row>
    <row r="1167" spans="1:2" x14ac:dyDescent="0.25">
      <c r="A1167" s="27">
        <v>4120001</v>
      </c>
      <c r="B1167" s="28" t="s">
        <v>11251</v>
      </c>
    </row>
    <row r="1168" spans="1:2" x14ac:dyDescent="0.25">
      <c r="A1168" s="27">
        <v>4120003</v>
      </c>
      <c r="B1168" s="28" t="s">
        <v>8978</v>
      </c>
    </row>
    <row r="1169" spans="1:2" x14ac:dyDescent="0.25">
      <c r="A1169" s="27">
        <v>4120004</v>
      </c>
      <c r="B1169" s="28" t="s">
        <v>8907</v>
      </c>
    </row>
    <row r="1170" spans="1:2" x14ac:dyDescent="0.25">
      <c r="A1170" s="27">
        <v>4120005</v>
      </c>
      <c r="B1170" s="28" t="s">
        <v>8979</v>
      </c>
    </row>
    <row r="1171" spans="1:2" x14ac:dyDescent="0.25">
      <c r="A1171" s="27">
        <v>4120006</v>
      </c>
      <c r="B1171" s="28" t="s">
        <v>8980</v>
      </c>
    </row>
    <row r="1172" spans="1:2" x14ac:dyDescent="0.25">
      <c r="A1172" s="27">
        <v>4120007</v>
      </c>
      <c r="B1172" s="28" t="s">
        <v>8905</v>
      </c>
    </row>
    <row r="1173" spans="1:2" x14ac:dyDescent="0.25">
      <c r="A1173" s="27">
        <v>4120008</v>
      </c>
      <c r="B1173" s="28" t="s">
        <v>8906</v>
      </c>
    </row>
    <row r="1174" spans="1:2" x14ac:dyDescent="0.25">
      <c r="A1174" s="27">
        <v>4120009</v>
      </c>
      <c r="B1174" s="28" t="s">
        <v>8990</v>
      </c>
    </row>
    <row r="1175" spans="1:2" x14ac:dyDescent="0.25">
      <c r="A1175" s="27">
        <v>4120010</v>
      </c>
      <c r="B1175" s="28" t="s">
        <v>8991</v>
      </c>
    </row>
    <row r="1176" spans="1:2" x14ac:dyDescent="0.25">
      <c r="A1176" s="27">
        <v>4120011</v>
      </c>
      <c r="B1176" s="28" t="s">
        <v>8969</v>
      </c>
    </row>
    <row r="1177" spans="1:2" x14ac:dyDescent="0.25">
      <c r="A1177" s="27">
        <v>4120012</v>
      </c>
      <c r="B1177" s="28" t="s">
        <v>8970</v>
      </c>
    </row>
    <row r="1178" spans="1:2" x14ac:dyDescent="0.25">
      <c r="A1178" s="27">
        <v>4120013</v>
      </c>
      <c r="B1178" s="28" t="s">
        <v>8971</v>
      </c>
    </row>
    <row r="1179" spans="1:2" x14ac:dyDescent="0.25">
      <c r="A1179" s="27">
        <v>4120015</v>
      </c>
      <c r="B1179" s="28" t="s">
        <v>8897</v>
      </c>
    </row>
    <row r="1180" spans="1:2" x14ac:dyDescent="0.25">
      <c r="A1180" s="27">
        <v>4120016</v>
      </c>
      <c r="B1180" s="28" t="s">
        <v>8898</v>
      </c>
    </row>
    <row r="1181" spans="1:2" x14ac:dyDescent="0.25">
      <c r="A1181" s="27">
        <v>4120018</v>
      </c>
      <c r="B1181" s="28" t="s">
        <v>8899</v>
      </c>
    </row>
    <row r="1182" spans="1:2" x14ac:dyDescent="0.25">
      <c r="A1182" s="27">
        <v>4120020</v>
      </c>
      <c r="B1182" s="28" t="s">
        <v>9014</v>
      </c>
    </row>
    <row r="1183" spans="1:2" x14ac:dyDescent="0.25">
      <c r="A1183" s="27">
        <v>4120021</v>
      </c>
      <c r="B1183" s="28" t="s">
        <v>9015</v>
      </c>
    </row>
    <row r="1184" spans="1:2" x14ac:dyDescent="0.25">
      <c r="A1184" s="27">
        <v>4120022</v>
      </c>
      <c r="B1184" s="28" t="s">
        <v>9017</v>
      </c>
    </row>
    <row r="1185" spans="1:2" x14ac:dyDescent="0.25">
      <c r="A1185" s="27">
        <v>4120023</v>
      </c>
      <c r="B1185" s="28" t="s">
        <v>9016</v>
      </c>
    </row>
    <row r="1186" spans="1:2" x14ac:dyDescent="0.25">
      <c r="A1186" s="27">
        <v>4120024</v>
      </c>
      <c r="B1186" s="28" t="s">
        <v>8952</v>
      </c>
    </row>
    <row r="1187" spans="1:2" x14ac:dyDescent="0.25">
      <c r="A1187" s="27">
        <v>4120025</v>
      </c>
      <c r="B1187" s="28" t="s">
        <v>8953</v>
      </c>
    </row>
    <row r="1188" spans="1:2" x14ac:dyDescent="0.25">
      <c r="A1188" s="27">
        <v>4120026</v>
      </c>
      <c r="B1188" s="28" t="s">
        <v>11252</v>
      </c>
    </row>
    <row r="1189" spans="1:2" x14ac:dyDescent="0.25">
      <c r="A1189" s="27">
        <v>4120027</v>
      </c>
      <c r="B1189" s="28" t="s">
        <v>8988</v>
      </c>
    </row>
    <row r="1190" spans="1:2" x14ac:dyDescent="0.25">
      <c r="A1190" s="27">
        <v>4120028</v>
      </c>
      <c r="B1190" s="28" t="s">
        <v>8989</v>
      </c>
    </row>
    <row r="1191" spans="1:2" x14ac:dyDescent="0.25">
      <c r="A1191" s="27">
        <v>4120029</v>
      </c>
      <c r="B1191" s="28" t="s">
        <v>11253</v>
      </c>
    </row>
    <row r="1192" spans="1:2" x14ac:dyDescent="0.25">
      <c r="A1192" s="27">
        <v>4120030</v>
      </c>
      <c r="B1192" s="28" t="s">
        <v>11254</v>
      </c>
    </row>
    <row r="1193" spans="1:2" x14ac:dyDescent="0.25">
      <c r="A1193" s="27">
        <v>4120031</v>
      </c>
      <c r="B1193" s="28" t="s">
        <v>11254</v>
      </c>
    </row>
    <row r="1194" spans="1:2" x14ac:dyDescent="0.25">
      <c r="A1194" s="27">
        <v>4120032</v>
      </c>
      <c r="B1194" s="28" t="s">
        <v>11254</v>
      </c>
    </row>
    <row r="1195" spans="1:2" x14ac:dyDescent="0.25">
      <c r="A1195" s="27">
        <v>4120033</v>
      </c>
      <c r="B1195" s="28" t="s">
        <v>11254</v>
      </c>
    </row>
    <row r="1196" spans="1:2" x14ac:dyDescent="0.25">
      <c r="A1196" s="27">
        <v>4120035</v>
      </c>
      <c r="B1196" s="28" t="s">
        <v>11255</v>
      </c>
    </row>
    <row r="1197" spans="1:2" x14ac:dyDescent="0.25">
      <c r="A1197" s="27">
        <v>4120036</v>
      </c>
      <c r="B1197" s="25" t="s">
        <v>11256</v>
      </c>
    </row>
    <row r="1198" spans="1:2" x14ac:dyDescent="0.25">
      <c r="A1198" s="27">
        <v>4120037</v>
      </c>
      <c r="B1198" s="28" t="s">
        <v>11257</v>
      </c>
    </row>
    <row r="1199" spans="1:2" x14ac:dyDescent="0.25">
      <c r="A1199" s="27">
        <v>4120038</v>
      </c>
      <c r="B1199" s="28" t="s">
        <v>8875</v>
      </c>
    </row>
    <row r="1200" spans="1:2" x14ac:dyDescent="0.25">
      <c r="A1200" s="27">
        <v>4120039</v>
      </c>
      <c r="B1200" s="28" t="s">
        <v>11258</v>
      </c>
    </row>
    <row r="1201" spans="1:2" x14ac:dyDescent="0.25">
      <c r="A1201" s="27">
        <v>4120040</v>
      </c>
      <c r="B1201" s="28" t="s">
        <v>11259</v>
      </c>
    </row>
    <row r="1202" spans="1:2" x14ac:dyDescent="0.25">
      <c r="A1202" s="27">
        <v>4120041</v>
      </c>
      <c r="B1202" s="28" t="s">
        <v>11260</v>
      </c>
    </row>
    <row r="1203" spans="1:2" x14ac:dyDescent="0.25">
      <c r="A1203" s="27">
        <v>4120042</v>
      </c>
      <c r="B1203" s="28" t="s">
        <v>8908</v>
      </c>
    </row>
    <row r="1204" spans="1:2" x14ac:dyDescent="0.25">
      <c r="A1204" s="27">
        <v>4120043</v>
      </c>
      <c r="B1204" s="28" t="s">
        <v>8909</v>
      </c>
    </row>
    <row r="1205" spans="1:2" x14ac:dyDescent="0.25">
      <c r="A1205" s="27">
        <v>4120044</v>
      </c>
      <c r="B1205" s="28" t="s">
        <v>8910</v>
      </c>
    </row>
    <row r="1206" spans="1:2" x14ac:dyDescent="0.25">
      <c r="A1206" s="27">
        <v>4120045</v>
      </c>
      <c r="B1206" s="28" t="s">
        <v>11261</v>
      </c>
    </row>
    <row r="1207" spans="1:2" x14ac:dyDescent="0.25">
      <c r="A1207" s="27">
        <v>4120046</v>
      </c>
      <c r="B1207" s="28" t="s">
        <v>11262</v>
      </c>
    </row>
    <row r="1208" spans="1:2" x14ac:dyDescent="0.25">
      <c r="A1208" s="27">
        <v>4120047</v>
      </c>
      <c r="B1208" s="28" t="s">
        <v>11263</v>
      </c>
    </row>
    <row r="1209" spans="1:2" x14ac:dyDescent="0.25">
      <c r="A1209" s="27" t="s">
        <v>13544</v>
      </c>
      <c r="B1209" s="28"/>
    </row>
    <row r="1210" spans="1:2" x14ac:dyDescent="0.25">
      <c r="A1210" s="27">
        <v>4120048</v>
      </c>
      <c r="B1210" s="28" t="s">
        <v>11264</v>
      </c>
    </row>
    <row r="1211" spans="1:2" x14ac:dyDescent="0.25">
      <c r="A1211" s="27">
        <v>4120050</v>
      </c>
      <c r="B1211" s="28" t="s">
        <v>11265</v>
      </c>
    </row>
    <row r="1212" spans="1:2" x14ac:dyDescent="0.25">
      <c r="A1212" s="27">
        <v>4120051</v>
      </c>
      <c r="B1212" s="28" t="s">
        <v>11266</v>
      </c>
    </row>
    <row r="1213" spans="1:2" x14ac:dyDescent="0.25">
      <c r="A1213" s="27">
        <v>4120052</v>
      </c>
      <c r="B1213" s="28" t="s">
        <v>11267</v>
      </c>
    </row>
    <row r="1214" spans="1:2" x14ac:dyDescent="0.25">
      <c r="A1214" s="27">
        <v>4120055</v>
      </c>
      <c r="B1214" s="28" t="s">
        <v>11268</v>
      </c>
    </row>
    <row r="1215" spans="1:2" x14ac:dyDescent="0.25">
      <c r="A1215" s="27">
        <v>4120056</v>
      </c>
      <c r="B1215" s="28" t="s">
        <v>11269</v>
      </c>
    </row>
    <row r="1216" spans="1:2" x14ac:dyDescent="0.25">
      <c r="A1216" s="27">
        <v>4120057</v>
      </c>
      <c r="B1216" s="28" t="s">
        <v>11270</v>
      </c>
    </row>
    <row r="1217" spans="1:2" x14ac:dyDescent="0.25">
      <c r="A1217" s="27">
        <v>4120058</v>
      </c>
      <c r="B1217" s="28" t="s">
        <v>8965</v>
      </c>
    </row>
    <row r="1218" spans="1:2" x14ac:dyDescent="0.25">
      <c r="A1218" s="27">
        <v>4120059</v>
      </c>
      <c r="B1218" s="28" t="s">
        <v>8966</v>
      </c>
    </row>
    <row r="1219" spans="1:2" x14ac:dyDescent="0.25">
      <c r="A1219" s="27">
        <v>4120060</v>
      </c>
      <c r="B1219" s="28" t="s">
        <v>8967</v>
      </c>
    </row>
    <row r="1220" spans="1:2" x14ac:dyDescent="0.25">
      <c r="A1220" s="27">
        <v>4120061</v>
      </c>
      <c r="B1220" s="28" t="s">
        <v>8968</v>
      </c>
    </row>
    <row r="1221" spans="1:2" x14ac:dyDescent="0.25">
      <c r="A1221" s="27">
        <v>4120062</v>
      </c>
      <c r="B1221" s="28" t="s">
        <v>11271</v>
      </c>
    </row>
    <row r="1222" spans="1:2" x14ac:dyDescent="0.25">
      <c r="A1222" s="27">
        <v>4120063</v>
      </c>
      <c r="B1222" s="28" t="s">
        <v>11272</v>
      </c>
    </row>
    <row r="1223" spans="1:2" x14ac:dyDescent="0.25">
      <c r="A1223" s="27">
        <v>4120064</v>
      </c>
      <c r="B1223" s="28" t="s">
        <v>11273</v>
      </c>
    </row>
    <row r="1224" spans="1:2" x14ac:dyDescent="0.25">
      <c r="A1224" s="27">
        <v>4120065</v>
      </c>
      <c r="B1224" s="28" t="s">
        <v>11274</v>
      </c>
    </row>
    <row r="1225" spans="1:2" x14ac:dyDescent="0.25">
      <c r="A1225" s="27">
        <v>4120066</v>
      </c>
      <c r="B1225" s="28" t="s">
        <v>8984</v>
      </c>
    </row>
    <row r="1226" spans="1:2" x14ac:dyDescent="0.25">
      <c r="A1226" s="27">
        <v>4120067</v>
      </c>
      <c r="B1226" s="28" t="s">
        <v>8985</v>
      </c>
    </row>
    <row r="1227" spans="1:2" x14ac:dyDescent="0.25">
      <c r="A1227" s="27">
        <v>4120068</v>
      </c>
      <c r="B1227" s="28" t="s">
        <v>8986</v>
      </c>
    </row>
    <row r="1228" spans="1:2" x14ac:dyDescent="0.25">
      <c r="A1228" s="27">
        <v>4120069</v>
      </c>
      <c r="B1228" s="28" t="s">
        <v>8987</v>
      </c>
    </row>
    <row r="1229" spans="1:2" x14ac:dyDescent="0.25">
      <c r="A1229" s="27">
        <v>4120070</v>
      </c>
      <c r="B1229" s="28" t="s">
        <v>8923</v>
      </c>
    </row>
    <row r="1230" spans="1:2" x14ac:dyDescent="0.25">
      <c r="A1230" s="27">
        <v>4120071</v>
      </c>
      <c r="B1230" s="28" t="s">
        <v>8924</v>
      </c>
    </row>
    <row r="1231" spans="1:2" x14ac:dyDescent="0.25">
      <c r="A1231" s="27">
        <v>4120072</v>
      </c>
      <c r="B1231" s="28" t="s">
        <v>8925</v>
      </c>
    </row>
    <row r="1232" spans="1:2" x14ac:dyDescent="0.25">
      <c r="A1232" s="27">
        <v>4120073</v>
      </c>
      <c r="B1232" s="28" t="s">
        <v>8926</v>
      </c>
    </row>
    <row r="1233" spans="1:2" x14ac:dyDescent="0.25">
      <c r="A1233" s="27">
        <v>4120074</v>
      </c>
      <c r="B1233" s="28" t="s">
        <v>8919</v>
      </c>
    </row>
    <row r="1234" spans="1:2" x14ac:dyDescent="0.25">
      <c r="A1234" s="27">
        <v>4120075</v>
      </c>
      <c r="B1234" s="28" t="s">
        <v>8920</v>
      </c>
    </row>
    <row r="1235" spans="1:2" x14ac:dyDescent="0.25">
      <c r="A1235" s="27">
        <v>4120076</v>
      </c>
      <c r="B1235" s="28" t="s">
        <v>8921</v>
      </c>
    </row>
    <row r="1236" spans="1:2" x14ac:dyDescent="0.25">
      <c r="A1236" s="27">
        <v>4120077</v>
      </c>
      <c r="B1236" s="28" t="s">
        <v>8922</v>
      </c>
    </row>
    <row r="1237" spans="1:2" x14ac:dyDescent="0.25">
      <c r="A1237" s="27">
        <v>4120078</v>
      </c>
      <c r="B1237" s="28" t="s">
        <v>8927</v>
      </c>
    </row>
    <row r="1238" spans="1:2" x14ac:dyDescent="0.25">
      <c r="A1238" s="27">
        <v>4120079</v>
      </c>
      <c r="B1238" s="28" t="s">
        <v>8928</v>
      </c>
    </row>
    <row r="1239" spans="1:2" x14ac:dyDescent="0.25">
      <c r="A1239" s="27">
        <v>4120080</v>
      </c>
      <c r="B1239" s="28" t="s">
        <v>8929</v>
      </c>
    </row>
    <row r="1240" spans="1:2" x14ac:dyDescent="0.25">
      <c r="A1240" s="27">
        <v>4120081</v>
      </c>
      <c r="B1240" s="28" t="s">
        <v>11275</v>
      </c>
    </row>
    <row r="1241" spans="1:2" x14ac:dyDescent="0.25">
      <c r="A1241" s="27">
        <v>4120082</v>
      </c>
      <c r="B1241" s="28" t="s">
        <v>8930</v>
      </c>
    </row>
    <row r="1242" spans="1:2" x14ac:dyDescent="0.25">
      <c r="A1242" s="27">
        <v>4120083</v>
      </c>
      <c r="B1242" s="28" t="s">
        <v>8931</v>
      </c>
    </row>
    <row r="1243" spans="1:2" x14ac:dyDescent="0.25">
      <c r="A1243" s="27">
        <v>4120084</v>
      </c>
      <c r="B1243" s="28" t="s">
        <v>8932</v>
      </c>
    </row>
    <row r="1244" spans="1:2" x14ac:dyDescent="0.25">
      <c r="A1244" s="27">
        <v>4120085</v>
      </c>
      <c r="B1244" s="28" t="s">
        <v>11276</v>
      </c>
    </row>
    <row r="1245" spans="1:2" x14ac:dyDescent="0.25">
      <c r="A1245" s="27">
        <v>4120086</v>
      </c>
      <c r="B1245" s="28" t="s">
        <v>8856</v>
      </c>
    </row>
    <row r="1246" spans="1:2" x14ac:dyDescent="0.25">
      <c r="A1246" s="27">
        <v>4120087</v>
      </c>
      <c r="B1246" s="28" t="s">
        <v>8857</v>
      </c>
    </row>
    <row r="1247" spans="1:2" x14ac:dyDescent="0.25">
      <c r="A1247" s="27">
        <v>4120088</v>
      </c>
      <c r="B1247" s="28" t="s">
        <v>8858</v>
      </c>
    </row>
    <row r="1248" spans="1:2" x14ac:dyDescent="0.25">
      <c r="A1248" s="27">
        <v>4120089</v>
      </c>
      <c r="B1248" s="28" t="s">
        <v>11277</v>
      </c>
    </row>
    <row r="1249" spans="1:2" x14ac:dyDescent="0.25">
      <c r="A1249" s="27">
        <v>4120100</v>
      </c>
      <c r="B1249" s="28" t="s">
        <v>8946</v>
      </c>
    </row>
    <row r="1250" spans="1:2" x14ac:dyDescent="0.25">
      <c r="A1250" s="27">
        <v>4120101</v>
      </c>
      <c r="B1250" s="28" t="s">
        <v>8947</v>
      </c>
    </row>
    <row r="1251" spans="1:2" x14ac:dyDescent="0.25">
      <c r="A1251" s="27">
        <v>4120103</v>
      </c>
      <c r="B1251" s="28" t="s">
        <v>8948</v>
      </c>
    </row>
    <row r="1252" spans="1:2" x14ac:dyDescent="0.25">
      <c r="A1252" s="27">
        <v>4120104</v>
      </c>
      <c r="B1252" s="28" t="s">
        <v>8949</v>
      </c>
    </row>
    <row r="1253" spans="1:2" x14ac:dyDescent="0.25">
      <c r="A1253" s="27">
        <v>4120105</v>
      </c>
      <c r="B1253" s="28" t="s">
        <v>8881</v>
      </c>
    </row>
    <row r="1254" spans="1:2" x14ac:dyDescent="0.25">
      <c r="A1254" s="27">
        <v>4120106</v>
      </c>
      <c r="B1254" s="28" t="s">
        <v>8950</v>
      </c>
    </row>
    <row r="1255" spans="1:2" x14ac:dyDescent="0.25">
      <c r="A1255" s="27">
        <v>4120107</v>
      </c>
      <c r="B1255" s="28" t="s">
        <v>8951</v>
      </c>
    </row>
    <row r="1256" spans="1:2" x14ac:dyDescent="0.25">
      <c r="A1256" s="27">
        <v>4120108</v>
      </c>
      <c r="B1256" s="28" t="s">
        <v>11278</v>
      </c>
    </row>
    <row r="1257" spans="1:2" x14ac:dyDescent="0.25">
      <c r="A1257" s="27">
        <v>4120109</v>
      </c>
      <c r="B1257" s="28" t="s">
        <v>11279</v>
      </c>
    </row>
    <row r="1258" spans="1:2" x14ac:dyDescent="0.25">
      <c r="A1258" s="27">
        <v>4120110</v>
      </c>
      <c r="B1258" s="28" t="s">
        <v>8877</v>
      </c>
    </row>
    <row r="1259" spans="1:2" x14ac:dyDescent="0.25">
      <c r="A1259" s="27">
        <v>4120111</v>
      </c>
      <c r="B1259" s="28" t="s">
        <v>8992</v>
      </c>
    </row>
    <row r="1260" spans="1:2" x14ac:dyDescent="0.25">
      <c r="A1260" s="27">
        <v>4120112</v>
      </c>
      <c r="B1260" s="28" t="s">
        <v>11278</v>
      </c>
    </row>
    <row r="1261" spans="1:2" x14ac:dyDescent="0.25">
      <c r="A1261" s="27">
        <v>4120113</v>
      </c>
      <c r="B1261" s="28" t="s">
        <v>11278</v>
      </c>
    </row>
    <row r="1262" spans="1:2" x14ac:dyDescent="0.25">
      <c r="A1262" s="27">
        <v>4120115</v>
      </c>
      <c r="B1262" s="28" t="s">
        <v>8878</v>
      </c>
    </row>
    <row r="1263" spans="1:2" x14ac:dyDescent="0.25">
      <c r="A1263" s="27">
        <v>4120116</v>
      </c>
      <c r="B1263" s="28" t="s">
        <v>11280</v>
      </c>
    </row>
    <row r="1264" spans="1:2" x14ac:dyDescent="0.25">
      <c r="A1264" s="27">
        <v>4120117</v>
      </c>
      <c r="B1264" s="28" t="s">
        <v>12426</v>
      </c>
    </row>
    <row r="1265" spans="1:2" x14ac:dyDescent="0.25">
      <c r="A1265" s="27">
        <v>4120118</v>
      </c>
      <c r="B1265" s="28" t="s">
        <v>12427</v>
      </c>
    </row>
    <row r="1266" spans="1:2" x14ac:dyDescent="0.25">
      <c r="A1266" s="27">
        <v>4120120</v>
      </c>
      <c r="B1266" s="28" t="s">
        <v>8933</v>
      </c>
    </row>
    <row r="1267" spans="1:2" x14ac:dyDescent="0.25">
      <c r="A1267" s="27">
        <v>4120121</v>
      </c>
      <c r="B1267" s="28" t="s">
        <v>8934</v>
      </c>
    </row>
    <row r="1268" spans="1:2" x14ac:dyDescent="0.25">
      <c r="A1268" s="27">
        <v>4120123</v>
      </c>
      <c r="B1268" s="28" t="s">
        <v>8935</v>
      </c>
    </row>
    <row r="1269" spans="1:2" x14ac:dyDescent="0.25">
      <c r="A1269" s="27">
        <v>4120124</v>
      </c>
      <c r="B1269" s="28" t="s">
        <v>8936</v>
      </c>
    </row>
    <row r="1270" spans="1:2" x14ac:dyDescent="0.25">
      <c r="A1270" s="27">
        <v>4120130</v>
      </c>
      <c r="B1270" s="28" t="s">
        <v>8999</v>
      </c>
    </row>
    <row r="1271" spans="1:2" x14ac:dyDescent="0.25">
      <c r="A1271" s="27">
        <v>4120131</v>
      </c>
      <c r="B1271" s="28" t="s">
        <v>9000</v>
      </c>
    </row>
    <row r="1272" spans="1:2" x14ac:dyDescent="0.25">
      <c r="A1272" s="27">
        <v>4120138</v>
      </c>
      <c r="B1272" s="28" t="s">
        <v>11281</v>
      </c>
    </row>
    <row r="1273" spans="1:2" x14ac:dyDescent="0.25">
      <c r="A1273" s="27">
        <v>4120139</v>
      </c>
      <c r="B1273" s="28" t="s">
        <v>11282</v>
      </c>
    </row>
    <row r="1274" spans="1:2" x14ac:dyDescent="0.25">
      <c r="A1274" s="27">
        <v>4120140</v>
      </c>
      <c r="B1274" s="28" t="s">
        <v>12326</v>
      </c>
    </row>
    <row r="1275" spans="1:2" x14ac:dyDescent="0.25">
      <c r="A1275" s="27">
        <v>4120150</v>
      </c>
      <c r="B1275" s="28" t="s">
        <v>11283</v>
      </c>
    </row>
    <row r="1276" spans="1:2" x14ac:dyDescent="0.25">
      <c r="A1276" s="27">
        <v>4120151</v>
      </c>
      <c r="B1276" s="28" t="s">
        <v>11284</v>
      </c>
    </row>
    <row r="1277" spans="1:2" x14ac:dyDescent="0.25">
      <c r="A1277" s="27">
        <v>4120159</v>
      </c>
      <c r="B1277" s="28" t="s">
        <v>11285</v>
      </c>
    </row>
    <row r="1278" spans="1:2" x14ac:dyDescent="0.25">
      <c r="A1278" s="27">
        <v>4120160</v>
      </c>
      <c r="B1278" s="28" t="s">
        <v>11286</v>
      </c>
    </row>
    <row r="1279" spans="1:2" x14ac:dyDescent="0.25">
      <c r="A1279" s="27">
        <v>4120161</v>
      </c>
      <c r="B1279" s="28" t="s">
        <v>11287</v>
      </c>
    </row>
    <row r="1280" spans="1:2" x14ac:dyDescent="0.25">
      <c r="A1280" s="27" t="s">
        <v>13545</v>
      </c>
      <c r="B1280" s="28" t="s">
        <v>13546</v>
      </c>
    </row>
    <row r="1281" spans="1:2" x14ac:dyDescent="0.25">
      <c r="A1281" s="27">
        <v>4120162</v>
      </c>
      <c r="B1281" s="25" t="s">
        <v>11288</v>
      </c>
    </row>
    <row r="1282" spans="1:2" x14ac:dyDescent="0.25">
      <c r="A1282" s="27">
        <v>4120170</v>
      </c>
      <c r="B1282" s="28" t="s">
        <v>8958</v>
      </c>
    </row>
    <row r="1283" spans="1:2" x14ac:dyDescent="0.25">
      <c r="A1283" s="27">
        <v>4120171</v>
      </c>
      <c r="B1283" s="28" t="s">
        <v>8959</v>
      </c>
    </row>
    <row r="1284" spans="1:2" x14ac:dyDescent="0.25">
      <c r="A1284" s="27">
        <v>4120172</v>
      </c>
      <c r="B1284" s="28" t="s">
        <v>11289</v>
      </c>
    </row>
    <row r="1285" spans="1:2" x14ac:dyDescent="0.25">
      <c r="A1285" s="27">
        <v>4120200</v>
      </c>
      <c r="B1285" s="28" t="s">
        <v>8892</v>
      </c>
    </row>
    <row r="1286" spans="1:2" x14ac:dyDescent="0.25">
      <c r="A1286" s="27">
        <v>4120201</v>
      </c>
      <c r="B1286" s="28" t="s">
        <v>11290</v>
      </c>
    </row>
    <row r="1287" spans="1:2" x14ac:dyDescent="0.25">
      <c r="A1287" s="27">
        <v>4120202</v>
      </c>
      <c r="B1287" s="28" t="s">
        <v>11291</v>
      </c>
    </row>
    <row r="1288" spans="1:2" x14ac:dyDescent="0.25">
      <c r="A1288" s="27">
        <v>4120210</v>
      </c>
      <c r="B1288" s="28" t="s">
        <v>12327</v>
      </c>
    </row>
    <row r="1289" spans="1:2" x14ac:dyDescent="0.25">
      <c r="A1289" s="27">
        <v>4120220</v>
      </c>
      <c r="B1289" s="28" t="s">
        <v>8879</v>
      </c>
    </row>
    <row r="1290" spans="1:2" x14ac:dyDescent="0.25">
      <c r="A1290" s="27">
        <v>4120221</v>
      </c>
      <c r="B1290" s="28" t="s">
        <v>8880</v>
      </c>
    </row>
    <row r="1291" spans="1:2" x14ac:dyDescent="0.25">
      <c r="A1291" s="27">
        <v>4120222</v>
      </c>
      <c r="B1291" s="28" t="s">
        <v>8872</v>
      </c>
    </row>
    <row r="1292" spans="1:2" x14ac:dyDescent="0.25">
      <c r="A1292" s="27">
        <v>4120223</v>
      </c>
      <c r="B1292" s="28" t="s">
        <v>8873</v>
      </c>
    </row>
    <row r="1293" spans="1:2" x14ac:dyDescent="0.25">
      <c r="A1293" s="27">
        <v>4120224</v>
      </c>
      <c r="B1293" s="28" t="s">
        <v>8874</v>
      </c>
    </row>
    <row r="1294" spans="1:2" x14ac:dyDescent="0.25">
      <c r="A1294" s="27">
        <v>4120232</v>
      </c>
      <c r="B1294" s="28" t="s">
        <v>8957</v>
      </c>
    </row>
    <row r="1295" spans="1:2" x14ac:dyDescent="0.25">
      <c r="A1295" s="27">
        <v>4120233</v>
      </c>
      <c r="B1295" s="28" t="s">
        <v>11292</v>
      </c>
    </row>
    <row r="1296" spans="1:2" x14ac:dyDescent="0.25">
      <c r="A1296" s="27">
        <v>4120234</v>
      </c>
      <c r="B1296" s="28" t="s">
        <v>11293</v>
      </c>
    </row>
    <row r="1297" spans="1:2" x14ac:dyDescent="0.25">
      <c r="A1297" s="27">
        <v>4120235</v>
      </c>
      <c r="B1297" s="28" t="s">
        <v>11294</v>
      </c>
    </row>
    <row r="1298" spans="1:2" x14ac:dyDescent="0.25">
      <c r="A1298" s="27">
        <v>4120236</v>
      </c>
      <c r="B1298" s="28" t="s">
        <v>8954</v>
      </c>
    </row>
    <row r="1299" spans="1:2" x14ac:dyDescent="0.25">
      <c r="A1299" s="27">
        <v>4120237</v>
      </c>
      <c r="B1299" s="28" t="s">
        <v>8955</v>
      </c>
    </row>
    <row r="1300" spans="1:2" x14ac:dyDescent="0.25">
      <c r="A1300" s="27">
        <v>4120238</v>
      </c>
      <c r="B1300" s="28" t="s">
        <v>8956</v>
      </c>
    </row>
    <row r="1301" spans="1:2" x14ac:dyDescent="0.25">
      <c r="A1301" s="27">
        <v>4120239</v>
      </c>
      <c r="B1301" s="28" t="s">
        <v>8889</v>
      </c>
    </row>
    <row r="1302" spans="1:2" x14ac:dyDescent="0.25">
      <c r="A1302" s="27">
        <v>4120240</v>
      </c>
      <c r="B1302" s="28" t="s">
        <v>8890</v>
      </c>
    </row>
    <row r="1303" spans="1:2" x14ac:dyDescent="0.25">
      <c r="A1303" s="27">
        <v>4120241</v>
      </c>
      <c r="B1303" s="28" t="s">
        <v>8891</v>
      </c>
    </row>
    <row r="1304" spans="1:2" x14ac:dyDescent="0.25">
      <c r="A1304" s="27">
        <v>4120242</v>
      </c>
      <c r="B1304" s="28" t="s">
        <v>10909</v>
      </c>
    </row>
    <row r="1305" spans="1:2" x14ac:dyDescent="0.25">
      <c r="A1305" s="27">
        <v>4120243</v>
      </c>
      <c r="B1305" s="28" t="s">
        <v>10910</v>
      </c>
    </row>
    <row r="1306" spans="1:2" x14ac:dyDescent="0.25">
      <c r="A1306" s="27">
        <v>4120244</v>
      </c>
      <c r="B1306" s="28" t="s">
        <v>10911</v>
      </c>
    </row>
    <row r="1307" spans="1:2" x14ac:dyDescent="0.25">
      <c r="A1307" s="27">
        <v>4120245</v>
      </c>
      <c r="B1307" s="28" t="s">
        <v>8886</v>
      </c>
    </row>
    <row r="1308" spans="1:2" x14ac:dyDescent="0.25">
      <c r="A1308" s="27">
        <v>4120246</v>
      </c>
      <c r="B1308" s="28" t="s">
        <v>8887</v>
      </c>
    </row>
    <row r="1309" spans="1:2" x14ac:dyDescent="0.25">
      <c r="A1309" s="27">
        <v>4120247</v>
      </c>
      <c r="B1309" s="28" t="s">
        <v>8888</v>
      </c>
    </row>
    <row r="1310" spans="1:2" x14ac:dyDescent="0.25">
      <c r="A1310" s="27">
        <v>4120250</v>
      </c>
      <c r="B1310" s="28" t="s">
        <v>11295</v>
      </c>
    </row>
    <row r="1311" spans="1:2" x14ac:dyDescent="0.25">
      <c r="A1311" s="27">
        <v>4120251</v>
      </c>
      <c r="B1311" s="28" t="s">
        <v>11295</v>
      </c>
    </row>
    <row r="1312" spans="1:2" x14ac:dyDescent="0.25">
      <c r="A1312" s="27">
        <v>4120252</v>
      </c>
      <c r="B1312" s="28" t="s">
        <v>11295</v>
      </c>
    </row>
    <row r="1313" spans="1:2" x14ac:dyDescent="0.25">
      <c r="A1313" s="27">
        <v>4120254</v>
      </c>
      <c r="B1313" s="28" t="s">
        <v>11296</v>
      </c>
    </row>
    <row r="1314" spans="1:2" x14ac:dyDescent="0.25">
      <c r="A1314" s="27">
        <v>4120255</v>
      </c>
      <c r="B1314" s="28" t="s">
        <v>11297</v>
      </c>
    </row>
    <row r="1315" spans="1:2" x14ac:dyDescent="0.25">
      <c r="A1315" s="27">
        <v>4120256</v>
      </c>
      <c r="B1315" s="28" t="s">
        <v>11298</v>
      </c>
    </row>
    <row r="1316" spans="1:2" x14ac:dyDescent="0.25">
      <c r="A1316" s="27">
        <v>4120270</v>
      </c>
      <c r="B1316" s="28" t="s">
        <v>8941</v>
      </c>
    </row>
    <row r="1317" spans="1:2" x14ac:dyDescent="0.25">
      <c r="A1317" s="27">
        <v>4120271</v>
      </c>
      <c r="B1317" s="28" t="s">
        <v>8942</v>
      </c>
    </row>
    <row r="1318" spans="1:2" x14ac:dyDescent="0.25">
      <c r="A1318" s="27">
        <v>4120272</v>
      </c>
      <c r="B1318" s="28" t="s">
        <v>8943</v>
      </c>
    </row>
    <row r="1319" spans="1:2" x14ac:dyDescent="0.25">
      <c r="A1319" s="27">
        <v>4120300</v>
      </c>
      <c r="B1319" s="28" t="s">
        <v>8862</v>
      </c>
    </row>
    <row r="1320" spans="1:2" x14ac:dyDescent="0.25">
      <c r="A1320" s="27">
        <v>4120301</v>
      </c>
      <c r="B1320" s="28" t="s">
        <v>11299</v>
      </c>
    </row>
    <row r="1321" spans="1:2" x14ac:dyDescent="0.25">
      <c r="A1321" s="27">
        <v>4120302</v>
      </c>
      <c r="B1321" s="28" t="s">
        <v>11300</v>
      </c>
    </row>
    <row r="1322" spans="1:2" x14ac:dyDescent="0.25">
      <c r="A1322" s="27">
        <v>4120303</v>
      </c>
      <c r="B1322" s="28" t="s">
        <v>8863</v>
      </c>
    </row>
    <row r="1323" spans="1:2" x14ac:dyDescent="0.25">
      <c r="A1323" s="27">
        <v>4120304</v>
      </c>
      <c r="B1323" s="28" t="s">
        <v>8864</v>
      </c>
    </row>
    <row r="1324" spans="1:2" x14ac:dyDescent="0.25">
      <c r="A1324" s="27">
        <v>4120334</v>
      </c>
      <c r="B1324" s="28" t="s">
        <v>8866</v>
      </c>
    </row>
    <row r="1325" spans="1:2" x14ac:dyDescent="0.25">
      <c r="A1325" s="27">
        <v>4120335</v>
      </c>
      <c r="B1325" s="28" t="s">
        <v>8867</v>
      </c>
    </row>
    <row r="1326" spans="1:2" x14ac:dyDescent="0.25">
      <c r="A1326" s="27">
        <v>4120350</v>
      </c>
      <c r="B1326" s="28" t="s">
        <v>11301</v>
      </c>
    </row>
    <row r="1327" spans="1:2" x14ac:dyDescent="0.25">
      <c r="A1327" s="27">
        <v>4120351</v>
      </c>
      <c r="B1327" s="28" t="s">
        <v>11302</v>
      </c>
    </row>
    <row r="1328" spans="1:2" x14ac:dyDescent="0.25">
      <c r="A1328" s="27">
        <v>4120352</v>
      </c>
      <c r="B1328" s="28" t="s">
        <v>11303</v>
      </c>
    </row>
    <row r="1329" spans="1:2" x14ac:dyDescent="0.25">
      <c r="A1329" s="27">
        <v>4120353</v>
      </c>
      <c r="B1329" s="28" t="s">
        <v>11304</v>
      </c>
    </row>
    <row r="1330" spans="1:2" x14ac:dyDescent="0.25">
      <c r="A1330" s="27">
        <v>4120354</v>
      </c>
      <c r="B1330" s="28" t="s">
        <v>11305</v>
      </c>
    </row>
    <row r="1331" spans="1:2" x14ac:dyDescent="0.25">
      <c r="A1331" s="27">
        <v>4120355</v>
      </c>
      <c r="B1331" s="28" t="s">
        <v>11306</v>
      </c>
    </row>
    <row r="1332" spans="1:2" x14ac:dyDescent="0.25">
      <c r="A1332" s="27">
        <v>4120356</v>
      </c>
      <c r="B1332" s="28" t="s">
        <v>11307</v>
      </c>
    </row>
    <row r="1333" spans="1:2" x14ac:dyDescent="0.25">
      <c r="A1333" s="27">
        <v>4120357</v>
      </c>
      <c r="B1333" s="28" t="s">
        <v>11308</v>
      </c>
    </row>
    <row r="1334" spans="1:2" x14ac:dyDescent="0.25">
      <c r="A1334" s="27">
        <v>4120358</v>
      </c>
      <c r="B1334" s="28" t="s">
        <v>11309</v>
      </c>
    </row>
    <row r="1335" spans="1:2" x14ac:dyDescent="0.25">
      <c r="A1335" s="27">
        <v>4120359</v>
      </c>
      <c r="B1335" s="28" t="s">
        <v>11310</v>
      </c>
    </row>
    <row r="1336" spans="1:2" x14ac:dyDescent="0.25">
      <c r="A1336" s="27">
        <v>4120400</v>
      </c>
      <c r="B1336" s="28" t="s">
        <v>8876</v>
      </c>
    </row>
    <row r="1337" spans="1:2" x14ac:dyDescent="0.25">
      <c r="A1337" s="27">
        <v>4120401</v>
      </c>
      <c r="B1337" s="28" t="s">
        <v>11311</v>
      </c>
    </row>
    <row r="1338" spans="1:2" x14ac:dyDescent="0.25">
      <c r="A1338" s="27">
        <v>4120402</v>
      </c>
      <c r="B1338" s="28" t="s">
        <v>11312</v>
      </c>
    </row>
    <row r="1339" spans="1:2" x14ac:dyDescent="0.25">
      <c r="A1339" s="27">
        <v>4120418</v>
      </c>
      <c r="B1339" s="28" t="s">
        <v>11313</v>
      </c>
    </row>
    <row r="1340" spans="1:2" x14ac:dyDescent="0.25">
      <c r="A1340" s="27">
        <v>4120419</v>
      </c>
      <c r="B1340" s="28" t="s">
        <v>11314</v>
      </c>
    </row>
    <row r="1341" spans="1:2" x14ac:dyDescent="0.25">
      <c r="A1341" s="27">
        <v>4120420</v>
      </c>
      <c r="B1341" s="28" t="s">
        <v>11315</v>
      </c>
    </row>
    <row r="1342" spans="1:2" x14ac:dyDescent="0.25">
      <c r="A1342" s="27">
        <v>4120421</v>
      </c>
      <c r="B1342" s="25" t="s">
        <v>11316</v>
      </c>
    </row>
    <row r="1343" spans="1:2" x14ac:dyDescent="0.25">
      <c r="A1343" s="27">
        <v>4120442</v>
      </c>
      <c r="B1343" s="28" t="s">
        <v>11317</v>
      </c>
    </row>
    <row r="1344" spans="1:2" x14ac:dyDescent="0.25">
      <c r="A1344" s="27">
        <v>4120443</v>
      </c>
      <c r="B1344" s="28" t="s">
        <v>11318</v>
      </c>
    </row>
    <row r="1345" spans="1:2" x14ac:dyDescent="0.25">
      <c r="A1345" s="27">
        <v>4120444</v>
      </c>
      <c r="B1345" s="28" t="s">
        <v>11319</v>
      </c>
    </row>
    <row r="1346" spans="1:2" x14ac:dyDescent="0.25">
      <c r="A1346" s="27">
        <v>4120450</v>
      </c>
      <c r="B1346" s="28" t="s">
        <v>11320</v>
      </c>
    </row>
    <row r="1347" spans="1:2" x14ac:dyDescent="0.25">
      <c r="A1347" s="27">
        <v>4120451</v>
      </c>
      <c r="B1347" s="28" t="s">
        <v>11321</v>
      </c>
    </row>
    <row r="1348" spans="1:2" x14ac:dyDescent="0.25">
      <c r="A1348" s="27">
        <v>4120454</v>
      </c>
      <c r="B1348" s="28" t="s">
        <v>11322</v>
      </c>
    </row>
    <row r="1349" spans="1:2" x14ac:dyDescent="0.25">
      <c r="A1349" s="27">
        <v>4120455</v>
      </c>
      <c r="B1349" s="28" t="s">
        <v>11323</v>
      </c>
    </row>
    <row r="1350" spans="1:2" x14ac:dyDescent="0.25">
      <c r="A1350" s="27">
        <v>4120456</v>
      </c>
      <c r="B1350" s="28" t="s">
        <v>11324</v>
      </c>
    </row>
    <row r="1351" spans="1:2" x14ac:dyDescent="0.25">
      <c r="A1351" s="27">
        <v>4120457</v>
      </c>
      <c r="B1351" s="28" t="s">
        <v>9011</v>
      </c>
    </row>
    <row r="1352" spans="1:2" x14ac:dyDescent="0.25">
      <c r="A1352" s="27">
        <v>4120458</v>
      </c>
      <c r="B1352" s="28" t="s">
        <v>11325</v>
      </c>
    </row>
    <row r="1353" spans="1:2" x14ac:dyDescent="0.25">
      <c r="A1353" s="27">
        <v>4120459</v>
      </c>
      <c r="B1353" s="28" t="s">
        <v>11326</v>
      </c>
    </row>
    <row r="1354" spans="1:2" x14ac:dyDescent="0.25">
      <c r="A1354" s="27">
        <v>4120460</v>
      </c>
      <c r="B1354" s="28" t="s">
        <v>9012</v>
      </c>
    </row>
    <row r="1355" spans="1:2" x14ac:dyDescent="0.25">
      <c r="A1355" s="27">
        <v>4120461</v>
      </c>
      <c r="B1355" s="28" t="s">
        <v>9013</v>
      </c>
    </row>
    <row r="1356" spans="1:2" x14ac:dyDescent="0.25">
      <c r="A1356" s="27">
        <v>4120462</v>
      </c>
      <c r="B1356" s="28" t="s">
        <v>11327</v>
      </c>
    </row>
    <row r="1357" spans="1:2" x14ac:dyDescent="0.25">
      <c r="A1357" s="27">
        <v>4120464</v>
      </c>
      <c r="B1357" s="28" t="s">
        <v>11328</v>
      </c>
    </row>
    <row r="1358" spans="1:2" x14ac:dyDescent="0.25">
      <c r="A1358" s="27" t="s">
        <v>13547</v>
      </c>
      <c r="B1358" s="28"/>
    </row>
    <row r="1359" spans="1:2" x14ac:dyDescent="0.25">
      <c r="A1359" s="27">
        <v>4120465</v>
      </c>
      <c r="B1359" s="28" t="s">
        <v>11329</v>
      </c>
    </row>
    <row r="1360" spans="1:2" x14ac:dyDescent="0.25">
      <c r="A1360" s="27">
        <v>4120466</v>
      </c>
      <c r="B1360" s="28" t="s">
        <v>11330</v>
      </c>
    </row>
    <row r="1361" spans="1:2" x14ac:dyDescent="0.25">
      <c r="A1361" s="27">
        <v>4120467</v>
      </c>
      <c r="B1361" s="28" t="s">
        <v>11331</v>
      </c>
    </row>
    <row r="1362" spans="1:2" x14ac:dyDescent="0.25">
      <c r="A1362" s="27">
        <v>4120495</v>
      </c>
      <c r="B1362" s="28" t="s">
        <v>9001</v>
      </c>
    </row>
    <row r="1363" spans="1:2" x14ac:dyDescent="0.25">
      <c r="A1363" s="27">
        <v>4120496</v>
      </c>
      <c r="B1363" s="28" t="s">
        <v>9002</v>
      </c>
    </row>
    <row r="1364" spans="1:2" x14ac:dyDescent="0.25">
      <c r="A1364" s="27">
        <v>4120497</v>
      </c>
      <c r="B1364" s="28" t="s">
        <v>9003</v>
      </c>
    </row>
    <row r="1365" spans="1:2" x14ac:dyDescent="0.25">
      <c r="A1365" s="27">
        <v>4120500</v>
      </c>
      <c r="B1365" s="28" t="s">
        <v>11332</v>
      </c>
    </row>
    <row r="1366" spans="1:2" x14ac:dyDescent="0.25">
      <c r="A1366" s="27">
        <v>4120501</v>
      </c>
      <c r="B1366" s="28" t="s">
        <v>11333</v>
      </c>
    </row>
    <row r="1367" spans="1:2" x14ac:dyDescent="0.25">
      <c r="A1367" s="27">
        <v>4120502</v>
      </c>
      <c r="B1367" s="28" t="s">
        <v>11334</v>
      </c>
    </row>
    <row r="1368" spans="1:2" x14ac:dyDescent="0.25">
      <c r="A1368" s="27">
        <v>4120505</v>
      </c>
      <c r="B1368" s="28" t="s">
        <v>11335</v>
      </c>
    </row>
    <row r="1369" spans="1:2" x14ac:dyDescent="0.25">
      <c r="A1369" s="27">
        <v>4120506</v>
      </c>
      <c r="B1369" s="28" t="s">
        <v>11336</v>
      </c>
    </row>
    <row r="1370" spans="1:2" x14ac:dyDescent="0.25">
      <c r="A1370" s="27">
        <v>4120507</v>
      </c>
      <c r="B1370" s="28" t="s">
        <v>11337</v>
      </c>
    </row>
    <row r="1371" spans="1:2" x14ac:dyDescent="0.25">
      <c r="A1371" s="27">
        <v>4120544</v>
      </c>
      <c r="B1371" s="28" t="s">
        <v>8894</v>
      </c>
    </row>
    <row r="1372" spans="1:2" x14ac:dyDescent="0.25">
      <c r="A1372" s="27">
        <v>4120545</v>
      </c>
      <c r="B1372" s="28" t="s">
        <v>8896</v>
      </c>
    </row>
    <row r="1373" spans="1:2" x14ac:dyDescent="0.25">
      <c r="A1373" s="27">
        <v>4120546</v>
      </c>
      <c r="B1373" s="28" t="s">
        <v>11338</v>
      </c>
    </row>
    <row r="1374" spans="1:2" x14ac:dyDescent="0.25">
      <c r="A1374" s="27">
        <v>4120549</v>
      </c>
      <c r="B1374" s="28" t="s">
        <v>11339</v>
      </c>
    </row>
    <row r="1375" spans="1:2" x14ac:dyDescent="0.25">
      <c r="A1375" s="27">
        <v>4120567</v>
      </c>
      <c r="B1375" s="28" t="s">
        <v>8902</v>
      </c>
    </row>
    <row r="1376" spans="1:2" x14ac:dyDescent="0.25">
      <c r="A1376" s="27">
        <v>4120568</v>
      </c>
      <c r="B1376" s="28" t="s">
        <v>8903</v>
      </c>
    </row>
    <row r="1377" spans="1:2" x14ac:dyDescent="0.25">
      <c r="A1377" s="27">
        <v>4120569</v>
      </c>
      <c r="B1377" s="28" t="s">
        <v>8904</v>
      </c>
    </row>
    <row r="1378" spans="1:2" x14ac:dyDescent="0.25">
      <c r="A1378" s="27">
        <v>4120570</v>
      </c>
      <c r="B1378" s="28" t="s">
        <v>11340</v>
      </c>
    </row>
    <row r="1379" spans="1:2" x14ac:dyDescent="0.25">
      <c r="A1379" s="27">
        <v>4120600</v>
      </c>
      <c r="B1379" s="28" t="s">
        <v>8859</v>
      </c>
    </row>
    <row r="1380" spans="1:2" x14ac:dyDescent="0.25">
      <c r="A1380" s="27">
        <v>4120601</v>
      </c>
      <c r="B1380" s="28" t="s">
        <v>8860</v>
      </c>
    </row>
    <row r="1381" spans="1:2" x14ac:dyDescent="0.25">
      <c r="A1381" s="27">
        <v>4120602</v>
      </c>
      <c r="B1381" s="28" t="s">
        <v>8861</v>
      </c>
    </row>
    <row r="1382" spans="1:2" x14ac:dyDescent="0.25">
      <c r="A1382" s="27">
        <v>4120625</v>
      </c>
      <c r="B1382" s="28" t="s">
        <v>8917</v>
      </c>
    </row>
    <row r="1383" spans="1:2" x14ac:dyDescent="0.25">
      <c r="A1383" s="27">
        <v>4120627</v>
      </c>
      <c r="B1383" s="28" t="s">
        <v>8918</v>
      </c>
    </row>
    <row r="1384" spans="1:2" x14ac:dyDescent="0.25">
      <c r="A1384" s="27">
        <v>4120628</v>
      </c>
      <c r="B1384" s="28" t="s">
        <v>11341</v>
      </c>
    </row>
    <row r="1385" spans="1:2" x14ac:dyDescent="0.25">
      <c r="A1385" s="27">
        <v>4120670</v>
      </c>
      <c r="B1385" s="28" t="s">
        <v>8900</v>
      </c>
    </row>
    <row r="1386" spans="1:2" x14ac:dyDescent="0.25">
      <c r="A1386" s="27">
        <v>4120672</v>
      </c>
      <c r="B1386" s="28" t="s">
        <v>8901</v>
      </c>
    </row>
    <row r="1387" spans="1:2" x14ac:dyDescent="0.25">
      <c r="A1387" s="27">
        <v>4120674</v>
      </c>
      <c r="B1387" s="28" t="s">
        <v>11342</v>
      </c>
    </row>
    <row r="1388" spans="1:2" x14ac:dyDescent="0.25">
      <c r="A1388" s="27">
        <v>4120676</v>
      </c>
      <c r="B1388" s="28" t="s">
        <v>11343</v>
      </c>
    </row>
    <row r="1389" spans="1:2" x14ac:dyDescent="0.25">
      <c r="A1389" s="27">
        <v>4120700</v>
      </c>
      <c r="B1389" s="28" t="s">
        <v>8913</v>
      </c>
    </row>
    <row r="1390" spans="1:2" x14ac:dyDescent="0.25">
      <c r="A1390" s="27">
        <v>4120701</v>
      </c>
      <c r="B1390" s="28" t="s">
        <v>8914</v>
      </c>
    </row>
    <row r="1391" spans="1:2" x14ac:dyDescent="0.25">
      <c r="A1391" s="27">
        <v>4120702</v>
      </c>
      <c r="B1391" s="28" t="s">
        <v>8915</v>
      </c>
    </row>
    <row r="1392" spans="1:2" x14ac:dyDescent="0.25">
      <c r="A1392" s="27">
        <v>4120750</v>
      </c>
      <c r="B1392" s="28" t="s">
        <v>11344</v>
      </c>
    </row>
    <row r="1393" spans="1:2" x14ac:dyDescent="0.25">
      <c r="A1393" s="27">
        <v>4120751</v>
      </c>
      <c r="B1393" s="28" t="s">
        <v>11345</v>
      </c>
    </row>
    <row r="1394" spans="1:2" x14ac:dyDescent="0.25">
      <c r="A1394" s="27">
        <v>4120752</v>
      </c>
      <c r="B1394" s="28" t="s">
        <v>11346</v>
      </c>
    </row>
    <row r="1395" spans="1:2" x14ac:dyDescent="0.25">
      <c r="A1395" s="27">
        <v>4120753</v>
      </c>
      <c r="B1395" s="28" t="s">
        <v>8962</v>
      </c>
    </row>
    <row r="1396" spans="1:2" x14ac:dyDescent="0.25">
      <c r="A1396" s="27">
        <v>4120754</v>
      </c>
      <c r="B1396" s="28" t="s">
        <v>8963</v>
      </c>
    </row>
    <row r="1397" spans="1:2" x14ac:dyDescent="0.25">
      <c r="A1397" s="27">
        <v>4120755</v>
      </c>
      <c r="B1397" s="28" t="s">
        <v>8964</v>
      </c>
    </row>
    <row r="1398" spans="1:2" x14ac:dyDescent="0.25">
      <c r="A1398" s="27">
        <v>4120770</v>
      </c>
      <c r="B1398" s="28" t="s">
        <v>8981</v>
      </c>
    </row>
    <row r="1399" spans="1:2" x14ac:dyDescent="0.25">
      <c r="A1399" s="27">
        <v>4120771</v>
      </c>
      <c r="B1399" s="28" t="s">
        <v>8982</v>
      </c>
    </row>
    <row r="1400" spans="1:2" x14ac:dyDescent="0.25">
      <c r="A1400" s="27">
        <v>4120772</v>
      </c>
      <c r="B1400" s="28" t="s">
        <v>8983</v>
      </c>
    </row>
    <row r="1401" spans="1:2" x14ac:dyDescent="0.25">
      <c r="A1401" s="27">
        <v>4120773</v>
      </c>
      <c r="B1401" s="28" t="s">
        <v>11347</v>
      </c>
    </row>
    <row r="1402" spans="1:2" x14ac:dyDescent="0.25">
      <c r="A1402" s="27">
        <v>4120778</v>
      </c>
      <c r="B1402" s="28" t="s">
        <v>8895</v>
      </c>
    </row>
    <row r="1403" spans="1:2" x14ac:dyDescent="0.25">
      <c r="A1403" s="27">
        <v>4120790</v>
      </c>
      <c r="B1403" s="28" t="s">
        <v>8976</v>
      </c>
    </row>
    <row r="1404" spans="1:2" x14ac:dyDescent="0.25">
      <c r="A1404" s="27">
        <v>4120791</v>
      </c>
      <c r="B1404" s="28" t="s">
        <v>8977</v>
      </c>
    </row>
    <row r="1405" spans="1:2" x14ac:dyDescent="0.25">
      <c r="A1405" s="27">
        <v>4120792</v>
      </c>
      <c r="B1405" s="28" t="s">
        <v>11348</v>
      </c>
    </row>
    <row r="1406" spans="1:2" x14ac:dyDescent="0.25">
      <c r="A1406" s="27">
        <v>4120800</v>
      </c>
      <c r="B1406" s="28" t="s">
        <v>8893</v>
      </c>
    </row>
    <row r="1407" spans="1:2" x14ac:dyDescent="0.25">
      <c r="A1407" s="27">
        <v>4120813</v>
      </c>
      <c r="B1407" s="28" t="s">
        <v>11248</v>
      </c>
    </row>
    <row r="1408" spans="1:2" x14ac:dyDescent="0.25">
      <c r="A1408" s="27">
        <v>4120846</v>
      </c>
      <c r="B1408" s="28" t="s">
        <v>11349</v>
      </c>
    </row>
    <row r="1409" spans="1:2" x14ac:dyDescent="0.25">
      <c r="A1409" s="27">
        <v>4120850</v>
      </c>
      <c r="B1409" s="28" t="s">
        <v>8960</v>
      </c>
    </row>
    <row r="1410" spans="1:2" x14ac:dyDescent="0.25">
      <c r="A1410" s="27">
        <v>4120851</v>
      </c>
      <c r="B1410" s="28" t="s">
        <v>11350</v>
      </c>
    </row>
    <row r="1411" spans="1:2" x14ac:dyDescent="0.25">
      <c r="A1411" s="27">
        <v>4120852</v>
      </c>
      <c r="B1411" s="28" t="s">
        <v>8961</v>
      </c>
    </row>
    <row r="1412" spans="1:2" x14ac:dyDescent="0.25">
      <c r="A1412" s="27">
        <v>4120853</v>
      </c>
      <c r="B1412" s="28" t="s">
        <v>8938</v>
      </c>
    </row>
    <row r="1413" spans="1:2" x14ac:dyDescent="0.25">
      <c r="A1413" s="27">
        <v>4120854</v>
      </c>
      <c r="B1413" s="28" t="s">
        <v>8865</v>
      </c>
    </row>
    <row r="1414" spans="1:2" x14ac:dyDescent="0.25">
      <c r="A1414" s="27">
        <v>4120855</v>
      </c>
      <c r="B1414" s="28" t="s">
        <v>8939</v>
      </c>
    </row>
    <row r="1415" spans="1:2" x14ac:dyDescent="0.25">
      <c r="A1415" s="27">
        <v>4120857</v>
      </c>
      <c r="B1415" s="28" t="s">
        <v>8940</v>
      </c>
    </row>
    <row r="1416" spans="1:2" x14ac:dyDescent="0.25">
      <c r="A1416" s="27">
        <v>4120860</v>
      </c>
      <c r="B1416" s="28" t="s">
        <v>8882</v>
      </c>
    </row>
    <row r="1417" spans="1:2" x14ac:dyDescent="0.25">
      <c r="A1417" s="27">
        <v>4120870</v>
      </c>
      <c r="B1417" s="28" t="s">
        <v>8883</v>
      </c>
    </row>
    <row r="1418" spans="1:2" x14ac:dyDescent="0.25">
      <c r="A1418" s="27">
        <v>4120880</v>
      </c>
      <c r="B1418" s="28" t="s">
        <v>8884</v>
      </c>
    </row>
    <row r="1419" spans="1:2" x14ac:dyDescent="0.25">
      <c r="A1419" s="27">
        <v>4120881</v>
      </c>
      <c r="B1419" s="28" t="s">
        <v>11351</v>
      </c>
    </row>
    <row r="1420" spans="1:2" x14ac:dyDescent="0.25">
      <c r="A1420" s="27">
        <v>4120890</v>
      </c>
      <c r="B1420" s="28" t="s">
        <v>8885</v>
      </c>
    </row>
    <row r="1421" spans="1:2" x14ac:dyDescent="0.25">
      <c r="A1421" s="27">
        <v>4120900</v>
      </c>
      <c r="B1421" s="28" t="s">
        <v>8972</v>
      </c>
    </row>
    <row r="1422" spans="1:2" x14ac:dyDescent="0.25">
      <c r="A1422" s="27">
        <v>4120901</v>
      </c>
      <c r="B1422" s="28" t="s">
        <v>8973</v>
      </c>
    </row>
    <row r="1423" spans="1:2" x14ac:dyDescent="0.25">
      <c r="A1423" s="27">
        <v>4120902</v>
      </c>
      <c r="B1423" s="28" t="s">
        <v>8974</v>
      </c>
    </row>
    <row r="1424" spans="1:2" x14ac:dyDescent="0.25">
      <c r="A1424" s="27">
        <v>4120903</v>
      </c>
      <c r="B1424" s="28" t="s">
        <v>8975</v>
      </c>
    </row>
    <row r="1425" spans="1:2" x14ac:dyDescent="0.25">
      <c r="A1425" s="27">
        <v>4120905</v>
      </c>
      <c r="B1425" s="28" t="s">
        <v>8911</v>
      </c>
    </row>
    <row r="1426" spans="1:2" x14ac:dyDescent="0.25">
      <c r="A1426" s="27">
        <v>4120906</v>
      </c>
      <c r="B1426" s="28" t="s">
        <v>8912</v>
      </c>
    </row>
    <row r="1427" spans="1:2" x14ac:dyDescent="0.25">
      <c r="A1427" s="27">
        <v>4120910</v>
      </c>
      <c r="B1427" s="28" t="s">
        <v>9008</v>
      </c>
    </row>
    <row r="1428" spans="1:2" x14ac:dyDescent="0.25">
      <c r="A1428" s="27">
        <v>4120911</v>
      </c>
      <c r="B1428" s="28" t="s">
        <v>9009</v>
      </c>
    </row>
    <row r="1429" spans="1:2" x14ac:dyDescent="0.25">
      <c r="A1429" s="27">
        <v>4120912</v>
      </c>
      <c r="B1429" s="28" t="s">
        <v>9010</v>
      </c>
    </row>
    <row r="1430" spans="1:2" x14ac:dyDescent="0.25">
      <c r="A1430" s="27">
        <v>4120913</v>
      </c>
      <c r="B1430" s="28" t="s">
        <v>9004</v>
      </c>
    </row>
    <row r="1431" spans="1:2" x14ac:dyDescent="0.25">
      <c r="A1431" s="27">
        <v>4120914</v>
      </c>
      <c r="B1431" s="28" t="s">
        <v>9005</v>
      </c>
    </row>
    <row r="1432" spans="1:2" x14ac:dyDescent="0.25">
      <c r="A1432" s="27">
        <v>4120915</v>
      </c>
      <c r="B1432" s="28" t="s">
        <v>9006</v>
      </c>
    </row>
    <row r="1433" spans="1:2" x14ac:dyDescent="0.25">
      <c r="A1433" s="27">
        <v>4120916</v>
      </c>
      <c r="B1433" s="28" t="s">
        <v>9007</v>
      </c>
    </row>
    <row r="1434" spans="1:2" x14ac:dyDescent="0.25">
      <c r="A1434" s="27">
        <v>4120917</v>
      </c>
      <c r="B1434" s="28" t="s">
        <v>11352</v>
      </c>
    </row>
    <row r="1435" spans="1:2" x14ac:dyDescent="0.25">
      <c r="A1435" s="27">
        <v>4120950</v>
      </c>
      <c r="B1435" s="28" t="s">
        <v>8995</v>
      </c>
    </row>
    <row r="1436" spans="1:2" x14ac:dyDescent="0.25">
      <c r="A1436" s="27">
        <v>4120951</v>
      </c>
      <c r="B1436" s="28" t="s">
        <v>8996</v>
      </c>
    </row>
    <row r="1437" spans="1:2" x14ac:dyDescent="0.25">
      <c r="A1437" s="27">
        <v>4120952</v>
      </c>
      <c r="B1437" s="28" t="s">
        <v>8997</v>
      </c>
    </row>
    <row r="1438" spans="1:2" x14ac:dyDescent="0.25">
      <c r="A1438" s="27">
        <v>4120953</v>
      </c>
      <c r="B1438" s="28" t="s">
        <v>11353</v>
      </c>
    </row>
    <row r="1439" spans="1:2" x14ac:dyDescent="0.25">
      <c r="A1439" s="27">
        <v>4120954</v>
      </c>
      <c r="B1439" s="28" t="s">
        <v>11354</v>
      </c>
    </row>
    <row r="1440" spans="1:2" x14ac:dyDescent="0.25">
      <c r="A1440" s="27">
        <v>4120963</v>
      </c>
      <c r="B1440" s="28" t="s">
        <v>8998</v>
      </c>
    </row>
    <row r="1441" spans="1:2" x14ac:dyDescent="0.25">
      <c r="A1441" s="27">
        <v>4120982</v>
      </c>
      <c r="B1441" s="28" t="s">
        <v>8916</v>
      </c>
    </row>
    <row r="1442" spans="1:2" x14ac:dyDescent="0.25">
      <c r="A1442" s="27">
        <v>4120987</v>
      </c>
      <c r="B1442" s="28" t="s">
        <v>8993</v>
      </c>
    </row>
    <row r="1443" spans="1:2" x14ac:dyDescent="0.25">
      <c r="A1443" s="27">
        <v>4120988</v>
      </c>
      <c r="B1443" s="28" t="s">
        <v>8994</v>
      </c>
    </row>
    <row r="1444" spans="1:2" x14ac:dyDescent="0.25">
      <c r="A1444" s="27">
        <v>4120989</v>
      </c>
      <c r="B1444" s="28" t="s">
        <v>11355</v>
      </c>
    </row>
    <row r="1445" spans="1:2" x14ac:dyDescent="0.25">
      <c r="A1445" s="27">
        <v>4120999</v>
      </c>
      <c r="B1445" s="28" t="s">
        <v>12328</v>
      </c>
    </row>
    <row r="1446" spans="1:2" x14ac:dyDescent="0.25">
      <c r="A1446" s="27">
        <v>4129001</v>
      </c>
      <c r="B1446" s="28" t="s">
        <v>11356</v>
      </c>
    </row>
    <row r="1447" spans="1:2" x14ac:dyDescent="0.25">
      <c r="A1447" s="27">
        <v>4130123</v>
      </c>
      <c r="B1447" s="28" t="s">
        <v>11357</v>
      </c>
    </row>
    <row r="1448" spans="1:2" x14ac:dyDescent="0.25">
      <c r="A1448" s="27">
        <v>4130124</v>
      </c>
      <c r="B1448" s="28" t="s">
        <v>11358</v>
      </c>
    </row>
    <row r="1449" spans="1:2" x14ac:dyDescent="0.25">
      <c r="A1449" s="27">
        <v>4130125</v>
      </c>
      <c r="B1449" s="28" t="s">
        <v>11359</v>
      </c>
    </row>
    <row r="1450" spans="1:2" x14ac:dyDescent="0.25">
      <c r="A1450" s="27">
        <v>4130126</v>
      </c>
      <c r="B1450" s="28" t="s">
        <v>11360</v>
      </c>
    </row>
    <row r="1451" spans="1:2" x14ac:dyDescent="0.25">
      <c r="A1451" s="27">
        <v>4130127</v>
      </c>
      <c r="B1451" s="28" t="s">
        <v>11361</v>
      </c>
    </row>
    <row r="1452" spans="1:2" x14ac:dyDescent="0.25">
      <c r="A1452" s="27">
        <v>4130128</v>
      </c>
      <c r="B1452" s="28" t="s">
        <v>11362</v>
      </c>
    </row>
    <row r="1453" spans="1:2" x14ac:dyDescent="0.25">
      <c r="A1453" s="27">
        <v>4130150</v>
      </c>
      <c r="B1453" s="28" t="s">
        <v>8869</v>
      </c>
    </row>
    <row r="1454" spans="1:2" x14ac:dyDescent="0.25">
      <c r="A1454" s="27">
        <v>4130151</v>
      </c>
      <c r="B1454" s="28" t="s">
        <v>8870</v>
      </c>
    </row>
    <row r="1455" spans="1:2" x14ac:dyDescent="0.25">
      <c r="A1455" s="27">
        <v>4130152</v>
      </c>
      <c r="B1455" s="28" t="s">
        <v>8871</v>
      </c>
    </row>
    <row r="1456" spans="1:2" x14ac:dyDescent="0.25">
      <c r="A1456" s="27">
        <v>4130234</v>
      </c>
      <c r="B1456" s="28" t="s">
        <v>11363</v>
      </c>
    </row>
    <row r="1457" spans="1:2" x14ac:dyDescent="0.25">
      <c r="A1457" s="27">
        <v>4130771</v>
      </c>
      <c r="B1457" s="28" t="s">
        <v>8944</v>
      </c>
    </row>
    <row r="1458" spans="1:2" x14ac:dyDescent="0.25">
      <c r="A1458" s="27">
        <v>4130776</v>
      </c>
      <c r="B1458" s="28" t="s">
        <v>11364</v>
      </c>
    </row>
    <row r="1459" spans="1:2" x14ac:dyDescent="0.25">
      <c r="A1459" s="27">
        <v>4130777</v>
      </c>
      <c r="B1459" s="28" t="s">
        <v>8868</v>
      </c>
    </row>
    <row r="1460" spans="1:2" x14ac:dyDescent="0.25">
      <c r="A1460" s="27">
        <v>4130950</v>
      </c>
      <c r="B1460" s="28" t="s">
        <v>8945</v>
      </c>
    </row>
    <row r="1461" spans="1:2" x14ac:dyDescent="0.25">
      <c r="A1461" s="27">
        <v>4307349</v>
      </c>
      <c r="B1461" s="28" t="s">
        <v>11365</v>
      </c>
    </row>
    <row r="1462" spans="1:2" x14ac:dyDescent="0.25">
      <c r="A1462" s="27">
        <v>4829230</v>
      </c>
      <c r="B1462" s="28" t="s">
        <v>11217</v>
      </c>
    </row>
    <row r="1463" spans="1:2" x14ac:dyDescent="0.25">
      <c r="A1463" s="27" t="s">
        <v>13548</v>
      </c>
      <c r="B1463" s="25"/>
    </row>
    <row r="1464" spans="1:2" x14ac:dyDescent="0.25">
      <c r="A1464" s="27">
        <v>5</v>
      </c>
      <c r="B1464" s="28" t="s">
        <v>13549</v>
      </c>
    </row>
    <row r="1465" spans="1:2" x14ac:dyDescent="0.25">
      <c r="A1465" s="27">
        <v>5101001</v>
      </c>
      <c r="B1465" s="28" t="s">
        <v>9087</v>
      </c>
    </row>
    <row r="1466" spans="1:2" x14ac:dyDescent="0.25">
      <c r="A1466" s="27">
        <v>5101002</v>
      </c>
      <c r="B1466" s="28" t="s">
        <v>9697</v>
      </c>
    </row>
    <row r="1467" spans="1:2" x14ac:dyDescent="0.25">
      <c r="A1467" s="27">
        <v>5101003</v>
      </c>
      <c r="B1467" s="28" t="s">
        <v>9088</v>
      </c>
    </row>
    <row r="1468" spans="1:2" x14ac:dyDescent="0.25">
      <c r="A1468" s="27">
        <v>5101004</v>
      </c>
      <c r="B1468" s="28" t="s">
        <v>8400</v>
      </c>
    </row>
    <row r="1469" spans="1:2" x14ac:dyDescent="0.25">
      <c r="A1469" s="27">
        <v>5101005</v>
      </c>
      <c r="B1469" s="28" t="s">
        <v>9120</v>
      </c>
    </row>
    <row r="1470" spans="1:2" x14ac:dyDescent="0.25">
      <c r="A1470" s="27">
        <v>5101006</v>
      </c>
      <c r="B1470" s="28" t="s">
        <v>9672</v>
      </c>
    </row>
    <row r="1471" spans="1:2" x14ac:dyDescent="0.25">
      <c r="A1471" s="27">
        <v>5101007</v>
      </c>
      <c r="B1471" s="28" t="s">
        <v>11366</v>
      </c>
    </row>
    <row r="1472" spans="1:2" x14ac:dyDescent="0.25">
      <c r="A1472" s="27">
        <v>5101008</v>
      </c>
      <c r="B1472" s="28" t="s">
        <v>9678</v>
      </c>
    </row>
    <row r="1473" spans="1:2" x14ac:dyDescent="0.25">
      <c r="A1473" s="27">
        <v>5101009</v>
      </c>
      <c r="B1473" s="28" t="s">
        <v>9036</v>
      </c>
    </row>
    <row r="1474" spans="1:2" x14ac:dyDescent="0.25">
      <c r="A1474" s="27">
        <v>5101010</v>
      </c>
      <c r="B1474" s="28" t="s">
        <v>9133</v>
      </c>
    </row>
    <row r="1475" spans="1:2" x14ac:dyDescent="0.25">
      <c r="A1475" s="27">
        <v>5101011</v>
      </c>
      <c r="B1475" s="28" t="s">
        <v>9038</v>
      </c>
    </row>
    <row r="1476" spans="1:2" x14ac:dyDescent="0.25">
      <c r="A1476" s="27">
        <v>5101012</v>
      </c>
      <c r="B1476" s="28" t="s">
        <v>9677</v>
      </c>
    </row>
    <row r="1477" spans="1:2" x14ac:dyDescent="0.25">
      <c r="A1477" s="27">
        <v>5101013</v>
      </c>
      <c r="B1477" s="28" t="s">
        <v>9134</v>
      </c>
    </row>
    <row r="1478" spans="1:2" x14ac:dyDescent="0.25">
      <c r="A1478" s="27">
        <v>5101014</v>
      </c>
      <c r="B1478" s="28" t="s">
        <v>11367</v>
      </c>
    </row>
    <row r="1479" spans="1:2" x14ac:dyDescent="0.25">
      <c r="A1479" s="27">
        <v>5101015</v>
      </c>
      <c r="B1479" s="28" t="s">
        <v>11368</v>
      </c>
    </row>
    <row r="1480" spans="1:2" x14ac:dyDescent="0.25">
      <c r="A1480" s="27">
        <v>5101016</v>
      </c>
      <c r="B1480" s="28" t="s">
        <v>11369</v>
      </c>
    </row>
    <row r="1481" spans="1:2" x14ac:dyDescent="0.25">
      <c r="A1481" s="27">
        <v>5101017</v>
      </c>
      <c r="B1481" s="28" t="s">
        <v>11370</v>
      </c>
    </row>
    <row r="1482" spans="1:2" x14ac:dyDescent="0.25">
      <c r="A1482" s="27" t="s">
        <v>13550</v>
      </c>
      <c r="B1482" s="28"/>
    </row>
    <row r="1483" spans="1:2" x14ac:dyDescent="0.25">
      <c r="A1483" s="27">
        <v>5101018</v>
      </c>
      <c r="B1483" s="28" t="s">
        <v>11371</v>
      </c>
    </row>
    <row r="1484" spans="1:2" x14ac:dyDescent="0.25">
      <c r="A1484" s="27">
        <v>5101021</v>
      </c>
      <c r="B1484" s="28" t="s">
        <v>11372</v>
      </c>
    </row>
    <row r="1485" spans="1:2" x14ac:dyDescent="0.25">
      <c r="A1485" s="27">
        <v>5101022</v>
      </c>
      <c r="B1485" s="28" t="s">
        <v>9043</v>
      </c>
    </row>
    <row r="1486" spans="1:2" x14ac:dyDescent="0.25">
      <c r="A1486" s="27">
        <v>5101026</v>
      </c>
      <c r="B1486" s="28" t="s">
        <v>9693</v>
      </c>
    </row>
    <row r="1487" spans="1:2" x14ac:dyDescent="0.25">
      <c r="A1487" s="27">
        <v>5101027</v>
      </c>
      <c r="B1487" s="28" t="s">
        <v>9694</v>
      </c>
    </row>
    <row r="1488" spans="1:2" x14ac:dyDescent="0.25">
      <c r="A1488" s="27">
        <v>5101028</v>
      </c>
      <c r="B1488" s="28" t="s">
        <v>9684</v>
      </c>
    </row>
    <row r="1489" spans="1:2" x14ac:dyDescent="0.25">
      <c r="A1489" s="27">
        <v>5101029</v>
      </c>
      <c r="B1489" s="28" t="s">
        <v>9683</v>
      </c>
    </row>
    <row r="1490" spans="1:2" x14ac:dyDescent="0.25">
      <c r="A1490" s="27">
        <v>5101030</v>
      </c>
      <c r="B1490" s="28" t="s">
        <v>9647</v>
      </c>
    </row>
    <row r="1491" spans="1:2" x14ac:dyDescent="0.25">
      <c r="A1491" s="27">
        <v>5101031</v>
      </c>
      <c r="B1491" s="28" t="s">
        <v>9649</v>
      </c>
    </row>
    <row r="1492" spans="1:2" x14ac:dyDescent="0.25">
      <c r="A1492" s="27">
        <v>5101032</v>
      </c>
      <c r="B1492" s="28" t="s">
        <v>9648</v>
      </c>
    </row>
    <row r="1493" spans="1:2" x14ac:dyDescent="0.25">
      <c r="A1493" s="27">
        <v>5101033</v>
      </c>
      <c r="B1493" s="28" t="s">
        <v>9658</v>
      </c>
    </row>
    <row r="1494" spans="1:2" x14ac:dyDescent="0.25">
      <c r="A1494" s="27">
        <v>5101034</v>
      </c>
      <c r="B1494" s="28" t="s">
        <v>9659</v>
      </c>
    </row>
    <row r="1495" spans="1:2" x14ac:dyDescent="0.25">
      <c r="A1495" s="27">
        <v>5101035</v>
      </c>
      <c r="B1495" s="28" t="s">
        <v>11373</v>
      </c>
    </row>
    <row r="1496" spans="1:2" x14ac:dyDescent="0.25">
      <c r="A1496" s="27">
        <v>5101036</v>
      </c>
      <c r="B1496" s="28" t="s">
        <v>11374</v>
      </c>
    </row>
    <row r="1497" spans="1:2" x14ac:dyDescent="0.25">
      <c r="A1497" s="27">
        <v>5101037</v>
      </c>
      <c r="B1497" s="28" t="s">
        <v>11375</v>
      </c>
    </row>
    <row r="1498" spans="1:2" x14ac:dyDescent="0.25">
      <c r="A1498" s="27">
        <v>5101038</v>
      </c>
      <c r="B1498" s="28" t="s">
        <v>11376</v>
      </c>
    </row>
    <row r="1499" spans="1:2" x14ac:dyDescent="0.25">
      <c r="A1499" s="27">
        <v>5101040</v>
      </c>
      <c r="B1499" s="28" t="s">
        <v>11377</v>
      </c>
    </row>
    <row r="1500" spans="1:2" x14ac:dyDescent="0.25">
      <c r="A1500" s="27">
        <v>5101041</v>
      </c>
      <c r="B1500" s="28" t="s">
        <v>11378</v>
      </c>
    </row>
    <row r="1501" spans="1:2" x14ac:dyDescent="0.25">
      <c r="A1501" s="27">
        <v>5101042</v>
      </c>
      <c r="B1501" s="28" t="s">
        <v>11379</v>
      </c>
    </row>
    <row r="1502" spans="1:2" x14ac:dyDescent="0.25">
      <c r="A1502" s="27">
        <v>5101044</v>
      </c>
      <c r="B1502" s="28" t="s">
        <v>11380</v>
      </c>
    </row>
    <row r="1503" spans="1:2" x14ac:dyDescent="0.25">
      <c r="A1503" s="27">
        <v>5101046</v>
      </c>
      <c r="B1503" s="28" t="s">
        <v>9665</v>
      </c>
    </row>
    <row r="1504" spans="1:2" x14ac:dyDescent="0.25">
      <c r="A1504" s="27">
        <v>5101047</v>
      </c>
      <c r="B1504" s="28" t="s">
        <v>9664</v>
      </c>
    </row>
    <row r="1505" spans="1:2" x14ac:dyDescent="0.25">
      <c r="A1505" s="27">
        <v>5101048</v>
      </c>
      <c r="B1505" s="28" t="s">
        <v>9663</v>
      </c>
    </row>
    <row r="1506" spans="1:2" x14ac:dyDescent="0.25">
      <c r="A1506" s="27">
        <v>5101049</v>
      </c>
      <c r="B1506" s="28" t="s">
        <v>9662</v>
      </c>
    </row>
    <row r="1507" spans="1:2" x14ac:dyDescent="0.25">
      <c r="A1507" s="27">
        <v>5101050</v>
      </c>
      <c r="B1507" s="28" t="s">
        <v>11381</v>
      </c>
    </row>
    <row r="1508" spans="1:2" x14ac:dyDescent="0.25">
      <c r="A1508" s="27">
        <v>5101051</v>
      </c>
      <c r="B1508" s="28" t="s">
        <v>11382</v>
      </c>
    </row>
    <row r="1509" spans="1:2" x14ac:dyDescent="0.25">
      <c r="A1509" s="27">
        <v>5101052</v>
      </c>
      <c r="B1509" s="28" t="s">
        <v>9666</v>
      </c>
    </row>
    <row r="1510" spans="1:2" x14ac:dyDescent="0.25">
      <c r="A1510" s="27">
        <v>5101053</v>
      </c>
      <c r="B1510" s="28" t="s">
        <v>9667</v>
      </c>
    </row>
    <row r="1511" spans="1:2" x14ac:dyDescent="0.25">
      <c r="A1511" s="27">
        <v>5101083</v>
      </c>
      <c r="B1511" s="28" t="s">
        <v>9046</v>
      </c>
    </row>
    <row r="1512" spans="1:2" x14ac:dyDescent="0.25">
      <c r="A1512" s="27">
        <v>5101087</v>
      </c>
      <c r="B1512" s="28" t="s">
        <v>9091</v>
      </c>
    </row>
    <row r="1513" spans="1:2" x14ac:dyDescent="0.25">
      <c r="A1513" s="27">
        <v>5101088</v>
      </c>
      <c r="B1513" s="28" t="s">
        <v>9090</v>
      </c>
    </row>
    <row r="1514" spans="1:2" x14ac:dyDescent="0.25">
      <c r="A1514" s="27">
        <v>5101090</v>
      </c>
      <c r="B1514" s="28" t="s">
        <v>9094</v>
      </c>
    </row>
    <row r="1515" spans="1:2" x14ac:dyDescent="0.25">
      <c r="A1515" s="27">
        <v>5101091</v>
      </c>
      <c r="B1515" s="28" t="s">
        <v>9095</v>
      </c>
    </row>
    <row r="1516" spans="1:2" x14ac:dyDescent="0.25">
      <c r="A1516" s="27">
        <v>5101092</v>
      </c>
      <c r="B1516" s="28" t="s">
        <v>11383</v>
      </c>
    </row>
    <row r="1517" spans="1:2" x14ac:dyDescent="0.25">
      <c r="A1517" s="27">
        <v>5101093</v>
      </c>
      <c r="B1517" s="28" t="s">
        <v>9096</v>
      </c>
    </row>
    <row r="1518" spans="1:2" x14ac:dyDescent="0.25">
      <c r="A1518" s="27">
        <v>5101094</v>
      </c>
      <c r="B1518" s="28" t="s">
        <v>9097</v>
      </c>
    </row>
    <row r="1519" spans="1:2" x14ac:dyDescent="0.25">
      <c r="A1519" s="27">
        <v>5101100</v>
      </c>
      <c r="B1519" s="28" t="s">
        <v>11384</v>
      </c>
    </row>
    <row r="1520" spans="1:2" x14ac:dyDescent="0.25">
      <c r="A1520" s="27">
        <v>5101101</v>
      </c>
      <c r="B1520" s="28" t="s">
        <v>9093</v>
      </c>
    </row>
    <row r="1521" spans="1:2" x14ac:dyDescent="0.25">
      <c r="A1521" s="27">
        <v>5101102</v>
      </c>
      <c r="B1521" s="28" t="s">
        <v>11385</v>
      </c>
    </row>
    <row r="1522" spans="1:2" x14ac:dyDescent="0.25">
      <c r="A1522" s="27">
        <v>5101104</v>
      </c>
      <c r="B1522" s="28" t="s">
        <v>9034</v>
      </c>
    </row>
    <row r="1523" spans="1:2" x14ac:dyDescent="0.25">
      <c r="A1523" s="27">
        <v>5101105</v>
      </c>
      <c r="B1523" s="28" t="s">
        <v>9118</v>
      </c>
    </row>
    <row r="1524" spans="1:2" x14ac:dyDescent="0.25">
      <c r="A1524" s="27">
        <v>5101106</v>
      </c>
      <c r="B1524" s="28" t="s">
        <v>9092</v>
      </c>
    </row>
    <row r="1525" spans="1:2" x14ac:dyDescent="0.25">
      <c r="A1525" s="27">
        <v>5101108</v>
      </c>
      <c r="B1525" s="28" t="s">
        <v>9049</v>
      </c>
    </row>
    <row r="1526" spans="1:2" x14ac:dyDescent="0.25">
      <c r="A1526" s="27">
        <v>5101109</v>
      </c>
      <c r="B1526" s="28" t="s">
        <v>9050</v>
      </c>
    </row>
    <row r="1527" spans="1:2" x14ac:dyDescent="0.25">
      <c r="A1527" s="27">
        <v>5101112</v>
      </c>
      <c r="B1527" s="28" t="s">
        <v>9223</v>
      </c>
    </row>
    <row r="1528" spans="1:2" x14ac:dyDescent="0.25">
      <c r="A1528" s="27">
        <v>5101113</v>
      </c>
      <c r="B1528" s="28" t="s">
        <v>11386</v>
      </c>
    </row>
    <row r="1529" spans="1:2" x14ac:dyDescent="0.25">
      <c r="A1529" s="27">
        <v>5101114</v>
      </c>
      <c r="B1529" s="28" t="s">
        <v>9033</v>
      </c>
    </row>
    <row r="1530" spans="1:2" x14ac:dyDescent="0.25">
      <c r="A1530" s="27">
        <v>5101115</v>
      </c>
      <c r="B1530" s="28" t="s">
        <v>9030</v>
      </c>
    </row>
    <row r="1531" spans="1:2" x14ac:dyDescent="0.25">
      <c r="A1531" s="27">
        <v>5101116</v>
      </c>
      <c r="B1531" s="28" t="s">
        <v>11387</v>
      </c>
    </row>
    <row r="1532" spans="1:2" x14ac:dyDescent="0.25">
      <c r="A1532" s="27">
        <v>5101118</v>
      </c>
      <c r="B1532" s="28" t="s">
        <v>11388</v>
      </c>
    </row>
    <row r="1533" spans="1:2" x14ac:dyDescent="0.25">
      <c r="A1533" s="27">
        <v>5101119</v>
      </c>
      <c r="B1533" s="28" t="s">
        <v>9039</v>
      </c>
    </row>
    <row r="1534" spans="1:2" x14ac:dyDescent="0.25">
      <c r="A1534" s="27">
        <v>5101125</v>
      </c>
      <c r="B1534" s="28" t="s">
        <v>9040</v>
      </c>
    </row>
    <row r="1535" spans="1:2" x14ac:dyDescent="0.25">
      <c r="A1535" s="27">
        <v>5101132</v>
      </c>
      <c r="B1535" s="28" t="s">
        <v>11389</v>
      </c>
    </row>
    <row r="1536" spans="1:2" x14ac:dyDescent="0.25">
      <c r="A1536" s="27">
        <v>5101133</v>
      </c>
      <c r="B1536" s="28" t="s">
        <v>11390</v>
      </c>
    </row>
    <row r="1537" spans="1:2" x14ac:dyDescent="0.25">
      <c r="A1537" s="27">
        <v>5101135</v>
      </c>
      <c r="B1537" s="28" t="s">
        <v>9099</v>
      </c>
    </row>
    <row r="1538" spans="1:2" x14ac:dyDescent="0.25">
      <c r="A1538" s="27">
        <v>5101136</v>
      </c>
      <c r="B1538" s="28" t="s">
        <v>9100</v>
      </c>
    </row>
    <row r="1539" spans="1:2" x14ac:dyDescent="0.25">
      <c r="A1539" s="27">
        <v>5101138</v>
      </c>
      <c r="B1539" s="28" t="s">
        <v>9098</v>
      </c>
    </row>
    <row r="1540" spans="1:2" x14ac:dyDescent="0.25">
      <c r="A1540" s="27">
        <v>5101140</v>
      </c>
      <c r="B1540" s="28" t="s">
        <v>9670</v>
      </c>
    </row>
    <row r="1541" spans="1:2" x14ac:dyDescent="0.25">
      <c r="A1541" s="27">
        <v>5101141</v>
      </c>
      <c r="B1541" s="28" t="s">
        <v>9671</v>
      </c>
    </row>
    <row r="1542" spans="1:2" x14ac:dyDescent="0.25">
      <c r="A1542" s="27">
        <v>5101142</v>
      </c>
      <c r="B1542" s="28" t="s">
        <v>11391</v>
      </c>
    </row>
    <row r="1543" spans="1:2" x14ac:dyDescent="0.25">
      <c r="A1543" s="27">
        <v>5101145</v>
      </c>
      <c r="B1543" s="28" t="s">
        <v>11392</v>
      </c>
    </row>
    <row r="1544" spans="1:2" x14ac:dyDescent="0.25">
      <c r="A1544" s="27">
        <v>5101146</v>
      </c>
      <c r="B1544" s="28" t="s">
        <v>11393</v>
      </c>
    </row>
    <row r="1545" spans="1:2" x14ac:dyDescent="0.25">
      <c r="A1545" s="27">
        <v>5101147</v>
      </c>
      <c r="B1545" s="28" t="s">
        <v>9081</v>
      </c>
    </row>
    <row r="1546" spans="1:2" x14ac:dyDescent="0.25">
      <c r="A1546" s="27">
        <v>5101148</v>
      </c>
      <c r="B1546" s="28" t="s">
        <v>9082</v>
      </c>
    </row>
    <row r="1547" spans="1:2" x14ac:dyDescent="0.25">
      <c r="A1547" s="27">
        <v>5101149</v>
      </c>
      <c r="B1547" s="28" t="s">
        <v>9086</v>
      </c>
    </row>
    <row r="1548" spans="1:2" x14ac:dyDescent="0.25">
      <c r="A1548" s="27">
        <v>5101150</v>
      </c>
      <c r="B1548" s="28" t="s">
        <v>9035</v>
      </c>
    </row>
    <row r="1549" spans="1:2" x14ac:dyDescent="0.25">
      <c r="A1549" s="27">
        <v>5101151</v>
      </c>
      <c r="B1549" s="28" t="s">
        <v>12329</v>
      </c>
    </row>
    <row r="1550" spans="1:2" x14ac:dyDescent="0.25">
      <c r="A1550" s="27">
        <v>5101158</v>
      </c>
      <c r="B1550" s="28" t="s">
        <v>11394</v>
      </c>
    </row>
    <row r="1551" spans="1:2" x14ac:dyDescent="0.25">
      <c r="A1551" s="27">
        <v>5101159</v>
      </c>
      <c r="B1551" s="28" t="s">
        <v>11395</v>
      </c>
    </row>
    <row r="1552" spans="1:2" x14ac:dyDescent="0.25">
      <c r="A1552" s="27">
        <v>5101165</v>
      </c>
      <c r="B1552" s="28" t="s">
        <v>9673</v>
      </c>
    </row>
    <row r="1553" spans="1:2" x14ac:dyDescent="0.25">
      <c r="A1553" s="27">
        <v>5101166</v>
      </c>
      <c r="B1553" s="28" t="s">
        <v>11396</v>
      </c>
    </row>
    <row r="1554" spans="1:2" x14ac:dyDescent="0.25">
      <c r="A1554" s="27">
        <v>5101170</v>
      </c>
      <c r="B1554" s="28" t="s">
        <v>9083</v>
      </c>
    </row>
    <row r="1555" spans="1:2" x14ac:dyDescent="0.25">
      <c r="A1555" s="27">
        <v>5101171</v>
      </c>
      <c r="B1555" s="28" t="s">
        <v>9085</v>
      </c>
    </row>
    <row r="1556" spans="1:2" x14ac:dyDescent="0.25">
      <c r="A1556" s="27">
        <v>510117100</v>
      </c>
      <c r="B1556" s="28" t="s">
        <v>11397</v>
      </c>
    </row>
    <row r="1557" spans="1:2" x14ac:dyDescent="0.25">
      <c r="A1557" s="27">
        <v>5101172</v>
      </c>
      <c r="B1557" s="28" t="s">
        <v>11398</v>
      </c>
    </row>
    <row r="1558" spans="1:2" x14ac:dyDescent="0.25">
      <c r="A1558" s="27">
        <v>5101185</v>
      </c>
      <c r="B1558" s="28" t="s">
        <v>9055</v>
      </c>
    </row>
    <row r="1559" spans="1:2" x14ac:dyDescent="0.25">
      <c r="A1559" s="27">
        <v>5101186</v>
      </c>
      <c r="B1559" s="28" t="s">
        <v>9056</v>
      </c>
    </row>
    <row r="1560" spans="1:2" x14ac:dyDescent="0.25">
      <c r="A1560" s="27">
        <v>5101187</v>
      </c>
      <c r="B1560" s="28" t="s">
        <v>9103</v>
      </c>
    </row>
    <row r="1561" spans="1:2" x14ac:dyDescent="0.25">
      <c r="A1561" s="27">
        <v>5101188</v>
      </c>
      <c r="B1561" s="28" t="s">
        <v>9104</v>
      </c>
    </row>
    <row r="1562" spans="1:2" x14ac:dyDescent="0.25">
      <c r="A1562" s="27">
        <v>5101189</v>
      </c>
      <c r="B1562" s="28" t="s">
        <v>9105</v>
      </c>
    </row>
    <row r="1563" spans="1:2" x14ac:dyDescent="0.25">
      <c r="A1563" s="27">
        <v>5101190</v>
      </c>
      <c r="B1563" s="28" t="s">
        <v>9051</v>
      </c>
    </row>
    <row r="1564" spans="1:2" x14ac:dyDescent="0.25">
      <c r="A1564" s="27">
        <v>5101191</v>
      </c>
      <c r="B1564" s="28" t="s">
        <v>9052</v>
      </c>
    </row>
    <row r="1565" spans="1:2" x14ac:dyDescent="0.25">
      <c r="A1565" s="27">
        <v>5101192</v>
      </c>
      <c r="B1565" s="28" t="s">
        <v>9101</v>
      </c>
    </row>
    <row r="1566" spans="1:2" x14ac:dyDescent="0.25">
      <c r="A1566" s="27">
        <v>5101193</v>
      </c>
      <c r="B1566" s="28" t="s">
        <v>9102</v>
      </c>
    </row>
    <row r="1567" spans="1:2" x14ac:dyDescent="0.25">
      <c r="A1567" s="27">
        <v>5101195</v>
      </c>
      <c r="B1567" s="28" t="s">
        <v>9053</v>
      </c>
    </row>
    <row r="1568" spans="1:2" x14ac:dyDescent="0.25">
      <c r="A1568" s="27">
        <v>5101196</v>
      </c>
      <c r="B1568" s="28" t="s">
        <v>9054</v>
      </c>
    </row>
    <row r="1569" spans="1:2" x14ac:dyDescent="0.25">
      <c r="A1569" s="27">
        <v>5101200</v>
      </c>
      <c r="B1569" s="28" t="s">
        <v>9660</v>
      </c>
    </row>
    <row r="1570" spans="1:2" x14ac:dyDescent="0.25">
      <c r="A1570" s="27">
        <v>5101201</v>
      </c>
      <c r="B1570" s="28" t="s">
        <v>9661</v>
      </c>
    </row>
    <row r="1571" spans="1:2" x14ac:dyDescent="0.25">
      <c r="A1571" s="27">
        <v>5101202</v>
      </c>
      <c r="B1571" s="28" t="s">
        <v>11399</v>
      </c>
    </row>
    <row r="1572" spans="1:2" x14ac:dyDescent="0.25">
      <c r="A1572" s="27">
        <v>5101203</v>
      </c>
      <c r="B1572" s="28" t="s">
        <v>11400</v>
      </c>
    </row>
    <row r="1573" spans="1:2" x14ac:dyDescent="0.25">
      <c r="A1573" s="27">
        <v>5101204</v>
      </c>
      <c r="B1573" s="28" t="s">
        <v>9687</v>
      </c>
    </row>
    <row r="1574" spans="1:2" x14ac:dyDescent="0.25">
      <c r="A1574" s="27">
        <v>5101205</v>
      </c>
      <c r="B1574" s="28" t="s">
        <v>9688</v>
      </c>
    </row>
    <row r="1575" spans="1:2" x14ac:dyDescent="0.25">
      <c r="A1575" s="27">
        <v>5101206</v>
      </c>
      <c r="B1575" s="28" t="s">
        <v>11401</v>
      </c>
    </row>
    <row r="1576" spans="1:2" x14ac:dyDescent="0.25">
      <c r="A1576" s="27">
        <v>5101210</v>
      </c>
      <c r="B1576" s="28" t="s">
        <v>9019</v>
      </c>
    </row>
    <row r="1577" spans="1:2" x14ac:dyDescent="0.25">
      <c r="A1577" s="27">
        <v>5101211</v>
      </c>
      <c r="B1577" s="28" t="s">
        <v>9023</v>
      </c>
    </row>
    <row r="1578" spans="1:2" x14ac:dyDescent="0.25">
      <c r="A1578" s="27">
        <v>5101212</v>
      </c>
      <c r="B1578" s="28" t="s">
        <v>9031</v>
      </c>
    </row>
    <row r="1579" spans="1:2" x14ac:dyDescent="0.25">
      <c r="A1579" s="27">
        <v>5101220</v>
      </c>
      <c r="B1579" s="28" t="s">
        <v>9021</v>
      </c>
    </row>
    <row r="1580" spans="1:2" x14ac:dyDescent="0.25">
      <c r="A1580" s="27">
        <v>5101221</v>
      </c>
      <c r="B1580" s="28" t="s">
        <v>9028</v>
      </c>
    </row>
    <row r="1581" spans="1:2" x14ac:dyDescent="0.25">
      <c r="A1581" s="27">
        <v>5101223</v>
      </c>
      <c r="B1581" s="28" t="s">
        <v>9032</v>
      </c>
    </row>
    <row r="1582" spans="1:2" x14ac:dyDescent="0.25">
      <c r="A1582" s="27">
        <v>5101230</v>
      </c>
      <c r="B1582" s="28" t="s">
        <v>9653</v>
      </c>
    </row>
    <row r="1583" spans="1:2" x14ac:dyDescent="0.25">
      <c r="A1583" s="27">
        <v>5101231</v>
      </c>
      <c r="B1583" s="28" t="s">
        <v>11402</v>
      </c>
    </row>
    <row r="1584" spans="1:2" x14ac:dyDescent="0.25">
      <c r="A1584" s="27">
        <v>5101234</v>
      </c>
      <c r="B1584" s="28" t="s">
        <v>9652</v>
      </c>
    </row>
    <row r="1585" spans="1:2" x14ac:dyDescent="0.25">
      <c r="A1585" s="27">
        <v>5101235</v>
      </c>
      <c r="B1585" s="28" t="s">
        <v>9657</v>
      </c>
    </row>
    <row r="1586" spans="1:2" x14ac:dyDescent="0.25">
      <c r="A1586" s="27">
        <v>5101239</v>
      </c>
      <c r="B1586" s="28" t="s">
        <v>11403</v>
      </c>
    </row>
    <row r="1587" spans="1:2" x14ac:dyDescent="0.25">
      <c r="A1587" s="27">
        <v>5101240</v>
      </c>
      <c r="B1587" s="28" t="s">
        <v>11404</v>
      </c>
    </row>
    <row r="1588" spans="1:2" x14ac:dyDescent="0.25">
      <c r="A1588" s="27">
        <v>5101241</v>
      </c>
      <c r="B1588" s="28" t="s">
        <v>11405</v>
      </c>
    </row>
    <row r="1589" spans="1:2" x14ac:dyDescent="0.25">
      <c r="A1589" s="27">
        <v>5101252</v>
      </c>
      <c r="B1589" s="28" t="s">
        <v>11406</v>
      </c>
    </row>
    <row r="1590" spans="1:2" x14ac:dyDescent="0.25">
      <c r="A1590" s="27">
        <v>5101300</v>
      </c>
      <c r="B1590" s="28" t="s">
        <v>11407</v>
      </c>
    </row>
    <row r="1591" spans="1:2" x14ac:dyDescent="0.25">
      <c r="A1591" s="27">
        <v>5101301</v>
      </c>
      <c r="B1591" s="28" t="s">
        <v>11408</v>
      </c>
    </row>
    <row r="1592" spans="1:2" x14ac:dyDescent="0.25">
      <c r="A1592" s="27">
        <v>5101310</v>
      </c>
      <c r="B1592" s="28" t="s">
        <v>9024</v>
      </c>
    </row>
    <row r="1593" spans="1:2" x14ac:dyDescent="0.25">
      <c r="A1593" s="27">
        <v>5101311</v>
      </c>
      <c r="B1593" s="28" t="s">
        <v>11409</v>
      </c>
    </row>
    <row r="1594" spans="1:2" x14ac:dyDescent="0.25">
      <c r="A1594" s="27">
        <v>5101320</v>
      </c>
      <c r="B1594" s="28" t="s">
        <v>11410</v>
      </c>
    </row>
    <row r="1595" spans="1:2" x14ac:dyDescent="0.25">
      <c r="A1595" s="27">
        <v>5101325</v>
      </c>
      <c r="B1595" s="28" t="s">
        <v>9132</v>
      </c>
    </row>
    <row r="1596" spans="1:2" x14ac:dyDescent="0.25">
      <c r="A1596" s="27">
        <v>5101329</v>
      </c>
      <c r="B1596" s="28" t="s">
        <v>11411</v>
      </c>
    </row>
    <row r="1597" spans="1:2" x14ac:dyDescent="0.25">
      <c r="A1597" s="27">
        <v>5101330</v>
      </c>
      <c r="B1597" s="28" t="s">
        <v>11412</v>
      </c>
    </row>
    <row r="1598" spans="1:2" x14ac:dyDescent="0.25">
      <c r="A1598" s="27">
        <v>5101338</v>
      </c>
      <c r="B1598" s="28" t="s">
        <v>11413</v>
      </c>
    </row>
    <row r="1599" spans="1:2" x14ac:dyDescent="0.25">
      <c r="A1599" s="27">
        <v>5101340</v>
      </c>
      <c r="B1599" s="28" t="s">
        <v>9027</v>
      </c>
    </row>
    <row r="1600" spans="1:2" x14ac:dyDescent="0.25">
      <c r="A1600" s="27">
        <v>5101341</v>
      </c>
      <c r="B1600" s="28" t="s">
        <v>11414</v>
      </c>
    </row>
    <row r="1601" spans="1:2" x14ac:dyDescent="0.25">
      <c r="A1601" s="27">
        <v>5101342</v>
      </c>
      <c r="B1601" s="28" t="s">
        <v>9026</v>
      </c>
    </row>
    <row r="1602" spans="1:2" x14ac:dyDescent="0.25">
      <c r="A1602" s="27">
        <v>5101350</v>
      </c>
      <c r="B1602" s="28" t="s">
        <v>11415</v>
      </c>
    </row>
    <row r="1603" spans="1:2" x14ac:dyDescent="0.25">
      <c r="A1603" s="27">
        <v>5101370</v>
      </c>
      <c r="B1603" s="28" t="s">
        <v>9110</v>
      </c>
    </row>
    <row r="1604" spans="1:2" x14ac:dyDescent="0.25">
      <c r="A1604" s="27">
        <v>5101380</v>
      </c>
      <c r="B1604" s="28" t="s">
        <v>11416</v>
      </c>
    </row>
    <row r="1605" spans="1:2" x14ac:dyDescent="0.25">
      <c r="A1605" s="27">
        <v>5101381</v>
      </c>
      <c r="B1605" s="28" t="s">
        <v>11417</v>
      </c>
    </row>
    <row r="1606" spans="1:2" x14ac:dyDescent="0.25">
      <c r="A1606" s="27">
        <v>5101382</v>
      </c>
      <c r="B1606" s="28" t="s">
        <v>11418</v>
      </c>
    </row>
    <row r="1607" spans="1:2" x14ac:dyDescent="0.25">
      <c r="A1607" s="27">
        <v>5101390</v>
      </c>
      <c r="B1607" s="28" t="s">
        <v>9022</v>
      </c>
    </row>
    <row r="1608" spans="1:2" x14ac:dyDescent="0.25">
      <c r="A1608" s="27">
        <v>5101391</v>
      </c>
      <c r="B1608" s="28" t="s">
        <v>9025</v>
      </c>
    </row>
    <row r="1609" spans="1:2" x14ac:dyDescent="0.25">
      <c r="A1609" s="27">
        <v>5101392</v>
      </c>
      <c r="B1609" s="28" t="s">
        <v>11419</v>
      </c>
    </row>
    <row r="1610" spans="1:2" x14ac:dyDescent="0.25">
      <c r="A1610" s="27">
        <v>5101400</v>
      </c>
      <c r="B1610" s="28" t="s">
        <v>12330</v>
      </c>
    </row>
    <row r="1611" spans="1:2" x14ac:dyDescent="0.25">
      <c r="A1611" s="27">
        <v>5101410</v>
      </c>
      <c r="B1611" s="28" t="s">
        <v>9117</v>
      </c>
    </row>
    <row r="1612" spans="1:2" x14ac:dyDescent="0.25">
      <c r="A1612" s="27">
        <v>5101411</v>
      </c>
      <c r="B1612" s="28" t="s">
        <v>11420</v>
      </c>
    </row>
    <row r="1613" spans="1:2" x14ac:dyDescent="0.25">
      <c r="A1613" s="27">
        <v>5101437</v>
      </c>
      <c r="B1613" s="28" t="s">
        <v>11421</v>
      </c>
    </row>
    <row r="1614" spans="1:2" x14ac:dyDescent="0.25">
      <c r="A1614" s="27">
        <v>5101438</v>
      </c>
      <c r="B1614" s="28" t="s">
        <v>11422</v>
      </c>
    </row>
    <row r="1615" spans="1:2" x14ac:dyDescent="0.25">
      <c r="A1615" s="27">
        <v>5101439</v>
      </c>
      <c r="B1615" s="28" t="s">
        <v>9029</v>
      </c>
    </row>
    <row r="1616" spans="1:2" x14ac:dyDescent="0.25">
      <c r="A1616" s="27">
        <v>5101440</v>
      </c>
      <c r="B1616" s="28" t="s">
        <v>11423</v>
      </c>
    </row>
    <row r="1617" spans="1:2" x14ac:dyDescent="0.25">
      <c r="A1617" s="27">
        <v>5101443</v>
      </c>
      <c r="B1617" s="28" t="s">
        <v>9121</v>
      </c>
    </row>
    <row r="1618" spans="1:2" x14ac:dyDescent="0.25">
      <c r="A1618" s="27">
        <v>5101445</v>
      </c>
      <c r="B1618" s="28" t="s">
        <v>9020</v>
      </c>
    </row>
    <row r="1619" spans="1:2" x14ac:dyDescent="0.25">
      <c r="A1619" s="27">
        <v>5101446</v>
      </c>
      <c r="B1619" s="28" t="s">
        <v>11424</v>
      </c>
    </row>
    <row r="1620" spans="1:2" x14ac:dyDescent="0.25">
      <c r="A1620" s="27">
        <v>5101447</v>
      </c>
      <c r="B1620" s="28" t="s">
        <v>11425</v>
      </c>
    </row>
    <row r="1621" spans="1:2" x14ac:dyDescent="0.25">
      <c r="A1621" s="27">
        <v>5101448</v>
      </c>
      <c r="B1621" s="28" t="s">
        <v>11426</v>
      </c>
    </row>
    <row r="1622" spans="1:2" x14ac:dyDescent="0.25">
      <c r="A1622" s="27">
        <v>5101456</v>
      </c>
      <c r="B1622" s="28" t="s">
        <v>11427</v>
      </c>
    </row>
    <row r="1623" spans="1:2" x14ac:dyDescent="0.25">
      <c r="A1623" s="27">
        <v>5101457</v>
      </c>
      <c r="B1623" s="28" t="s">
        <v>11428</v>
      </c>
    </row>
    <row r="1624" spans="1:2" x14ac:dyDescent="0.25">
      <c r="A1624" s="27">
        <v>5101458</v>
      </c>
      <c r="B1624" s="28" t="s">
        <v>11429</v>
      </c>
    </row>
    <row r="1625" spans="1:2" x14ac:dyDescent="0.25">
      <c r="A1625" s="27">
        <v>5101495</v>
      </c>
      <c r="B1625" s="25" t="s">
        <v>9651</v>
      </c>
    </row>
    <row r="1626" spans="1:2" x14ac:dyDescent="0.25">
      <c r="A1626" s="27">
        <v>5101496</v>
      </c>
      <c r="B1626" s="25" t="s">
        <v>11430</v>
      </c>
    </row>
    <row r="1627" spans="1:2" x14ac:dyDescent="0.25">
      <c r="A1627" s="27">
        <v>5101500</v>
      </c>
      <c r="B1627" s="28" t="s">
        <v>11431</v>
      </c>
    </row>
    <row r="1628" spans="1:2" x14ac:dyDescent="0.25">
      <c r="A1628" s="27">
        <v>5101501</v>
      </c>
      <c r="B1628" s="28" t="s">
        <v>11432</v>
      </c>
    </row>
    <row r="1629" spans="1:2" x14ac:dyDescent="0.25">
      <c r="A1629" s="27">
        <v>5101502</v>
      </c>
      <c r="B1629" s="25" t="s">
        <v>11433</v>
      </c>
    </row>
    <row r="1630" spans="1:2" x14ac:dyDescent="0.25">
      <c r="A1630" s="27">
        <v>5101503</v>
      </c>
      <c r="B1630" s="28" t="s">
        <v>11434</v>
      </c>
    </row>
    <row r="1631" spans="1:2" x14ac:dyDescent="0.25">
      <c r="A1631" s="27">
        <v>5101504</v>
      </c>
      <c r="B1631" s="25" t="s">
        <v>11435</v>
      </c>
    </row>
    <row r="1632" spans="1:2" x14ac:dyDescent="0.25">
      <c r="A1632" s="27">
        <v>5101505</v>
      </c>
      <c r="B1632" s="28" t="s">
        <v>11436</v>
      </c>
    </row>
    <row r="1633" spans="1:2" x14ac:dyDescent="0.25">
      <c r="A1633" s="27">
        <v>5101506</v>
      </c>
      <c r="B1633" s="28" t="s">
        <v>11437</v>
      </c>
    </row>
    <row r="1634" spans="1:2" x14ac:dyDescent="0.25">
      <c r="A1634" s="27">
        <v>5101507</v>
      </c>
      <c r="B1634" s="28" t="s">
        <v>11438</v>
      </c>
    </row>
    <row r="1635" spans="1:2" x14ac:dyDescent="0.25">
      <c r="A1635" s="27">
        <v>5101508</v>
      </c>
      <c r="B1635" s="28" t="s">
        <v>11439</v>
      </c>
    </row>
    <row r="1636" spans="1:2" x14ac:dyDescent="0.25">
      <c r="A1636" s="27">
        <v>5101509</v>
      </c>
      <c r="B1636" s="28" t="s">
        <v>11440</v>
      </c>
    </row>
    <row r="1637" spans="1:2" x14ac:dyDescent="0.25">
      <c r="A1637" s="27">
        <v>5101510</v>
      </c>
      <c r="B1637" s="28" t="s">
        <v>11441</v>
      </c>
    </row>
    <row r="1638" spans="1:2" x14ac:dyDescent="0.25">
      <c r="A1638" s="27">
        <v>5101511</v>
      </c>
      <c r="B1638" s="28" t="s">
        <v>11442</v>
      </c>
    </row>
    <row r="1639" spans="1:2" x14ac:dyDescent="0.25">
      <c r="A1639" s="27">
        <v>5101555</v>
      </c>
      <c r="B1639" s="28" t="s">
        <v>9106</v>
      </c>
    </row>
    <row r="1640" spans="1:2" x14ac:dyDescent="0.25">
      <c r="A1640" s="27">
        <v>5101556</v>
      </c>
      <c r="B1640" s="28" t="s">
        <v>9113</v>
      </c>
    </row>
    <row r="1641" spans="1:2" x14ac:dyDescent="0.25">
      <c r="A1641" s="27">
        <v>5101557</v>
      </c>
      <c r="B1641" s="28" t="s">
        <v>9108</v>
      </c>
    </row>
    <row r="1642" spans="1:2" x14ac:dyDescent="0.25">
      <c r="A1642" s="27">
        <v>5101558</v>
      </c>
      <c r="B1642" s="28" t="s">
        <v>11443</v>
      </c>
    </row>
    <row r="1643" spans="1:2" x14ac:dyDescent="0.25">
      <c r="A1643" s="27">
        <v>5101559</v>
      </c>
      <c r="B1643" s="28" t="s">
        <v>9114</v>
      </c>
    </row>
    <row r="1644" spans="1:2" x14ac:dyDescent="0.25">
      <c r="A1644" s="27">
        <v>5101560</v>
      </c>
      <c r="B1644" s="28" t="s">
        <v>9107</v>
      </c>
    </row>
    <row r="1645" spans="1:2" x14ac:dyDescent="0.25">
      <c r="A1645" s="27">
        <v>5101561</v>
      </c>
      <c r="B1645" s="28" t="s">
        <v>9109</v>
      </c>
    </row>
    <row r="1646" spans="1:2" x14ac:dyDescent="0.25">
      <c r="A1646" s="27">
        <v>5101562</v>
      </c>
      <c r="B1646" s="28" t="s">
        <v>11444</v>
      </c>
    </row>
    <row r="1647" spans="1:2" x14ac:dyDescent="0.25">
      <c r="A1647" s="27">
        <v>5101563</v>
      </c>
      <c r="B1647" s="28" t="s">
        <v>11445</v>
      </c>
    </row>
    <row r="1648" spans="1:2" x14ac:dyDescent="0.25">
      <c r="A1648" s="27">
        <v>5101564</v>
      </c>
      <c r="B1648" s="28" t="s">
        <v>11446</v>
      </c>
    </row>
    <row r="1649" spans="1:2" x14ac:dyDescent="0.25">
      <c r="A1649" s="27">
        <v>5101565</v>
      </c>
      <c r="B1649" s="28" t="s">
        <v>9111</v>
      </c>
    </row>
    <row r="1650" spans="1:2" x14ac:dyDescent="0.25">
      <c r="A1650" s="27">
        <v>5101566</v>
      </c>
      <c r="B1650" s="28" t="s">
        <v>9112</v>
      </c>
    </row>
    <row r="1651" spans="1:2" x14ac:dyDescent="0.25">
      <c r="A1651" s="27">
        <v>5101567</v>
      </c>
      <c r="B1651" s="28" t="s">
        <v>9119</v>
      </c>
    </row>
    <row r="1652" spans="1:2" x14ac:dyDescent="0.25">
      <c r="A1652" s="27">
        <v>5101568</v>
      </c>
      <c r="B1652" s="28" t="s">
        <v>11447</v>
      </c>
    </row>
    <row r="1653" spans="1:2" x14ac:dyDescent="0.25">
      <c r="A1653" s="27">
        <v>5101569</v>
      </c>
      <c r="B1653" s="28" t="s">
        <v>9115</v>
      </c>
    </row>
    <row r="1654" spans="1:2" x14ac:dyDescent="0.25">
      <c r="A1654" s="27">
        <v>5101570</v>
      </c>
      <c r="B1654" s="28" t="s">
        <v>9116</v>
      </c>
    </row>
    <row r="1655" spans="1:2" x14ac:dyDescent="0.25">
      <c r="A1655" s="27">
        <v>5101571</v>
      </c>
      <c r="B1655" s="28" t="s">
        <v>11448</v>
      </c>
    </row>
    <row r="1656" spans="1:2" x14ac:dyDescent="0.25">
      <c r="A1656" s="27">
        <v>5101600</v>
      </c>
      <c r="B1656" s="28" t="s">
        <v>9089</v>
      </c>
    </row>
    <row r="1657" spans="1:2" x14ac:dyDescent="0.25">
      <c r="A1657" s="27">
        <v>5101601</v>
      </c>
      <c r="B1657" s="28" t="s">
        <v>12331</v>
      </c>
    </row>
    <row r="1658" spans="1:2" x14ac:dyDescent="0.25">
      <c r="A1658" s="27">
        <v>5101602</v>
      </c>
      <c r="B1658" s="28" t="s">
        <v>12428</v>
      </c>
    </row>
    <row r="1659" spans="1:2" x14ac:dyDescent="0.25">
      <c r="A1659" s="27">
        <v>5101603</v>
      </c>
      <c r="B1659" s="28" t="s">
        <v>12429</v>
      </c>
    </row>
    <row r="1660" spans="1:2" x14ac:dyDescent="0.25">
      <c r="A1660" s="27">
        <v>5101604</v>
      </c>
      <c r="B1660" s="28" t="s">
        <v>12430</v>
      </c>
    </row>
    <row r="1661" spans="1:2" x14ac:dyDescent="0.25">
      <c r="A1661" s="27">
        <v>5101605</v>
      </c>
      <c r="B1661" s="28" t="s">
        <v>12431</v>
      </c>
    </row>
    <row r="1662" spans="1:2" x14ac:dyDescent="0.25">
      <c r="A1662" s="27">
        <v>5101606</v>
      </c>
      <c r="B1662" s="28" t="s">
        <v>12432</v>
      </c>
    </row>
    <row r="1663" spans="1:2" x14ac:dyDescent="0.25">
      <c r="A1663" s="27">
        <v>5101607</v>
      </c>
      <c r="B1663" s="28" t="s">
        <v>12433</v>
      </c>
    </row>
    <row r="1664" spans="1:2" x14ac:dyDescent="0.25">
      <c r="A1664" s="27">
        <v>5101625</v>
      </c>
      <c r="B1664" s="28" t="s">
        <v>9208</v>
      </c>
    </row>
    <row r="1665" spans="1:2" x14ac:dyDescent="0.25">
      <c r="A1665" s="27">
        <v>5101626</v>
      </c>
      <c r="B1665" s="28" t="s">
        <v>11449</v>
      </c>
    </row>
    <row r="1666" spans="1:2" x14ac:dyDescent="0.25">
      <c r="A1666" s="27">
        <v>5101650</v>
      </c>
      <c r="B1666" s="28" t="s">
        <v>11450</v>
      </c>
    </row>
    <row r="1667" spans="1:2" x14ac:dyDescent="0.25">
      <c r="A1667" s="27">
        <v>5101654</v>
      </c>
      <c r="B1667" s="28" t="s">
        <v>9695</v>
      </c>
    </row>
    <row r="1668" spans="1:2" x14ac:dyDescent="0.25">
      <c r="A1668" s="27">
        <v>5101655</v>
      </c>
      <c r="B1668" s="28" t="s">
        <v>9696</v>
      </c>
    </row>
    <row r="1669" spans="1:2" x14ac:dyDescent="0.25">
      <c r="A1669" s="27">
        <v>5101666</v>
      </c>
      <c r="B1669" s="28" t="s">
        <v>9059</v>
      </c>
    </row>
    <row r="1670" spans="1:2" x14ac:dyDescent="0.25">
      <c r="A1670" s="27">
        <v>5101680</v>
      </c>
      <c r="B1670" s="28" t="s">
        <v>11451</v>
      </c>
    </row>
    <row r="1671" spans="1:2" x14ac:dyDescent="0.25">
      <c r="A1671" s="27">
        <v>5101681</v>
      </c>
      <c r="B1671" s="28" t="s">
        <v>11452</v>
      </c>
    </row>
    <row r="1672" spans="1:2" x14ac:dyDescent="0.25">
      <c r="A1672" s="27">
        <v>5101750</v>
      </c>
      <c r="B1672" s="28" t="s">
        <v>9037</v>
      </c>
    </row>
    <row r="1673" spans="1:2" x14ac:dyDescent="0.25">
      <c r="A1673" s="27">
        <v>5101751</v>
      </c>
      <c r="B1673" s="28" t="s">
        <v>11453</v>
      </c>
    </row>
    <row r="1674" spans="1:2" x14ac:dyDescent="0.25">
      <c r="A1674" s="27">
        <v>5101752</v>
      </c>
      <c r="B1674" s="28" t="s">
        <v>11454</v>
      </c>
    </row>
    <row r="1675" spans="1:2" x14ac:dyDescent="0.25">
      <c r="A1675" s="27">
        <v>5101753</v>
      </c>
      <c r="B1675" s="28" t="s">
        <v>11455</v>
      </c>
    </row>
    <row r="1676" spans="1:2" x14ac:dyDescent="0.25">
      <c r="A1676" s="27">
        <v>5101754</v>
      </c>
      <c r="B1676" s="28" t="s">
        <v>11456</v>
      </c>
    </row>
    <row r="1677" spans="1:2" x14ac:dyDescent="0.25">
      <c r="A1677" s="27">
        <v>5101775</v>
      </c>
      <c r="B1677" s="28" t="s">
        <v>9062</v>
      </c>
    </row>
    <row r="1678" spans="1:2" x14ac:dyDescent="0.25">
      <c r="A1678" s="27">
        <v>5101776</v>
      </c>
      <c r="B1678" s="28" t="s">
        <v>9063</v>
      </c>
    </row>
    <row r="1679" spans="1:2" x14ac:dyDescent="0.25">
      <c r="A1679" s="27">
        <v>5101777</v>
      </c>
      <c r="B1679" s="28" t="s">
        <v>9060</v>
      </c>
    </row>
    <row r="1680" spans="1:2" x14ac:dyDescent="0.25">
      <c r="A1680" s="27">
        <v>510177707</v>
      </c>
      <c r="B1680" s="28" t="s">
        <v>11457</v>
      </c>
    </row>
    <row r="1681" spans="1:2" x14ac:dyDescent="0.25">
      <c r="A1681" s="27">
        <v>5101778</v>
      </c>
      <c r="B1681" s="28" t="s">
        <v>9061</v>
      </c>
    </row>
    <row r="1682" spans="1:2" x14ac:dyDescent="0.25">
      <c r="A1682" s="27">
        <v>5101799</v>
      </c>
      <c r="B1682" s="28" t="s">
        <v>11458</v>
      </c>
    </row>
    <row r="1683" spans="1:2" x14ac:dyDescent="0.25">
      <c r="A1683" s="27">
        <v>5101802</v>
      </c>
      <c r="B1683" s="28" t="s">
        <v>11459</v>
      </c>
    </row>
    <row r="1684" spans="1:2" x14ac:dyDescent="0.25">
      <c r="A1684" s="27">
        <v>5101845</v>
      </c>
      <c r="B1684" s="28" t="s">
        <v>9679</v>
      </c>
    </row>
    <row r="1685" spans="1:2" x14ac:dyDescent="0.25">
      <c r="A1685" s="27">
        <v>5101846</v>
      </c>
      <c r="B1685" s="28" t="s">
        <v>9680</v>
      </c>
    </row>
    <row r="1686" spans="1:2" x14ac:dyDescent="0.25">
      <c r="A1686" s="27">
        <v>5101850</v>
      </c>
      <c r="B1686" s="28" t="s">
        <v>9084</v>
      </c>
    </row>
    <row r="1687" spans="1:2" x14ac:dyDescent="0.25">
      <c r="A1687" s="27">
        <v>5101852</v>
      </c>
      <c r="B1687" s="28" t="s">
        <v>9668</v>
      </c>
    </row>
    <row r="1688" spans="1:2" x14ac:dyDescent="0.25">
      <c r="A1688" s="27">
        <v>5101853</v>
      </c>
      <c r="B1688" s="28" t="s">
        <v>9669</v>
      </c>
    </row>
    <row r="1689" spans="1:2" x14ac:dyDescent="0.25">
      <c r="A1689" s="27">
        <v>5101854</v>
      </c>
      <c r="B1689" s="28" t="s">
        <v>11460</v>
      </c>
    </row>
    <row r="1690" spans="1:2" x14ac:dyDescent="0.25">
      <c r="A1690" s="27">
        <v>5101855</v>
      </c>
      <c r="B1690" s="28" t="s">
        <v>9681</v>
      </c>
    </row>
    <row r="1691" spans="1:2" x14ac:dyDescent="0.25">
      <c r="A1691" s="27">
        <v>5101856</v>
      </c>
      <c r="B1691" s="28" t="s">
        <v>9682</v>
      </c>
    </row>
    <row r="1692" spans="1:2" x14ac:dyDescent="0.25">
      <c r="A1692" s="27">
        <v>5101857</v>
      </c>
      <c r="B1692" s="28" t="s">
        <v>12434</v>
      </c>
    </row>
    <row r="1693" spans="1:2" x14ac:dyDescent="0.25">
      <c r="A1693" s="27">
        <v>5101858</v>
      </c>
      <c r="B1693" s="28" t="s">
        <v>12435</v>
      </c>
    </row>
    <row r="1694" spans="1:2" x14ac:dyDescent="0.25">
      <c r="A1694" s="27">
        <v>5101863</v>
      </c>
      <c r="B1694" s="28" t="s">
        <v>9691</v>
      </c>
    </row>
    <row r="1695" spans="1:2" x14ac:dyDescent="0.25">
      <c r="A1695" s="27">
        <v>5101864</v>
      </c>
      <c r="B1695" s="28" t="s">
        <v>9692</v>
      </c>
    </row>
    <row r="1696" spans="1:2" x14ac:dyDescent="0.25">
      <c r="A1696" s="27">
        <v>5101870</v>
      </c>
      <c r="B1696" s="28" t="s">
        <v>9689</v>
      </c>
    </row>
    <row r="1697" spans="1:2" x14ac:dyDescent="0.25">
      <c r="A1697" s="27">
        <v>5101871</v>
      </c>
      <c r="B1697" s="28" t="s">
        <v>9690</v>
      </c>
    </row>
    <row r="1698" spans="1:2" x14ac:dyDescent="0.25">
      <c r="A1698" s="27">
        <v>5101873</v>
      </c>
      <c r="B1698" s="28" t="s">
        <v>9675</v>
      </c>
    </row>
    <row r="1699" spans="1:2" x14ac:dyDescent="0.25">
      <c r="A1699" s="27">
        <v>5101874</v>
      </c>
      <c r="B1699" s="28" t="s">
        <v>9676</v>
      </c>
    </row>
    <row r="1700" spans="1:2" x14ac:dyDescent="0.25">
      <c r="A1700" s="27">
        <v>5101875</v>
      </c>
      <c r="B1700" s="28" t="s">
        <v>9655</v>
      </c>
    </row>
    <row r="1701" spans="1:2" x14ac:dyDescent="0.25">
      <c r="A1701" s="27">
        <v>5101876</v>
      </c>
      <c r="B1701" s="28" t="s">
        <v>9699</v>
      </c>
    </row>
    <row r="1702" spans="1:2" x14ac:dyDescent="0.25">
      <c r="A1702" s="27">
        <v>5101877</v>
      </c>
      <c r="B1702" s="28" t="s">
        <v>9686</v>
      </c>
    </row>
    <row r="1703" spans="1:2" x14ac:dyDescent="0.25">
      <c r="A1703" s="27">
        <v>5101878</v>
      </c>
      <c r="B1703" s="28" t="s">
        <v>9654</v>
      </c>
    </row>
    <row r="1704" spans="1:2" x14ac:dyDescent="0.25">
      <c r="A1704" s="27">
        <v>5101879</v>
      </c>
      <c r="B1704" s="28" t="s">
        <v>11461</v>
      </c>
    </row>
    <row r="1705" spans="1:2" x14ac:dyDescent="0.25">
      <c r="A1705" s="27">
        <v>5101880</v>
      </c>
      <c r="B1705" s="28" t="s">
        <v>9656</v>
      </c>
    </row>
    <row r="1706" spans="1:2" x14ac:dyDescent="0.25">
      <c r="A1706" s="27">
        <v>5101881</v>
      </c>
      <c r="B1706" s="28" t="s">
        <v>9698</v>
      </c>
    </row>
    <row r="1707" spans="1:2" x14ac:dyDescent="0.25">
      <c r="A1707" s="27">
        <v>5101882</v>
      </c>
      <c r="B1707" s="28" t="s">
        <v>11462</v>
      </c>
    </row>
    <row r="1708" spans="1:2" x14ac:dyDescent="0.25">
      <c r="A1708" s="27">
        <v>5101883</v>
      </c>
      <c r="B1708" s="28" t="s">
        <v>9685</v>
      </c>
    </row>
    <row r="1709" spans="1:2" x14ac:dyDescent="0.25">
      <c r="A1709" s="27">
        <v>5101884</v>
      </c>
      <c r="B1709" s="28" t="s">
        <v>11463</v>
      </c>
    </row>
    <row r="1710" spans="1:2" x14ac:dyDescent="0.25">
      <c r="A1710" s="27">
        <v>5101885</v>
      </c>
      <c r="B1710" s="28" t="s">
        <v>9700</v>
      </c>
    </row>
    <row r="1711" spans="1:2" x14ac:dyDescent="0.25">
      <c r="A1711" s="27">
        <v>5101886</v>
      </c>
      <c r="B1711" s="28" t="s">
        <v>9674</v>
      </c>
    </row>
    <row r="1712" spans="1:2" x14ac:dyDescent="0.25">
      <c r="A1712" s="27">
        <v>5101887</v>
      </c>
      <c r="B1712" s="28" t="s">
        <v>11464</v>
      </c>
    </row>
    <row r="1713" spans="1:2" x14ac:dyDescent="0.25">
      <c r="A1713" s="27">
        <v>5101888</v>
      </c>
      <c r="B1713" s="28" t="s">
        <v>9064</v>
      </c>
    </row>
    <row r="1714" spans="1:2" x14ac:dyDescent="0.25">
      <c r="A1714" s="27">
        <v>5101889</v>
      </c>
      <c r="B1714" s="28" t="s">
        <v>9065</v>
      </c>
    </row>
    <row r="1715" spans="1:2" x14ac:dyDescent="0.25">
      <c r="A1715" s="27">
        <v>5101900</v>
      </c>
      <c r="B1715" s="28" t="s">
        <v>9047</v>
      </c>
    </row>
    <row r="1716" spans="1:2" x14ac:dyDescent="0.25">
      <c r="A1716" s="27">
        <v>5101901</v>
      </c>
      <c r="B1716" s="28" t="s">
        <v>9048</v>
      </c>
    </row>
    <row r="1717" spans="1:2" x14ac:dyDescent="0.25">
      <c r="A1717" s="27">
        <v>5101902</v>
      </c>
      <c r="B1717" s="28" t="s">
        <v>9071</v>
      </c>
    </row>
    <row r="1718" spans="1:2" x14ac:dyDescent="0.25">
      <c r="A1718" s="27">
        <v>5101903</v>
      </c>
      <c r="B1718" s="28" t="s">
        <v>12332</v>
      </c>
    </row>
    <row r="1719" spans="1:2" x14ac:dyDescent="0.25">
      <c r="A1719" s="27">
        <v>5101906</v>
      </c>
      <c r="B1719" s="28" t="s">
        <v>9122</v>
      </c>
    </row>
    <row r="1720" spans="1:2" x14ac:dyDescent="0.25">
      <c r="A1720" s="27">
        <v>5101907</v>
      </c>
      <c r="B1720" s="28" t="s">
        <v>9123</v>
      </c>
    </row>
    <row r="1721" spans="1:2" x14ac:dyDescent="0.25">
      <c r="A1721" s="27">
        <v>5101911</v>
      </c>
      <c r="B1721" s="28" t="s">
        <v>9072</v>
      </c>
    </row>
    <row r="1722" spans="1:2" x14ac:dyDescent="0.25">
      <c r="A1722" s="27">
        <v>5101912</v>
      </c>
      <c r="B1722" s="28" t="s">
        <v>9066</v>
      </c>
    </row>
    <row r="1723" spans="1:2" x14ac:dyDescent="0.25">
      <c r="A1723" s="27">
        <v>5101913</v>
      </c>
      <c r="B1723" s="28" t="s">
        <v>11465</v>
      </c>
    </row>
    <row r="1724" spans="1:2" x14ac:dyDescent="0.25">
      <c r="A1724" s="27">
        <v>5101914</v>
      </c>
      <c r="B1724" s="28" t="s">
        <v>9079</v>
      </c>
    </row>
    <row r="1725" spans="1:2" x14ac:dyDescent="0.25">
      <c r="A1725" s="27">
        <v>5101915</v>
      </c>
      <c r="B1725" s="28" t="s">
        <v>9080</v>
      </c>
    </row>
    <row r="1726" spans="1:2" x14ac:dyDescent="0.25">
      <c r="A1726" s="27">
        <v>5101916</v>
      </c>
      <c r="B1726" s="28" t="s">
        <v>9075</v>
      </c>
    </row>
    <row r="1727" spans="1:2" x14ac:dyDescent="0.25">
      <c r="A1727" s="27">
        <v>5101917</v>
      </c>
      <c r="B1727" s="25" t="s">
        <v>9073</v>
      </c>
    </row>
    <row r="1728" spans="1:2" x14ac:dyDescent="0.25">
      <c r="A1728" s="27">
        <v>5101918</v>
      </c>
      <c r="B1728" s="28" t="s">
        <v>9076</v>
      </c>
    </row>
    <row r="1729" spans="1:2" x14ac:dyDescent="0.25">
      <c r="A1729" s="27">
        <v>5101919</v>
      </c>
      <c r="B1729" s="28" t="s">
        <v>9078</v>
      </c>
    </row>
    <row r="1730" spans="1:2" x14ac:dyDescent="0.25">
      <c r="A1730" s="27">
        <v>5101920</v>
      </c>
      <c r="B1730" s="28" t="s">
        <v>9069</v>
      </c>
    </row>
    <row r="1731" spans="1:2" x14ac:dyDescent="0.25">
      <c r="A1731" s="27">
        <v>5101921</v>
      </c>
      <c r="B1731" s="28" t="s">
        <v>9070</v>
      </c>
    </row>
    <row r="1732" spans="1:2" x14ac:dyDescent="0.25">
      <c r="A1732" s="27">
        <v>5101922</v>
      </c>
      <c r="B1732" s="28" t="s">
        <v>9067</v>
      </c>
    </row>
    <row r="1733" spans="1:2" x14ac:dyDescent="0.25">
      <c r="A1733" s="27">
        <v>5101923</v>
      </c>
      <c r="B1733" s="28" t="s">
        <v>9068</v>
      </c>
    </row>
    <row r="1734" spans="1:2" x14ac:dyDescent="0.25">
      <c r="A1734" s="27">
        <v>5101924</v>
      </c>
      <c r="B1734" s="28" t="s">
        <v>9074</v>
      </c>
    </row>
    <row r="1735" spans="1:2" x14ac:dyDescent="0.25">
      <c r="A1735" s="27">
        <v>5101925</v>
      </c>
      <c r="B1735" s="28" t="s">
        <v>9077</v>
      </c>
    </row>
    <row r="1736" spans="1:2" x14ac:dyDescent="0.25">
      <c r="A1736" s="27">
        <v>5101929</v>
      </c>
      <c r="B1736" s="28" t="s">
        <v>11466</v>
      </c>
    </row>
    <row r="1737" spans="1:2" x14ac:dyDescent="0.25">
      <c r="A1737" s="27">
        <v>5101951</v>
      </c>
      <c r="B1737" s="25" t="s">
        <v>9650</v>
      </c>
    </row>
    <row r="1738" spans="1:2" x14ac:dyDescent="0.25">
      <c r="A1738" s="27">
        <v>5101952</v>
      </c>
      <c r="B1738" s="28" t="s">
        <v>11467</v>
      </c>
    </row>
    <row r="1739" spans="1:2" x14ac:dyDescent="0.25">
      <c r="A1739" s="27">
        <v>5101954</v>
      </c>
      <c r="B1739" s="28" t="s">
        <v>11468</v>
      </c>
    </row>
    <row r="1740" spans="1:2" x14ac:dyDescent="0.25">
      <c r="A1740" s="27">
        <v>5101955</v>
      </c>
      <c r="B1740" s="28" t="s">
        <v>11469</v>
      </c>
    </row>
    <row r="1741" spans="1:2" x14ac:dyDescent="0.25">
      <c r="A1741" s="27">
        <v>5101969</v>
      </c>
      <c r="B1741" s="28" t="s">
        <v>11470</v>
      </c>
    </row>
    <row r="1742" spans="1:2" x14ac:dyDescent="0.25">
      <c r="A1742" s="27">
        <v>5101979</v>
      </c>
      <c r="B1742" s="28" t="s">
        <v>9042</v>
      </c>
    </row>
    <row r="1743" spans="1:2" x14ac:dyDescent="0.25">
      <c r="A1743" s="27">
        <v>5101980</v>
      </c>
      <c r="B1743" s="28" t="s">
        <v>9041</v>
      </c>
    </row>
    <row r="1744" spans="1:2" x14ac:dyDescent="0.25">
      <c r="A1744" s="27">
        <v>5101985</v>
      </c>
      <c r="B1744" s="28" t="s">
        <v>9044</v>
      </c>
    </row>
    <row r="1745" spans="1:2" x14ac:dyDescent="0.25">
      <c r="A1745" s="27">
        <v>5101986</v>
      </c>
      <c r="B1745" s="28" t="s">
        <v>9045</v>
      </c>
    </row>
    <row r="1746" spans="1:2" x14ac:dyDescent="0.25">
      <c r="A1746" s="27">
        <v>5101987</v>
      </c>
      <c r="B1746" s="28" t="s">
        <v>11471</v>
      </c>
    </row>
    <row r="1747" spans="1:2" x14ac:dyDescent="0.25">
      <c r="A1747" s="27">
        <v>5101989</v>
      </c>
      <c r="B1747" s="28" t="s">
        <v>11472</v>
      </c>
    </row>
    <row r="1748" spans="1:2" x14ac:dyDescent="0.25">
      <c r="A1748" s="27">
        <v>5101990</v>
      </c>
      <c r="B1748" s="28" t="s">
        <v>11473</v>
      </c>
    </row>
    <row r="1749" spans="1:2" x14ac:dyDescent="0.25">
      <c r="A1749" s="27">
        <v>5101998</v>
      </c>
      <c r="B1749" s="28" t="s">
        <v>9057</v>
      </c>
    </row>
    <row r="1750" spans="1:2" x14ac:dyDescent="0.25">
      <c r="A1750" s="27">
        <v>5101999</v>
      </c>
      <c r="B1750" s="28" t="s">
        <v>9058</v>
      </c>
    </row>
    <row r="1751" spans="1:2" x14ac:dyDescent="0.25">
      <c r="A1751" s="27">
        <v>5102000</v>
      </c>
      <c r="B1751" s="28" t="s">
        <v>11474</v>
      </c>
    </row>
    <row r="1752" spans="1:2" x14ac:dyDescent="0.25">
      <c r="A1752" s="27">
        <v>5102001</v>
      </c>
      <c r="B1752" s="28" t="s">
        <v>9201</v>
      </c>
    </row>
    <row r="1753" spans="1:2" x14ac:dyDescent="0.25">
      <c r="A1753" s="27">
        <v>5102247</v>
      </c>
      <c r="B1753" s="28" t="s">
        <v>9205</v>
      </c>
    </row>
    <row r="1754" spans="1:2" x14ac:dyDescent="0.25">
      <c r="A1754" s="27">
        <v>5102248</v>
      </c>
      <c r="B1754" s="28" t="s">
        <v>9203</v>
      </c>
    </row>
    <row r="1755" spans="1:2" x14ac:dyDescent="0.25">
      <c r="A1755" s="27">
        <v>5102249</v>
      </c>
      <c r="B1755" s="28" t="s">
        <v>11475</v>
      </c>
    </row>
    <row r="1756" spans="1:2" x14ac:dyDescent="0.25">
      <c r="A1756" s="27">
        <v>5103444</v>
      </c>
      <c r="B1756" s="28" t="s">
        <v>11476</v>
      </c>
    </row>
    <row r="1757" spans="1:2" x14ac:dyDescent="0.25">
      <c r="A1757" s="27">
        <v>5103555</v>
      </c>
      <c r="B1757" s="28" t="s">
        <v>11477</v>
      </c>
    </row>
    <row r="1758" spans="1:2" x14ac:dyDescent="0.25">
      <c r="A1758" s="27">
        <v>5103777</v>
      </c>
      <c r="B1758" s="28" t="s">
        <v>11478</v>
      </c>
    </row>
    <row r="1759" spans="1:2" x14ac:dyDescent="0.25">
      <c r="A1759" s="27">
        <v>5320000</v>
      </c>
      <c r="B1759" s="28" t="s">
        <v>11479</v>
      </c>
    </row>
    <row r="1760" spans="1:2" x14ac:dyDescent="0.25">
      <c r="A1760" s="27">
        <v>5320027</v>
      </c>
      <c r="B1760" s="28" t="s">
        <v>9227</v>
      </c>
    </row>
    <row r="1761" spans="1:2" x14ac:dyDescent="0.25">
      <c r="A1761" s="27">
        <v>5320151</v>
      </c>
      <c r="B1761" s="28" t="s">
        <v>11480</v>
      </c>
    </row>
    <row r="1762" spans="1:2" x14ac:dyDescent="0.25">
      <c r="A1762" s="27">
        <v>5320152</v>
      </c>
      <c r="B1762" s="28" t="s">
        <v>12333</v>
      </c>
    </row>
    <row r="1763" spans="1:2" x14ac:dyDescent="0.25">
      <c r="A1763" s="27">
        <v>5320787</v>
      </c>
      <c r="B1763" s="28" t="s">
        <v>9228</v>
      </c>
    </row>
    <row r="1764" spans="1:2" x14ac:dyDescent="0.25">
      <c r="A1764" s="27">
        <v>5320788</v>
      </c>
      <c r="B1764" s="28" t="s">
        <v>12334</v>
      </c>
    </row>
    <row r="1765" spans="1:2" x14ac:dyDescent="0.25">
      <c r="A1765" s="27">
        <v>5330000</v>
      </c>
      <c r="B1765" s="28" t="s">
        <v>11481</v>
      </c>
    </row>
    <row r="1766" spans="1:2" x14ac:dyDescent="0.25">
      <c r="A1766" s="27">
        <v>5610102</v>
      </c>
      <c r="B1766" s="28" t="s">
        <v>8470</v>
      </c>
    </row>
    <row r="1767" spans="1:2" x14ac:dyDescent="0.25">
      <c r="A1767" s="27">
        <v>5610201</v>
      </c>
      <c r="B1767" s="28" t="s">
        <v>11482</v>
      </c>
    </row>
    <row r="1768" spans="1:2" x14ac:dyDescent="0.25">
      <c r="A1768" s="27">
        <v>5919025</v>
      </c>
      <c r="B1768" s="28" t="s">
        <v>10043</v>
      </c>
    </row>
    <row r="1769" spans="1:2" x14ac:dyDescent="0.25">
      <c r="A1769" s="27">
        <v>5919026</v>
      </c>
      <c r="B1769" s="28" t="s">
        <v>11483</v>
      </c>
    </row>
    <row r="1770" spans="1:2" x14ac:dyDescent="0.25">
      <c r="A1770" s="27" t="s">
        <v>13551</v>
      </c>
      <c r="B1770" s="28"/>
    </row>
    <row r="1771" spans="1:2" x14ac:dyDescent="0.25">
      <c r="A1771" s="27">
        <v>5919165</v>
      </c>
      <c r="B1771" s="28" t="s">
        <v>10034</v>
      </c>
    </row>
    <row r="1772" spans="1:2" x14ac:dyDescent="0.25">
      <c r="A1772" s="27">
        <v>5919222</v>
      </c>
      <c r="B1772" s="28" t="s">
        <v>11484</v>
      </c>
    </row>
    <row r="1773" spans="1:2" x14ac:dyDescent="0.25">
      <c r="A1773" s="27">
        <v>5919223</v>
      </c>
      <c r="B1773" s="28" t="s">
        <v>11485</v>
      </c>
    </row>
    <row r="1774" spans="1:2" x14ac:dyDescent="0.25">
      <c r="A1774" s="27">
        <v>5919321</v>
      </c>
      <c r="B1774" s="28" t="s">
        <v>11486</v>
      </c>
    </row>
    <row r="1775" spans="1:2" x14ac:dyDescent="0.25">
      <c r="A1775" s="27">
        <v>5919325</v>
      </c>
      <c r="B1775" s="28" t="s">
        <v>10067</v>
      </c>
    </row>
    <row r="1776" spans="1:2" x14ac:dyDescent="0.25">
      <c r="A1776" s="27">
        <v>6000003</v>
      </c>
      <c r="B1776" s="28" t="s">
        <v>9326</v>
      </c>
    </row>
    <row r="1777" spans="1:2" x14ac:dyDescent="0.25">
      <c r="A1777" s="27">
        <v>6000004</v>
      </c>
      <c r="B1777" s="28" t="s">
        <v>9327</v>
      </c>
    </row>
    <row r="1778" spans="1:2" x14ac:dyDescent="0.25">
      <c r="A1778" s="27">
        <v>6000005</v>
      </c>
      <c r="B1778" s="28" t="s">
        <v>9328</v>
      </c>
    </row>
    <row r="1779" spans="1:2" x14ac:dyDescent="0.25">
      <c r="A1779" s="27">
        <v>6000006</v>
      </c>
      <c r="B1779" s="28" t="s">
        <v>9338</v>
      </c>
    </row>
    <row r="1780" spans="1:2" x14ac:dyDescent="0.25">
      <c r="A1780" s="27">
        <v>6000007</v>
      </c>
      <c r="B1780" s="28" t="s">
        <v>9325</v>
      </c>
    </row>
    <row r="1781" spans="1:2" x14ac:dyDescent="0.25">
      <c r="A1781" s="27">
        <v>6000008</v>
      </c>
      <c r="B1781" s="28" t="s">
        <v>9324</v>
      </c>
    </row>
    <row r="1782" spans="1:2" x14ac:dyDescent="0.25">
      <c r="A1782" s="27">
        <v>6000009</v>
      </c>
      <c r="B1782" s="28" t="s">
        <v>9349</v>
      </c>
    </row>
    <row r="1783" spans="1:2" x14ac:dyDescent="0.25">
      <c r="A1783" s="27">
        <v>6000010</v>
      </c>
      <c r="B1783" s="28" t="s">
        <v>9351</v>
      </c>
    </row>
    <row r="1784" spans="1:2" x14ac:dyDescent="0.25">
      <c r="A1784" s="27">
        <v>6000011</v>
      </c>
      <c r="B1784" s="28" t="s">
        <v>9350</v>
      </c>
    </row>
    <row r="1785" spans="1:2" x14ac:dyDescent="0.25">
      <c r="A1785" s="27">
        <v>6000013</v>
      </c>
      <c r="B1785" s="28" t="s">
        <v>9332</v>
      </c>
    </row>
    <row r="1786" spans="1:2" x14ac:dyDescent="0.25">
      <c r="A1786" s="27">
        <v>6000014</v>
      </c>
      <c r="B1786" s="28" t="s">
        <v>9323</v>
      </c>
    </row>
    <row r="1787" spans="1:2" x14ac:dyDescent="0.25">
      <c r="A1787" s="27">
        <v>6000015</v>
      </c>
      <c r="B1787" s="28" t="s">
        <v>9355</v>
      </c>
    </row>
    <row r="1788" spans="1:2" x14ac:dyDescent="0.25">
      <c r="A1788" s="27">
        <v>6000016</v>
      </c>
      <c r="B1788" s="28" t="s">
        <v>9322</v>
      </c>
    </row>
    <row r="1789" spans="1:2" x14ac:dyDescent="0.25">
      <c r="A1789" s="27">
        <v>6000017</v>
      </c>
      <c r="B1789" s="28" t="s">
        <v>9329</v>
      </c>
    </row>
    <row r="1790" spans="1:2" x14ac:dyDescent="0.25">
      <c r="A1790" s="27">
        <v>6000019</v>
      </c>
      <c r="B1790" s="28" t="s">
        <v>9354</v>
      </c>
    </row>
    <row r="1791" spans="1:2" x14ac:dyDescent="0.25">
      <c r="A1791" s="27">
        <v>6000020</v>
      </c>
      <c r="B1791" s="28" t="s">
        <v>9331</v>
      </c>
    </row>
    <row r="1792" spans="1:2" x14ac:dyDescent="0.25">
      <c r="A1792" s="27">
        <v>6000021</v>
      </c>
      <c r="B1792" s="28" t="s">
        <v>9331</v>
      </c>
    </row>
    <row r="1793" spans="1:2" x14ac:dyDescent="0.25">
      <c r="A1793" s="27">
        <v>6000022</v>
      </c>
      <c r="B1793" s="28" t="s">
        <v>9330</v>
      </c>
    </row>
    <row r="1794" spans="1:2" x14ac:dyDescent="0.25">
      <c r="A1794" s="27">
        <v>6000023</v>
      </c>
      <c r="B1794" s="28" t="s">
        <v>9336</v>
      </c>
    </row>
    <row r="1795" spans="1:2" x14ac:dyDescent="0.25">
      <c r="A1795" s="27">
        <v>6000024</v>
      </c>
      <c r="B1795" s="28" t="s">
        <v>9352</v>
      </c>
    </row>
    <row r="1796" spans="1:2" x14ac:dyDescent="0.25">
      <c r="A1796" s="27">
        <v>6000025</v>
      </c>
      <c r="B1796" s="28" t="s">
        <v>9348</v>
      </c>
    </row>
    <row r="1797" spans="1:2" x14ac:dyDescent="0.25">
      <c r="A1797" s="27">
        <v>6000026</v>
      </c>
      <c r="B1797" s="28" t="s">
        <v>9334</v>
      </c>
    </row>
    <row r="1798" spans="1:2" x14ac:dyDescent="0.25">
      <c r="A1798" s="27">
        <v>6000027</v>
      </c>
      <c r="B1798" s="28" t="s">
        <v>9347</v>
      </c>
    </row>
    <row r="1799" spans="1:2" x14ac:dyDescent="0.25">
      <c r="A1799" s="27">
        <v>6000028</v>
      </c>
      <c r="B1799" s="28" t="s">
        <v>9334</v>
      </c>
    </row>
    <row r="1800" spans="1:2" x14ac:dyDescent="0.25">
      <c r="A1800" s="27">
        <v>6000029</v>
      </c>
      <c r="B1800" s="28" t="s">
        <v>9335</v>
      </c>
    </row>
    <row r="1801" spans="1:2" x14ac:dyDescent="0.25">
      <c r="A1801" s="27">
        <v>6000067</v>
      </c>
      <c r="B1801" s="28" t="s">
        <v>9345</v>
      </c>
    </row>
    <row r="1802" spans="1:2" x14ac:dyDescent="0.25">
      <c r="A1802" s="27">
        <v>6000100</v>
      </c>
      <c r="B1802" s="28" t="s">
        <v>11487</v>
      </c>
    </row>
    <row r="1803" spans="1:2" x14ac:dyDescent="0.25">
      <c r="A1803" s="27">
        <v>6000129</v>
      </c>
      <c r="B1803" s="25" t="s">
        <v>9357</v>
      </c>
    </row>
    <row r="1804" spans="1:2" x14ac:dyDescent="0.25">
      <c r="A1804" s="27">
        <v>6000130</v>
      </c>
      <c r="B1804" s="28" t="s">
        <v>9356</v>
      </c>
    </row>
    <row r="1805" spans="1:2" x14ac:dyDescent="0.25">
      <c r="A1805" s="27">
        <v>6000301</v>
      </c>
      <c r="B1805" s="28" t="s">
        <v>9346</v>
      </c>
    </row>
    <row r="1806" spans="1:2" x14ac:dyDescent="0.25">
      <c r="A1806" s="27">
        <v>6000551</v>
      </c>
      <c r="B1806" s="25" t="s">
        <v>9337</v>
      </c>
    </row>
    <row r="1807" spans="1:2" x14ac:dyDescent="0.25">
      <c r="A1807" s="27">
        <v>6000552</v>
      </c>
      <c r="B1807" s="28" t="s">
        <v>9353</v>
      </c>
    </row>
    <row r="1808" spans="1:2" x14ac:dyDescent="0.25">
      <c r="A1808" s="27">
        <v>6000852</v>
      </c>
      <c r="B1808" s="28" t="s">
        <v>9343</v>
      </c>
    </row>
    <row r="1809" spans="1:2" x14ac:dyDescent="0.25">
      <c r="A1809" s="27">
        <v>6000853</v>
      </c>
      <c r="B1809" s="28" t="s">
        <v>9339</v>
      </c>
    </row>
    <row r="1810" spans="1:2" x14ac:dyDescent="0.25">
      <c r="A1810" s="27">
        <v>6000855</v>
      </c>
      <c r="B1810" s="28" t="s">
        <v>9342</v>
      </c>
    </row>
    <row r="1811" spans="1:2" x14ac:dyDescent="0.25">
      <c r="A1811" s="27">
        <v>6000856</v>
      </c>
      <c r="B1811" s="28" t="s">
        <v>9340</v>
      </c>
    </row>
    <row r="1812" spans="1:2" x14ac:dyDescent="0.25">
      <c r="A1812" s="27">
        <v>6000863</v>
      </c>
      <c r="B1812" s="28" t="s">
        <v>9344</v>
      </c>
    </row>
    <row r="1813" spans="1:2" x14ac:dyDescent="0.25">
      <c r="A1813" s="27">
        <v>6000864</v>
      </c>
      <c r="B1813" s="28" t="s">
        <v>9341</v>
      </c>
    </row>
    <row r="1814" spans="1:2" x14ac:dyDescent="0.25">
      <c r="A1814" s="27">
        <v>6000999</v>
      </c>
      <c r="B1814" s="28" t="s">
        <v>9333</v>
      </c>
    </row>
    <row r="1815" spans="1:2" x14ac:dyDescent="0.25">
      <c r="A1815" s="27">
        <v>6001001</v>
      </c>
      <c r="B1815" s="28" t="s">
        <v>10378</v>
      </c>
    </row>
    <row r="1816" spans="1:2" x14ac:dyDescent="0.25">
      <c r="A1816" s="27">
        <v>6001004</v>
      </c>
      <c r="B1816" s="28" t="s">
        <v>10369</v>
      </c>
    </row>
    <row r="1817" spans="1:2" x14ac:dyDescent="0.25">
      <c r="A1817" s="27">
        <v>6001005</v>
      </c>
      <c r="B1817" s="28" t="s">
        <v>10370</v>
      </c>
    </row>
    <row r="1818" spans="1:2" x14ac:dyDescent="0.25">
      <c r="A1818" s="27">
        <v>6001006</v>
      </c>
      <c r="B1818" s="28" t="s">
        <v>10366</v>
      </c>
    </row>
    <row r="1819" spans="1:2" x14ac:dyDescent="0.25">
      <c r="A1819" s="27">
        <v>6001007</v>
      </c>
      <c r="B1819" s="28" t="s">
        <v>10367</v>
      </c>
    </row>
    <row r="1820" spans="1:2" x14ac:dyDescent="0.25">
      <c r="A1820" s="27">
        <v>6001008</v>
      </c>
      <c r="B1820" s="28" t="s">
        <v>10377</v>
      </c>
    </row>
    <row r="1821" spans="1:2" x14ac:dyDescent="0.25">
      <c r="A1821" s="27">
        <v>6001265</v>
      </c>
      <c r="B1821" s="28" t="s">
        <v>10371</v>
      </c>
    </row>
    <row r="1822" spans="1:2" x14ac:dyDescent="0.25">
      <c r="A1822" s="27">
        <v>6001266</v>
      </c>
      <c r="B1822" s="28" t="s">
        <v>10372</v>
      </c>
    </row>
    <row r="1823" spans="1:2" x14ac:dyDescent="0.25">
      <c r="A1823" s="27">
        <v>6001941</v>
      </c>
      <c r="B1823" s="28" t="s">
        <v>10375</v>
      </c>
    </row>
    <row r="1824" spans="1:2" x14ac:dyDescent="0.25">
      <c r="A1824" s="27">
        <v>6001942</v>
      </c>
      <c r="B1824" s="28" t="s">
        <v>10376</v>
      </c>
    </row>
    <row r="1825" spans="1:2" x14ac:dyDescent="0.25">
      <c r="A1825" s="27">
        <v>6001946</v>
      </c>
      <c r="B1825" s="28" t="s">
        <v>10374</v>
      </c>
    </row>
    <row r="1826" spans="1:2" x14ac:dyDescent="0.25">
      <c r="A1826" s="27">
        <v>6001947</v>
      </c>
      <c r="B1826" s="28" t="s">
        <v>10373</v>
      </c>
    </row>
    <row r="1827" spans="1:2" x14ac:dyDescent="0.25">
      <c r="A1827" s="27">
        <v>6001948</v>
      </c>
      <c r="B1827" s="28" t="s">
        <v>10368</v>
      </c>
    </row>
    <row r="1828" spans="1:2" x14ac:dyDescent="0.25">
      <c r="A1828" s="27">
        <v>6401001</v>
      </c>
      <c r="B1828" s="28" t="s">
        <v>8465</v>
      </c>
    </row>
    <row r="1829" spans="1:2" x14ac:dyDescent="0.25">
      <c r="A1829" s="27">
        <v>6401002</v>
      </c>
      <c r="B1829" s="28" t="s">
        <v>8466</v>
      </c>
    </row>
    <row r="1830" spans="1:2" x14ac:dyDescent="0.25">
      <c r="A1830" s="27">
        <v>6401003</v>
      </c>
      <c r="B1830" s="28" t="s">
        <v>8467</v>
      </c>
    </row>
    <row r="1831" spans="1:2" x14ac:dyDescent="0.25">
      <c r="A1831" s="27">
        <v>6401247</v>
      </c>
      <c r="B1831" s="28" t="s">
        <v>8469</v>
      </c>
    </row>
    <row r="1832" spans="1:2" x14ac:dyDescent="0.25">
      <c r="A1832" s="27">
        <v>6401900</v>
      </c>
      <c r="B1832" s="28" t="s">
        <v>8468</v>
      </c>
    </row>
    <row r="1833" spans="1:2" x14ac:dyDescent="0.25">
      <c r="A1833" s="27">
        <v>6401901</v>
      </c>
      <c r="B1833" s="28" t="s">
        <v>11488</v>
      </c>
    </row>
    <row r="1834" spans="1:2" x14ac:dyDescent="0.25">
      <c r="A1834" s="27">
        <v>6401902</v>
      </c>
      <c r="B1834" s="28" t="s">
        <v>11489</v>
      </c>
    </row>
    <row r="1835" spans="1:2" x14ac:dyDescent="0.25">
      <c r="A1835" s="27">
        <v>6402000</v>
      </c>
      <c r="B1835" s="28" t="s">
        <v>11490</v>
      </c>
    </row>
    <row r="1836" spans="1:2" x14ac:dyDescent="0.25">
      <c r="A1836" s="27" t="s">
        <v>13552</v>
      </c>
      <c r="B1836" s="28"/>
    </row>
    <row r="1837" spans="1:2" x14ac:dyDescent="0.25">
      <c r="A1837" s="27">
        <v>7203001</v>
      </c>
      <c r="B1837" s="28" t="s">
        <v>10531</v>
      </c>
    </row>
    <row r="1838" spans="1:2" x14ac:dyDescent="0.25">
      <c r="A1838" s="27">
        <v>7203002</v>
      </c>
      <c r="B1838" s="28" t="s">
        <v>10532</v>
      </c>
    </row>
    <row r="1839" spans="1:2" x14ac:dyDescent="0.25">
      <c r="A1839" s="27">
        <v>7700022</v>
      </c>
      <c r="B1839" s="28" t="s">
        <v>10121</v>
      </c>
    </row>
    <row r="1840" spans="1:2" x14ac:dyDescent="0.25">
      <c r="A1840" s="27">
        <v>7700090</v>
      </c>
      <c r="B1840" s="28" t="s">
        <v>11491</v>
      </c>
    </row>
    <row r="1841" spans="1:2" x14ac:dyDescent="0.25">
      <c r="A1841" s="27">
        <v>7700091</v>
      </c>
      <c r="B1841" s="28" t="s">
        <v>11492</v>
      </c>
    </row>
    <row r="1842" spans="1:2" x14ac:dyDescent="0.25">
      <c r="A1842" s="27">
        <v>7700092</v>
      </c>
      <c r="B1842" s="28" t="s">
        <v>11493</v>
      </c>
    </row>
    <row r="1843" spans="1:2" x14ac:dyDescent="0.25">
      <c r="A1843" s="27">
        <v>7700093</v>
      </c>
      <c r="B1843" s="28" t="s">
        <v>9985</v>
      </c>
    </row>
    <row r="1844" spans="1:2" x14ac:dyDescent="0.25">
      <c r="A1844" s="27">
        <v>7700094</v>
      </c>
      <c r="B1844" s="28" t="s">
        <v>9986</v>
      </c>
    </row>
    <row r="1845" spans="1:2" x14ac:dyDescent="0.25">
      <c r="A1845" s="27">
        <v>7700095</v>
      </c>
      <c r="B1845" s="25" t="s">
        <v>9987</v>
      </c>
    </row>
    <row r="1846" spans="1:2" x14ac:dyDescent="0.25">
      <c r="A1846" s="27">
        <v>7700096</v>
      </c>
      <c r="B1846" s="28" t="s">
        <v>9988</v>
      </c>
    </row>
    <row r="1847" spans="1:2" x14ac:dyDescent="0.25">
      <c r="A1847" s="27">
        <v>7700100</v>
      </c>
      <c r="B1847" s="28" t="s">
        <v>9919</v>
      </c>
    </row>
    <row r="1848" spans="1:2" x14ac:dyDescent="0.25">
      <c r="A1848" s="27">
        <v>7700101</v>
      </c>
      <c r="B1848" s="28" t="s">
        <v>9920</v>
      </c>
    </row>
    <row r="1849" spans="1:2" x14ac:dyDescent="0.25">
      <c r="A1849" s="27">
        <v>7700103</v>
      </c>
      <c r="B1849" s="28" t="s">
        <v>9927</v>
      </c>
    </row>
    <row r="1850" spans="1:2" x14ac:dyDescent="0.25">
      <c r="A1850" s="27">
        <v>7700104</v>
      </c>
      <c r="B1850" s="28" t="s">
        <v>9924</v>
      </c>
    </row>
    <row r="1851" spans="1:2" x14ac:dyDescent="0.25">
      <c r="A1851" s="27">
        <v>7700105</v>
      </c>
      <c r="B1851" s="28" t="s">
        <v>9923</v>
      </c>
    </row>
    <row r="1852" spans="1:2" x14ac:dyDescent="0.25">
      <c r="A1852" s="27">
        <v>7700106</v>
      </c>
      <c r="B1852" s="28" t="s">
        <v>9931</v>
      </c>
    </row>
    <row r="1853" spans="1:2" x14ac:dyDescent="0.25">
      <c r="A1853" s="27">
        <v>7700107</v>
      </c>
      <c r="B1853" s="28" t="s">
        <v>9929</v>
      </c>
    </row>
    <row r="1854" spans="1:2" x14ac:dyDescent="0.25">
      <c r="A1854" s="27">
        <v>7700200</v>
      </c>
      <c r="B1854" s="28" t="s">
        <v>9922</v>
      </c>
    </row>
    <row r="1855" spans="1:2" x14ac:dyDescent="0.25">
      <c r="A1855" s="27">
        <v>7700202</v>
      </c>
      <c r="B1855" s="28" t="s">
        <v>9921</v>
      </c>
    </row>
    <row r="1856" spans="1:2" x14ac:dyDescent="0.25">
      <c r="A1856" s="27">
        <v>7700203</v>
      </c>
      <c r="B1856" s="28" t="s">
        <v>9928</v>
      </c>
    </row>
    <row r="1857" spans="1:2" x14ac:dyDescent="0.25">
      <c r="A1857" s="27">
        <v>7700204</v>
      </c>
      <c r="B1857" s="28" t="s">
        <v>9925</v>
      </c>
    </row>
    <row r="1858" spans="1:2" x14ac:dyDescent="0.25">
      <c r="A1858" s="27">
        <v>7700205</v>
      </c>
      <c r="B1858" s="28" t="s">
        <v>9926</v>
      </c>
    </row>
    <row r="1859" spans="1:2" x14ac:dyDescent="0.25">
      <c r="A1859" s="27">
        <v>7700206</v>
      </c>
      <c r="B1859" s="28" t="s">
        <v>9932</v>
      </c>
    </row>
    <row r="1860" spans="1:2" x14ac:dyDescent="0.25">
      <c r="A1860" s="27">
        <v>7700207</v>
      </c>
      <c r="B1860" s="28" t="s">
        <v>9930</v>
      </c>
    </row>
    <row r="1861" spans="1:2" x14ac:dyDescent="0.25">
      <c r="A1861" s="27">
        <v>7700220</v>
      </c>
      <c r="B1861" s="28" t="s">
        <v>11494</v>
      </c>
    </row>
    <row r="1862" spans="1:2" x14ac:dyDescent="0.25">
      <c r="A1862" s="27">
        <v>7700302</v>
      </c>
      <c r="B1862" s="28" t="s">
        <v>11495</v>
      </c>
    </row>
    <row r="1863" spans="1:2" x14ac:dyDescent="0.25">
      <c r="A1863" s="27" t="s">
        <v>13553</v>
      </c>
      <c r="B1863" s="28"/>
    </row>
    <row r="1864" spans="1:2" x14ac:dyDescent="0.25">
      <c r="A1864" s="27">
        <v>7700303</v>
      </c>
      <c r="B1864" s="28" t="s">
        <v>11496</v>
      </c>
    </row>
    <row r="1865" spans="1:2" x14ac:dyDescent="0.25">
      <c r="A1865" s="27">
        <v>7700450</v>
      </c>
      <c r="B1865" s="28" t="s">
        <v>9933</v>
      </c>
    </row>
    <row r="1866" spans="1:2" x14ac:dyDescent="0.25">
      <c r="A1866" s="27">
        <v>7700451</v>
      </c>
      <c r="B1866" s="28" t="s">
        <v>9934</v>
      </c>
    </row>
    <row r="1867" spans="1:2" x14ac:dyDescent="0.25">
      <c r="A1867" s="27">
        <v>7700452</v>
      </c>
      <c r="B1867" s="28" t="s">
        <v>9943</v>
      </c>
    </row>
    <row r="1868" spans="1:2" x14ac:dyDescent="0.25">
      <c r="A1868" s="27">
        <v>7700453</v>
      </c>
      <c r="B1868" s="28" t="s">
        <v>9944</v>
      </c>
    </row>
    <row r="1869" spans="1:2" x14ac:dyDescent="0.25">
      <c r="A1869" s="27">
        <v>7700454</v>
      </c>
      <c r="B1869" s="28" t="s">
        <v>9942</v>
      </c>
    </row>
    <row r="1870" spans="1:2" x14ac:dyDescent="0.25">
      <c r="A1870" s="27">
        <v>7700455</v>
      </c>
      <c r="B1870" s="28" t="s">
        <v>9946</v>
      </c>
    </row>
    <row r="1871" spans="1:2" x14ac:dyDescent="0.25">
      <c r="A1871" s="27">
        <v>7700456</v>
      </c>
      <c r="B1871" s="28" t="s">
        <v>9945</v>
      </c>
    </row>
    <row r="1872" spans="1:2" x14ac:dyDescent="0.25">
      <c r="A1872" s="27">
        <v>7700459</v>
      </c>
      <c r="B1872" s="28" t="s">
        <v>9935</v>
      </c>
    </row>
    <row r="1873" spans="1:2" x14ac:dyDescent="0.25">
      <c r="A1873" s="27">
        <v>7700460</v>
      </c>
      <c r="B1873" s="28" t="s">
        <v>9936</v>
      </c>
    </row>
    <row r="1874" spans="1:2" x14ac:dyDescent="0.25">
      <c r="A1874" s="27">
        <v>7700461</v>
      </c>
      <c r="B1874" s="28" t="s">
        <v>9938</v>
      </c>
    </row>
    <row r="1875" spans="1:2" x14ac:dyDescent="0.25">
      <c r="A1875" s="27">
        <v>7700462</v>
      </c>
      <c r="B1875" s="28" t="s">
        <v>9937</v>
      </c>
    </row>
    <row r="1876" spans="1:2" x14ac:dyDescent="0.25">
      <c r="A1876" s="27">
        <v>7700463</v>
      </c>
      <c r="B1876" s="28" t="s">
        <v>9941</v>
      </c>
    </row>
    <row r="1877" spans="1:2" x14ac:dyDescent="0.25">
      <c r="A1877" s="27">
        <v>7700464</v>
      </c>
      <c r="B1877" s="28" t="s">
        <v>9940</v>
      </c>
    </row>
    <row r="1878" spans="1:2" x14ac:dyDescent="0.25">
      <c r="A1878" s="27">
        <v>7700465</v>
      </c>
      <c r="B1878" s="28" t="s">
        <v>9939</v>
      </c>
    </row>
    <row r="1879" spans="1:2" x14ac:dyDescent="0.25">
      <c r="A1879" s="27">
        <v>7700500</v>
      </c>
      <c r="B1879" s="28" t="s">
        <v>11497</v>
      </c>
    </row>
    <row r="1880" spans="1:2" x14ac:dyDescent="0.25">
      <c r="A1880" s="27">
        <v>7700501</v>
      </c>
      <c r="B1880" s="28" t="s">
        <v>9997</v>
      </c>
    </row>
    <row r="1881" spans="1:2" x14ac:dyDescent="0.25">
      <c r="A1881" s="27">
        <v>7700502</v>
      </c>
      <c r="B1881" s="28" t="s">
        <v>9990</v>
      </c>
    </row>
    <row r="1882" spans="1:2" x14ac:dyDescent="0.25">
      <c r="A1882" s="27">
        <v>7700503</v>
      </c>
      <c r="B1882" s="28" t="s">
        <v>10001</v>
      </c>
    </row>
    <row r="1883" spans="1:2" x14ac:dyDescent="0.25">
      <c r="A1883" s="27">
        <v>7700504</v>
      </c>
      <c r="B1883" s="28" t="s">
        <v>10000</v>
      </c>
    </row>
    <row r="1884" spans="1:2" x14ac:dyDescent="0.25">
      <c r="A1884" s="27">
        <v>7700505</v>
      </c>
      <c r="B1884" s="28" t="s">
        <v>9989</v>
      </c>
    </row>
    <row r="1885" spans="1:2" x14ac:dyDescent="0.25">
      <c r="A1885" s="27">
        <v>7700506</v>
      </c>
      <c r="B1885" s="28" t="s">
        <v>9998</v>
      </c>
    </row>
    <row r="1886" spans="1:2" x14ac:dyDescent="0.25">
      <c r="A1886" s="27">
        <v>7700507</v>
      </c>
      <c r="B1886" s="28" t="s">
        <v>9996</v>
      </c>
    </row>
    <row r="1887" spans="1:2" x14ac:dyDescent="0.25">
      <c r="A1887" s="27">
        <v>7700508</v>
      </c>
      <c r="B1887" s="28" t="s">
        <v>9995</v>
      </c>
    </row>
    <row r="1888" spans="1:2" x14ac:dyDescent="0.25">
      <c r="A1888" s="27">
        <v>7700509</v>
      </c>
      <c r="B1888" s="28" t="s">
        <v>9999</v>
      </c>
    </row>
    <row r="1889" spans="1:2" x14ac:dyDescent="0.25">
      <c r="A1889" s="27">
        <v>7700510</v>
      </c>
      <c r="B1889" s="28" t="s">
        <v>9991</v>
      </c>
    </row>
    <row r="1890" spans="1:2" x14ac:dyDescent="0.25">
      <c r="A1890" s="27">
        <v>7700511</v>
      </c>
      <c r="B1890" s="28" t="s">
        <v>9992</v>
      </c>
    </row>
    <row r="1891" spans="1:2" x14ac:dyDescent="0.25">
      <c r="A1891" s="27">
        <v>7700512</v>
      </c>
      <c r="B1891" s="28" t="s">
        <v>9993</v>
      </c>
    </row>
    <row r="1892" spans="1:2" x14ac:dyDescent="0.25">
      <c r="A1892" s="27">
        <v>7700515</v>
      </c>
      <c r="B1892" s="28" t="s">
        <v>9994</v>
      </c>
    </row>
    <row r="1893" spans="1:2" x14ac:dyDescent="0.25">
      <c r="A1893" s="27">
        <v>7700601</v>
      </c>
      <c r="B1893" s="28" t="s">
        <v>11498</v>
      </c>
    </row>
    <row r="1894" spans="1:2" x14ac:dyDescent="0.25">
      <c r="A1894" s="27">
        <v>7700602</v>
      </c>
      <c r="B1894" s="28" t="s">
        <v>9954</v>
      </c>
    </row>
    <row r="1895" spans="1:2" x14ac:dyDescent="0.25">
      <c r="A1895" s="27">
        <v>7700603</v>
      </c>
      <c r="B1895" s="28" t="s">
        <v>9957</v>
      </c>
    </row>
    <row r="1896" spans="1:2" x14ac:dyDescent="0.25">
      <c r="A1896" s="27">
        <v>7700604</v>
      </c>
      <c r="B1896" s="28" t="s">
        <v>9956</v>
      </c>
    </row>
    <row r="1897" spans="1:2" x14ac:dyDescent="0.25">
      <c r="A1897" s="27">
        <v>7700605</v>
      </c>
      <c r="B1897" s="28" t="s">
        <v>9958</v>
      </c>
    </row>
    <row r="1898" spans="1:2" x14ac:dyDescent="0.25">
      <c r="A1898" s="27">
        <v>7700606</v>
      </c>
      <c r="B1898" s="28" t="s">
        <v>9965</v>
      </c>
    </row>
    <row r="1899" spans="1:2" x14ac:dyDescent="0.25">
      <c r="A1899" s="27">
        <v>7700607</v>
      </c>
      <c r="B1899" s="28" t="s">
        <v>9963</v>
      </c>
    </row>
    <row r="1900" spans="1:2" x14ac:dyDescent="0.25">
      <c r="A1900" s="27">
        <v>7700650</v>
      </c>
      <c r="B1900" s="28" t="s">
        <v>11499</v>
      </c>
    </row>
    <row r="1901" spans="1:2" x14ac:dyDescent="0.25">
      <c r="A1901" s="27">
        <v>7700651</v>
      </c>
      <c r="B1901" s="28" t="s">
        <v>11500</v>
      </c>
    </row>
    <row r="1902" spans="1:2" x14ac:dyDescent="0.25">
      <c r="A1902" s="27">
        <v>7700652</v>
      </c>
      <c r="B1902" s="28" t="s">
        <v>11501</v>
      </c>
    </row>
    <row r="1903" spans="1:2" x14ac:dyDescent="0.25">
      <c r="A1903" s="27">
        <v>7700653</v>
      </c>
      <c r="B1903" s="28" t="s">
        <v>11502</v>
      </c>
    </row>
    <row r="1904" spans="1:2" x14ac:dyDescent="0.25">
      <c r="A1904" s="27">
        <v>7700654</v>
      </c>
      <c r="B1904" s="28" t="s">
        <v>11503</v>
      </c>
    </row>
    <row r="1905" spans="1:2" x14ac:dyDescent="0.25">
      <c r="A1905" s="27">
        <v>7700655</v>
      </c>
      <c r="B1905" s="28" t="s">
        <v>11504</v>
      </c>
    </row>
    <row r="1906" spans="1:2" x14ac:dyDescent="0.25">
      <c r="A1906" s="27">
        <v>7700656</v>
      </c>
      <c r="B1906" s="28" t="s">
        <v>9967</v>
      </c>
    </row>
    <row r="1907" spans="1:2" x14ac:dyDescent="0.25">
      <c r="A1907" s="27">
        <v>7700657</v>
      </c>
      <c r="B1907" s="28" t="s">
        <v>9949</v>
      </c>
    </row>
    <row r="1908" spans="1:2" x14ac:dyDescent="0.25">
      <c r="A1908" s="27">
        <v>7700658</v>
      </c>
      <c r="B1908" s="28" t="s">
        <v>9950</v>
      </c>
    </row>
    <row r="1909" spans="1:2" x14ac:dyDescent="0.25">
      <c r="A1909" s="27">
        <v>7700700</v>
      </c>
      <c r="B1909" s="28" t="s">
        <v>11505</v>
      </c>
    </row>
    <row r="1910" spans="1:2" x14ac:dyDescent="0.25">
      <c r="A1910" s="27">
        <v>7700701</v>
      </c>
      <c r="B1910" s="28" t="s">
        <v>11506</v>
      </c>
    </row>
    <row r="1911" spans="1:2" x14ac:dyDescent="0.25">
      <c r="A1911" s="27">
        <v>77007014</v>
      </c>
      <c r="B1911" s="28" t="s">
        <v>11507</v>
      </c>
    </row>
    <row r="1912" spans="1:2" x14ac:dyDescent="0.25">
      <c r="A1912" s="27">
        <v>7700702</v>
      </c>
      <c r="B1912" s="28" t="s">
        <v>11508</v>
      </c>
    </row>
    <row r="1913" spans="1:2" x14ac:dyDescent="0.25">
      <c r="A1913" s="27">
        <v>7700703</v>
      </c>
      <c r="B1913" s="28" t="s">
        <v>9969</v>
      </c>
    </row>
    <row r="1914" spans="1:2" x14ac:dyDescent="0.25">
      <c r="A1914" s="27">
        <v>7700704</v>
      </c>
      <c r="B1914" s="28" t="s">
        <v>11509</v>
      </c>
    </row>
    <row r="1915" spans="1:2" x14ac:dyDescent="0.25">
      <c r="A1915" s="27">
        <v>7700705</v>
      </c>
      <c r="B1915" s="28" t="s">
        <v>11510</v>
      </c>
    </row>
    <row r="1916" spans="1:2" x14ac:dyDescent="0.25">
      <c r="A1916" s="27">
        <v>7700900</v>
      </c>
      <c r="B1916" s="28" t="s">
        <v>9984</v>
      </c>
    </row>
    <row r="1917" spans="1:2" x14ac:dyDescent="0.25">
      <c r="A1917" s="27">
        <v>7700901</v>
      </c>
      <c r="B1917" s="28" t="s">
        <v>11511</v>
      </c>
    </row>
    <row r="1918" spans="1:2" x14ac:dyDescent="0.25">
      <c r="A1918" s="27">
        <v>7700902</v>
      </c>
      <c r="B1918" s="28" t="s">
        <v>11512</v>
      </c>
    </row>
    <row r="1919" spans="1:2" x14ac:dyDescent="0.25">
      <c r="A1919" s="27">
        <v>7700903</v>
      </c>
      <c r="B1919" s="28" t="s">
        <v>11513</v>
      </c>
    </row>
    <row r="1920" spans="1:2" x14ac:dyDescent="0.25">
      <c r="A1920" s="27">
        <v>7700904</v>
      </c>
      <c r="B1920" s="28" t="s">
        <v>11514</v>
      </c>
    </row>
    <row r="1921" spans="1:2" x14ac:dyDescent="0.25">
      <c r="A1921" s="27">
        <v>7700905</v>
      </c>
      <c r="B1921" s="25" t="s">
        <v>11515</v>
      </c>
    </row>
    <row r="1922" spans="1:2" x14ac:dyDescent="0.25">
      <c r="A1922" s="27">
        <v>7700906</v>
      </c>
      <c r="B1922" s="28" t="s">
        <v>11516</v>
      </c>
    </row>
    <row r="1923" spans="1:2" x14ac:dyDescent="0.25">
      <c r="A1923" s="27">
        <v>7701004</v>
      </c>
      <c r="B1923" s="28" t="s">
        <v>9280</v>
      </c>
    </row>
    <row r="1924" spans="1:2" x14ac:dyDescent="0.25">
      <c r="A1924" s="27">
        <v>7701005</v>
      </c>
      <c r="B1924" s="25" t="s">
        <v>9279</v>
      </c>
    </row>
    <row r="1925" spans="1:2" x14ac:dyDescent="0.25">
      <c r="A1925" s="27">
        <v>7701006</v>
      </c>
      <c r="B1925" s="28" t="s">
        <v>11517</v>
      </c>
    </row>
    <row r="1926" spans="1:2" x14ac:dyDescent="0.25">
      <c r="A1926" s="27">
        <v>7701093</v>
      </c>
      <c r="B1926" s="28" t="s">
        <v>9972</v>
      </c>
    </row>
    <row r="1927" spans="1:2" x14ac:dyDescent="0.25">
      <c r="A1927" s="27">
        <v>7701094</v>
      </c>
      <c r="B1927" s="28" t="s">
        <v>9974</v>
      </c>
    </row>
    <row r="1928" spans="1:2" x14ac:dyDescent="0.25">
      <c r="A1928" s="27">
        <v>7701095</v>
      </c>
      <c r="B1928" s="28" t="s">
        <v>9978</v>
      </c>
    </row>
    <row r="1929" spans="1:2" x14ac:dyDescent="0.25">
      <c r="A1929" s="27">
        <v>7701096</v>
      </c>
      <c r="B1929" s="28" t="s">
        <v>9980</v>
      </c>
    </row>
    <row r="1930" spans="1:2" x14ac:dyDescent="0.25">
      <c r="A1930" s="27">
        <v>7701097</v>
      </c>
      <c r="B1930" s="28" t="s">
        <v>9982</v>
      </c>
    </row>
    <row r="1931" spans="1:2" x14ac:dyDescent="0.25">
      <c r="A1931" s="27">
        <v>7701098</v>
      </c>
      <c r="B1931" s="28" t="s">
        <v>9983</v>
      </c>
    </row>
    <row r="1932" spans="1:2" x14ac:dyDescent="0.25">
      <c r="A1932" s="27">
        <v>7701099</v>
      </c>
      <c r="B1932" s="28" t="s">
        <v>9979</v>
      </c>
    </row>
    <row r="1933" spans="1:2" x14ac:dyDescent="0.25">
      <c r="A1933" s="27">
        <v>7701100</v>
      </c>
      <c r="B1933" s="28" t="s">
        <v>9981</v>
      </c>
    </row>
    <row r="1934" spans="1:2" x14ac:dyDescent="0.25">
      <c r="A1934" s="27">
        <v>7701101</v>
      </c>
      <c r="B1934" s="28" t="s">
        <v>11518</v>
      </c>
    </row>
    <row r="1935" spans="1:2" x14ac:dyDescent="0.25">
      <c r="A1935" s="27">
        <v>7701102</v>
      </c>
      <c r="B1935" s="28" t="s">
        <v>9976</v>
      </c>
    </row>
    <row r="1936" spans="1:2" x14ac:dyDescent="0.25">
      <c r="A1936" s="27">
        <v>7701103</v>
      </c>
      <c r="B1936" s="28" t="s">
        <v>9977</v>
      </c>
    </row>
    <row r="1937" spans="1:2" x14ac:dyDescent="0.25">
      <c r="A1937" s="27">
        <v>7701104</v>
      </c>
      <c r="B1937" s="28" t="s">
        <v>9971</v>
      </c>
    </row>
    <row r="1938" spans="1:2" x14ac:dyDescent="0.25">
      <c r="A1938" s="27">
        <v>7701105</v>
      </c>
      <c r="B1938" s="28" t="s">
        <v>9973</v>
      </c>
    </row>
    <row r="1939" spans="1:2" x14ac:dyDescent="0.25">
      <c r="A1939" s="27">
        <v>7701106</v>
      </c>
      <c r="B1939" s="28" t="s">
        <v>9975</v>
      </c>
    </row>
    <row r="1940" spans="1:2" x14ac:dyDescent="0.25">
      <c r="A1940" s="27">
        <v>7701136</v>
      </c>
      <c r="B1940" s="28" t="s">
        <v>8415</v>
      </c>
    </row>
    <row r="1941" spans="1:2" x14ac:dyDescent="0.25">
      <c r="A1941" s="27">
        <v>7701137</v>
      </c>
      <c r="B1941" s="28" t="s">
        <v>8414</v>
      </c>
    </row>
    <row r="1942" spans="1:2" x14ac:dyDescent="0.25">
      <c r="A1942" s="27">
        <v>7701200</v>
      </c>
      <c r="B1942" s="28" t="s">
        <v>11519</v>
      </c>
    </row>
    <row r="1943" spans="1:2" x14ac:dyDescent="0.25">
      <c r="A1943" s="27">
        <v>7701201</v>
      </c>
      <c r="B1943" s="25" t="s">
        <v>11520</v>
      </c>
    </row>
    <row r="1944" spans="1:2" x14ac:dyDescent="0.25">
      <c r="A1944" s="27">
        <v>7701202</v>
      </c>
      <c r="B1944" s="28" t="s">
        <v>11521</v>
      </c>
    </row>
    <row r="1945" spans="1:2" x14ac:dyDescent="0.25">
      <c r="A1945" s="27">
        <v>7701203</v>
      </c>
      <c r="B1945" s="28" t="s">
        <v>11522</v>
      </c>
    </row>
    <row r="1946" spans="1:2" x14ac:dyDescent="0.25">
      <c r="A1946" s="27">
        <v>7701394</v>
      </c>
      <c r="B1946" s="28" t="s">
        <v>11523</v>
      </c>
    </row>
    <row r="1947" spans="1:2" x14ac:dyDescent="0.25">
      <c r="A1947" s="27">
        <v>7701397</v>
      </c>
      <c r="B1947" s="28" t="s">
        <v>11524</v>
      </c>
    </row>
    <row r="1948" spans="1:2" x14ac:dyDescent="0.25">
      <c r="A1948" s="27">
        <v>7701655</v>
      </c>
      <c r="B1948" s="28" t="s">
        <v>11525</v>
      </c>
    </row>
    <row r="1949" spans="1:2" x14ac:dyDescent="0.25">
      <c r="A1949" s="27">
        <v>7703000</v>
      </c>
      <c r="B1949" s="28" t="s">
        <v>9887</v>
      </c>
    </row>
    <row r="1950" spans="1:2" x14ac:dyDescent="0.25">
      <c r="A1950" s="27">
        <v>7703001</v>
      </c>
      <c r="B1950" s="28" t="s">
        <v>9896</v>
      </c>
    </row>
    <row r="1951" spans="1:2" x14ac:dyDescent="0.25">
      <c r="A1951" s="27">
        <v>7703002</v>
      </c>
      <c r="B1951" s="28" t="s">
        <v>9897</v>
      </c>
    </row>
    <row r="1952" spans="1:2" x14ac:dyDescent="0.25">
      <c r="A1952" s="27">
        <v>7703003</v>
      </c>
      <c r="B1952" s="28" t="s">
        <v>11526</v>
      </c>
    </row>
    <row r="1953" spans="1:2" x14ac:dyDescent="0.25">
      <c r="A1953" s="27">
        <v>7703004</v>
      </c>
      <c r="B1953" s="28" t="s">
        <v>9885</v>
      </c>
    </row>
    <row r="1954" spans="1:2" x14ac:dyDescent="0.25">
      <c r="A1954" s="27">
        <v>7703005</v>
      </c>
      <c r="B1954" s="28" t="s">
        <v>9886</v>
      </c>
    </row>
    <row r="1955" spans="1:2" x14ac:dyDescent="0.25">
      <c r="A1955" s="27">
        <v>7703006</v>
      </c>
      <c r="B1955" s="28" t="s">
        <v>12436</v>
      </c>
    </row>
    <row r="1956" spans="1:2" x14ac:dyDescent="0.25">
      <c r="A1956" s="27">
        <v>7703010</v>
      </c>
      <c r="B1956" s="28" t="s">
        <v>12335</v>
      </c>
    </row>
    <row r="1957" spans="1:2" x14ac:dyDescent="0.25">
      <c r="A1957" s="27">
        <v>7703019</v>
      </c>
      <c r="B1957" s="28" t="s">
        <v>9910</v>
      </c>
    </row>
    <row r="1958" spans="1:2" x14ac:dyDescent="0.25">
      <c r="A1958" s="27">
        <v>7703020</v>
      </c>
      <c r="B1958" s="28" t="s">
        <v>9909</v>
      </c>
    </row>
    <row r="1959" spans="1:2" x14ac:dyDescent="0.25">
      <c r="A1959" s="27">
        <v>7703021</v>
      </c>
      <c r="B1959" s="28" t="s">
        <v>9913</v>
      </c>
    </row>
    <row r="1960" spans="1:2" x14ac:dyDescent="0.25">
      <c r="A1960" s="27">
        <v>7703022</v>
      </c>
      <c r="B1960" s="28" t="s">
        <v>9912</v>
      </c>
    </row>
    <row r="1961" spans="1:2" x14ac:dyDescent="0.25">
      <c r="A1961" s="27">
        <v>7703023</v>
      </c>
      <c r="B1961" s="28" t="s">
        <v>9911</v>
      </c>
    </row>
    <row r="1962" spans="1:2" x14ac:dyDescent="0.25">
      <c r="A1962" s="27">
        <v>7703024</v>
      </c>
      <c r="B1962" s="28" t="s">
        <v>9915</v>
      </c>
    </row>
    <row r="1963" spans="1:2" x14ac:dyDescent="0.25">
      <c r="A1963" s="27">
        <v>7703025</v>
      </c>
      <c r="B1963" s="28" t="s">
        <v>9914</v>
      </c>
    </row>
    <row r="1964" spans="1:2" x14ac:dyDescent="0.25">
      <c r="A1964" s="27">
        <v>7703026</v>
      </c>
      <c r="B1964" s="25" t="s">
        <v>9908</v>
      </c>
    </row>
    <row r="1965" spans="1:2" x14ac:dyDescent="0.25">
      <c r="A1965" s="27">
        <v>7703029</v>
      </c>
      <c r="B1965" s="28" t="s">
        <v>9851</v>
      </c>
    </row>
    <row r="1966" spans="1:2" x14ac:dyDescent="0.25">
      <c r="A1966" s="27">
        <v>7703030</v>
      </c>
      <c r="B1966" s="28" t="s">
        <v>9817</v>
      </c>
    </row>
    <row r="1967" spans="1:2" x14ac:dyDescent="0.25">
      <c r="A1967" s="27">
        <v>7703031</v>
      </c>
      <c r="B1967" s="28" t="s">
        <v>9818</v>
      </c>
    </row>
    <row r="1968" spans="1:2" x14ac:dyDescent="0.25">
      <c r="A1968" s="27">
        <v>7703033</v>
      </c>
      <c r="B1968" s="28" t="s">
        <v>9811</v>
      </c>
    </row>
    <row r="1969" spans="1:2" x14ac:dyDescent="0.25">
      <c r="A1969" s="27">
        <v>7703035</v>
      </c>
      <c r="B1969" s="28" t="s">
        <v>9812</v>
      </c>
    </row>
    <row r="1970" spans="1:2" x14ac:dyDescent="0.25">
      <c r="A1970" s="27">
        <v>7703036</v>
      </c>
      <c r="B1970" s="28" t="s">
        <v>9816</v>
      </c>
    </row>
    <row r="1971" spans="1:2" x14ac:dyDescent="0.25">
      <c r="A1971" s="27">
        <v>7703037</v>
      </c>
      <c r="B1971" s="28" t="s">
        <v>9815</v>
      </c>
    </row>
    <row r="1972" spans="1:2" x14ac:dyDescent="0.25">
      <c r="A1972" s="27">
        <v>7703038</v>
      </c>
      <c r="B1972" s="28" t="s">
        <v>9810</v>
      </c>
    </row>
    <row r="1973" spans="1:2" x14ac:dyDescent="0.25">
      <c r="A1973" s="27">
        <v>7703039</v>
      </c>
      <c r="B1973" s="28" t="s">
        <v>9814</v>
      </c>
    </row>
    <row r="1974" spans="1:2" x14ac:dyDescent="0.25">
      <c r="A1974" s="27">
        <v>7703047</v>
      </c>
      <c r="B1974" s="28" t="s">
        <v>9813</v>
      </c>
    </row>
    <row r="1975" spans="1:2" x14ac:dyDescent="0.25">
      <c r="A1975" s="27">
        <v>7703050</v>
      </c>
      <c r="B1975" s="28" t="s">
        <v>13554</v>
      </c>
    </row>
    <row r="1976" spans="1:2" x14ac:dyDescent="0.25">
      <c r="A1976" s="27">
        <v>7703051</v>
      </c>
      <c r="B1976" s="28" t="s">
        <v>13555</v>
      </c>
    </row>
    <row r="1977" spans="1:2" x14ac:dyDescent="0.25">
      <c r="A1977" s="27">
        <v>7703052</v>
      </c>
      <c r="B1977" s="28" t="s">
        <v>13556</v>
      </c>
    </row>
    <row r="1978" spans="1:2" x14ac:dyDescent="0.25">
      <c r="A1978" s="27">
        <v>7703053</v>
      </c>
      <c r="B1978" s="28" t="s">
        <v>13557</v>
      </c>
    </row>
    <row r="1979" spans="1:2" x14ac:dyDescent="0.25">
      <c r="A1979" s="27">
        <v>7703054</v>
      </c>
      <c r="B1979" s="28" t="s">
        <v>9800</v>
      </c>
    </row>
    <row r="1980" spans="1:2" x14ac:dyDescent="0.25">
      <c r="A1980" s="27">
        <v>7703056</v>
      </c>
      <c r="B1980" s="28" t="s">
        <v>13558</v>
      </c>
    </row>
    <row r="1981" spans="1:2" x14ac:dyDescent="0.25">
      <c r="A1981" s="27">
        <v>7703057</v>
      </c>
      <c r="B1981" s="28" t="s">
        <v>13559</v>
      </c>
    </row>
    <row r="1982" spans="1:2" x14ac:dyDescent="0.25">
      <c r="A1982" s="27">
        <v>7703060</v>
      </c>
      <c r="B1982" s="28" t="s">
        <v>9808</v>
      </c>
    </row>
    <row r="1983" spans="1:2" x14ac:dyDescent="0.25">
      <c r="A1983" s="27">
        <v>7703061</v>
      </c>
      <c r="B1983" s="28" t="s">
        <v>9803</v>
      </c>
    </row>
    <row r="1984" spans="1:2" x14ac:dyDescent="0.25">
      <c r="A1984" s="27">
        <v>7703062</v>
      </c>
      <c r="B1984" s="28" t="s">
        <v>9804</v>
      </c>
    </row>
    <row r="1985" spans="1:2" x14ac:dyDescent="0.25">
      <c r="A1985" s="27">
        <v>7703065</v>
      </c>
      <c r="B1985" s="28" t="s">
        <v>9807</v>
      </c>
    </row>
    <row r="1986" spans="1:2" x14ac:dyDescent="0.25">
      <c r="A1986" s="27">
        <v>7703066</v>
      </c>
      <c r="B1986" s="28" t="s">
        <v>9801</v>
      </c>
    </row>
    <row r="1987" spans="1:2" x14ac:dyDescent="0.25">
      <c r="A1987" s="27">
        <v>7703067</v>
      </c>
      <c r="B1987" s="28" t="s">
        <v>9802</v>
      </c>
    </row>
    <row r="1988" spans="1:2" x14ac:dyDescent="0.25">
      <c r="A1988" s="27">
        <v>7703070</v>
      </c>
      <c r="B1988" s="28" t="s">
        <v>9809</v>
      </c>
    </row>
    <row r="1989" spans="1:2" x14ac:dyDescent="0.25">
      <c r="A1989" s="27">
        <v>7703071</v>
      </c>
      <c r="B1989" s="28" t="s">
        <v>9806</v>
      </c>
    </row>
    <row r="1990" spans="1:2" x14ac:dyDescent="0.25">
      <c r="A1990" s="27">
        <v>7703072</v>
      </c>
      <c r="B1990" s="28" t="s">
        <v>9805</v>
      </c>
    </row>
    <row r="1991" spans="1:2" x14ac:dyDescent="0.25">
      <c r="A1991" s="27">
        <v>7703073</v>
      </c>
      <c r="B1991" s="28" t="s">
        <v>9888</v>
      </c>
    </row>
    <row r="1992" spans="1:2" x14ac:dyDescent="0.25">
      <c r="A1992" s="27">
        <v>7703074</v>
      </c>
      <c r="B1992" s="28" t="s">
        <v>11527</v>
      </c>
    </row>
    <row r="1993" spans="1:2" x14ac:dyDescent="0.25">
      <c r="A1993" s="27">
        <v>7703105</v>
      </c>
      <c r="B1993" s="28" t="s">
        <v>9836</v>
      </c>
    </row>
    <row r="1994" spans="1:2" x14ac:dyDescent="0.25">
      <c r="A1994" s="27">
        <v>7703106</v>
      </c>
      <c r="B1994" s="28" t="s">
        <v>9826</v>
      </c>
    </row>
    <row r="1995" spans="1:2" x14ac:dyDescent="0.25">
      <c r="A1995" s="27">
        <v>7703107</v>
      </c>
      <c r="B1995" s="28" t="s">
        <v>9827</v>
      </c>
    </row>
    <row r="1996" spans="1:2" x14ac:dyDescent="0.25">
      <c r="A1996" s="27">
        <v>7703108</v>
      </c>
      <c r="B1996" s="28" t="s">
        <v>11528</v>
      </c>
    </row>
    <row r="1997" spans="1:2" x14ac:dyDescent="0.25">
      <c r="A1997" s="27">
        <v>7703109</v>
      </c>
      <c r="B1997" s="28" t="s">
        <v>9825</v>
      </c>
    </row>
    <row r="1998" spans="1:2" x14ac:dyDescent="0.25">
      <c r="A1998" s="27">
        <v>7703110</v>
      </c>
      <c r="B1998" s="28" t="s">
        <v>9835</v>
      </c>
    </row>
    <row r="1999" spans="1:2" x14ac:dyDescent="0.25">
      <c r="A1999" s="27">
        <v>7703111</v>
      </c>
      <c r="B1999" s="28" t="s">
        <v>9832</v>
      </c>
    </row>
    <row r="2000" spans="1:2" x14ac:dyDescent="0.25">
      <c r="A2000" s="27">
        <v>7703112</v>
      </c>
      <c r="B2000" s="28" t="s">
        <v>9833</v>
      </c>
    </row>
    <row r="2001" spans="1:2" x14ac:dyDescent="0.25">
      <c r="A2001" s="27">
        <v>7703113</v>
      </c>
      <c r="B2001" s="28" t="s">
        <v>9831</v>
      </c>
    </row>
    <row r="2002" spans="1:2" x14ac:dyDescent="0.25">
      <c r="A2002" s="27">
        <v>7703114</v>
      </c>
      <c r="B2002" s="28" t="s">
        <v>9819</v>
      </c>
    </row>
    <row r="2003" spans="1:2" x14ac:dyDescent="0.25">
      <c r="A2003" s="27">
        <v>7703115</v>
      </c>
      <c r="B2003" s="28" t="s">
        <v>9820</v>
      </c>
    </row>
    <row r="2004" spans="1:2" x14ac:dyDescent="0.25">
      <c r="A2004" s="27">
        <v>7703116</v>
      </c>
      <c r="B2004" s="28" t="s">
        <v>9821</v>
      </c>
    </row>
    <row r="2005" spans="1:2" x14ac:dyDescent="0.25">
      <c r="A2005" s="27">
        <v>7703117</v>
      </c>
      <c r="B2005" s="28" t="s">
        <v>9823</v>
      </c>
    </row>
    <row r="2006" spans="1:2" x14ac:dyDescent="0.25">
      <c r="A2006" s="27">
        <v>7703118</v>
      </c>
      <c r="B2006" s="28" t="s">
        <v>9824</v>
      </c>
    </row>
    <row r="2007" spans="1:2" x14ac:dyDescent="0.25">
      <c r="A2007" s="27">
        <v>7703119</v>
      </c>
      <c r="B2007" s="28" t="s">
        <v>9822</v>
      </c>
    </row>
    <row r="2008" spans="1:2" x14ac:dyDescent="0.25">
      <c r="A2008" s="27">
        <v>7703120</v>
      </c>
      <c r="B2008" s="28" t="s">
        <v>11529</v>
      </c>
    </row>
    <row r="2009" spans="1:2" x14ac:dyDescent="0.25">
      <c r="A2009" s="27">
        <v>7703121</v>
      </c>
      <c r="B2009" s="28" t="s">
        <v>9829</v>
      </c>
    </row>
    <row r="2010" spans="1:2" x14ac:dyDescent="0.25">
      <c r="A2010" s="27">
        <v>7703125</v>
      </c>
      <c r="B2010" s="28" t="s">
        <v>9830</v>
      </c>
    </row>
    <row r="2011" spans="1:2" x14ac:dyDescent="0.25">
      <c r="A2011" s="27">
        <v>7703126</v>
      </c>
      <c r="B2011" s="28" t="s">
        <v>13560</v>
      </c>
    </row>
    <row r="2012" spans="1:2" x14ac:dyDescent="0.25">
      <c r="A2012" s="27">
        <v>7703129</v>
      </c>
      <c r="B2012" s="28" t="s">
        <v>9854</v>
      </c>
    </row>
    <row r="2013" spans="1:2" x14ac:dyDescent="0.25">
      <c r="A2013" s="27">
        <v>7703130</v>
      </c>
      <c r="B2013" s="28" t="s">
        <v>9855</v>
      </c>
    </row>
    <row r="2014" spans="1:2" x14ac:dyDescent="0.25">
      <c r="A2014" s="27">
        <v>7703143</v>
      </c>
      <c r="B2014" s="28" t="s">
        <v>9844</v>
      </c>
    </row>
    <row r="2015" spans="1:2" x14ac:dyDescent="0.25">
      <c r="A2015" s="27">
        <v>7703144</v>
      </c>
      <c r="B2015" s="28" t="s">
        <v>9840</v>
      </c>
    </row>
    <row r="2016" spans="1:2" x14ac:dyDescent="0.25">
      <c r="A2016" s="27">
        <v>7703157</v>
      </c>
      <c r="B2016" s="28" t="s">
        <v>9843</v>
      </c>
    </row>
    <row r="2017" spans="1:2" x14ac:dyDescent="0.25">
      <c r="A2017" s="27">
        <v>7703158</v>
      </c>
      <c r="B2017" s="28" t="s">
        <v>9842</v>
      </c>
    </row>
    <row r="2018" spans="1:2" x14ac:dyDescent="0.25">
      <c r="A2018" s="27">
        <v>7703159</v>
      </c>
      <c r="B2018" s="28" t="s">
        <v>9845</v>
      </c>
    </row>
    <row r="2019" spans="1:2" x14ac:dyDescent="0.25">
      <c r="A2019" s="27">
        <v>7703164</v>
      </c>
      <c r="B2019" s="28" t="s">
        <v>9834</v>
      </c>
    </row>
    <row r="2020" spans="1:2" x14ac:dyDescent="0.25">
      <c r="A2020" s="27">
        <v>7703185</v>
      </c>
      <c r="B2020" s="28" t="s">
        <v>9828</v>
      </c>
    </row>
    <row r="2021" spans="1:2" x14ac:dyDescent="0.25">
      <c r="A2021" s="27">
        <v>7703200</v>
      </c>
      <c r="B2021" s="28" t="s">
        <v>9841</v>
      </c>
    </row>
    <row r="2022" spans="1:2" x14ac:dyDescent="0.25">
      <c r="A2022" s="27">
        <v>7703250</v>
      </c>
      <c r="B2022" s="28" t="s">
        <v>9900</v>
      </c>
    </row>
    <row r="2023" spans="1:2" x14ac:dyDescent="0.25">
      <c r="A2023" s="27">
        <v>7703251</v>
      </c>
      <c r="B2023" s="28" t="s">
        <v>9899</v>
      </c>
    </row>
    <row r="2024" spans="1:2" x14ac:dyDescent="0.25">
      <c r="A2024" s="27">
        <v>7703252</v>
      </c>
      <c r="B2024" s="28" t="s">
        <v>9903</v>
      </c>
    </row>
    <row r="2025" spans="1:2" x14ac:dyDescent="0.25">
      <c r="A2025" s="27">
        <v>7703253</v>
      </c>
      <c r="B2025" s="28" t="s">
        <v>9901</v>
      </c>
    </row>
    <row r="2026" spans="1:2" x14ac:dyDescent="0.25">
      <c r="A2026" s="27">
        <v>7703254</v>
      </c>
      <c r="B2026" s="28" t="s">
        <v>9902</v>
      </c>
    </row>
    <row r="2027" spans="1:2" x14ac:dyDescent="0.25">
      <c r="A2027" s="27">
        <v>7703255</v>
      </c>
      <c r="B2027" s="28" t="s">
        <v>9905</v>
      </c>
    </row>
    <row r="2028" spans="1:2" x14ac:dyDescent="0.25">
      <c r="A2028" s="27">
        <v>7703256</v>
      </c>
      <c r="B2028" s="28" t="s">
        <v>9904</v>
      </c>
    </row>
    <row r="2029" spans="1:2" x14ac:dyDescent="0.25">
      <c r="A2029" s="27">
        <v>7703260</v>
      </c>
      <c r="B2029" s="28" t="s">
        <v>9875</v>
      </c>
    </row>
    <row r="2030" spans="1:2" x14ac:dyDescent="0.25">
      <c r="A2030" s="27">
        <v>7703340</v>
      </c>
      <c r="B2030" s="28" t="s">
        <v>9876</v>
      </c>
    </row>
    <row r="2031" spans="1:2" x14ac:dyDescent="0.25">
      <c r="A2031" s="27">
        <v>7703341</v>
      </c>
      <c r="B2031" s="28" t="s">
        <v>9882</v>
      </c>
    </row>
    <row r="2032" spans="1:2" x14ac:dyDescent="0.25">
      <c r="A2032" s="27">
        <v>7703420</v>
      </c>
      <c r="B2032" s="28" t="s">
        <v>9877</v>
      </c>
    </row>
    <row r="2033" spans="1:2" x14ac:dyDescent="0.25">
      <c r="A2033" s="27">
        <v>7703540</v>
      </c>
      <c r="B2033" s="28" t="s">
        <v>9881</v>
      </c>
    </row>
    <row r="2034" spans="1:2" x14ac:dyDescent="0.25">
      <c r="A2034" s="27">
        <v>7703599</v>
      </c>
      <c r="B2034" s="28" t="s">
        <v>9906</v>
      </c>
    </row>
    <row r="2035" spans="1:2" x14ac:dyDescent="0.25">
      <c r="A2035" s="27">
        <v>7703600</v>
      </c>
      <c r="B2035" s="28" t="s">
        <v>9907</v>
      </c>
    </row>
    <row r="2036" spans="1:2" x14ac:dyDescent="0.25">
      <c r="A2036" s="27">
        <v>7703601</v>
      </c>
      <c r="B2036" s="28" t="s">
        <v>9890</v>
      </c>
    </row>
    <row r="2037" spans="1:2" x14ac:dyDescent="0.25">
      <c r="A2037" s="27">
        <v>7703602</v>
      </c>
      <c r="B2037" s="28" t="s">
        <v>9891</v>
      </c>
    </row>
    <row r="2038" spans="1:2" x14ac:dyDescent="0.25">
      <c r="A2038" s="27">
        <v>7703603</v>
      </c>
      <c r="B2038" s="25" t="s">
        <v>9892</v>
      </c>
    </row>
    <row r="2039" spans="1:2" x14ac:dyDescent="0.25">
      <c r="A2039" s="27">
        <v>7703604</v>
      </c>
      <c r="B2039" s="28" t="s">
        <v>9893</v>
      </c>
    </row>
    <row r="2040" spans="1:2" x14ac:dyDescent="0.25">
      <c r="A2040" s="27">
        <v>7703605</v>
      </c>
      <c r="B2040" s="28" t="s">
        <v>9894</v>
      </c>
    </row>
    <row r="2041" spans="1:2" x14ac:dyDescent="0.25">
      <c r="A2041" s="27">
        <v>7703606</v>
      </c>
      <c r="B2041" s="28" t="s">
        <v>9895</v>
      </c>
    </row>
    <row r="2042" spans="1:2" x14ac:dyDescent="0.25">
      <c r="A2042" s="27">
        <v>7703607</v>
      </c>
      <c r="B2042" s="28" t="s">
        <v>9889</v>
      </c>
    </row>
    <row r="2043" spans="1:2" x14ac:dyDescent="0.25">
      <c r="A2043" s="27">
        <v>7703640</v>
      </c>
      <c r="B2043" s="28" t="s">
        <v>9873</v>
      </c>
    </row>
    <row r="2044" spans="1:2" x14ac:dyDescent="0.25">
      <c r="A2044" s="27">
        <v>7703651</v>
      </c>
      <c r="B2044" s="28" t="s">
        <v>11530</v>
      </c>
    </row>
    <row r="2045" spans="1:2" x14ac:dyDescent="0.25">
      <c r="A2045" s="27">
        <v>7703652</v>
      </c>
      <c r="B2045" s="28" t="s">
        <v>11531</v>
      </c>
    </row>
    <row r="2046" spans="1:2" x14ac:dyDescent="0.25">
      <c r="A2046" s="27">
        <v>7703653</v>
      </c>
      <c r="B2046" s="28" t="s">
        <v>11532</v>
      </c>
    </row>
    <row r="2047" spans="1:2" x14ac:dyDescent="0.25">
      <c r="A2047" s="27">
        <v>7703660</v>
      </c>
      <c r="B2047" s="28" t="s">
        <v>9856</v>
      </c>
    </row>
    <row r="2048" spans="1:2" x14ac:dyDescent="0.25">
      <c r="A2048" s="27">
        <v>7703664</v>
      </c>
      <c r="B2048" s="28" t="s">
        <v>9857</v>
      </c>
    </row>
    <row r="2049" spans="1:2" x14ac:dyDescent="0.25">
      <c r="A2049" s="27">
        <v>7703665</v>
      </c>
      <c r="B2049" s="28" t="s">
        <v>9858</v>
      </c>
    </row>
    <row r="2050" spans="1:2" x14ac:dyDescent="0.25">
      <c r="A2050" s="27">
        <v>7703666</v>
      </c>
      <c r="B2050" s="28" t="s">
        <v>9859</v>
      </c>
    </row>
    <row r="2051" spans="1:2" x14ac:dyDescent="0.25">
      <c r="A2051" s="27">
        <v>7703667</v>
      </c>
      <c r="B2051" s="28" t="s">
        <v>9860</v>
      </c>
    </row>
    <row r="2052" spans="1:2" x14ac:dyDescent="0.25">
      <c r="A2052" s="27">
        <v>7703668</v>
      </c>
      <c r="B2052" s="28" t="s">
        <v>9861</v>
      </c>
    </row>
    <row r="2053" spans="1:2" x14ac:dyDescent="0.25">
      <c r="A2053" s="27">
        <v>7703669</v>
      </c>
      <c r="B2053" s="28" t="s">
        <v>9862</v>
      </c>
    </row>
    <row r="2054" spans="1:2" x14ac:dyDescent="0.25">
      <c r="A2054" s="27">
        <v>7703670</v>
      </c>
      <c r="B2054" s="28" t="s">
        <v>9871</v>
      </c>
    </row>
    <row r="2055" spans="1:2" x14ac:dyDescent="0.25">
      <c r="A2055" s="27">
        <v>7703671</v>
      </c>
      <c r="B2055" s="28" t="s">
        <v>11533</v>
      </c>
    </row>
    <row r="2056" spans="1:2" x14ac:dyDescent="0.25">
      <c r="A2056" s="27">
        <v>7703672</v>
      </c>
      <c r="B2056" s="28" t="s">
        <v>9870</v>
      </c>
    </row>
    <row r="2057" spans="1:2" x14ac:dyDescent="0.25">
      <c r="A2057" s="27">
        <v>7703673</v>
      </c>
      <c r="B2057" s="28" t="s">
        <v>9880</v>
      </c>
    </row>
    <row r="2058" spans="1:2" x14ac:dyDescent="0.25">
      <c r="A2058" s="27">
        <v>7703674</v>
      </c>
      <c r="B2058" s="28" t="s">
        <v>9879</v>
      </c>
    </row>
    <row r="2059" spans="1:2" x14ac:dyDescent="0.25">
      <c r="A2059" s="27">
        <v>7703675</v>
      </c>
      <c r="B2059" s="28" t="s">
        <v>9878</v>
      </c>
    </row>
    <row r="2060" spans="1:2" x14ac:dyDescent="0.25">
      <c r="A2060" s="27">
        <v>7703676</v>
      </c>
      <c r="B2060" s="28" t="s">
        <v>9884</v>
      </c>
    </row>
    <row r="2061" spans="1:2" x14ac:dyDescent="0.25">
      <c r="A2061" s="27">
        <v>7703678</v>
      </c>
      <c r="B2061" s="28" t="s">
        <v>9883</v>
      </c>
    </row>
    <row r="2062" spans="1:2" x14ac:dyDescent="0.25">
      <c r="A2062" s="27">
        <v>7703701</v>
      </c>
      <c r="B2062" s="28" t="s">
        <v>9864</v>
      </c>
    </row>
    <row r="2063" spans="1:2" x14ac:dyDescent="0.25">
      <c r="A2063" s="27">
        <v>7703702</v>
      </c>
      <c r="B2063" s="28" t="s">
        <v>9863</v>
      </c>
    </row>
    <row r="2064" spans="1:2" x14ac:dyDescent="0.25">
      <c r="A2064" s="27">
        <v>7703703</v>
      </c>
      <c r="B2064" s="28" t="s">
        <v>9867</v>
      </c>
    </row>
    <row r="2065" spans="1:2" x14ac:dyDescent="0.25">
      <c r="A2065" s="27">
        <v>7703704</v>
      </c>
      <c r="B2065" s="28" t="s">
        <v>9865</v>
      </c>
    </row>
    <row r="2066" spans="1:2" x14ac:dyDescent="0.25">
      <c r="A2066" s="27">
        <v>7703705</v>
      </c>
      <c r="B2066" s="28" t="s">
        <v>9866</v>
      </c>
    </row>
    <row r="2067" spans="1:2" x14ac:dyDescent="0.25">
      <c r="A2067" s="27">
        <v>7703706</v>
      </c>
      <c r="B2067" s="28" t="s">
        <v>9869</v>
      </c>
    </row>
    <row r="2068" spans="1:2" x14ac:dyDescent="0.25">
      <c r="A2068" s="27">
        <v>7703707</v>
      </c>
      <c r="B2068" s="28" t="s">
        <v>9868</v>
      </c>
    </row>
    <row r="2069" spans="1:2" x14ac:dyDescent="0.25">
      <c r="A2069" s="27">
        <v>7703713</v>
      </c>
      <c r="B2069" s="28" t="s">
        <v>11534</v>
      </c>
    </row>
    <row r="2070" spans="1:2" x14ac:dyDescent="0.25">
      <c r="A2070" s="27">
        <v>7703716</v>
      </c>
      <c r="B2070" s="28" t="s">
        <v>9916</v>
      </c>
    </row>
    <row r="2071" spans="1:2" x14ac:dyDescent="0.25">
      <c r="A2071" s="27">
        <v>7703777</v>
      </c>
      <c r="B2071" s="28" t="s">
        <v>9850</v>
      </c>
    </row>
    <row r="2072" spans="1:2" x14ac:dyDescent="0.25">
      <c r="A2072" s="27">
        <v>7703780</v>
      </c>
      <c r="B2072" s="28" t="s">
        <v>9874</v>
      </c>
    </row>
    <row r="2073" spans="1:2" x14ac:dyDescent="0.25">
      <c r="A2073" s="27">
        <v>7703815</v>
      </c>
      <c r="B2073" s="28" t="s">
        <v>9852</v>
      </c>
    </row>
    <row r="2074" spans="1:2" x14ac:dyDescent="0.25">
      <c r="A2074" s="27">
        <v>7703881</v>
      </c>
      <c r="B2074" s="28" t="s">
        <v>9853</v>
      </c>
    </row>
    <row r="2075" spans="1:2" x14ac:dyDescent="0.25">
      <c r="A2075" s="27">
        <v>7703888</v>
      </c>
      <c r="B2075" s="28" t="s">
        <v>9848</v>
      </c>
    </row>
    <row r="2076" spans="1:2" x14ac:dyDescent="0.25">
      <c r="A2076" s="27">
        <v>7703900</v>
      </c>
      <c r="B2076" s="28" t="s">
        <v>9898</v>
      </c>
    </row>
    <row r="2077" spans="1:2" x14ac:dyDescent="0.25">
      <c r="A2077" s="27">
        <v>7703901</v>
      </c>
      <c r="B2077" s="28" t="s">
        <v>9838</v>
      </c>
    </row>
    <row r="2078" spans="1:2" x14ac:dyDescent="0.25">
      <c r="A2078" s="27">
        <v>7703902</v>
      </c>
      <c r="B2078" s="28" t="s">
        <v>9839</v>
      </c>
    </row>
    <row r="2079" spans="1:2" x14ac:dyDescent="0.25">
      <c r="A2079" s="27">
        <v>7703903</v>
      </c>
      <c r="B2079" s="28" t="s">
        <v>9837</v>
      </c>
    </row>
    <row r="2080" spans="1:2" x14ac:dyDescent="0.25">
      <c r="A2080" s="27">
        <v>7703910</v>
      </c>
      <c r="B2080" s="28" t="s">
        <v>11535</v>
      </c>
    </row>
    <row r="2081" spans="1:2" x14ac:dyDescent="0.25">
      <c r="A2081" s="27">
        <v>7703915</v>
      </c>
      <c r="B2081" s="28" t="s">
        <v>9917</v>
      </c>
    </row>
    <row r="2082" spans="1:2" x14ac:dyDescent="0.25">
      <c r="A2082" s="27">
        <v>7703916</v>
      </c>
      <c r="B2082" s="28" t="s">
        <v>11536</v>
      </c>
    </row>
    <row r="2083" spans="1:2" x14ac:dyDescent="0.25">
      <c r="A2083" s="27">
        <v>7703918</v>
      </c>
      <c r="B2083" s="28" t="s">
        <v>11537</v>
      </c>
    </row>
    <row r="2084" spans="1:2" x14ac:dyDescent="0.25">
      <c r="A2084" s="27">
        <v>7703920</v>
      </c>
      <c r="B2084" s="28" t="s">
        <v>9872</v>
      </c>
    </row>
    <row r="2085" spans="1:2" x14ac:dyDescent="0.25">
      <c r="A2085" s="27">
        <v>7703951</v>
      </c>
      <c r="B2085" s="28" t="s">
        <v>9847</v>
      </c>
    </row>
    <row r="2086" spans="1:2" x14ac:dyDescent="0.25">
      <c r="A2086" s="27">
        <v>7703987</v>
      </c>
      <c r="B2086" s="28" t="s">
        <v>11538</v>
      </c>
    </row>
    <row r="2087" spans="1:2" x14ac:dyDescent="0.25">
      <c r="A2087" s="27">
        <v>7703994</v>
      </c>
      <c r="B2087" s="28" t="s">
        <v>9846</v>
      </c>
    </row>
    <row r="2088" spans="1:2" x14ac:dyDescent="0.25">
      <c r="A2088" s="27">
        <v>7703999</v>
      </c>
      <c r="B2088" s="28" t="s">
        <v>9849</v>
      </c>
    </row>
    <row r="2089" spans="1:2" x14ac:dyDescent="0.25">
      <c r="A2089" s="27" t="s">
        <v>13561</v>
      </c>
      <c r="B2089" s="28"/>
    </row>
    <row r="2090" spans="1:2" x14ac:dyDescent="0.25">
      <c r="A2090" s="27">
        <v>7707000</v>
      </c>
      <c r="B2090" s="28" t="s">
        <v>11539</v>
      </c>
    </row>
    <row r="2091" spans="1:2" x14ac:dyDescent="0.25">
      <c r="A2091" s="27">
        <v>7707001</v>
      </c>
      <c r="B2091" s="28" t="s">
        <v>10208</v>
      </c>
    </row>
    <row r="2092" spans="1:2" x14ac:dyDescent="0.25">
      <c r="A2092" s="27">
        <v>7707002</v>
      </c>
      <c r="B2092" s="28" t="s">
        <v>10182</v>
      </c>
    </row>
    <row r="2093" spans="1:2" x14ac:dyDescent="0.25">
      <c r="A2093" s="27">
        <v>7707003</v>
      </c>
      <c r="B2093" s="28" t="s">
        <v>10209</v>
      </c>
    </row>
    <row r="2094" spans="1:2" x14ac:dyDescent="0.25">
      <c r="A2094" s="27">
        <v>7707004</v>
      </c>
      <c r="B2094" s="28" t="s">
        <v>11540</v>
      </c>
    </row>
    <row r="2095" spans="1:2" x14ac:dyDescent="0.25">
      <c r="A2095" s="27">
        <v>7707005</v>
      </c>
      <c r="B2095" s="28" t="s">
        <v>11541</v>
      </c>
    </row>
    <row r="2096" spans="1:2" x14ac:dyDescent="0.25">
      <c r="A2096" s="27">
        <v>7707006</v>
      </c>
      <c r="B2096" s="28" t="s">
        <v>11542</v>
      </c>
    </row>
    <row r="2097" spans="1:2" x14ac:dyDescent="0.25">
      <c r="A2097" s="27">
        <v>7707007</v>
      </c>
      <c r="B2097" s="28" t="s">
        <v>11543</v>
      </c>
    </row>
    <row r="2098" spans="1:2" x14ac:dyDescent="0.25">
      <c r="A2098" s="27">
        <v>7707009</v>
      </c>
      <c r="B2098" s="28" t="s">
        <v>11544</v>
      </c>
    </row>
    <row r="2099" spans="1:2" x14ac:dyDescent="0.25">
      <c r="A2099" s="27">
        <v>7707010</v>
      </c>
      <c r="B2099" s="28" t="s">
        <v>10151</v>
      </c>
    </row>
    <row r="2100" spans="1:2" x14ac:dyDescent="0.25">
      <c r="A2100" s="27">
        <v>7707011</v>
      </c>
      <c r="B2100" s="28" t="s">
        <v>10152</v>
      </c>
    </row>
    <row r="2101" spans="1:2" x14ac:dyDescent="0.25">
      <c r="A2101" s="27">
        <v>7707012</v>
      </c>
      <c r="B2101" s="28" t="s">
        <v>11545</v>
      </c>
    </row>
    <row r="2102" spans="1:2" x14ac:dyDescent="0.25">
      <c r="A2102" s="27">
        <v>7707013</v>
      </c>
      <c r="B2102" s="28" t="s">
        <v>10183</v>
      </c>
    </row>
    <row r="2103" spans="1:2" x14ac:dyDescent="0.25">
      <c r="A2103" s="27">
        <v>7707014</v>
      </c>
      <c r="B2103" s="28" t="s">
        <v>11546</v>
      </c>
    </row>
    <row r="2104" spans="1:2" x14ac:dyDescent="0.25">
      <c r="A2104" s="27">
        <v>7707015</v>
      </c>
      <c r="B2104" s="28" t="s">
        <v>11547</v>
      </c>
    </row>
    <row r="2105" spans="1:2" x14ac:dyDescent="0.25">
      <c r="A2105" s="27">
        <v>7707016</v>
      </c>
      <c r="B2105" s="28" t="s">
        <v>11548</v>
      </c>
    </row>
    <row r="2106" spans="1:2" x14ac:dyDescent="0.25">
      <c r="A2106" s="27">
        <v>7707017</v>
      </c>
      <c r="B2106" s="28" t="s">
        <v>9799</v>
      </c>
    </row>
    <row r="2107" spans="1:2" x14ac:dyDescent="0.25">
      <c r="A2107" s="27">
        <v>7707018</v>
      </c>
      <c r="B2107" s="28" t="s">
        <v>11549</v>
      </c>
    </row>
    <row r="2108" spans="1:2" x14ac:dyDescent="0.25">
      <c r="A2108" s="27">
        <v>7707019</v>
      </c>
      <c r="B2108" s="28" t="s">
        <v>11550</v>
      </c>
    </row>
    <row r="2109" spans="1:2" x14ac:dyDescent="0.25">
      <c r="A2109" s="27">
        <v>7707020</v>
      </c>
      <c r="B2109" s="28" t="s">
        <v>11551</v>
      </c>
    </row>
    <row r="2110" spans="1:2" x14ac:dyDescent="0.25">
      <c r="A2110" s="27">
        <v>7707021</v>
      </c>
      <c r="B2110" s="28" t="s">
        <v>11552</v>
      </c>
    </row>
    <row r="2111" spans="1:2" x14ac:dyDescent="0.25">
      <c r="A2111" s="27">
        <v>7707022</v>
      </c>
      <c r="B2111" s="28" t="s">
        <v>10178</v>
      </c>
    </row>
    <row r="2112" spans="1:2" x14ac:dyDescent="0.25">
      <c r="A2112" s="27">
        <v>7707023</v>
      </c>
      <c r="B2112" s="28" t="s">
        <v>10177</v>
      </c>
    </row>
    <row r="2113" spans="1:2" x14ac:dyDescent="0.25">
      <c r="A2113" s="27">
        <v>7707024</v>
      </c>
      <c r="B2113" s="28" t="s">
        <v>13562</v>
      </c>
    </row>
    <row r="2114" spans="1:2" x14ac:dyDescent="0.25">
      <c r="A2114" s="27">
        <v>7707025</v>
      </c>
      <c r="B2114" s="28" t="s">
        <v>10143</v>
      </c>
    </row>
    <row r="2115" spans="1:2" x14ac:dyDescent="0.25">
      <c r="A2115" s="27">
        <v>7707026</v>
      </c>
      <c r="B2115" s="28" t="s">
        <v>10145</v>
      </c>
    </row>
    <row r="2116" spans="1:2" x14ac:dyDescent="0.25">
      <c r="A2116" s="27">
        <v>7707027</v>
      </c>
      <c r="B2116" s="28" t="s">
        <v>10144</v>
      </c>
    </row>
    <row r="2117" spans="1:2" x14ac:dyDescent="0.25">
      <c r="A2117" s="27">
        <v>7707028</v>
      </c>
      <c r="B2117" s="28" t="s">
        <v>13563</v>
      </c>
    </row>
    <row r="2118" spans="1:2" x14ac:dyDescent="0.25">
      <c r="A2118" s="27">
        <v>7707051</v>
      </c>
      <c r="B2118" s="28" t="s">
        <v>10850</v>
      </c>
    </row>
    <row r="2119" spans="1:2" x14ac:dyDescent="0.25">
      <c r="A2119" s="27">
        <v>7707060</v>
      </c>
      <c r="B2119" s="28" t="s">
        <v>11553</v>
      </c>
    </row>
    <row r="2120" spans="1:2" x14ac:dyDescent="0.25">
      <c r="A2120" s="27">
        <v>7707061</v>
      </c>
      <c r="B2120" s="28" t="s">
        <v>11554</v>
      </c>
    </row>
    <row r="2121" spans="1:2" x14ac:dyDescent="0.25">
      <c r="A2121" s="27">
        <v>7707070</v>
      </c>
      <c r="B2121" s="28" t="s">
        <v>10212</v>
      </c>
    </row>
    <row r="2122" spans="1:2" x14ac:dyDescent="0.25">
      <c r="A2122" s="27">
        <v>7707071</v>
      </c>
      <c r="B2122" s="28" t="s">
        <v>10213</v>
      </c>
    </row>
    <row r="2123" spans="1:2" x14ac:dyDescent="0.25">
      <c r="A2123" s="27">
        <v>7707074</v>
      </c>
      <c r="B2123" s="28" t="s">
        <v>11555</v>
      </c>
    </row>
    <row r="2124" spans="1:2" x14ac:dyDescent="0.25">
      <c r="A2124" s="27">
        <v>7707079</v>
      </c>
      <c r="B2124" s="28" t="s">
        <v>11556</v>
      </c>
    </row>
    <row r="2125" spans="1:2" x14ac:dyDescent="0.25">
      <c r="A2125" s="27">
        <v>7707081</v>
      </c>
      <c r="B2125" s="28" t="s">
        <v>11557</v>
      </c>
    </row>
    <row r="2126" spans="1:2" x14ac:dyDescent="0.25">
      <c r="A2126" s="27">
        <v>7707100</v>
      </c>
      <c r="B2126" s="28" t="s">
        <v>10176</v>
      </c>
    </row>
    <row r="2127" spans="1:2" x14ac:dyDescent="0.25">
      <c r="A2127" s="27">
        <v>7707105</v>
      </c>
      <c r="B2127" s="28" t="s">
        <v>9608</v>
      </c>
    </row>
    <row r="2128" spans="1:2" x14ac:dyDescent="0.25">
      <c r="A2128" s="27">
        <v>7707110</v>
      </c>
      <c r="B2128" s="28" t="s">
        <v>11558</v>
      </c>
    </row>
    <row r="2129" spans="1:2" x14ac:dyDescent="0.25">
      <c r="A2129" s="27">
        <v>7707113</v>
      </c>
      <c r="B2129" s="28" t="s">
        <v>10194</v>
      </c>
    </row>
    <row r="2130" spans="1:2" x14ac:dyDescent="0.25">
      <c r="A2130" s="27">
        <v>7707115</v>
      </c>
      <c r="B2130" s="28" t="s">
        <v>10195</v>
      </c>
    </row>
    <row r="2131" spans="1:2" x14ac:dyDescent="0.25">
      <c r="A2131" s="27">
        <v>7707116</v>
      </c>
      <c r="B2131" s="28" t="s">
        <v>11559</v>
      </c>
    </row>
    <row r="2132" spans="1:2" x14ac:dyDescent="0.25">
      <c r="A2132" s="27">
        <v>7707120</v>
      </c>
      <c r="B2132" s="28" t="s">
        <v>10171</v>
      </c>
    </row>
    <row r="2133" spans="1:2" x14ac:dyDescent="0.25">
      <c r="A2133" s="27">
        <v>7707122</v>
      </c>
      <c r="B2133" s="28" t="s">
        <v>10170</v>
      </c>
    </row>
    <row r="2134" spans="1:2" x14ac:dyDescent="0.25">
      <c r="A2134" s="27">
        <v>7707136</v>
      </c>
      <c r="B2134" s="28" t="s">
        <v>8416</v>
      </c>
    </row>
    <row r="2135" spans="1:2" x14ac:dyDescent="0.25">
      <c r="A2135" s="27">
        <v>7707139</v>
      </c>
      <c r="B2135" s="28" t="s">
        <v>10161</v>
      </c>
    </row>
    <row r="2136" spans="1:2" x14ac:dyDescent="0.25">
      <c r="A2136" s="27">
        <v>7707154</v>
      </c>
      <c r="B2136" s="28" t="s">
        <v>10190</v>
      </c>
    </row>
    <row r="2137" spans="1:2" x14ac:dyDescent="0.25">
      <c r="A2137" s="27">
        <v>7707159</v>
      </c>
      <c r="B2137" s="28" t="s">
        <v>8413</v>
      </c>
    </row>
    <row r="2138" spans="1:2" x14ac:dyDescent="0.25">
      <c r="A2138" s="27">
        <v>7707160</v>
      </c>
      <c r="B2138" s="28" t="s">
        <v>10185</v>
      </c>
    </row>
    <row r="2139" spans="1:2" x14ac:dyDescent="0.25">
      <c r="A2139" s="27">
        <v>7707161</v>
      </c>
      <c r="B2139" s="28" t="s">
        <v>10186</v>
      </c>
    </row>
    <row r="2140" spans="1:2" x14ac:dyDescent="0.25">
      <c r="A2140" s="27">
        <v>7707170</v>
      </c>
      <c r="B2140" s="28" t="s">
        <v>10165</v>
      </c>
    </row>
    <row r="2141" spans="1:2" x14ac:dyDescent="0.25">
      <c r="A2141" s="27">
        <v>7707200</v>
      </c>
      <c r="B2141" s="28" t="s">
        <v>10139</v>
      </c>
    </row>
    <row r="2142" spans="1:2" x14ac:dyDescent="0.25">
      <c r="A2142" s="27">
        <v>7707220</v>
      </c>
      <c r="B2142" s="28" t="s">
        <v>10104</v>
      </c>
    </row>
    <row r="2143" spans="1:2" x14ac:dyDescent="0.25">
      <c r="A2143" s="27">
        <v>7707222</v>
      </c>
      <c r="B2143" s="28" t="s">
        <v>11560</v>
      </c>
    </row>
    <row r="2144" spans="1:2" x14ac:dyDescent="0.25">
      <c r="A2144" s="27">
        <v>7707223</v>
      </c>
      <c r="B2144" s="28" t="s">
        <v>10214</v>
      </c>
    </row>
    <row r="2145" spans="1:2" x14ac:dyDescent="0.25">
      <c r="A2145" s="27">
        <v>7707226</v>
      </c>
      <c r="B2145" s="28" t="s">
        <v>11561</v>
      </c>
    </row>
    <row r="2146" spans="1:2" x14ac:dyDescent="0.25">
      <c r="A2146" s="27">
        <v>7707235</v>
      </c>
      <c r="B2146" s="28" t="s">
        <v>10103</v>
      </c>
    </row>
    <row r="2147" spans="1:2" x14ac:dyDescent="0.25">
      <c r="A2147" s="27">
        <v>7707236</v>
      </c>
      <c r="B2147" s="28" t="s">
        <v>11562</v>
      </c>
    </row>
    <row r="2148" spans="1:2" x14ac:dyDescent="0.25">
      <c r="A2148" s="27">
        <v>7707237</v>
      </c>
      <c r="B2148" s="28" t="s">
        <v>10124</v>
      </c>
    </row>
    <row r="2149" spans="1:2" x14ac:dyDescent="0.25">
      <c r="A2149" s="27">
        <v>7707246</v>
      </c>
      <c r="B2149" s="28" t="s">
        <v>10184</v>
      </c>
    </row>
    <row r="2150" spans="1:2" x14ac:dyDescent="0.25">
      <c r="A2150" s="27">
        <v>7707260</v>
      </c>
      <c r="B2150" s="28" t="s">
        <v>10200</v>
      </c>
    </row>
    <row r="2151" spans="1:2" x14ac:dyDescent="0.25">
      <c r="A2151" s="27">
        <v>7707266</v>
      </c>
      <c r="B2151" s="28" t="s">
        <v>10524</v>
      </c>
    </row>
    <row r="2152" spans="1:2" x14ac:dyDescent="0.25">
      <c r="A2152" s="27">
        <v>7707267</v>
      </c>
      <c r="B2152" s="25" t="s">
        <v>11563</v>
      </c>
    </row>
    <row r="2153" spans="1:2" x14ac:dyDescent="0.25">
      <c r="A2153" s="27">
        <v>7707273</v>
      </c>
      <c r="B2153" s="28" t="s">
        <v>10120</v>
      </c>
    </row>
    <row r="2154" spans="1:2" x14ac:dyDescent="0.25">
      <c r="A2154" s="27">
        <v>7707274</v>
      </c>
      <c r="B2154" s="28" t="s">
        <v>10118</v>
      </c>
    </row>
    <row r="2155" spans="1:2" x14ac:dyDescent="0.25">
      <c r="A2155" s="27">
        <v>7707275</v>
      </c>
      <c r="B2155" s="28" t="s">
        <v>10117</v>
      </c>
    </row>
    <row r="2156" spans="1:2" x14ac:dyDescent="0.25">
      <c r="A2156" s="27">
        <v>7707276</v>
      </c>
      <c r="B2156" s="28" t="s">
        <v>10116</v>
      </c>
    </row>
    <row r="2157" spans="1:2" x14ac:dyDescent="0.25">
      <c r="A2157" s="27">
        <v>7707277</v>
      </c>
      <c r="B2157" s="28" t="s">
        <v>10115</v>
      </c>
    </row>
    <row r="2158" spans="1:2" x14ac:dyDescent="0.25">
      <c r="A2158" s="27">
        <v>7707278</v>
      </c>
      <c r="B2158" s="28" t="s">
        <v>10119</v>
      </c>
    </row>
    <row r="2159" spans="1:2" x14ac:dyDescent="0.25">
      <c r="A2159" s="27">
        <v>7707279</v>
      </c>
      <c r="B2159" s="28" t="s">
        <v>10106</v>
      </c>
    </row>
    <row r="2160" spans="1:2" x14ac:dyDescent="0.25">
      <c r="A2160" s="27">
        <v>7707280</v>
      </c>
      <c r="B2160" s="28" t="s">
        <v>11564</v>
      </c>
    </row>
    <row r="2161" spans="1:2" x14ac:dyDescent="0.25">
      <c r="A2161" s="27">
        <v>7707281</v>
      </c>
      <c r="B2161" s="28" t="s">
        <v>10136</v>
      </c>
    </row>
    <row r="2162" spans="1:2" x14ac:dyDescent="0.25">
      <c r="A2162" s="27">
        <v>7707282</v>
      </c>
      <c r="B2162" s="28" t="s">
        <v>10107</v>
      </c>
    </row>
    <row r="2163" spans="1:2" x14ac:dyDescent="0.25">
      <c r="A2163" s="27">
        <v>7707283</v>
      </c>
      <c r="B2163" s="28" t="s">
        <v>11565</v>
      </c>
    </row>
    <row r="2164" spans="1:2" x14ac:dyDescent="0.25">
      <c r="A2164" s="27">
        <v>7707284</v>
      </c>
      <c r="B2164" s="28" t="s">
        <v>10111</v>
      </c>
    </row>
    <row r="2165" spans="1:2" x14ac:dyDescent="0.25">
      <c r="A2165" s="27">
        <v>7707285</v>
      </c>
      <c r="B2165" s="28" t="s">
        <v>10113</v>
      </c>
    </row>
    <row r="2166" spans="1:2" x14ac:dyDescent="0.25">
      <c r="A2166" s="27">
        <v>7707288</v>
      </c>
      <c r="B2166" s="28" t="s">
        <v>10109</v>
      </c>
    </row>
    <row r="2167" spans="1:2" x14ac:dyDescent="0.25">
      <c r="A2167" s="27">
        <v>7707289</v>
      </c>
      <c r="B2167" s="28" t="s">
        <v>10132</v>
      </c>
    </row>
    <row r="2168" spans="1:2" x14ac:dyDescent="0.25">
      <c r="A2168" s="27">
        <v>7707290</v>
      </c>
      <c r="B2168" s="28" t="s">
        <v>10126</v>
      </c>
    </row>
    <row r="2169" spans="1:2" x14ac:dyDescent="0.25">
      <c r="A2169" s="27">
        <v>7707291</v>
      </c>
      <c r="B2169" s="28" t="s">
        <v>11566</v>
      </c>
    </row>
    <row r="2170" spans="1:2" x14ac:dyDescent="0.25">
      <c r="A2170" s="27">
        <v>7707292</v>
      </c>
      <c r="B2170" s="28" t="s">
        <v>10127</v>
      </c>
    </row>
    <row r="2171" spans="1:2" x14ac:dyDescent="0.25">
      <c r="A2171" s="27">
        <v>7707293</v>
      </c>
      <c r="B2171" s="28" t="s">
        <v>11567</v>
      </c>
    </row>
    <row r="2172" spans="1:2" x14ac:dyDescent="0.25">
      <c r="A2172" s="27">
        <v>7707294</v>
      </c>
      <c r="B2172" s="28" t="s">
        <v>10137</v>
      </c>
    </row>
    <row r="2173" spans="1:2" x14ac:dyDescent="0.25">
      <c r="A2173" s="27">
        <v>7707298</v>
      </c>
      <c r="B2173" s="28" t="s">
        <v>10156</v>
      </c>
    </row>
    <row r="2174" spans="1:2" x14ac:dyDescent="0.25">
      <c r="A2174" s="27">
        <v>7707299</v>
      </c>
      <c r="B2174" s="28" t="s">
        <v>10159</v>
      </c>
    </row>
    <row r="2175" spans="1:2" x14ac:dyDescent="0.25">
      <c r="A2175" s="27">
        <v>7707318</v>
      </c>
      <c r="B2175" s="28" t="s">
        <v>10154</v>
      </c>
    </row>
    <row r="2176" spans="1:2" x14ac:dyDescent="0.25">
      <c r="A2176" s="27">
        <v>7707319</v>
      </c>
      <c r="B2176" s="28" t="s">
        <v>10154</v>
      </c>
    </row>
    <row r="2177" spans="1:2" x14ac:dyDescent="0.25">
      <c r="A2177" s="27">
        <v>7707320</v>
      </c>
      <c r="B2177" s="28" t="s">
        <v>10158</v>
      </c>
    </row>
    <row r="2178" spans="1:2" x14ac:dyDescent="0.25">
      <c r="A2178" s="27">
        <v>7707321</v>
      </c>
      <c r="B2178" s="28" t="s">
        <v>10157</v>
      </c>
    </row>
    <row r="2179" spans="1:2" x14ac:dyDescent="0.25">
      <c r="A2179" s="27">
        <v>7707322</v>
      </c>
      <c r="B2179" s="28" t="s">
        <v>10163</v>
      </c>
    </row>
    <row r="2180" spans="1:2" x14ac:dyDescent="0.25">
      <c r="A2180" s="27">
        <v>7707324</v>
      </c>
      <c r="B2180" s="28" t="s">
        <v>10164</v>
      </c>
    </row>
    <row r="2181" spans="1:2" x14ac:dyDescent="0.25">
      <c r="A2181" s="27">
        <v>7707325</v>
      </c>
      <c r="B2181" s="28" t="s">
        <v>10162</v>
      </c>
    </row>
    <row r="2182" spans="1:2" x14ac:dyDescent="0.25">
      <c r="A2182" s="27">
        <v>7707333</v>
      </c>
      <c r="B2182" s="28" t="s">
        <v>10207</v>
      </c>
    </row>
    <row r="2183" spans="1:2" x14ac:dyDescent="0.25">
      <c r="A2183" s="27">
        <v>7707349</v>
      </c>
      <c r="B2183" s="28" t="s">
        <v>11568</v>
      </c>
    </row>
    <row r="2184" spans="1:2" x14ac:dyDescent="0.25">
      <c r="A2184" s="27">
        <v>7707350</v>
      </c>
      <c r="B2184" s="28" t="s">
        <v>11569</v>
      </c>
    </row>
    <row r="2185" spans="1:2" x14ac:dyDescent="0.25">
      <c r="A2185" s="27">
        <v>7707357</v>
      </c>
      <c r="B2185" s="28" t="s">
        <v>10181</v>
      </c>
    </row>
    <row r="2186" spans="1:2" x14ac:dyDescent="0.25">
      <c r="A2186" s="27">
        <v>7707368</v>
      </c>
      <c r="B2186" s="28" t="s">
        <v>10169</v>
      </c>
    </row>
    <row r="2187" spans="1:2" x14ac:dyDescent="0.25">
      <c r="A2187" s="27">
        <v>7707426</v>
      </c>
      <c r="B2187" s="28" t="s">
        <v>10105</v>
      </c>
    </row>
    <row r="2188" spans="1:2" x14ac:dyDescent="0.25">
      <c r="A2188" s="27">
        <v>7707444</v>
      </c>
      <c r="B2188" s="28" t="s">
        <v>11570</v>
      </c>
    </row>
    <row r="2189" spans="1:2" x14ac:dyDescent="0.25">
      <c r="A2189" s="27">
        <v>7707450</v>
      </c>
      <c r="B2189" s="28" t="s">
        <v>10196</v>
      </c>
    </row>
    <row r="2190" spans="1:2" x14ac:dyDescent="0.25">
      <c r="A2190" s="27">
        <v>7707452</v>
      </c>
      <c r="B2190" s="28" t="s">
        <v>10204</v>
      </c>
    </row>
    <row r="2191" spans="1:2" x14ac:dyDescent="0.25">
      <c r="A2191" s="27">
        <v>7707453</v>
      </c>
      <c r="B2191" s="28" t="s">
        <v>10147</v>
      </c>
    </row>
    <row r="2192" spans="1:2" x14ac:dyDescent="0.25">
      <c r="A2192" s="27">
        <v>7707501</v>
      </c>
      <c r="B2192" s="28" t="s">
        <v>12336</v>
      </c>
    </row>
    <row r="2193" spans="1:2" x14ac:dyDescent="0.25">
      <c r="A2193" s="27">
        <v>7707502</v>
      </c>
      <c r="B2193" s="28" t="s">
        <v>10101</v>
      </c>
    </row>
    <row r="2194" spans="1:2" x14ac:dyDescent="0.25">
      <c r="A2194" s="27">
        <v>7707503</v>
      </c>
      <c r="B2194" s="28" t="s">
        <v>10114</v>
      </c>
    </row>
    <row r="2195" spans="1:2" x14ac:dyDescent="0.25">
      <c r="A2195" s="27">
        <v>7707504</v>
      </c>
      <c r="B2195" s="28" t="s">
        <v>10110</v>
      </c>
    </row>
    <row r="2196" spans="1:2" x14ac:dyDescent="0.25">
      <c r="A2196" s="27">
        <v>7707505</v>
      </c>
      <c r="B2196" s="28" t="s">
        <v>10112</v>
      </c>
    </row>
    <row r="2197" spans="1:2" x14ac:dyDescent="0.25">
      <c r="A2197" s="27">
        <v>7707508</v>
      </c>
      <c r="B2197" s="28" t="s">
        <v>10108</v>
      </c>
    </row>
    <row r="2198" spans="1:2" x14ac:dyDescent="0.25">
      <c r="A2198" s="27">
        <v>7707511</v>
      </c>
      <c r="B2198" s="28" t="s">
        <v>10123</v>
      </c>
    </row>
    <row r="2199" spans="1:2" x14ac:dyDescent="0.25">
      <c r="A2199" s="27">
        <v>7707518</v>
      </c>
      <c r="B2199" s="28" t="s">
        <v>10129</v>
      </c>
    </row>
    <row r="2200" spans="1:2" x14ac:dyDescent="0.25">
      <c r="A2200" s="27">
        <v>7707519</v>
      </c>
      <c r="B2200" s="28" t="s">
        <v>10130</v>
      </c>
    </row>
    <row r="2201" spans="1:2" x14ac:dyDescent="0.25">
      <c r="A2201" s="27">
        <v>7707521</v>
      </c>
      <c r="B2201" s="28" t="s">
        <v>10140</v>
      </c>
    </row>
    <row r="2202" spans="1:2" x14ac:dyDescent="0.25">
      <c r="A2202" s="27">
        <v>7707522</v>
      </c>
      <c r="B2202" s="28" t="s">
        <v>10142</v>
      </c>
    </row>
    <row r="2203" spans="1:2" x14ac:dyDescent="0.25">
      <c r="A2203" s="27">
        <v>7707523</v>
      </c>
      <c r="B2203" s="28" t="s">
        <v>11571</v>
      </c>
    </row>
    <row r="2204" spans="1:2" x14ac:dyDescent="0.25">
      <c r="A2204" s="27">
        <v>7707524</v>
      </c>
      <c r="B2204" s="28" t="s">
        <v>10148</v>
      </c>
    </row>
    <row r="2205" spans="1:2" x14ac:dyDescent="0.25">
      <c r="A2205" s="27">
        <v>7707525</v>
      </c>
      <c r="B2205" s="28" t="s">
        <v>11572</v>
      </c>
    </row>
    <row r="2206" spans="1:2" x14ac:dyDescent="0.25">
      <c r="A2206" s="27">
        <v>7707526</v>
      </c>
      <c r="B2206" s="28" t="s">
        <v>11573</v>
      </c>
    </row>
    <row r="2207" spans="1:2" x14ac:dyDescent="0.25">
      <c r="A2207" s="27">
        <v>7707528</v>
      </c>
      <c r="B2207" s="28" t="s">
        <v>10173</v>
      </c>
    </row>
    <row r="2208" spans="1:2" x14ac:dyDescent="0.25">
      <c r="A2208" s="27">
        <v>7707529</v>
      </c>
      <c r="B2208" s="28" t="s">
        <v>10135</v>
      </c>
    </row>
    <row r="2209" spans="1:2" x14ac:dyDescent="0.25">
      <c r="A2209" s="27">
        <v>7707532</v>
      </c>
      <c r="B2209" s="28" t="s">
        <v>10155</v>
      </c>
    </row>
    <row r="2210" spans="1:2" x14ac:dyDescent="0.25">
      <c r="A2210" s="27">
        <v>7707533</v>
      </c>
      <c r="B2210" s="28" t="s">
        <v>10153</v>
      </c>
    </row>
    <row r="2211" spans="1:2" x14ac:dyDescent="0.25">
      <c r="A2211" s="27">
        <v>7707536</v>
      </c>
      <c r="B2211" s="28" t="s">
        <v>11574</v>
      </c>
    </row>
    <row r="2212" spans="1:2" x14ac:dyDescent="0.25">
      <c r="A2212" s="27">
        <v>7707545</v>
      </c>
      <c r="B2212" s="28" t="s">
        <v>10122</v>
      </c>
    </row>
    <row r="2213" spans="1:2" x14ac:dyDescent="0.25">
      <c r="A2213" s="27">
        <v>7707547</v>
      </c>
      <c r="B2213" s="28" t="s">
        <v>10175</v>
      </c>
    </row>
    <row r="2214" spans="1:2" x14ac:dyDescent="0.25">
      <c r="A2214" s="27">
        <v>7707550</v>
      </c>
      <c r="B2214" s="28" t="s">
        <v>10160</v>
      </c>
    </row>
    <row r="2215" spans="1:2" x14ac:dyDescent="0.25">
      <c r="A2215" s="27">
        <v>7707552</v>
      </c>
      <c r="B2215" s="28" t="s">
        <v>10191</v>
      </c>
    </row>
    <row r="2216" spans="1:2" x14ac:dyDescent="0.25">
      <c r="A2216" s="27">
        <v>7707553</v>
      </c>
      <c r="B2216" s="28" t="s">
        <v>11575</v>
      </c>
    </row>
    <row r="2217" spans="1:2" x14ac:dyDescent="0.25">
      <c r="A2217" s="27">
        <v>7707555</v>
      </c>
      <c r="B2217" s="28" t="s">
        <v>11576</v>
      </c>
    </row>
    <row r="2218" spans="1:2" x14ac:dyDescent="0.25">
      <c r="A2218" s="27">
        <v>7707556</v>
      </c>
      <c r="B2218" s="28" t="s">
        <v>10187</v>
      </c>
    </row>
    <row r="2219" spans="1:2" x14ac:dyDescent="0.25">
      <c r="A2219" s="27">
        <v>7707557</v>
      </c>
      <c r="B2219" s="28" t="s">
        <v>10188</v>
      </c>
    </row>
    <row r="2220" spans="1:2" x14ac:dyDescent="0.25">
      <c r="A2220" s="27">
        <v>7707562</v>
      </c>
      <c r="B2220" s="28" t="s">
        <v>10201</v>
      </c>
    </row>
    <row r="2221" spans="1:2" x14ac:dyDescent="0.25">
      <c r="A2221" s="27">
        <v>7707563</v>
      </c>
      <c r="B2221" s="28" t="s">
        <v>10149</v>
      </c>
    </row>
    <row r="2222" spans="1:2" x14ac:dyDescent="0.25">
      <c r="A2222" s="27">
        <v>7707565</v>
      </c>
      <c r="B2222" s="28" t="s">
        <v>10197</v>
      </c>
    </row>
    <row r="2223" spans="1:2" x14ac:dyDescent="0.25">
      <c r="A2223" s="27">
        <v>7707566</v>
      </c>
      <c r="B2223" s="28" t="s">
        <v>10198</v>
      </c>
    </row>
    <row r="2224" spans="1:2" x14ac:dyDescent="0.25">
      <c r="A2224" s="27">
        <v>7707567</v>
      </c>
      <c r="B2224" s="28" t="s">
        <v>10205</v>
      </c>
    </row>
    <row r="2225" spans="1:2" x14ac:dyDescent="0.25">
      <c r="A2225" s="27">
        <v>7707568</v>
      </c>
      <c r="B2225" s="28" t="s">
        <v>10206</v>
      </c>
    </row>
    <row r="2226" spans="1:2" x14ac:dyDescent="0.25">
      <c r="A2226" s="27">
        <v>7707569</v>
      </c>
      <c r="B2226" s="28" t="s">
        <v>13564</v>
      </c>
    </row>
    <row r="2227" spans="1:2" x14ac:dyDescent="0.25">
      <c r="A2227" s="27">
        <v>7707570</v>
      </c>
      <c r="B2227" s="28" t="s">
        <v>10146</v>
      </c>
    </row>
    <row r="2228" spans="1:2" x14ac:dyDescent="0.25">
      <c r="A2228" s="27">
        <v>7707571</v>
      </c>
      <c r="B2228" s="28" t="s">
        <v>10180</v>
      </c>
    </row>
    <row r="2229" spans="1:2" x14ac:dyDescent="0.25">
      <c r="A2229" s="27">
        <v>7707572</v>
      </c>
      <c r="B2229" s="28" t="s">
        <v>10199</v>
      </c>
    </row>
    <row r="2230" spans="1:2" x14ac:dyDescent="0.25">
      <c r="A2230" s="27">
        <v>7707579</v>
      </c>
      <c r="B2230" s="28" t="s">
        <v>13565</v>
      </c>
    </row>
    <row r="2231" spans="1:2" x14ac:dyDescent="0.25">
      <c r="A2231" s="27">
        <v>7707582</v>
      </c>
      <c r="B2231" s="28" t="s">
        <v>10166</v>
      </c>
    </row>
    <row r="2232" spans="1:2" x14ac:dyDescent="0.25">
      <c r="A2232" s="27">
        <v>7707583</v>
      </c>
      <c r="B2232" s="28" t="s">
        <v>11577</v>
      </c>
    </row>
    <row r="2233" spans="1:2" x14ac:dyDescent="0.25">
      <c r="A2233" s="27">
        <v>7707584</v>
      </c>
      <c r="B2233" s="28" t="s">
        <v>11578</v>
      </c>
    </row>
    <row r="2234" spans="1:2" x14ac:dyDescent="0.25">
      <c r="A2234" s="27">
        <v>7707585</v>
      </c>
      <c r="B2234" s="28" t="s">
        <v>12337</v>
      </c>
    </row>
    <row r="2235" spans="1:2" x14ac:dyDescent="0.25">
      <c r="A2235" s="27">
        <v>7707586</v>
      </c>
      <c r="B2235" s="28" t="s">
        <v>10172</v>
      </c>
    </row>
    <row r="2236" spans="1:2" x14ac:dyDescent="0.25">
      <c r="A2236" s="27">
        <v>7707589</v>
      </c>
      <c r="B2236" s="28" t="s">
        <v>13566</v>
      </c>
    </row>
    <row r="2237" spans="1:2" x14ac:dyDescent="0.25">
      <c r="A2237" s="27">
        <v>7707599</v>
      </c>
      <c r="B2237" s="28" t="s">
        <v>13567</v>
      </c>
    </row>
    <row r="2238" spans="1:2" x14ac:dyDescent="0.25">
      <c r="A2238" s="27">
        <v>7707650</v>
      </c>
      <c r="B2238" s="28" t="s">
        <v>11579</v>
      </c>
    </row>
    <row r="2239" spans="1:2" x14ac:dyDescent="0.25">
      <c r="A2239" s="27">
        <v>7707670</v>
      </c>
      <c r="B2239" s="28" t="s">
        <v>10125</v>
      </c>
    </row>
    <row r="2240" spans="1:2" x14ac:dyDescent="0.25">
      <c r="A2240" s="27">
        <v>7707671</v>
      </c>
      <c r="B2240" s="28" t="s">
        <v>11580</v>
      </c>
    </row>
    <row r="2241" spans="1:2" x14ac:dyDescent="0.25">
      <c r="A2241" s="27">
        <v>7707672</v>
      </c>
      <c r="B2241" s="28" t="s">
        <v>11581</v>
      </c>
    </row>
    <row r="2242" spans="1:2" x14ac:dyDescent="0.25">
      <c r="A2242" s="27">
        <v>7707701</v>
      </c>
      <c r="B2242" s="28" t="s">
        <v>11582</v>
      </c>
    </row>
    <row r="2243" spans="1:2" x14ac:dyDescent="0.25">
      <c r="A2243" s="27">
        <v>7707702</v>
      </c>
      <c r="B2243" s="28" t="s">
        <v>10168</v>
      </c>
    </row>
    <row r="2244" spans="1:2" x14ac:dyDescent="0.25">
      <c r="A2244" s="27">
        <v>7707710</v>
      </c>
      <c r="B2244" s="28" t="s">
        <v>10193</v>
      </c>
    </row>
    <row r="2245" spans="1:2" x14ac:dyDescent="0.25">
      <c r="A2245" s="27">
        <v>7707711</v>
      </c>
      <c r="B2245" s="28" t="s">
        <v>11583</v>
      </c>
    </row>
    <row r="2246" spans="1:2" x14ac:dyDescent="0.25">
      <c r="A2246" s="27">
        <v>7707712</v>
      </c>
      <c r="B2246" s="28" t="s">
        <v>10150</v>
      </c>
    </row>
    <row r="2247" spans="1:2" x14ac:dyDescent="0.25">
      <c r="A2247" s="27">
        <v>7707713</v>
      </c>
      <c r="B2247" s="28" t="s">
        <v>11584</v>
      </c>
    </row>
    <row r="2248" spans="1:2" x14ac:dyDescent="0.25">
      <c r="A2248" s="27">
        <v>7707714</v>
      </c>
      <c r="B2248" s="28" t="s">
        <v>10189</v>
      </c>
    </row>
    <row r="2249" spans="1:2" x14ac:dyDescent="0.25">
      <c r="A2249" s="27">
        <v>7707715</v>
      </c>
      <c r="B2249" s="28" t="s">
        <v>10192</v>
      </c>
    </row>
    <row r="2250" spans="1:2" x14ac:dyDescent="0.25">
      <c r="A2250" s="27">
        <v>7707716</v>
      </c>
      <c r="B2250" s="28" t="s">
        <v>11585</v>
      </c>
    </row>
    <row r="2251" spans="1:2" x14ac:dyDescent="0.25">
      <c r="A2251" s="27" t="s">
        <v>13568</v>
      </c>
      <c r="B2251" s="28"/>
    </row>
    <row r="2252" spans="1:2" x14ac:dyDescent="0.25">
      <c r="A2252" s="27">
        <v>7707722</v>
      </c>
      <c r="B2252" s="28" t="s">
        <v>11586</v>
      </c>
    </row>
    <row r="2253" spans="1:2" x14ac:dyDescent="0.25">
      <c r="A2253" s="27">
        <v>7707756</v>
      </c>
      <c r="B2253" s="28" t="s">
        <v>11587</v>
      </c>
    </row>
    <row r="2254" spans="1:2" x14ac:dyDescent="0.25">
      <c r="A2254" s="27">
        <v>7707757</v>
      </c>
      <c r="B2254" s="28" t="s">
        <v>11588</v>
      </c>
    </row>
    <row r="2255" spans="1:2" x14ac:dyDescent="0.25">
      <c r="A2255" s="27">
        <v>7707758</v>
      </c>
      <c r="B2255" s="28" t="s">
        <v>9430</v>
      </c>
    </row>
    <row r="2256" spans="1:2" x14ac:dyDescent="0.25">
      <c r="A2256" s="27">
        <v>7707759</v>
      </c>
      <c r="B2256" s="28" t="s">
        <v>12437</v>
      </c>
    </row>
    <row r="2257" spans="1:2" x14ac:dyDescent="0.25">
      <c r="A2257" s="27">
        <v>7707784</v>
      </c>
      <c r="B2257" s="28" t="s">
        <v>10102</v>
      </c>
    </row>
    <row r="2258" spans="1:2" x14ac:dyDescent="0.25">
      <c r="A2258" s="27">
        <v>7707800</v>
      </c>
      <c r="B2258" s="28" t="s">
        <v>12438</v>
      </c>
    </row>
    <row r="2259" spans="1:2" x14ac:dyDescent="0.25">
      <c r="A2259" s="27">
        <v>7707828</v>
      </c>
      <c r="B2259" s="28" t="s">
        <v>9625</v>
      </c>
    </row>
    <row r="2260" spans="1:2" x14ac:dyDescent="0.25">
      <c r="A2260" s="27">
        <v>7707829</v>
      </c>
      <c r="B2260" s="28" t="s">
        <v>9624</v>
      </c>
    </row>
    <row r="2261" spans="1:2" x14ac:dyDescent="0.25">
      <c r="A2261" s="27">
        <v>7707830</v>
      </c>
      <c r="B2261" s="28" t="s">
        <v>9609</v>
      </c>
    </row>
    <row r="2262" spans="1:2" x14ac:dyDescent="0.25">
      <c r="A2262" s="27">
        <v>7707831</v>
      </c>
      <c r="B2262" s="28" t="s">
        <v>11589</v>
      </c>
    </row>
    <row r="2263" spans="1:2" x14ac:dyDescent="0.25">
      <c r="A2263" s="27">
        <v>7707832</v>
      </c>
      <c r="B2263" s="28" t="s">
        <v>11590</v>
      </c>
    </row>
    <row r="2264" spans="1:2" x14ac:dyDescent="0.25">
      <c r="A2264" s="27">
        <v>7707833</v>
      </c>
      <c r="B2264" s="28" t="s">
        <v>9555</v>
      </c>
    </row>
    <row r="2265" spans="1:2" x14ac:dyDescent="0.25">
      <c r="A2265" s="27">
        <v>7707834</v>
      </c>
      <c r="B2265" s="28" t="s">
        <v>9431</v>
      </c>
    </row>
    <row r="2266" spans="1:2" x14ac:dyDescent="0.25">
      <c r="A2266" s="27">
        <v>7707835</v>
      </c>
      <c r="B2266" s="28" t="s">
        <v>11591</v>
      </c>
    </row>
    <row r="2267" spans="1:2" x14ac:dyDescent="0.25">
      <c r="A2267" s="27">
        <v>7707836</v>
      </c>
      <c r="B2267" s="28" t="s">
        <v>9615</v>
      </c>
    </row>
    <row r="2268" spans="1:2" x14ac:dyDescent="0.25">
      <c r="A2268" s="27">
        <v>7707837</v>
      </c>
      <c r="B2268" s="28" t="s">
        <v>12338</v>
      </c>
    </row>
    <row r="2269" spans="1:2" x14ac:dyDescent="0.25">
      <c r="A2269" s="27">
        <v>7707900</v>
      </c>
      <c r="B2269" s="28" t="s">
        <v>11592</v>
      </c>
    </row>
    <row r="2270" spans="1:2" x14ac:dyDescent="0.25">
      <c r="A2270" s="27">
        <v>7707901</v>
      </c>
      <c r="B2270" s="28" t="s">
        <v>10179</v>
      </c>
    </row>
    <row r="2271" spans="1:2" x14ac:dyDescent="0.25">
      <c r="A2271" s="27">
        <v>7707922</v>
      </c>
      <c r="B2271" s="28" t="s">
        <v>10211</v>
      </c>
    </row>
    <row r="2272" spans="1:2" x14ac:dyDescent="0.25">
      <c r="A2272" s="27">
        <v>7707923</v>
      </c>
      <c r="B2272" s="28" t="s">
        <v>10210</v>
      </c>
    </row>
    <row r="2273" spans="1:2" x14ac:dyDescent="0.25">
      <c r="A2273" s="27">
        <v>7707924</v>
      </c>
      <c r="B2273" s="25" t="s">
        <v>10203</v>
      </c>
    </row>
    <row r="2274" spans="1:2" x14ac:dyDescent="0.25">
      <c r="A2274" s="27">
        <v>7707936</v>
      </c>
      <c r="B2274" s="28" t="s">
        <v>11593</v>
      </c>
    </row>
    <row r="2275" spans="1:2" x14ac:dyDescent="0.25">
      <c r="A2275" s="27">
        <v>7707940</v>
      </c>
      <c r="B2275" s="28" t="s">
        <v>10138</v>
      </c>
    </row>
    <row r="2276" spans="1:2" x14ac:dyDescent="0.25">
      <c r="A2276" s="27">
        <v>7707949</v>
      </c>
      <c r="B2276" s="28" t="s">
        <v>10131</v>
      </c>
    </row>
    <row r="2277" spans="1:2" x14ac:dyDescent="0.25">
      <c r="A2277" s="27">
        <v>7707950</v>
      </c>
      <c r="B2277" s="28" t="s">
        <v>10133</v>
      </c>
    </row>
    <row r="2278" spans="1:2" x14ac:dyDescent="0.25">
      <c r="A2278" s="27">
        <v>7707952</v>
      </c>
      <c r="B2278" s="28" t="s">
        <v>10128</v>
      </c>
    </row>
    <row r="2279" spans="1:2" x14ac:dyDescent="0.25">
      <c r="A2279" s="27">
        <v>7707953</v>
      </c>
      <c r="B2279" s="28" t="s">
        <v>10134</v>
      </c>
    </row>
    <row r="2280" spans="1:2" x14ac:dyDescent="0.25">
      <c r="A2280" s="27">
        <v>7707980</v>
      </c>
      <c r="B2280" s="28" t="s">
        <v>10141</v>
      </c>
    </row>
    <row r="2281" spans="1:2" x14ac:dyDescent="0.25">
      <c r="A2281" s="27">
        <v>7707987</v>
      </c>
      <c r="B2281" s="28" t="s">
        <v>10167</v>
      </c>
    </row>
    <row r="2282" spans="1:2" x14ac:dyDescent="0.25">
      <c r="A2282" s="27">
        <v>7707988</v>
      </c>
      <c r="B2282" s="28" t="s">
        <v>11594</v>
      </c>
    </row>
    <row r="2283" spans="1:2" x14ac:dyDescent="0.25">
      <c r="A2283" s="27">
        <v>7707989</v>
      </c>
      <c r="B2283" s="28" t="s">
        <v>10174</v>
      </c>
    </row>
    <row r="2284" spans="1:2" x14ac:dyDescent="0.25">
      <c r="A2284" s="27">
        <v>7709000</v>
      </c>
      <c r="B2284" s="28" t="s">
        <v>11595</v>
      </c>
    </row>
    <row r="2285" spans="1:2" x14ac:dyDescent="0.25">
      <c r="A2285" s="27">
        <v>7709001</v>
      </c>
      <c r="B2285" s="28" t="s">
        <v>12339</v>
      </c>
    </row>
    <row r="2286" spans="1:2" x14ac:dyDescent="0.25">
      <c r="A2286" s="27">
        <v>7709002</v>
      </c>
      <c r="B2286" s="28" t="s">
        <v>11596</v>
      </c>
    </row>
    <row r="2287" spans="1:2" x14ac:dyDescent="0.25">
      <c r="A2287" s="27">
        <v>7709003</v>
      </c>
      <c r="B2287" s="28" t="s">
        <v>9611</v>
      </c>
    </row>
    <row r="2288" spans="1:2" x14ac:dyDescent="0.25">
      <c r="A2288" s="27">
        <v>7709004</v>
      </c>
      <c r="B2288" s="28" t="s">
        <v>11597</v>
      </c>
    </row>
    <row r="2289" spans="1:2" x14ac:dyDescent="0.25">
      <c r="A2289" s="27">
        <v>7709005</v>
      </c>
      <c r="B2289" s="28" t="s">
        <v>11598</v>
      </c>
    </row>
    <row r="2290" spans="1:2" x14ac:dyDescent="0.25">
      <c r="A2290" s="27" t="s">
        <v>13569</v>
      </c>
      <c r="B2290" s="28"/>
    </row>
    <row r="2291" spans="1:2" x14ac:dyDescent="0.25">
      <c r="A2291" s="27">
        <v>7709006</v>
      </c>
      <c r="B2291" s="28" t="s">
        <v>11599</v>
      </c>
    </row>
    <row r="2292" spans="1:2" x14ac:dyDescent="0.25">
      <c r="A2292" s="27" t="s">
        <v>13570</v>
      </c>
      <c r="B2292" s="28"/>
    </row>
    <row r="2293" spans="1:2" x14ac:dyDescent="0.25">
      <c r="A2293" s="27">
        <v>7709007</v>
      </c>
      <c r="B2293" s="28" t="s">
        <v>9554</v>
      </c>
    </row>
    <row r="2294" spans="1:2" x14ac:dyDescent="0.25">
      <c r="A2294" s="27">
        <v>7709008</v>
      </c>
      <c r="B2294" s="28" t="s">
        <v>12340</v>
      </c>
    </row>
    <row r="2295" spans="1:2" x14ac:dyDescent="0.25">
      <c r="A2295" s="27">
        <v>7709009</v>
      </c>
      <c r="B2295" s="28" t="s">
        <v>9424</v>
      </c>
    </row>
    <row r="2296" spans="1:2" x14ac:dyDescent="0.25">
      <c r="A2296" s="27">
        <v>7709010</v>
      </c>
      <c r="B2296" s="28" t="s">
        <v>11600</v>
      </c>
    </row>
    <row r="2297" spans="1:2" x14ac:dyDescent="0.25">
      <c r="A2297" s="27">
        <v>7709011</v>
      </c>
      <c r="B2297" s="28" t="s">
        <v>9429</v>
      </c>
    </row>
    <row r="2298" spans="1:2" x14ac:dyDescent="0.25">
      <c r="A2298" s="27">
        <v>7709012</v>
      </c>
      <c r="B2298" s="28" t="s">
        <v>9449</v>
      </c>
    </row>
    <row r="2299" spans="1:2" x14ac:dyDescent="0.25">
      <c r="A2299" s="27">
        <v>7709013</v>
      </c>
      <c r="B2299" s="28" t="s">
        <v>9497</v>
      </c>
    </row>
    <row r="2300" spans="1:2" x14ac:dyDescent="0.25">
      <c r="A2300" s="27">
        <v>7709014</v>
      </c>
      <c r="B2300" s="28" t="s">
        <v>9498</v>
      </c>
    </row>
    <row r="2301" spans="1:2" x14ac:dyDescent="0.25">
      <c r="A2301" s="27">
        <v>7709015</v>
      </c>
      <c r="B2301" s="28" t="s">
        <v>9515</v>
      </c>
    </row>
    <row r="2302" spans="1:2" x14ac:dyDescent="0.25">
      <c r="A2302" s="27">
        <v>7709016</v>
      </c>
      <c r="B2302" s="28" t="s">
        <v>9448</v>
      </c>
    </row>
    <row r="2303" spans="1:2" x14ac:dyDescent="0.25">
      <c r="A2303" s="27">
        <v>7709017</v>
      </c>
      <c r="B2303" s="28" t="s">
        <v>9457</v>
      </c>
    </row>
    <row r="2304" spans="1:2" x14ac:dyDescent="0.25">
      <c r="A2304" s="27">
        <v>7709018</v>
      </c>
      <c r="B2304" s="28" t="s">
        <v>11601</v>
      </c>
    </row>
    <row r="2305" spans="1:2" x14ac:dyDescent="0.25">
      <c r="A2305" s="27">
        <v>7709019</v>
      </c>
      <c r="B2305" s="28" t="s">
        <v>11602</v>
      </c>
    </row>
    <row r="2306" spans="1:2" x14ac:dyDescent="0.25">
      <c r="A2306" s="27">
        <v>7709020</v>
      </c>
      <c r="B2306" s="28" t="s">
        <v>11603</v>
      </c>
    </row>
    <row r="2307" spans="1:2" x14ac:dyDescent="0.25">
      <c r="A2307" s="27">
        <v>7709021</v>
      </c>
      <c r="B2307" s="28" t="s">
        <v>9445</v>
      </c>
    </row>
    <row r="2308" spans="1:2" x14ac:dyDescent="0.25">
      <c r="A2308" s="27">
        <v>7709022</v>
      </c>
      <c r="B2308" s="28" t="s">
        <v>11604</v>
      </c>
    </row>
    <row r="2309" spans="1:2" x14ac:dyDescent="0.25">
      <c r="A2309" s="27">
        <v>7709023</v>
      </c>
      <c r="B2309" s="28" t="s">
        <v>11605</v>
      </c>
    </row>
    <row r="2310" spans="1:2" x14ac:dyDescent="0.25">
      <c r="A2310" s="27">
        <v>7709024</v>
      </c>
      <c r="B2310" s="28" t="s">
        <v>11606</v>
      </c>
    </row>
    <row r="2311" spans="1:2" x14ac:dyDescent="0.25">
      <c r="A2311" s="27">
        <v>7709025</v>
      </c>
      <c r="B2311" s="28" t="s">
        <v>11607</v>
      </c>
    </row>
    <row r="2312" spans="1:2" x14ac:dyDescent="0.25">
      <c r="A2312" s="27">
        <v>7709026</v>
      </c>
      <c r="B2312" s="28" t="s">
        <v>12341</v>
      </c>
    </row>
    <row r="2313" spans="1:2" x14ac:dyDescent="0.25">
      <c r="A2313" s="27">
        <v>7709027</v>
      </c>
      <c r="B2313" s="28" t="s">
        <v>12342</v>
      </c>
    </row>
    <row r="2314" spans="1:2" x14ac:dyDescent="0.25">
      <c r="A2314" s="27">
        <v>7709028</v>
      </c>
      <c r="B2314" s="28" t="s">
        <v>12343</v>
      </c>
    </row>
    <row r="2315" spans="1:2" x14ac:dyDescent="0.25">
      <c r="A2315" s="27">
        <v>7709029</v>
      </c>
      <c r="B2315" s="28" t="s">
        <v>12439</v>
      </c>
    </row>
    <row r="2316" spans="1:2" x14ac:dyDescent="0.25">
      <c r="A2316" s="27">
        <v>7709030</v>
      </c>
      <c r="B2316" s="28" t="s">
        <v>12440</v>
      </c>
    </row>
    <row r="2317" spans="1:2" x14ac:dyDescent="0.25">
      <c r="A2317" s="27">
        <v>7709031</v>
      </c>
      <c r="B2317" s="28" t="s">
        <v>12441</v>
      </c>
    </row>
    <row r="2318" spans="1:2" x14ac:dyDescent="0.25">
      <c r="A2318" s="27">
        <v>7709032</v>
      </c>
      <c r="B2318" s="28" t="s">
        <v>9540</v>
      </c>
    </row>
    <row r="2319" spans="1:2" x14ac:dyDescent="0.25">
      <c r="A2319" s="27">
        <v>7709033</v>
      </c>
      <c r="B2319" s="28" t="s">
        <v>12442</v>
      </c>
    </row>
    <row r="2320" spans="1:2" x14ac:dyDescent="0.25">
      <c r="A2320" s="27">
        <v>7709034</v>
      </c>
      <c r="B2320" s="28" t="s">
        <v>12443</v>
      </c>
    </row>
    <row r="2321" spans="1:2" x14ac:dyDescent="0.25">
      <c r="A2321" s="27">
        <v>7709035</v>
      </c>
      <c r="B2321" s="28" t="s">
        <v>12444</v>
      </c>
    </row>
    <row r="2322" spans="1:2" x14ac:dyDescent="0.25">
      <c r="A2322" s="27">
        <v>7709036</v>
      </c>
      <c r="B2322" s="28" t="s">
        <v>12445</v>
      </c>
    </row>
    <row r="2323" spans="1:2" x14ac:dyDescent="0.25">
      <c r="A2323" s="27">
        <v>7709037</v>
      </c>
      <c r="B2323" s="28" t="s">
        <v>12446</v>
      </c>
    </row>
    <row r="2324" spans="1:2" x14ac:dyDescent="0.25">
      <c r="A2324" s="27" t="s">
        <v>13571</v>
      </c>
      <c r="B2324" s="28"/>
    </row>
    <row r="2325" spans="1:2" x14ac:dyDescent="0.25">
      <c r="A2325" s="27">
        <v>7709039</v>
      </c>
      <c r="B2325" s="28" t="s">
        <v>12447</v>
      </c>
    </row>
    <row r="2326" spans="1:2" x14ac:dyDescent="0.25">
      <c r="A2326" s="27">
        <v>7709040</v>
      </c>
      <c r="B2326" s="28" t="s">
        <v>9590</v>
      </c>
    </row>
    <row r="2327" spans="1:2" x14ac:dyDescent="0.25">
      <c r="A2327" s="27">
        <v>7709041</v>
      </c>
      <c r="B2327" s="28" t="s">
        <v>9466</v>
      </c>
    </row>
    <row r="2328" spans="1:2" x14ac:dyDescent="0.25">
      <c r="A2328" s="27">
        <v>7709042</v>
      </c>
      <c r="B2328" s="28" t="s">
        <v>9539</v>
      </c>
    </row>
    <row r="2329" spans="1:2" x14ac:dyDescent="0.25">
      <c r="A2329" s="27">
        <v>7709043</v>
      </c>
      <c r="B2329" s="28" t="s">
        <v>9465</v>
      </c>
    </row>
    <row r="2330" spans="1:2" x14ac:dyDescent="0.25">
      <c r="A2330" s="27">
        <v>7709049</v>
      </c>
      <c r="B2330" s="28" t="s">
        <v>11608</v>
      </c>
    </row>
    <row r="2331" spans="1:2" x14ac:dyDescent="0.25">
      <c r="A2331" s="27">
        <v>7709050</v>
      </c>
      <c r="B2331" s="28" t="s">
        <v>12448</v>
      </c>
    </row>
    <row r="2332" spans="1:2" x14ac:dyDescent="0.25">
      <c r="A2332" s="27">
        <v>7709051</v>
      </c>
      <c r="B2332" s="28" t="s">
        <v>12449</v>
      </c>
    </row>
    <row r="2333" spans="1:2" x14ac:dyDescent="0.25">
      <c r="A2333" s="27">
        <v>7709059</v>
      </c>
      <c r="B2333" s="28" t="s">
        <v>12450</v>
      </c>
    </row>
    <row r="2334" spans="1:2" x14ac:dyDescent="0.25">
      <c r="A2334" s="27">
        <v>7709060</v>
      </c>
      <c r="B2334" s="28" t="s">
        <v>8406</v>
      </c>
    </row>
    <row r="2335" spans="1:2" x14ac:dyDescent="0.25">
      <c r="A2335" s="27">
        <v>7709061</v>
      </c>
      <c r="B2335" s="28" t="s">
        <v>9547</v>
      </c>
    </row>
    <row r="2336" spans="1:2" x14ac:dyDescent="0.25">
      <c r="A2336" s="27">
        <v>7709062</v>
      </c>
      <c r="B2336" s="28" t="s">
        <v>9546</v>
      </c>
    </row>
    <row r="2337" spans="1:2" x14ac:dyDescent="0.25">
      <c r="A2337" s="27">
        <v>7709063</v>
      </c>
      <c r="B2337" s="28" t="s">
        <v>11609</v>
      </c>
    </row>
    <row r="2338" spans="1:2" x14ac:dyDescent="0.25">
      <c r="A2338" s="27">
        <v>7709064</v>
      </c>
      <c r="B2338" s="28" t="s">
        <v>10506</v>
      </c>
    </row>
    <row r="2339" spans="1:2" x14ac:dyDescent="0.25">
      <c r="A2339" s="27">
        <v>7709065</v>
      </c>
      <c r="B2339" s="28" t="s">
        <v>10503</v>
      </c>
    </row>
    <row r="2340" spans="1:2" x14ac:dyDescent="0.25">
      <c r="A2340" s="27">
        <v>7709066</v>
      </c>
      <c r="B2340" s="25" t="s">
        <v>10509</v>
      </c>
    </row>
    <row r="2341" spans="1:2" x14ac:dyDescent="0.25">
      <c r="A2341" s="27">
        <v>7709067</v>
      </c>
      <c r="B2341" s="28" t="s">
        <v>10510</v>
      </c>
    </row>
    <row r="2342" spans="1:2" x14ac:dyDescent="0.25">
      <c r="A2342" s="27">
        <v>7709068</v>
      </c>
      <c r="B2342" s="28" t="s">
        <v>10504</v>
      </c>
    </row>
    <row r="2343" spans="1:2" x14ac:dyDescent="0.25">
      <c r="A2343" s="27">
        <v>7709069</v>
      </c>
      <c r="B2343" s="28" t="s">
        <v>10507</v>
      </c>
    </row>
    <row r="2344" spans="1:2" x14ac:dyDescent="0.25">
      <c r="A2344" s="27">
        <v>7709070</v>
      </c>
      <c r="B2344" s="28" t="s">
        <v>10440</v>
      </c>
    </row>
    <row r="2345" spans="1:2" x14ac:dyDescent="0.25">
      <c r="A2345" s="27">
        <v>7709071</v>
      </c>
      <c r="B2345" s="28" t="s">
        <v>11610</v>
      </c>
    </row>
    <row r="2346" spans="1:2" x14ac:dyDescent="0.25">
      <c r="A2346" s="27">
        <v>7709072</v>
      </c>
      <c r="B2346" s="28" t="s">
        <v>11611</v>
      </c>
    </row>
    <row r="2347" spans="1:2" x14ac:dyDescent="0.25">
      <c r="A2347" s="27">
        <v>7709080</v>
      </c>
      <c r="B2347" s="28" t="s">
        <v>12451</v>
      </c>
    </row>
    <row r="2348" spans="1:2" x14ac:dyDescent="0.25">
      <c r="A2348" s="27">
        <v>7709092</v>
      </c>
      <c r="B2348" s="28" t="s">
        <v>9525</v>
      </c>
    </row>
    <row r="2349" spans="1:2" x14ac:dyDescent="0.25">
      <c r="A2349" s="27">
        <v>7709093</v>
      </c>
      <c r="B2349" s="28" t="s">
        <v>13572</v>
      </c>
    </row>
    <row r="2350" spans="1:2" x14ac:dyDescent="0.25">
      <c r="A2350" s="27">
        <v>7709094</v>
      </c>
      <c r="B2350" s="28" t="s">
        <v>9527</v>
      </c>
    </row>
    <row r="2351" spans="1:2" x14ac:dyDescent="0.25">
      <c r="A2351" s="27">
        <v>7709101</v>
      </c>
      <c r="B2351" s="28" t="s">
        <v>9443</v>
      </c>
    </row>
    <row r="2352" spans="1:2" x14ac:dyDescent="0.25">
      <c r="A2352" s="27">
        <v>7709102</v>
      </c>
      <c r="B2352" s="28" t="s">
        <v>9451</v>
      </c>
    </row>
    <row r="2353" spans="1:2" x14ac:dyDescent="0.25">
      <c r="A2353" s="27">
        <v>7709103</v>
      </c>
      <c r="B2353" s="28" t="s">
        <v>9453</v>
      </c>
    </row>
    <row r="2354" spans="1:2" x14ac:dyDescent="0.25">
      <c r="A2354" s="27">
        <v>7709104</v>
      </c>
      <c r="B2354" s="28" t="s">
        <v>11612</v>
      </c>
    </row>
    <row r="2355" spans="1:2" x14ac:dyDescent="0.25">
      <c r="A2355" s="27">
        <v>7709105</v>
      </c>
      <c r="B2355" s="28" t="s">
        <v>11613</v>
      </c>
    </row>
    <row r="2356" spans="1:2" x14ac:dyDescent="0.25">
      <c r="A2356" s="27">
        <v>7709106</v>
      </c>
      <c r="B2356" s="28" t="s">
        <v>9456</v>
      </c>
    </row>
    <row r="2357" spans="1:2" x14ac:dyDescent="0.25">
      <c r="A2357" s="27">
        <v>7709115</v>
      </c>
      <c r="B2357" s="28" t="s">
        <v>11614</v>
      </c>
    </row>
    <row r="2358" spans="1:2" x14ac:dyDescent="0.25">
      <c r="A2358" s="27" t="s">
        <v>13573</v>
      </c>
      <c r="B2358" s="28"/>
    </row>
    <row r="2359" spans="1:2" x14ac:dyDescent="0.25">
      <c r="A2359" s="27">
        <v>7709120</v>
      </c>
      <c r="B2359" s="28" t="s">
        <v>11615</v>
      </c>
    </row>
    <row r="2360" spans="1:2" x14ac:dyDescent="0.25">
      <c r="A2360" s="27">
        <v>7709122</v>
      </c>
      <c r="B2360" s="28" t="s">
        <v>11616</v>
      </c>
    </row>
    <row r="2361" spans="1:2" x14ac:dyDescent="0.25">
      <c r="A2361" s="27" t="s">
        <v>13574</v>
      </c>
      <c r="B2361" s="28"/>
    </row>
    <row r="2362" spans="1:2" x14ac:dyDescent="0.25">
      <c r="A2362" s="27">
        <v>7709123</v>
      </c>
      <c r="B2362" s="28" t="s">
        <v>11617</v>
      </c>
    </row>
    <row r="2363" spans="1:2" x14ac:dyDescent="0.25">
      <c r="A2363" s="27">
        <v>7709135</v>
      </c>
      <c r="B2363" s="28" t="s">
        <v>10526</v>
      </c>
    </row>
    <row r="2364" spans="1:2" x14ac:dyDescent="0.25">
      <c r="A2364" s="27" t="s">
        <v>13575</v>
      </c>
      <c r="B2364" s="28"/>
    </row>
    <row r="2365" spans="1:2" x14ac:dyDescent="0.25">
      <c r="A2365" s="27">
        <v>7709137</v>
      </c>
      <c r="B2365" s="28" t="s">
        <v>9464</v>
      </c>
    </row>
    <row r="2366" spans="1:2" x14ac:dyDescent="0.25">
      <c r="A2366" s="27">
        <v>7709138</v>
      </c>
      <c r="B2366" s="28" t="s">
        <v>9463</v>
      </c>
    </row>
    <row r="2367" spans="1:2" x14ac:dyDescent="0.25">
      <c r="A2367" s="27">
        <v>7709139</v>
      </c>
      <c r="B2367" s="25" t="s">
        <v>9462</v>
      </c>
    </row>
    <row r="2368" spans="1:2" x14ac:dyDescent="0.25">
      <c r="A2368" s="27">
        <v>7709142</v>
      </c>
      <c r="B2368" s="28" t="s">
        <v>9508</v>
      </c>
    </row>
    <row r="2369" spans="1:2" x14ac:dyDescent="0.25">
      <c r="A2369" s="27">
        <v>7709151</v>
      </c>
      <c r="B2369" s="28" t="s">
        <v>12452</v>
      </c>
    </row>
    <row r="2370" spans="1:2" x14ac:dyDescent="0.25">
      <c r="A2370" s="27">
        <v>7709152</v>
      </c>
      <c r="B2370" s="25" t="s">
        <v>12453</v>
      </c>
    </row>
    <row r="2371" spans="1:2" x14ac:dyDescent="0.25">
      <c r="A2371" s="27">
        <v>7709155</v>
      </c>
      <c r="B2371" s="28" t="s">
        <v>9460</v>
      </c>
    </row>
    <row r="2372" spans="1:2" x14ac:dyDescent="0.25">
      <c r="A2372" s="27">
        <v>7709156</v>
      </c>
      <c r="B2372" s="28" t="s">
        <v>9520</v>
      </c>
    </row>
    <row r="2373" spans="1:2" x14ac:dyDescent="0.25">
      <c r="A2373" s="27">
        <v>7709157</v>
      </c>
      <c r="B2373" s="28" t="s">
        <v>11618</v>
      </c>
    </row>
    <row r="2374" spans="1:2" x14ac:dyDescent="0.25">
      <c r="A2374" s="27">
        <v>7709158</v>
      </c>
      <c r="B2374" s="28" t="s">
        <v>12454</v>
      </c>
    </row>
    <row r="2375" spans="1:2" x14ac:dyDescent="0.25">
      <c r="A2375" s="27">
        <v>7709159</v>
      </c>
      <c r="B2375" s="28" t="s">
        <v>11619</v>
      </c>
    </row>
    <row r="2376" spans="1:2" x14ac:dyDescent="0.25">
      <c r="A2376" s="27" t="s">
        <v>13576</v>
      </c>
      <c r="B2376" s="28"/>
    </row>
    <row r="2377" spans="1:2" x14ac:dyDescent="0.25">
      <c r="A2377" s="27">
        <v>7709160</v>
      </c>
      <c r="B2377" s="28" t="s">
        <v>9556</v>
      </c>
    </row>
    <row r="2378" spans="1:2" x14ac:dyDescent="0.25">
      <c r="A2378" s="27">
        <v>7709161</v>
      </c>
      <c r="B2378" s="28" t="s">
        <v>9425</v>
      </c>
    </row>
    <row r="2379" spans="1:2" x14ac:dyDescent="0.25">
      <c r="A2379" s="27">
        <v>7709163</v>
      </c>
      <c r="B2379" s="28" t="s">
        <v>9557</v>
      </c>
    </row>
    <row r="2380" spans="1:2" x14ac:dyDescent="0.25">
      <c r="A2380" s="27">
        <v>7709164</v>
      </c>
      <c r="B2380" s="28" t="s">
        <v>9558</v>
      </c>
    </row>
    <row r="2381" spans="1:2" x14ac:dyDescent="0.25">
      <c r="A2381" s="27" t="s">
        <v>13577</v>
      </c>
      <c r="B2381" s="28"/>
    </row>
    <row r="2382" spans="1:2" x14ac:dyDescent="0.25">
      <c r="A2382" s="27">
        <v>7709174</v>
      </c>
      <c r="B2382" s="28" t="s">
        <v>9468</v>
      </c>
    </row>
    <row r="2383" spans="1:2" x14ac:dyDescent="0.25">
      <c r="A2383" s="27">
        <v>7709198</v>
      </c>
      <c r="B2383" s="28" t="s">
        <v>11620</v>
      </c>
    </row>
    <row r="2384" spans="1:2" x14ac:dyDescent="0.25">
      <c r="A2384" s="27">
        <v>7709200</v>
      </c>
      <c r="B2384" s="28" t="s">
        <v>11621</v>
      </c>
    </row>
    <row r="2385" spans="1:2" x14ac:dyDescent="0.25">
      <c r="A2385" s="27">
        <v>7709203</v>
      </c>
      <c r="B2385" s="28" t="s">
        <v>9427</v>
      </c>
    </row>
    <row r="2386" spans="1:2" x14ac:dyDescent="0.25">
      <c r="A2386" s="27">
        <v>7709204</v>
      </c>
      <c r="B2386" s="28" t="s">
        <v>9426</v>
      </c>
    </row>
    <row r="2387" spans="1:2" x14ac:dyDescent="0.25">
      <c r="A2387" s="27">
        <v>7709208</v>
      </c>
      <c r="B2387" s="28" t="s">
        <v>9439</v>
      </c>
    </row>
    <row r="2388" spans="1:2" x14ac:dyDescent="0.25">
      <c r="A2388" s="27">
        <v>7709212</v>
      </c>
      <c r="B2388" s="28" t="s">
        <v>9450</v>
      </c>
    </row>
    <row r="2389" spans="1:2" x14ac:dyDescent="0.25">
      <c r="A2389" s="27">
        <v>7709228</v>
      </c>
      <c r="B2389" s="28" t="s">
        <v>9548</v>
      </c>
    </row>
    <row r="2390" spans="1:2" x14ac:dyDescent="0.25">
      <c r="A2390" s="27">
        <v>7709229</v>
      </c>
      <c r="B2390" s="28" t="s">
        <v>9549</v>
      </c>
    </row>
    <row r="2391" spans="1:2" x14ac:dyDescent="0.25">
      <c r="A2391" s="27">
        <v>7709230</v>
      </c>
      <c r="B2391" s="28" t="s">
        <v>9534</v>
      </c>
    </row>
    <row r="2392" spans="1:2" x14ac:dyDescent="0.25">
      <c r="A2392" s="27">
        <v>7709233</v>
      </c>
      <c r="B2392" s="28" t="s">
        <v>9447</v>
      </c>
    </row>
    <row r="2393" spans="1:2" x14ac:dyDescent="0.25">
      <c r="A2393" s="27">
        <v>7709234</v>
      </c>
      <c r="B2393" s="28" t="s">
        <v>11622</v>
      </c>
    </row>
    <row r="2394" spans="1:2" x14ac:dyDescent="0.25">
      <c r="A2394" s="27">
        <v>7709235</v>
      </c>
      <c r="B2394" s="28" t="s">
        <v>9568</v>
      </c>
    </row>
    <row r="2395" spans="1:2" x14ac:dyDescent="0.25">
      <c r="A2395" s="27">
        <v>7709236</v>
      </c>
      <c r="B2395" s="28" t="s">
        <v>11623</v>
      </c>
    </row>
    <row r="2396" spans="1:2" x14ac:dyDescent="0.25">
      <c r="A2396" s="27">
        <v>7709238</v>
      </c>
      <c r="B2396" s="28" t="s">
        <v>11624</v>
      </c>
    </row>
    <row r="2397" spans="1:2" x14ac:dyDescent="0.25">
      <c r="A2397" s="27">
        <v>7709245</v>
      </c>
      <c r="B2397" s="28" t="s">
        <v>9470</v>
      </c>
    </row>
    <row r="2398" spans="1:2" x14ac:dyDescent="0.25">
      <c r="A2398" s="27">
        <v>7709246</v>
      </c>
      <c r="B2398" s="28" t="s">
        <v>9469</v>
      </c>
    </row>
    <row r="2399" spans="1:2" x14ac:dyDescent="0.25">
      <c r="A2399" s="27">
        <v>7709251</v>
      </c>
      <c r="B2399" s="28" t="s">
        <v>9524</v>
      </c>
    </row>
    <row r="2400" spans="1:2" x14ac:dyDescent="0.25">
      <c r="A2400" s="27">
        <v>7709272</v>
      </c>
      <c r="B2400" s="28" t="s">
        <v>9433</v>
      </c>
    </row>
    <row r="2401" spans="1:2" x14ac:dyDescent="0.25">
      <c r="A2401" s="27" t="s">
        <v>13578</v>
      </c>
      <c r="B2401" s="28"/>
    </row>
    <row r="2402" spans="1:2" x14ac:dyDescent="0.25">
      <c r="A2402" s="27">
        <v>7709273</v>
      </c>
      <c r="B2402" s="28" t="s">
        <v>11625</v>
      </c>
    </row>
    <row r="2403" spans="1:2" x14ac:dyDescent="0.25">
      <c r="A2403" s="27">
        <v>7709274</v>
      </c>
      <c r="B2403" s="28" t="s">
        <v>11626</v>
      </c>
    </row>
    <row r="2404" spans="1:2" x14ac:dyDescent="0.25">
      <c r="A2404" s="27">
        <v>7709285</v>
      </c>
      <c r="B2404" s="28" t="s">
        <v>11627</v>
      </c>
    </row>
    <row r="2405" spans="1:2" x14ac:dyDescent="0.25">
      <c r="A2405" s="27">
        <v>7709300</v>
      </c>
      <c r="B2405" s="28" t="s">
        <v>9559</v>
      </c>
    </row>
    <row r="2406" spans="1:2" x14ac:dyDescent="0.25">
      <c r="A2406" s="27">
        <v>7709301</v>
      </c>
      <c r="B2406" s="28" t="s">
        <v>9610</v>
      </c>
    </row>
    <row r="2407" spans="1:2" x14ac:dyDescent="0.25">
      <c r="A2407" s="27">
        <v>7709302</v>
      </c>
      <c r="B2407" s="28" t="s">
        <v>11628</v>
      </c>
    </row>
    <row r="2408" spans="1:2" x14ac:dyDescent="0.25">
      <c r="A2408" s="27">
        <v>7709303</v>
      </c>
      <c r="B2408" s="28" t="s">
        <v>11629</v>
      </c>
    </row>
    <row r="2409" spans="1:2" x14ac:dyDescent="0.25">
      <c r="A2409" s="27">
        <v>7709304</v>
      </c>
      <c r="B2409" s="28" t="s">
        <v>9550</v>
      </c>
    </row>
    <row r="2410" spans="1:2" x14ac:dyDescent="0.25">
      <c r="A2410" s="27">
        <v>7709305</v>
      </c>
      <c r="B2410" s="28" t="s">
        <v>9543</v>
      </c>
    </row>
    <row r="2411" spans="1:2" x14ac:dyDescent="0.25">
      <c r="A2411" s="27">
        <v>7709306</v>
      </c>
      <c r="B2411" s="28" t="s">
        <v>9552</v>
      </c>
    </row>
    <row r="2412" spans="1:2" x14ac:dyDescent="0.25">
      <c r="A2412" s="27">
        <v>7709307</v>
      </c>
      <c r="B2412" s="28" t="s">
        <v>9591</v>
      </c>
    </row>
    <row r="2413" spans="1:2" x14ac:dyDescent="0.25">
      <c r="A2413" s="27">
        <v>7709308</v>
      </c>
      <c r="B2413" s="28" t="s">
        <v>9592</v>
      </c>
    </row>
    <row r="2414" spans="1:2" x14ac:dyDescent="0.25">
      <c r="A2414" s="27">
        <v>7709310</v>
      </c>
      <c r="B2414" s="28" t="s">
        <v>9531</v>
      </c>
    </row>
    <row r="2415" spans="1:2" x14ac:dyDescent="0.25">
      <c r="A2415" s="27">
        <v>7709312</v>
      </c>
      <c r="B2415" s="28" t="s">
        <v>11630</v>
      </c>
    </row>
    <row r="2416" spans="1:2" x14ac:dyDescent="0.25">
      <c r="A2416" s="27">
        <v>7709330</v>
      </c>
      <c r="B2416" s="28" t="s">
        <v>9496</v>
      </c>
    </row>
    <row r="2417" spans="1:2" x14ac:dyDescent="0.25">
      <c r="A2417" s="27">
        <v>7709333</v>
      </c>
      <c r="B2417" s="28" t="s">
        <v>9488</v>
      </c>
    </row>
    <row r="2418" spans="1:2" x14ac:dyDescent="0.25">
      <c r="A2418" s="27">
        <v>7709334</v>
      </c>
      <c r="B2418" s="28" t="s">
        <v>9544</v>
      </c>
    </row>
    <row r="2419" spans="1:2" x14ac:dyDescent="0.25">
      <c r="A2419" s="27">
        <v>7709338</v>
      </c>
      <c r="B2419" s="28" t="s">
        <v>9589</v>
      </c>
    </row>
    <row r="2420" spans="1:2" x14ac:dyDescent="0.25">
      <c r="A2420" s="27" t="s">
        <v>13579</v>
      </c>
      <c r="B2420" s="28"/>
    </row>
    <row r="2421" spans="1:2" x14ac:dyDescent="0.25">
      <c r="A2421" s="27">
        <v>7709341</v>
      </c>
      <c r="B2421" s="28" t="s">
        <v>9588</v>
      </c>
    </row>
    <row r="2422" spans="1:2" x14ac:dyDescent="0.25">
      <c r="A2422" s="27">
        <v>7709350</v>
      </c>
      <c r="B2422" s="28" t="s">
        <v>9523</v>
      </c>
    </row>
    <row r="2423" spans="1:2" x14ac:dyDescent="0.25">
      <c r="A2423" s="27">
        <v>7709351</v>
      </c>
      <c r="B2423" s="28" t="s">
        <v>11631</v>
      </c>
    </row>
    <row r="2424" spans="1:2" x14ac:dyDescent="0.25">
      <c r="A2424" s="27" t="s">
        <v>13580</v>
      </c>
      <c r="B2424" s="28"/>
    </row>
    <row r="2425" spans="1:2" x14ac:dyDescent="0.25">
      <c r="A2425" s="27">
        <v>7709352</v>
      </c>
      <c r="B2425" s="28" t="s">
        <v>11632</v>
      </c>
    </row>
    <row r="2426" spans="1:2" x14ac:dyDescent="0.25">
      <c r="A2426" s="27">
        <v>7709353</v>
      </c>
      <c r="B2426" s="28" t="s">
        <v>9586</v>
      </c>
    </row>
    <row r="2427" spans="1:2" x14ac:dyDescent="0.25">
      <c r="A2427" s="27">
        <v>7709354</v>
      </c>
      <c r="B2427" s="28" t="s">
        <v>9585</v>
      </c>
    </row>
    <row r="2428" spans="1:2" x14ac:dyDescent="0.25">
      <c r="A2428" s="27">
        <v>7709355</v>
      </c>
      <c r="B2428" s="28" t="s">
        <v>9584</v>
      </c>
    </row>
    <row r="2429" spans="1:2" x14ac:dyDescent="0.25">
      <c r="A2429" s="27">
        <v>7709356</v>
      </c>
      <c r="B2429" s="28" t="s">
        <v>9574</v>
      </c>
    </row>
    <row r="2430" spans="1:2" x14ac:dyDescent="0.25">
      <c r="A2430" s="27">
        <v>7709357</v>
      </c>
      <c r="B2430" s="28" t="s">
        <v>9576</v>
      </c>
    </row>
    <row r="2431" spans="1:2" x14ac:dyDescent="0.25">
      <c r="A2431" s="27">
        <v>7709358</v>
      </c>
      <c r="B2431" s="28" t="s">
        <v>9580</v>
      </c>
    </row>
    <row r="2432" spans="1:2" x14ac:dyDescent="0.25">
      <c r="A2432" s="27">
        <v>7709359</v>
      </c>
      <c r="B2432" s="28" t="s">
        <v>9575</v>
      </c>
    </row>
    <row r="2433" spans="1:2" x14ac:dyDescent="0.25">
      <c r="A2433" s="27">
        <v>7709360</v>
      </c>
      <c r="B2433" s="28" t="s">
        <v>9482</v>
      </c>
    </row>
    <row r="2434" spans="1:2" x14ac:dyDescent="0.25">
      <c r="A2434" s="27">
        <v>7709361</v>
      </c>
      <c r="B2434" s="28" t="s">
        <v>11633</v>
      </c>
    </row>
    <row r="2435" spans="1:2" x14ac:dyDescent="0.25">
      <c r="A2435" s="27">
        <v>7709364</v>
      </c>
      <c r="B2435" s="28" t="s">
        <v>9444</v>
      </c>
    </row>
    <row r="2436" spans="1:2" x14ac:dyDescent="0.25">
      <c r="A2436" s="27">
        <v>7709365</v>
      </c>
      <c r="B2436" s="28" t="s">
        <v>9442</v>
      </c>
    </row>
    <row r="2437" spans="1:2" x14ac:dyDescent="0.25">
      <c r="A2437" s="27">
        <v>7709380</v>
      </c>
      <c r="B2437" s="28" t="s">
        <v>9499</v>
      </c>
    </row>
    <row r="2438" spans="1:2" x14ac:dyDescent="0.25">
      <c r="A2438" s="27">
        <v>7709381</v>
      </c>
      <c r="B2438" s="28" t="s">
        <v>11634</v>
      </c>
    </row>
    <row r="2439" spans="1:2" x14ac:dyDescent="0.25">
      <c r="A2439" s="27">
        <v>7709384</v>
      </c>
      <c r="B2439" s="28" t="s">
        <v>9528</v>
      </c>
    </row>
    <row r="2440" spans="1:2" x14ac:dyDescent="0.25">
      <c r="A2440" s="27">
        <v>7709393</v>
      </c>
      <c r="B2440" s="28" t="s">
        <v>9473</v>
      </c>
    </row>
    <row r="2441" spans="1:2" x14ac:dyDescent="0.25">
      <c r="A2441" s="27">
        <v>7709394</v>
      </c>
      <c r="B2441" s="28" t="s">
        <v>9474</v>
      </c>
    </row>
    <row r="2442" spans="1:2" x14ac:dyDescent="0.25">
      <c r="A2442" s="27">
        <v>7709395</v>
      </c>
      <c r="B2442" s="28" t="s">
        <v>11635</v>
      </c>
    </row>
    <row r="2443" spans="1:2" x14ac:dyDescent="0.25">
      <c r="A2443" s="27">
        <v>7709396</v>
      </c>
      <c r="B2443" s="28" t="s">
        <v>9475</v>
      </c>
    </row>
    <row r="2444" spans="1:2" x14ac:dyDescent="0.25">
      <c r="A2444" s="27">
        <v>7709401</v>
      </c>
      <c r="B2444" s="28" t="s">
        <v>9446</v>
      </c>
    </row>
    <row r="2445" spans="1:2" x14ac:dyDescent="0.25">
      <c r="A2445" s="27">
        <v>7709406</v>
      </c>
      <c r="B2445" s="28" t="s">
        <v>11636</v>
      </c>
    </row>
    <row r="2446" spans="1:2" x14ac:dyDescent="0.25">
      <c r="A2446" s="27">
        <v>7709410</v>
      </c>
      <c r="B2446" s="28" t="s">
        <v>9560</v>
      </c>
    </row>
    <row r="2447" spans="1:2" x14ac:dyDescent="0.25">
      <c r="A2447" s="27">
        <v>7709411</v>
      </c>
      <c r="B2447" s="28" t="s">
        <v>9562</v>
      </c>
    </row>
    <row r="2448" spans="1:2" x14ac:dyDescent="0.25">
      <c r="A2448" s="27">
        <v>7709412</v>
      </c>
      <c r="B2448" s="28" t="s">
        <v>9567</v>
      </c>
    </row>
    <row r="2449" spans="1:2" x14ac:dyDescent="0.25">
      <c r="A2449" s="27">
        <v>7709413</v>
      </c>
      <c r="B2449" s="28" t="s">
        <v>11637</v>
      </c>
    </row>
    <row r="2450" spans="1:2" x14ac:dyDescent="0.25">
      <c r="A2450" s="27">
        <v>7709414</v>
      </c>
      <c r="B2450" s="28" t="s">
        <v>9436</v>
      </c>
    </row>
    <row r="2451" spans="1:2" x14ac:dyDescent="0.25">
      <c r="A2451" s="27">
        <v>7709415</v>
      </c>
      <c r="B2451" s="28" t="s">
        <v>9542</v>
      </c>
    </row>
    <row r="2452" spans="1:2" x14ac:dyDescent="0.25">
      <c r="A2452" s="27">
        <v>7709416</v>
      </c>
      <c r="B2452" s="28" t="s">
        <v>9541</v>
      </c>
    </row>
    <row r="2453" spans="1:2" x14ac:dyDescent="0.25">
      <c r="A2453" s="27">
        <v>7709417</v>
      </c>
      <c r="B2453" s="28" t="s">
        <v>9484</v>
      </c>
    </row>
    <row r="2454" spans="1:2" x14ac:dyDescent="0.25">
      <c r="A2454" s="27">
        <v>7709419</v>
      </c>
      <c r="B2454" s="28" t="s">
        <v>9483</v>
      </c>
    </row>
    <row r="2455" spans="1:2" x14ac:dyDescent="0.25">
      <c r="A2455" s="27">
        <v>7709420</v>
      </c>
      <c r="B2455" s="28" t="s">
        <v>9516</v>
      </c>
    </row>
    <row r="2456" spans="1:2" x14ac:dyDescent="0.25">
      <c r="A2456" s="27">
        <v>7709421</v>
      </c>
      <c r="B2456" s="28" t="s">
        <v>9478</v>
      </c>
    </row>
    <row r="2457" spans="1:2" x14ac:dyDescent="0.25">
      <c r="A2457" s="27">
        <v>7709422</v>
      </c>
      <c r="B2457" s="28" t="s">
        <v>9477</v>
      </c>
    </row>
    <row r="2458" spans="1:2" x14ac:dyDescent="0.25">
      <c r="A2458" s="27">
        <v>7709425</v>
      </c>
      <c r="B2458" s="28" t="s">
        <v>9572</v>
      </c>
    </row>
    <row r="2459" spans="1:2" x14ac:dyDescent="0.25">
      <c r="A2459" s="27">
        <v>7709426</v>
      </c>
      <c r="B2459" s="28" t="s">
        <v>9583</v>
      </c>
    </row>
    <row r="2460" spans="1:2" x14ac:dyDescent="0.25">
      <c r="A2460" s="27">
        <v>7709427</v>
      </c>
      <c r="B2460" s="28" t="s">
        <v>12344</v>
      </c>
    </row>
    <row r="2461" spans="1:2" x14ac:dyDescent="0.25">
      <c r="A2461" s="27">
        <v>7709428</v>
      </c>
      <c r="B2461" s="28" t="s">
        <v>12345</v>
      </c>
    </row>
    <row r="2462" spans="1:2" x14ac:dyDescent="0.25">
      <c r="A2462" s="27">
        <v>7709438</v>
      </c>
      <c r="B2462" s="28" t="s">
        <v>9434</v>
      </c>
    </row>
    <row r="2463" spans="1:2" x14ac:dyDescent="0.25">
      <c r="A2463" s="27">
        <v>7709439</v>
      </c>
      <c r="B2463" s="28" t="s">
        <v>9435</v>
      </c>
    </row>
    <row r="2464" spans="1:2" x14ac:dyDescent="0.25">
      <c r="A2464" s="27">
        <v>7709440</v>
      </c>
      <c r="B2464" s="28" t="s">
        <v>9428</v>
      </c>
    </row>
    <row r="2465" spans="1:2" x14ac:dyDescent="0.25">
      <c r="A2465" s="27">
        <v>7709441</v>
      </c>
      <c r="B2465" s="28" t="s">
        <v>11638</v>
      </c>
    </row>
    <row r="2466" spans="1:2" x14ac:dyDescent="0.25">
      <c r="A2466" s="27">
        <v>7709442</v>
      </c>
      <c r="B2466" s="28" t="s">
        <v>9538</v>
      </c>
    </row>
    <row r="2467" spans="1:2" x14ac:dyDescent="0.25">
      <c r="A2467" s="27">
        <v>7709443</v>
      </c>
      <c r="B2467" s="28" t="s">
        <v>11639</v>
      </c>
    </row>
    <row r="2468" spans="1:2" x14ac:dyDescent="0.25">
      <c r="A2468" s="27">
        <v>7709444</v>
      </c>
      <c r="B2468" s="25" t="s">
        <v>12346</v>
      </c>
    </row>
    <row r="2469" spans="1:2" x14ac:dyDescent="0.25">
      <c r="A2469" s="27">
        <v>7709450</v>
      </c>
      <c r="B2469" s="28" t="s">
        <v>11640</v>
      </c>
    </row>
    <row r="2470" spans="1:2" x14ac:dyDescent="0.25">
      <c r="A2470" s="27">
        <v>7709451</v>
      </c>
      <c r="B2470" s="28" t="s">
        <v>9612</v>
      </c>
    </row>
    <row r="2471" spans="1:2" x14ac:dyDescent="0.25">
      <c r="A2471" s="27">
        <v>7709452</v>
      </c>
      <c r="B2471" s="28" t="s">
        <v>9533</v>
      </c>
    </row>
    <row r="2472" spans="1:2" x14ac:dyDescent="0.25">
      <c r="A2472" s="27">
        <v>7709453</v>
      </c>
      <c r="B2472" s="28" t="s">
        <v>9564</v>
      </c>
    </row>
    <row r="2473" spans="1:2" x14ac:dyDescent="0.25">
      <c r="A2473" s="27">
        <v>7709454</v>
      </c>
      <c r="B2473" s="28" t="s">
        <v>11641</v>
      </c>
    </row>
    <row r="2474" spans="1:2" x14ac:dyDescent="0.25">
      <c r="A2474" s="27">
        <v>7709455</v>
      </c>
      <c r="B2474" s="28" t="s">
        <v>9566</v>
      </c>
    </row>
    <row r="2475" spans="1:2" x14ac:dyDescent="0.25">
      <c r="A2475" s="27">
        <v>7709456</v>
      </c>
      <c r="B2475" s="28" t="s">
        <v>9480</v>
      </c>
    </row>
    <row r="2476" spans="1:2" x14ac:dyDescent="0.25">
      <c r="A2476" s="27">
        <v>7709457</v>
      </c>
      <c r="B2476" s="28" t="s">
        <v>9561</v>
      </c>
    </row>
    <row r="2477" spans="1:2" x14ac:dyDescent="0.25">
      <c r="A2477" s="27">
        <v>7709458</v>
      </c>
      <c r="B2477" s="28" t="s">
        <v>9479</v>
      </c>
    </row>
    <row r="2478" spans="1:2" x14ac:dyDescent="0.25">
      <c r="A2478" s="27">
        <v>7709459</v>
      </c>
      <c r="B2478" s="28" t="s">
        <v>9432</v>
      </c>
    </row>
    <row r="2479" spans="1:2" x14ac:dyDescent="0.25">
      <c r="A2479" s="27">
        <v>7709460</v>
      </c>
      <c r="B2479" s="28" t="s">
        <v>9578</v>
      </c>
    </row>
    <row r="2480" spans="1:2" x14ac:dyDescent="0.25">
      <c r="A2480" s="27">
        <v>7709461</v>
      </c>
      <c r="B2480" s="28" t="s">
        <v>9581</v>
      </c>
    </row>
    <row r="2481" spans="1:2" x14ac:dyDescent="0.25">
      <c r="A2481" s="27">
        <v>7709462</v>
      </c>
      <c r="B2481" s="28" t="s">
        <v>9579</v>
      </c>
    </row>
    <row r="2482" spans="1:2" x14ac:dyDescent="0.25">
      <c r="A2482" s="27">
        <v>7709465</v>
      </c>
      <c r="B2482" s="28" t="s">
        <v>9582</v>
      </c>
    </row>
    <row r="2483" spans="1:2" x14ac:dyDescent="0.25">
      <c r="A2483" s="27">
        <v>7709473</v>
      </c>
      <c r="B2483" s="28" t="s">
        <v>9526</v>
      </c>
    </row>
    <row r="2484" spans="1:2" x14ac:dyDescent="0.25">
      <c r="A2484" s="27">
        <v>7709490</v>
      </c>
      <c r="B2484" s="28" t="s">
        <v>11642</v>
      </c>
    </row>
    <row r="2485" spans="1:2" x14ac:dyDescent="0.25">
      <c r="A2485" s="27">
        <v>7709495</v>
      </c>
      <c r="B2485" s="28" t="s">
        <v>11643</v>
      </c>
    </row>
    <row r="2486" spans="1:2" x14ac:dyDescent="0.25">
      <c r="A2486" s="27">
        <v>7709499</v>
      </c>
      <c r="B2486" s="28" t="s">
        <v>11644</v>
      </c>
    </row>
    <row r="2487" spans="1:2" x14ac:dyDescent="0.25">
      <c r="A2487" s="27" t="s">
        <v>13581</v>
      </c>
      <c r="B2487" s="28"/>
    </row>
    <row r="2488" spans="1:2" x14ac:dyDescent="0.25">
      <c r="A2488" s="27">
        <v>7709500</v>
      </c>
      <c r="B2488" s="28" t="s">
        <v>10472</v>
      </c>
    </row>
    <row r="2489" spans="1:2" x14ac:dyDescent="0.25">
      <c r="A2489" s="27">
        <v>7709501</v>
      </c>
      <c r="B2489" s="28" t="s">
        <v>11645</v>
      </c>
    </row>
    <row r="2490" spans="1:2" x14ac:dyDescent="0.25">
      <c r="A2490" s="27">
        <v>7709502</v>
      </c>
      <c r="B2490" s="28" t="s">
        <v>9587</v>
      </c>
    </row>
    <row r="2491" spans="1:2" x14ac:dyDescent="0.25">
      <c r="A2491" s="27">
        <v>7709503</v>
      </c>
      <c r="B2491" s="28" t="s">
        <v>10505</v>
      </c>
    </row>
    <row r="2492" spans="1:2" x14ac:dyDescent="0.25">
      <c r="A2492" s="27">
        <v>7709504</v>
      </c>
      <c r="B2492" s="28" t="s">
        <v>9537</v>
      </c>
    </row>
    <row r="2493" spans="1:2" x14ac:dyDescent="0.25">
      <c r="A2493" s="27">
        <v>7709505</v>
      </c>
      <c r="B2493" s="28" t="s">
        <v>9521</v>
      </c>
    </row>
    <row r="2494" spans="1:2" x14ac:dyDescent="0.25">
      <c r="A2494" s="27">
        <v>7709506</v>
      </c>
      <c r="B2494" s="28" t="s">
        <v>10508</v>
      </c>
    </row>
    <row r="2495" spans="1:2" x14ac:dyDescent="0.25">
      <c r="A2495" s="27">
        <v>7709517</v>
      </c>
      <c r="B2495" s="28" t="s">
        <v>9607</v>
      </c>
    </row>
    <row r="2496" spans="1:2" x14ac:dyDescent="0.25">
      <c r="A2496" s="27">
        <v>7709540</v>
      </c>
      <c r="B2496" s="28" t="s">
        <v>8410</v>
      </c>
    </row>
    <row r="2497" spans="1:2" x14ac:dyDescent="0.25">
      <c r="A2497" s="27">
        <v>7709547</v>
      </c>
      <c r="B2497" s="28" t="s">
        <v>9485</v>
      </c>
    </row>
    <row r="2498" spans="1:2" x14ac:dyDescent="0.25">
      <c r="A2498" s="27">
        <v>7709549</v>
      </c>
      <c r="B2498" s="28" t="s">
        <v>9437</v>
      </c>
    </row>
    <row r="2499" spans="1:2" x14ac:dyDescent="0.25">
      <c r="A2499" s="27">
        <v>7709555</v>
      </c>
      <c r="B2499" s="28" t="s">
        <v>11646</v>
      </c>
    </row>
    <row r="2500" spans="1:2" x14ac:dyDescent="0.25">
      <c r="A2500" s="27">
        <v>7709556</v>
      </c>
      <c r="B2500" s="28" t="s">
        <v>11647</v>
      </c>
    </row>
    <row r="2501" spans="1:2" x14ac:dyDescent="0.25">
      <c r="A2501" s="27">
        <v>7709572</v>
      </c>
      <c r="B2501" s="28" t="s">
        <v>9452</v>
      </c>
    </row>
    <row r="2502" spans="1:2" x14ac:dyDescent="0.25">
      <c r="A2502" s="27">
        <v>7709600</v>
      </c>
      <c r="B2502" s="28" t="s">
        <v>9476</v>
      </c>
    </row>
    <row r="2503" spans="1:2" x14ac:dyDescent="0.25">
      <c r="A2503" s="27">
        <v>7709601</v>
      </c>
      <c r="B2503" s="28" t="s">
        <v>11648</v>
      </c>
    </row>
    <row r="2504" spans="1:2" x14ac:dyDescent="0.25">
      <c r="A2504" s="27">
        <v>7709602</v>
      </c>
      <c r="B2504" s="28" t="s">
        <v>11649</v>
      </c>
    </row>
    <row r="2505" spans="1:2" x14ac:dyDescent="0.25">
      <c r="A2505" s="27">
        <v>7709603</v>
      </c>
      <c r="B2505" s="28" t="s">
        <v>11650</v>
      </c>
    </row>
    <row r="2506" spans="1:2" x14ac:dyDescent="0.25">
      <c r="A2506" s="27">
        <v>7709606</v>
      </c>
      <c r="B2506" s="28" t="s">
        <v>9551</v>
      </c>
    </row>
    <row r="2507" spans="1:2" x14ac:dyDescent="0.25">
      <c r="A2507" s="27">
        <v>7709608</v>
      </c>
      <c r="B2507" s="28" t="s">
        <v>9459</v>
      </c>
    </row>
    <row r="2508" spans="1:2" x14ac:dyDescent="0.25">
      <c r="A2508" s="27">
        <v>7709625</v>
      </c>
      <c r="B2508" s="28" t="s">
        <v>9461</v>
      </c>
    </row>
    <row r="2509" spans="1:2" x14ac:dyDescent="0.25">
      <c r="A2509" s="27">
        <v>7709650</v>
      </c>
      <c r="B2509" s="28" t="s">
        <v>9491</v>
      </c>
    </row>
    <row r="2510" spans="1:2" x14ac:dyDescent="0.25">
      <c r="A2510" s="27">
        <v>7709653</v>
      </c>
      <c r="B2510" s="28" t="s">
        <v>9501</v>
      </c>
    </row>
    <row r="2511" spans="1:2" x14ac:dyDescent="0.25">
      <c r="A2511" s="27">
        <v>7709654</v>
      </c>
      <c r="B2511" s="28" t="s">
        <v>9440</v>
      </c>
    </row>
    <row r="2512" spans="1:2" x14ac:dyDescent="0.25">
      <c r="A2512" s="27">
        <v>7709655</v>
      </c>
      <c r="B2512" s="28" t="s">
        <v>11651</v>
      </c>
    </row>
    <row r="2513" spans="1:2" x14ac:dyDescent="0.25">
      <c r="A2513" s="27">
        <v>7709656</v>
      </c>
      <c r="B2513" s="28" t="s">
        <v>11652</v>
      </c>
    </row>
    <row r="2514" spans="1:2" x14ac:dyDescent="0.25">
      <c r="A2514" s="27">
        <v>7709660</v>
      </c>
      <c r="B2514" s="28" t="s">
        <v>9514</v>
      </c>
    </row>
    <row r="2515" spans="1:2" x14ac:dyDescent="0.25">
      <c r="A2515" s="27">
        <v>7709661</v>
      </c>
      <c r="B2515" s="28" t="s">
        <v>9500</v>
      </c>
    </row>
    <row r="2516" spans="1:2" x14ac:dyDescent="0.25">
      <c r="A2516" s="27">
        <v>7709662</v>
      </c>
      <c r="B2516" s="28" t="s">
        <v>9502</v>
      </c>
    </row>
    <row r="2517" spans="1:2" x14ac:dyDescent="0.25">
      <c r="A2517" s="27">
        <v>7709663</v>
      </c>
      <c r="B2517" s="28" t="s">
        <v>9512</v>
      </c>
    </row>
    <row r="2518" spans="1:2" x14ac:dyDescent="0.25">
      <c r="A2518" s="27">
        <v>7709664</v>
      </c>
      <c r="B2518" s="28" t="s">
        <v>9503</v>
      </c>
    </row>
    <row r="2519" spans="1:2" x14ac:dyDescent="0.25">
      <c r="A2519" s="27">
        <v>7709665</v>
      </c>
      <c r="B2519" s="28" t="s">
        <v>9489</v>
      </c>
    </row>
    <row r="2520" spans="1:2" x14ac:dyDescent="0.25">
      <c r="A2520" s="27">
        <v>7709666</v>
      </c>
      <c r="B2520" s="28" t="s">
        <v>9506</v>
      </c>
    </row>
    <row r="2521" spans="1:2" x14ac:dyDescent="0.25">
      <c r="A2521" s="27">
        <v>7709667</v>
      </c>
      <c r="B2521" s="28" t="s">
        <v>9507</v>
      </c>
    </row>
    <row r="2522" spans="1:2" x14ac:dyDescent="0.25">
      <c r="A2522" s="27">
        <v>7709668</v>
      </c>
      <c r="B2522" s="28" t="s">
        <v>9613</v>
      </c>
    </row>
    <row r="2523" spans="1:2" x14ac:dyDescent="0.25">
      <c r="A2523" s="27">
        <v>7709669</v>
      </c>
      <c r="B2523" s="28" t="s">
        <v>9511</v>
      </c>
    </row>
    <row r="2524" spans="1:2" x14ac:dyDescent="0.25">
      <c r="A2524" s="27">
        <v>7709670</v>
      </c>
      <c r="B2524" s="28" t="s">
        <v>9513</v>
      </c>
    </row>
    <row r="2525" spans="1:2" x14ac:dyDescent="0.25">
      <c r="A2525" s="27">
        <v>7709671</v>
      </c>
      <c r="B2525" s="28" t="s">
        <v>9510</v>
      </c>
    </row>
    <row r="2526" spans="1:2" x14ac:dyDescent="0.25">
      <c r="A2526" s="27">
        <v>7709680</v>
      </c>
      <c r="B2526" s="28" t="s">
        <v>9492</v>
      </c>
    </row>
    <row r="2527" spans="1:2" x14ac:dyDescent="0.25">
      <c r="A2527" s="27">
        <v>7709700</v>
      </c>
      <c r="B2527" s="28" t="s">
        <v>9553</v>
      </c>
    </row>
    <row r="2528" spans="1:2" x14ac:dyDescent="0.25">
      <c r="A2528" s="27">
        <v>7709709</v>
      </c>
      <c r="B2528" s="28" t="s">
        <v>9494</v>
      </c>
    </row>
    <row r="2529" spans="1:2" x14ac:dyDescent="0.25">
      <c r="A2529" s="27">
        <v>7709712</v>
      </c>
      <c r="B2529" s="28" t="s">
        <v>9481</v>
      </c>
    </row>
    <row r="2530" spans="1:2" x14ac:dyDescent="0.25">
      <c r="A2530" s="27">
        <v>7709753</v>
      </c>
      <c r="B2530" s="28" t="s">
        <v>9454</v>
      </c>
    </row>
    <row r="2531" spans="1:2" x14ac:dyDescent="0.25">
      <c r="A2531" s="27">
        <v>7709754</v>
      </c>
      <c r="B2531" s="28" t="s">
        <v>9467</v>
      </c>
    </row>
    <row r="2532" spans="1:2" x14ac:dyDescent="0.25">
      <c r="A2532" s="27">
        <v>7709755</v>
      </c>
      <c r="B2532" s="28" t="s">
        <v>9517</v>
      </c>
    </row>
    <row r="2533" spans="1:2" x14ac:dyDescent="0.25">
      <c r="A2533" s="27">
        <v>7709756</v>
      </c>
      <c r="B2533" s="28" t="s">
        <v>9487</v>
      </c>
    </row>
    <row r="2534" spans="1:2" x14ac:dyDescent="0.25">
      <c r="A2534" s="27">
        <v>7709784</v>
      </c>
      <c r="B2534" s="28" t="s">
        <v>9438</v>
      </c>
    </row>
    <row r="2535" spans="1:2" x14ac:dyDescent="0.25">
      <c r="A2535" s="27">
        <v>7709785</v>
      </c>
      <c r="B2535" s="28" t="s">
        <v>9471</v>
      </c>
    </row>
    <row r="2536" spans="1:2" x14ac:dyDescent="0.25">
      <c r="A2536" s="27">
        <v>7709786</v>
      </c>
      <c r="B2536" s="28" t="s">
        <v>9495</v>
      </c>
    </row>
    <row r="2537" spans="1:2" x14ac:dyDescent="0.25">
      <c r="A2537" s="27">
        <v>7709787</v>
      </c>
      <c r="B2537" s="28" t="s">
        <v>9519</v>
      </c>
    </row>
    <row r="2538" spans="1:2" x14ac:dyDescent="0.25">
      <c r="A2538" s="27">
        <v>7709788</v>
      </c>
      <c r="B2538" s="28" t="s">
        <v>9518</v>
      </c>
    </row>
    <row r="2539" spans="1:2" x14ac:dyDescent="0.25">
      <c r="A2539" s="27">
        <v>7709789</v>
      </c>
      <c r="B2539" s="28" t="s">
        <v>9530</v>
      </c>
    </row>
    <row r="2540" spans="1:2" x14ac:dyDescent="0.25">
      <c r="A2540" s="27">
        <v>7709790</v>
      </c>
      <c r="B2540" s="28" t="s">
        <v>9536</v>
      </c>
    </row>
    <row r="2541" spans="1:2" x14ac:dyDescent="0.25">
      <c r="A2541" s="27">
        <v>7709799</v>
      </c>
      <c r="B2541" s="28" t="s">
        <v>9593</v>
      </c>
    </row>
    <row r="2542" spans="1:2" x14ac:dyDescent="0.25">
      <c r="A2542" s="27">
        <v>7709800</v>
      </c>
      <c r="B2542" s="28" t="s">
        <v>9570</v>
      </c>
    </row>
    <row r="2543" spans="1:2" x14ac:dyDescent="0.25">
      <c r="A2543" s="27">
        <v>7709801</v>
      </c>
      <c r="B2543" s="28" t="s">
        <v>9571</v>
      </c>
    </row>
    <row r="2544" spans="1:2" x14ac:dyDescent="0.25">
      <c r="A2544" s="27">
        <v>7709802</v>
      </c>
      <c r="B2544" s="28" t="s">
        <v>11653</v>
      </c>
    </row>
    <row r="2545" spans="1:2" x14ac:dyDescent="0.25">
      <c r="A2545" s="27">
        <v>7709803</v>
      </c>
      <c r="B2545" s="28" t="s">
        <v>11654</v>
      </c>
    </row>
    <row r="2546" spans="1:2" x14ac:dyDescent="0.25">
      <c r="A2546" s="27">
        <v>7709804</v>
      </c>
      <c r="B2546" s="28" t="s">
        <v>11655</v>
      </c>
    </row>
    <row r="2547" spans="1:2" x14ac:dyDescent="0.25">
      <c r="A2547" s="27">
        <v>7709805</v>
      </c>
      <c r="B2547" s="28" t="s">
        <v>11656</v>
      </c>
    </row>
    <row r="2548" spans="1:2" x14ac:dyDescent="0.25">
      <c r="A2548" s="27">
        <v>7709806</v>
      </c>
      <c r="B2548" s="28" t="s">
        <v>11657</v>
      </c>
    </row>
    <row r="2549" spans="1:2" x14ac:dyDescent="0.25">
      <c r="A2549" s="27">
        <v>7709807</v>
      </c>
      <c r="B2549" s="28" t="s">
        <v>11658</v>
      </c>
    </row>
    <row r="2550" spans="1:2" x14ac:dyDescent="0.25">
      <c r="A2550" s="27">
        <v>7709808</v>
      </c>
      <c r="B2550" s="28" t="s">
        <v>11659</v>
      </c>
    </row>
    <row r="2551" spans="1:2" x14ac:dyDescent="0.25">
      <c r="A2551" s="27">
        <v>7709809</v>
      </c>
      <c r="B2551" s="28" t="s">
        <v>11660</v>
      </c>
    </row>
    <row r="2552" spans="1:2" x14ac:dyDescent="0.25">
      <c r="A2552" s="27">
        <v>7709810</v>
      </c>
      <c r="B2552" s="28" t="s">
        <v>11661</v>
      </c>
    </row>
    <row r="2553" spans="1:2" x14ac:dyDescent="0.25">
      <c r="A2553" s="27" t="s">
        <v>13582</v>
      </c>
      <c r="B2553" s="28"/>
    </row>
    <row r="2554" spans="1:2" x14ac:dyDescent="0.25">
      <c r="A2554" s="27">
        <v>7709811</v>
      </c>
      <c r="B2554" s="28" t="s">
        <v>11662</v>
      </c>
    </row>
    <row r="2555" spans="1:2" x14ac:dyDescent="0.25">
      <c r="A2555" s="27">
        <v>7709812</v>
      </c>
      <c r="B2555" s="28" t="s">
        <v>11663</v>
      </c>
    </row>
    <row r="2556" spans="1:2" x14ac:dyDescent="0.25">
      <c r="A2556" s="27">
        <v>7709813</v>
      </c>
      <c r="B2556" s="28" t="s">
        <v>11664</v>
      </c>
    </row>
    <row r="2557" spans="1:2" x14ac:dyDescent="0.25">
      <c r="A2557" s="27">
        <v>7709814</v>
      </c>
      <c r="B2557" s="28" t="s">
        <v>11665</v>
      </c>
    </row>
    <row r="2558" spans="1:2" x14ac:dyDescent="0.25">
      <c r="A2558" s="27">
        <v>7709815</v>
      </c>
      <c r="B2558" s="28" t="s">
        <v>11666</v>
      </c>
    </row>
    <row r="2559" spans="1:2" x14ac:dyDescent="0.25">
      <c r="A2559" s="27">
        <v>7709816</v>
      </c>
      <c r="B2559" s="28" t="s">
        <v>11667</v>
      </c>
    </row>
    <row r="2560" spans="1:2" x14ac:dyDescent="0.25">
      <c r="A2560" s="27">
        <v>7709817</v>
      </c>
      <c r="B2560" s="28" t="s">
        <v>11668</v>
      </c>
    </row>
    <row r="2561" spans="1:2" x14ac:dyDescent="0.25">
      <c r="A2561" s="27">
        <v>7709818</v>
      </c>
      <c r="B2561" s="28" t="s">
        <v>11669</v>
      </c>
    </row>
    <row r="2562" spans="1:2" x14ac:dyDescent="0.25">
      <c r="A2562" s="27">
        <v>7709819</v>
      </c>
      <c r="B2562" s="28" t="s">
        <v>11670</v>
      </c>
    </row>
    <row r="2563" spans="1:2" x14ac:dyDescent="0.25">
      <c r="A2563" s="27">
        <v>7709820</v>
      </c>
      <c r="B2563" s="28" t="s">
        <v>11671</v>
      </c>
    </row>
    <row r="2564" spans="1:2" x14ac:dyDescent="0.25">
      <c r="A2564" s="27">
        <v>7709821</v>
      </c>
      <c r="B2564" s="28" t="s">
        <v>11672</v>
      </c>
    </row>
    <row r="2565" spans="1:2" x14ac:dyDescent="0.25">
      <c r="A2565" s="27">
        <v>7709831</v>
      </c>
      <c r="B2565" s="28" t="s">
        <v>11673</v>
      </c>
    </row>
    <row r="2566" spans="1:2" x14ac:dyDescent="0.25">
      <c r="A2566" s="27">
        <v>7709833</v>
      </c>
      <c r="B2566" s="28" t="s">
        <v>11674</v>
      </c>
    </row>
    <row r="2567" spans="1:2" x14ac:dyDescent="0.25">
      <c r="A2567" s="27">
        <v>7709834</v>
      </c>
      <c r="B2567" s="28" t="s">
        <v>11675</v>
      </c>
    </row>
    <row r="2568" spans="1:2" x14ac:dyDescent="0.25">
      <c r="A2568" s="27">
        <v>7709835</v>
      </c>
      <c r="B2568" s="28" t="s">
        <v>11676</v>
      </c>
    </row>
    <row r="2569" spans="1:2" x14ac:dyDescent="0.25">
      <c r="A2569" s="27">
        <v>7709836</v>
      </c>
      <c r="B2569" s="28" t="s">
        <v>11677</v>
      </c>
    </row>
    <row r="2570" spans="1:2" x14ac:dyDescent="0.25">
      <c r="A2570" s="27">
        <v>7709837</v>
      </c>
      <c r="B2570" s="28" t="s">
        <v>13583</v>
      </c>
    </row>
    <row r="2571" spans="1:2" x14ac:dyDescent="0.25">
      <c r="A2571" s="27">
        <v>7709850</v>
      </c>
      <c r="B2571" s="28" t="s">
        <v>11678</v>
      </c>
    </row>
    <row r="2572" spans="1:2" x14ac:dyDescent="0.25">
      <c r="A2572" s="27">
        <v>7709851</v>
      </c>
      <c r="B2572" s="28" t="s">
        <v>9522</v>
      </c>
    </row>
    <row r="2573" spans="1:2" x14ac:dyDescent="0.25">
      <c r="A2573" s="27">
        <v>7709852</v>
      </c>
      <c r="B2573" s="28" t="s">
        <v>9529</v>
      </c>
    </row>
    <row r="2574" spans="1:2" x14ac:dyDescent="0.25">
      <c r="A2574" s="27">
        <v>7709853</v>
      </c>
      <c r="B2574" s="28" t="s">
        <v>8412</v>
      </c>
    </row>
    <row r="2575" spans="1:2" x14ac:dyDescent="0.25">
      <c r="A2575" s="27">
        <v>7709854</v>
      </c>
      <c r="B2575" s="28" t="s">
        <v>9455</v>
      </c>
    </row>
    <row r="2576" spans="1:2" x14ac:dyDescent="0.25">
      <c r="A2576" s="27">
        <v>7709855</v>
      </c>
      <c r="B2576" s="28" t="s">
        <v>9441</v>
      </c>
    </row>
    <row r="2577" spans="1:2" x14ac:dyDescent="0.25">
      <c r="A2577" s="27">
        <v>7709856</v>
      </c>
      <c r="B2577" s="28" t="s">
        <v>9504</v>
      </c>
    </row>
    <row r="2578" spans="1:2" x14ac:dyDescent="0.25">
      <c r="A2578" s="27">
        <v>7709857</v>
      </c>
      <c r="B2578" s="28" t="s">
        <v>9458</v>
      </c>
    </row>
    <row r="2579" spans="1:2" x14ac:dyDescent="0.25">
      <c r="A2579" s="27">
        <v>7709858</v>
      </c>
      <c r="B2579" s="28" t="s">
        <v>9490</v>
      </c>
    </row>
    <row r="2580" spans="1:2" x14ac:dyDescent="0.25">
      <c r="A2580" s="27">
        <v>7709859</v>
      </c>
      <c r="B2580" s="28" t="s">
        <v>9565</v>
      </c>
    </row>
    <row r="2581" spans="1:2" x14ac:dyDescent="0.25">
      <c r="A2581" s="27">
        <v>7709860</v>
      </c>
      <c r="B2581" s="28" t="s">
        <v>11679</v>
      </c>
    </row>
    <row r="2582" spans="1:2" x14ac:dyDescent="0.25">
      <c r="A2582" s="27">
        <v>7709861</v>
      </c>
      <c r="B2582" s="28" t="s">
        <v>9509</v>
      </c>
    </row>
    <row r="2583" spans="1:2" x14ac:dyDescent="0.25">
      <c r="A2583" s="27">
        <v>7709862</v>
      </c>
      <c r="B2583" s="28" t="s">
        <v>12455</v>
      </c>
    </row>
    <row r="2584" spans="1:2" x14ac:dyDescent="0.25">
      <c r="A2584" s="27">
        <v>7709865</v>
      </c>
      <c r="B2584" s="28" t="s">
        <v>9505</v>
      </c>
    </row>
    <row r="2585" spans="1:2" x14ac:dyDescent="0.25">
      <c r="A2585" s="27">
        <v>7709866</v>
      </c>
      <c r="B2585" s="28" t="s">
        <v>9486</v>
      </c>
    </row>
    <row r="2586" spans="1:2" x14ac:dyDescent="0.25">
      <c r="A2586" s="27">
        <v>7709867</v>
      </c>
      <c r="B2586" s="28" t="s">
        <v>9472</v>
      </c>
    </row>
    <row r="2587" spans="1:2" x14ac:dyDescent="0.25">
      <c r="A2587" s="27">
        <v>7709869</v>
      </c>
      <c r="B2587" s="28" t="s">
        <v>11680</v>
      </c>
    </row>
    <row r="2588" spans="1:2" x14ac:dyDescent="0.25">
      <c r="A2588" s="27">
        <v>77098818</v>
      </c>
      <c r="B2588" s="28" t="s">
        <v>11663</v>
      </c>
    </row>
    <row r="2589" spans="1:2" x14ac:dyDescent="0.25">
      <c r="A2589" s="27" t="s">
        <v>13584</v>
      </c>
      <c r="B2589" s="28"/>
    </row>
    <row r="2590" spans="1:2" x14ac:dyDescent="0.25">
      <c r="A2590" s="27">
        <v>7709890</v>
      </c>
      <c r="B2590" s="28" t="s">
        <v>11681</v>
      </c>
    </row>
    <row r="2591" spans="1:2" x14ac:dyDescent="0.25">
      <c r="A2591" s="27">
        <v>7709891</v>
      </c>
      <c r="B2591" s="28" t="s">
        <v>11682</v>
      </c>
    </row>
    <row r="2592" spans="1:2" x14ac:dyDescent="0.25">
      <c r="A2592" s="27">
        <v>7709892</v>
      </c>
      <c r="B2592" s="28" t="s">
        <v>9423</v>
      </c>
    </row>
    <row r="2593" spans="1:2" x14ac:dyDescent="0.25">
      <c r="A2593" s="27">
        <v>7709900</v>
      </c>
      <c r="B2593" s="28" t="s">
        <v>11683</v>
      </c>
    </row>
    <row r="2594" spans="1:2" x14ac:dyDescent="0.25">
      <c r="A2594" s="27">
        <v>7709901</v>
      </c>
      <c r="B2594" s="28" t="s">
        <v>11684</v>
      </c>
    </row>
    <row r="2595" spans="1:2" x14ac:dyDescent="0.25">
      <c r="A2595" s="27">
        <v>7709902</v>
      </c>
      <c r="B2595" s="28" t="s">
        <v>9563</v>
      </c>
    </row>
    <row r="2596" spans="1:2" x14ac:dyDescent="0.25">
      <c r="A2596" s="27">
        <v>7709903</v>
      </c>
      <c r="B2596" s="28" t="s">
        <v>9569</v>
      </c>
    </row>
    <row r="2597" spans="1:2" x14ac:dyDescent="0.25">
      <c r="A2597" s="27">
        <v>7709904</v>
      </c>
      <c r="B2597" s="28" t="s">
        <v>9545</v>
      </c>
    </row>
    <row r="2598" spans="1:2" x14ac:dyDescent="0.25">
      <c r="A2598" s="27">
        <v>7709909</v>
      </c>
      <c r="B2598" s="28" t="s">
        <v>11685</v>
      </c>
    </row>
    <row r="2599" spans="1:2" x14ac:dyDescent="0.25">
      <c r="A2599" s="27">
        <v>7709943</v>
      </c>
      <c r="B2599" s="28" t="s">
        <v>9493</v>
      </c>
    </row>
    <row r="2600" spans="1:2" x14ac:dyDescent="0.25">
      <c r="A2600" s="27">
        <v>7709955</v>
      </c>
      <c r="B2600" s="28" t="s">
        <v>11686</v>
      </c>
    </row>
    <row r="2601" spans="1:2" x14ac:dyDescent="0.25">
      <c r="A2601" s="27">
        <v>7709956</v>
      </c>
      <c r="B2601" s="28" t="s">
        <v>9535</v>
      </c>
    </row>
    <row r="2602" spans="1:2" x14ac:dyDescent="0.25">
      <c r="A2602" s="27">
        <v>7709998</v>
      </c>
      <c r="B2602" s="28" t="s">
        <v>11687</v>
      </c>
    </row>
    <row r="2603" spans="1:2" x14ac:dyDescent="0.25">
      <c r="A2603" s="27" t="s">
        <v>13585</v>
      </c>
      <c r="B2603" s="28"/>
    </row>
    <row r="2604" spans="1:2" x14ac:dyDescent="0.25">
      <c r="A2604" s="27">
        <v>7709999</v>
      </c>
      <c r="B2604" s="28" t="s">
        <v>9573</v>
      </c>
    </row>
    <row r="2605" spans="1:2" x14ac:dyDescent="0.25">
      <c r="A2605" s="27">
        <v>7710000</v>
      </c>
      <c r="B2605" s="28" t="s">
        <v>13586</v>
      </c>
    </row>
    <row r="2606" spans="1:2" x14ac:dyDescent="0.25">
      <c r="A2606" s="27">
        <v>7710001</v>
      </c>
      <c r="B2606" s="28" t="s">
        <v>9595</v>
      </c>
    </row>
    <row r="2607" spans="1:2" x14ac:dyDescent="0.25">
      <c r="A2607" s="27">
        <v>7710002</v>
      </c>
      <c r="B2607" s="28" t="s">
        <v>9598</v>
      </c>
    </row>
    <row r="2608" spans="1:2" x14ac:dyDescent="0.25">
      <c r="A2608" s="27">
        <v>7710003</v>
      </c>
      <c r="B2608" s="28" t="s">
        <v>9601</v>
      </c>
    </row>
    <row r="2609" spans="1:2" x14ac:dyDescent="0.25">
      <c r="A2609" s="27">
        <v>7710004</v>
      </c>
      <c r="B2609" s="28" t="s">
        <v>9594</v>
      </c>
    </row>
    <row r="2610" spans="1:2" x14ac:dyDescent="0.25">
      <c r="A2610" s="27">
        <v>7710005</v>
      </c>
      <c r="B2610" s="28" t="s">
        <v>9599</v>
      </c>
    </row>
    <row r="2611" spans="1:2" x14ac:dyDescent="0.25">
      <c r="A2611" s="27">
        <v>7710006</v>
      </c>
      <c r="B2611" s="28" t="s">
        <v>9600</v>
      </c>
    </row>
    <row r="2612" spans="1:2" x14ac:dyDescent="0.25">
      <c r="A2612" s="27">
        <v>7710007</v>
      </c>
      <c r="B2612" s="28" t="s">
        <v>9603</v>
      </c>
    </row>
    <row r="2613" spans="1:2" x14ac:dyDescent="0.25">
      <c r="A2613" s="27">
        <v>7710008</v>
      </c>
      <c r="B2613" s="28" t="s">
        <v>9605</v>
      </c>
    </row>
    <row r="2614" spans="1:2" x14ac:dyDescent="0.25">
      <c r="A2614" s="27">
        <v>7710009</v>
      </c>
      <c r="B2614" s="28" t="s">
        <v>9606</v>
      </c>
    </row>
    <row r="2615" spans="1:2" x14ac:dyDescent="0.25">
      <c r="A2615" s="27">
        <v>7710010</v>
      </c>
      <c r="B2615" s="28" t="s">
        <v>11688</v>
      </c>
    </row>
    <row r="2616" spans="1:2" x14ac:dyDescent="0.25">
      <c r="A2616" s="27">
        <v>7710011</v>
      </c>
      <c r="B2616" s="28" t="s">
        <v>13587</v>
      </c>
    </row>
    <row r="2617" spans="1:2" x14ac:dyDescent="0.25">
      <c r="A2617" s="27">
        <v>7710012</v>
      </c>
      <c r="B2617" s="28" t="s">
        <v>13588</v>
      </c>
    </row>
    <row r="2618" spans="1:2" x14ac:dyDescent="0.25">
      <c r="A2618" s="27">
        <v>7710013</v>
      </c>
      <c r="B2618" s="28" t="s">
        <v>13589</v>
      </c>
    </row>
    <row r="2619" spans="1:2" x14ac:dyDescent="0.25">
      <c r="A2619" s="27">
        <v>7710020</v>
      </c>
      <c r="B2619" s="28" t="s">
        <v>9604</v>
      </c>
    </row>
    <row r="2620" spans="1:2" x14ac:dyDescent="0.25">
      <c r="A2620" s="27">
        <v>7710021</v>
      </c>
      <c r="B2620" s="28" t="s">
        <v>11689</v>
      </c>
    </row>
    <row r="2621" spans="1:2" x14ac:dyDescent="0.25">
      <c r="A2621" s="27">
        <v>7710022</v>
      </c>
      <c r="B2621" s="28" t="s">
        <v>11690</v>
      </c>
    </row>
    <row r="2622" spans="1:2" x14ac:dyDescent="0.25">
      <c r="A2622" s="27">
        <v>7710023</v>
      </c>
      <c r="B2622" s="28" t="s">
        <v>12456</v>
      </c>
    </row>
    <row r="2623" spans="1:2" x14ac:dyDescent="0.25">
      <c r="A2623" s="27">
        <v>7710030</v>
      </c>
      <c r="B2623" s="28" t="s">
        <v>8419</v>
      </c>
    </row>
    <row r="2624" spans="1:2" x14ac:dyDescent="0.25">
      <c r="A2624" s="27">
        <v>7710031</v>
      </c>
      <c r="B2624" s="25" t="s">
        <v>8418</v>
      </c>
    </row>
    <row r="2625" spans="1:2" x14ac:dyDescent="0.25">
      <c r="A2625" s="27">
        <v>7710032</v>
      </c>
      <c r="B2625" s="28" t="s">
        <v>8420</v>
      </c>
    </row>
    <row r="2626" spans="1:2" x14ac:dyDescent="0.25">
      <c r="A2626" s="27">
        <v>7710033</v>
      </c>
      <c r="B2626" s="28" t="s">
        <v>8421</v>
      </c>
    </row>
    <row r="2627" spans="1:2" x14ac:dyDescent="0.25">
      <c r="A2627" s="27">
        <v>7710034</v>
      </c>
      <c r="B2627" s="28" t="s">
        <v>13590</v>
      </c>
    </row>
    <row r="2628" spans="1:2" x14ac:dyDescent="0.25">
      <c r="A2628" s="27">
        <v>7710040</v>
      </c>
      <c r="B2628" s="28" t="s">
        <v>11691</v>
      </c>
    </row>
    <row r="2629" spans="1:2" x14ac:dyDescent="0.25">
      <c r="A2629" s="27">
        <v>7710041</v>
      </c>
      <c r="B2629" s="28" t="s">
        <v>11692</v>
      </c>
    </row>
    <row r="2630" spans="1:2" x14ac:dyDescent="0.25">
      <c r="A2630" s="27">
        <v>7710042</v>
      </c>
      <c r="B2630" s="28" t="s">
        <v>11693</v>
      </c>
    </row>
    <row r="2631" spans="1:2" x14ac:dyDescent="0.25">
      <c r="A2631" s="27">
        <v>7710043</v>
      </c>
      <c r="B2631" s="28" t="s">
        <v>11694</v>
      </c>
    </row>
    <row r="2632" spans="1:2" x14ac:dyDescent="0.25">
      <c r="A2632" s="27">
        <v>7710044</v>
      </c>
      <c r="B2632" s="28" t="s">
        <v>11695</v>
      </c>
    </row>
    <row r="2633" spans="1:2" x14ac:dyDescent="0.25">
      <c r="A2633" s="27">
        <v>7710045</v>
      </c>
      <c r="B2633" s="28" t="s">
        <v>11696</v>
      </c>
    </row>
    <row r="2634" spans="1:2" x14ac:dyDescent="0.25">
      <c r="A2634" s="27">
        <v>7710046</v>
      </c>
      <c r="B2634" s="28" t="s">
        <v>11697</v>
      </c>
    </row>
    <row r="2635" spans="1:2" x14ac:dyDescent="0.25">
      <c r="A2635" s="27">
        <v>7710047</v>
      </c>
      <c r="B2635" s="28" t="s">
        <v>11698</v>
      </c>
    </row>
    <row r="2636" spans="1:2" x14ac:dyDescent="0.25">
      <c r="A2636" s="27">
        <v>7710048</v>
      </c>
      <c r="B2636" s="28" t="s">
        <v>11699</v>
      </c>
    </row>
    <row r="2637" spans="1:2" x14ac:dyDescent="0.25">
      <c r="A2637" s="27">
        <v>7710049</v>
      </c>
      <c r="B2637" s="28" t="s">
        <v>11700</v>
      </c>
    </row>
    <row r="2638" spans="1:2" x14ac:dyDescent="0.25">
      <c r="A2638" s="27">
        <v>7710221</v>
      </c>
      <c r="B2638" s="28" t="s">
        <v>9602</v>
      </c>
    </row>
    <row r="2639" spans="1:2" x14ac:dyDescent="0.25">
      <c r="A2639" s="27">
        <v>7710230</v>
      </c>
      <c r="B2639" s="28" t="s">
        <v>9596</v>
      </c>
    </row>
    <row r="2640" spans="1:2" x14ac:dyDescent="0.25">
      <c r="A2640" s="27">
        <v>7710231</v>
      </c>
      <c r="B2640" s="28" t="s">
        <v>9597</v>
      </c>
    </row>
    <row r="2641" spans="1:2" x14ac:dyDescent="0.25">
      <c r="A2641" s="27">
        <v>7711003</v>
      </c>
      <c r="B2641" s="28" t="s">
        <v>10862</v>
      </c>
    </row>
    <row r="2642" spans="1:2" x14ac:dyDescent="0.25">
      <c r="A2642" s="27">
        <v>7711004</v>
      </c>
      <c r="B2642" s="28" t="s">
        <v>12347</v>
      </c>
    </row>
    <row r="2643" spans="1:2" x14ac:dyDescent="0.25">
      <c r="A2643" s="27">
        <v>7711034</v>
      </c>
      <c r="B2643" s="28" t="s">
        <v>9626</v>
      </c>
    </row>
    <row r="2644" spans="1:2" x14ac:dyDescent="0.25">
      <c r="A2644" s="27">
        <v>7711068</v>
      </c>
      <c r="B2644" s="28" t="s">
        <v>11701</v>
      </c>
    </row>
    <row r="2645" spans="1:2" x14ac:dyDescent="0.25">
      <c r="A2645" s="27">
        <v>7711069</v>
      </c>
      <c r="B2645" s="28" t="s">
        <v>8408</v>
      </c>
    </row>
    <row r="2646" spans="1:2" x14ac:dyDescent="0.25">
      <c r="A2646" s="27">
        <v>7711070</v>
      </c>
      <c r="B2646" s="28" t="s">
        <v>8409</v>
      </c>
    </row>
    <row r="2647" spans="1:2" x14ac:dyDescent="0.25">
      <c r="A2647" s="27">
        <v>7711091</v>
      </c>
      <c r="B2647" s="28" t="s">
        <v>9577</v>
      </c>
    </row>
    <row r="2648" spans="1:2" x14ac:dyDescent="0.25">
      <c r="A2648" s="27">
        <v>7711100</v>
      </c>
      <c r="B2648" s="28" t="s">
        <v>9532</v>
      </c>
    </row>
    <row r="2649" spans="1:2" x14ac:dyDescent="0.25">
      <c r="A2649" s="27">
        <v>7711136</v>
      </c>
      <c r="B2649" s="28" t="s">
        <v>11702</v>
      </c>
    </row>
    <row r="2650" spans="1:2" x14ac:dyDescent="0.25">
      <c r="A2650" s="27">
        <v>7711137</v>
      </c>
      <c r="B2650" s="28" t="s">
        <v>11703</v>
      </c>
    </row>
    <row r="2651" spans="1:2" x14ac:dyDescent="0.25">
      <c r="A2651" s="27">
        <v>7711138</v>
      </c>
      <c r="B2651" s="28" t="s">
        <v>11704</v>
      </c>
    </row>
    <row r="2652" spans="1:2" x14ac:dyDescent="0.25">
      <c r="A2652" s="27">
        <v>7711139</v>
      </c>
      <c r="B2652" s="28" t="s">
        <v>8407</v>
      </c>
    </row>
    <row r="2653" spans="1:2" x14ac:dyDescent="0.25">
      <c r="A2653" s="27">
        <v>7711141</v>
      </c>
      <c r="B2653" s="28" t="s">
        <v>11705</v>
      </c>
    </row>
    <row r="2654" spans="1:2" x14ac:dyDescent="0.25">
      <c r="A2654" s="27">
        <v>7711205</v>
      </c>
      <c r="B2654" s="28" t="s">
        <v>11706</v>
      </c>
    </row>
    <row r="2655" spans="1:2" x14ac:dyDescent="0.25">
      <c r="A2655" s="27">
        <v>7711213</v>
      </c>
      <c r="B2655" s="28" t="s">
        <v>8422</v>
      </c>
    </row>
    <row r="2656" spans="1:2" x14ac:dyDescent="0.25">
      <c r="A2656" s="27">
        <v>7711214</v>
      </c>
      <c r="B2656" s="28" t="s">
        <v>11707</v>
      </c>
    </row>
    <row r="2657" spans="1:2" x14ac:dyDescent="0.25">
      <c r="A2657" s="27">
        <v>7711222</v>
      </c>
      <c r="B2657" s="28" t="s">
        <v>11708</v>
      </c>
    </row>
    <row r="2658" spans="1:2" x14ac:dyDescent="0.25">
      <c r="A2658" s="27">
        <v>7711300</v>
      </c>
      <c r="B2658" s="28" t="s">
        <v>8417</v>
      </c>
    </row>
    <row r="2659" spans="1:2" x14ac:dyDescent="0.25">
      <c r="A2659" s="27">
        <v>7711413</v>
      </c>
      <c r="B2659" s="25" t="s">
        <v>11709</v>
      </c>
    </row>
    <row r="2660" spans="1:2" x14ac:dyDescent="0.25">
      <c r="A2660" s="27">
        <v>7711503</v>
      </c>
      <c r="B2660" s="28" t="s">
        <v>8834</v>
      </c>
    </row>
    <row r="2661" spans="1:2" x14ac:dyDescent="0.25">
      <c r="A2661" s="27">
        <v>7711676</v>
      </c>
      <c r="B2661" s="28" t="s">
        <v>10839</v>
      </c>
    </row>
    <row r="2662" spans="1:2" x14ac:dyDescent="0.25">
      <c r="A2662" s="27">
        <v>779999</v>
      </c>
      <c r="B2662" s="28" t="s">
        <v>13591</v>
      </c>
    </row>
    <row r="2663" spans="1:2" x14ac:dyDescent="0.25">
      <c r="A2663" s="27">
        <v>7800000</v>
      </c>
      <c r="B2663" s="28" t="s">
        <v>8851</v>
      </c>
    </row>
    <row r="2664" spans="1:2" x14ac:dyDescent="0.25">
      <c r="A2664" s="27">
        <v>7800001</v>
      </c>
      <c r="B2664" s="28" t="s">
        <v>12457</v>
      </c>
    </row>
    <row r="2665" spans="1:2" x14ac:dyDescent="0.25">
      <c r="A2665" s="27">
        <v>7800002</v>
      </c>
      <c r="B2665" s="28" t="s">
        <v>12458</v>
      </c>
    </row>
    <row r="2666" spans="1:2" x14ac:dyDescent="0.25">
      <c r="A2666" s="27">
        <v>7800003</v>
      </c>
      <c r="B2666" s="28" t="s">
        <v>12459</v>
      </c>
    </row>
    <row r="2667" spans="1:2" x14ac:dyDescent="0.25">
      <c r="A2667" s="27">
        <v>8203124</v>
      </c>
      <c r="B2667" s="28" t="s">
        <v>9195</v>
      </c>
    </row>
    <row r="2668" spans="1:2" x14ac:dyDescent="0.25">
      <c r="A2668" s="27">
        <v>8203265</v>
      </c>
      <c r="B2668" s="28" t="s">
        <v>10903</v>
      </c>
    </row>
    <row r="2669" spans="1:2" x14ac:dyDescent="0.25">
      <c r="A2669" s="27">
        <v>8203267</v>
      </c>
      <c r="B2669" s="28" t="s">
        <v>11710</v>
      </c>
    </row>
    <row r="2670" spans="1:2" x14ac:dyDescent="0.25">
      <c r="A2670" s="27">
        <v>8203268</v>
      </c>
      <c r="B2670" s="28" t="s">
        <v>11711</v>
      </c>
    </row>
    <row r="2671" spans="1:2" x14ac:dyDescent="0.25">
      <c r="A2671" s="27">
        <v>8203830</v>
      </c>
      <c r="B2671" s="28" t="s">
        <v>10904</v>
      </c>
    </row>
    <row r="2672" spans="1:2" x14ac:dyDescent="0.25">
      <c r="A2672" s="27">
        <v>8203835</v>
      </c>
      <c r="B2672" s="28" t="s">
        <v>11712</v>
      </c>
    </row>
    <row r="2673" spans="1:2" x14ac:dyDescent="0.25">
      <c r="A2673" s="27">
        <v>8205006</v>
      </c>
      <c r="B2673" s="28" t="s">
        <v>12348</v>
      </c>
    </row>
    <row r="2674" spans="1:2" x14ac:dyDescent="0.25">
      <c r="A2674" s="27">
        <v>8205010</v>
      </c>
      <c r="B2674" s="28" t="s">
        <v>8831</v>
      </c>
    </row>
    <row r="2675" spans="1:2" x14ac:dyDescent="0.25">
      <c r="A2675" s="27">
        <v>8205011</v>
      </c>
      <c r="B2675" s="28" t="s">
        <v>11713</v>
      </c>
    </row>
    <row r="2676" spans="1:2" x14ac:dyDescent="0.25">
      <c r="A2676" s="27">
        <v>8205016</v>
      </c>
      <c r="B2676" s="28" t="s">
        <v>8829</v>
      </c>
    </row>
    <row r="2677" spans="1:2" x14ac:dyDescent="0.25">
      <c r="A2677" s="27">
        <v>8205018</v>
      </c>
      <c r="B2677" s="28" t="s">
        <v>8830</v>
      </c>
    </row>
    <row r="2678" spans="1:2" x14ac:dyDescent="0.25">
      <c r="A2678" s="27">
        <v>8205020</v>
      </c>
      <c r="B2678" s="28" t="s">
        <v>8832</v>
      </c>
    </row>
    <row r="2679" spans="1:2" x14ac:dyDescent="0.25">
      <c r="A2679" s="27">
        <v>8205021</v>
      </c>
      <c r="B2679" s="28" t="s">
        <v>11714</v>
      </c>
    </row>
    <row r="2680" spans="1:2" x14ac:dyDescent="0.25">
      <c r="A2680" s="27">
        <v>8205030</v>
      </c>
      <c r="B2680" s="28" t="s">
        <v>11715</v>
      </c>
    </row>
    <row r="2681" spans="1:2" x14ac:dyDescent="0.25">
      <c r="A2681" s="27">
        <v>8205037</v>
      </c>
      <c r="B2681" s="28" t="s">
        <v>12349</v>
      </c>
    </row>
    <row r="2682" spans="1:2" x14ac:dyDescent="0.25">
      <c r="A2682" s="27">
        <v>8205038</v>
      </c>
      <c r="B2682" s="28" t="s">
        <v>12350</v>
      </c>
    </row>
    <row r="2683" spans="1:2" x14ac:dyDescent="0.25">
      <c r="A2683" s="27">
        <v>8205040</v>
      </c>
      <c r="B2683" s="28" t="s">
        <v>8827</v>
      </c>
    </row>
    <row r="2684" spans="1:2" x14ac:dyDescent="0.25">
      <c r="A2684" s="27">
        <v>8205041</v>
      </c>
      <c r="B2684" s="28" t="s">
        <v>8817</v>
      </c>
    </row>
    <row r="2685" spans="1:2" x14ac:dyDescent="0.25">
      <c r="A2685" s="27">
        <v>8205042</v>
      </c>
      <c r="B2685" s="28" t="s">
        <v>11716</v>
      </c>
    </row>
    <row r="2686" spans="1:2" x14ac:dyDescent="0.25">
      <c r="A2686" s="27" t="s">
        <v>13592</v>
      </c>
      <c r="B2686" s="28"/>
    </row>
    <row r="2687" spans="1:2" x14ac:dyDescent="0.25">
      <c r="A2687" s="27">
        <v>8205044</v>
      </c>
      <c r="B2687" s="28" t="s">
        <v>11717</v>
      </c>
    </row>
    <row r="2688" spans="1:2" x14ac:dyDescent="0.25">
      <c r="A2688" s="27">
        <v>8205050</v>
      </c>
      <c r="B2688" s="28" t="s">
        <v>8809</v>
      </c>
    </row>
    <row r="2689" spans="1:2" x14ac:dyDescent="0.25">
      <c r="A2689" s="27">
        <v>8205051</v>
      </c>
      <c r="B2689" s="28" t="s">
        <v>8808</v>
      </c>
    </row>
    <row r="2690" spans="1:2" x14ac:dyDescent="0.25">
      <c r="A2690" s="27">
        <v>8205060</v>
      </c>
      <c r="B2690" s="28" t="s">
        <v>8828</v>
      </c>
    </row>
    <row r="2691" spans="1:2" x14ac:dyDescent="0.25">
      <c r="A2691" s="27">
        <v>8205061</v>
      </c>
      <c r="B2691" s="28" t="s">
        <v>11718</v>
      </c>
    </row>
    <row r="2692" spans="1:2" x14ac:dyDescent="0.25">
      <c r="A2692" s="27">
        <v>8205078</v>
      </c>
      <c r="B2692" s="28" t="s">
        <v>8811</v>
      </c>
    </row>
    <row r="2693" spans="1:2" x14ac:dyDescent="0.25">
      <c r="A2693" s="27">
        <v>8205079</v>
      </c>
      <c r="B2693" s="28" t="s">
        <v>11719</v>
      </c>
    </row>
    <row r="2694" spans="1:2" x14ac:dyDescent="0.25">
      <c r="A2694" s="27">
        <v>8205080</v>
      </c>
      <c r="B2694" s="28" t="s">
        <v>8804</v>
      </c>
    </row>
    <row r="2695" spans="1:2" x14ac:dyDescent="0.25">
      <c r="A2695" s="27">
        <v>8205090</v>
      </c>
      <c r="B2695" s="28" t="s">
        <v>8818</v>
      </c>
    </row>
    <row r="2696" spans="1:2" x14ac:dyDescent="0.25">
      <c r="A2696" s="27">
        <v>8205115</v>
      </c>
      <c r="B2696" s="28" t="s">
        <v>8815</v>
      </c>
    </row>
    <row r="2697" spans="1:2" x14ac:dyDescent="0.25">
      <c r="A2697" s="27">
        <v>8205116</v>
      </c>
      <c r="B2697" s="28" t="s">
        <v>8816</v>
      </c>
    </row>
    <row r="2698" spans="1:2" x14ac:dyDescent="0.25">
      <c r="A2698" s="27">
        <v>8205117</v>
      </c>
      <c r="B2698" s="28" t="s">
        <v>8810</v>
      </c>
    </row>
    <row r="2699" spans="1:2" x14ac:dyDescent="0.25">
      <c r="A2699" s="27">
        <v>8205118</v>
      </c>
      <c r="B2699" s="28" t="s">
        <v>8806</v>
      </c>
    </row>
    <row r="2700" spans="1:2" x14ac:dyDescent="0.25">
      <c r="A2700" s="27">
        <v>8205119</v>
      </c>
      <c r="B2700" s="28" t="s">
        <v>8807</v>
      </c>
    </row>
    <row r="2701" spans="1:2" x14ac:dyDescent="0.25">
      <c r="A2701" s="27">
        <v>8205120</v>
      </c>
      <c r="B2701" s="28" t="s">
        <v>8819</v>
      </c>
    </row>
    <row r="2702" spans="1:2" x14ac:dyDescent="0.25">
      <c r="A2702" s="27">
        <v>8205150</v>
      </c>
      <c r="B2702" s="28" t="s">
        <v>8803</v>
      </c>
    </row>
    <row r="2703" spans="1:2" x14ac:dyDescent="0.25">
      <c r="A2703" s="27">
        <v>8205200</v>
      </c>
      <c r="B2703" s="28" t="s">
        <v>13593</v>
      </c>
    </row>
    <row r="2704" spans="1:2" x14ac:dyDescent="0.25">
      <c r="A2704" s="27">
        <v>8205210</v>
      </c>
      <c r="B2704" s="28" t="s">
        <v>13594</v>
      </c>
    </row>
    <row r="2705" spans="1:2" x14ac:dyDescent="0.25">
      <c r="A2705" s="27">
        <v>8205450</v>
      </c>
      <c r="B2705" s="28" t="s">
        <v>8814</v>
      </c>
    </row>
    <row r="2706" spans="1:2" x14ac:dyDescent="0.25">
      <c r="A2706" s="27">
        <v>8205456</v>
      </c>
      <c r="B2706" s="28" t="s">
        <v>11720</v>
      </c>
    </row>
    <row r="2707" spans="1:2" x14ac:dyDescent="0.25">
      <c r="A2707" s="27">
        <v>8205600</v>
      </c>
      <c r="B2707" s="28" t="s">
        <v>12351</v>
      </c>
    </row>
    <row r="2708" spans="1:2" x14ac:dyDescent="0.25">
      <c r="A2708" s="27">
        <v>8205800</v>
      </c>
      <c r="B2708" s="28" t="s">
        <v>8812</v>
      </c>
    </row>
    <row r="2709" spans="1:2" x14ac:dyDescent="0.25">
      <c r="A2709" s="27">
        <v>8205801</v>
      </c>
      <c r="B2709" s="28" t="s">
        <v>8813</v>
      </c>
    </row>
    <row r="2710" spans="1:2" x14ac:dyDescent="0.25">
      <c r="A2710" s="27">
        <v>8205818</v>
      </c>
      <c r="B2710" s="28" t="s">
        <v>12460</v>
      </c>
    </row>
    <row r="2711" spans="1:2" x14ac:dyDescent="0.25">
      <c r="A2711" s="27">
        <v>8205881</v>
      </c>
      <c r="B2711" s="28" t="s">
        <v>8805</v>
      </c>
    </row>
    <row r="2712" spans="1:2" x14ac:dyDescent="0.25">
      <c r="A2712" s="27">
        <v>8205989</v>
      </c>
      <c r="B2712" s="28" t="s">
        <v>11721</v>
      </c>
    </row>
    <row r="2713" spans="1:2" x14ac:dyDescent="0.25">
      <c r="A2713" s="27">
        <v>8251025</v>
      </c>
      <c r="B2713" s="28" t="s">
        <v>8472</v>
      </c>
    </row>
    <row r="2714" spans="1:2" x14ac:dyDescent="0.25">
      <c r="A2714" s="27">
        <v>8300777</v>
      </c>
      <c r="B2714" s="28" t="s">
        <v>8855</v>
      </c>
    </row>
    <row r="2715" spans="1:2" x14ac:dyDescent="0.25">
      <c r="A2715" s="27">
        <v>8301000</v>
      </c>
      <c r="B2715" s="28" t="s">
        <v>8480</v>
      </c>
    </row>
    <row r="2716" spans="1:2" x14ac:dyDescent="0.25">
      <c r="A2716" s="27">
        <v>8301008</v>
      </c>
      <c r="B2716" s="28" t="s">
        <v>8481</v>
      </c>
    </row>
    <row r="2717" spans="1:2" x14ac:dyDescent="0.25">
      <c r="A2717" s="27">
        <v>8301300</v>
      </c>
      <c r="B2717" s="28" t="s">
        <v>11722</v>
      </c>
    </row>
    <row r="2718" spans="1:2" x14ac:dyDescent="0.25">
      <c r="A2718" s="27">
        <v>8301301</v>
      </c>
      <c r="B2718" s="28" t="s">
        <v>8476</v>
      </c>
    </row>
    <row r="2719" spans="1:2" x14ac:dyDescent="0.25">
      <c r="A2719" s="27">
        <v>8301310</v>
      </c>
      <c r="B2719" s="28" t="s">
        <v>11723</v>
      </c>
    </row>
    <row r="2720" spans="1:2" x14ac:dyDescent="0.25">
      <c r="A2720" s="27">
        <v>8301311</v>
      </c>
      <c r="B2720" s="28" t="s">
        <v>8475</v>
      </c>
    </row>
    <row r="2721" spans="1:2" x14ac:dyDescent="0.25">
      <c r="A2721" s="27">
        <v>8301312</v>
      </c>
      <c r="B2721" s="28" t="s">
        <v>8478</v>
      </c>
    </row>
    <row r="2722" spans="1:2" x14ac:dyDescent="0.25">
      <c r="A2722" s="27">
        <v>8301313</v>
      </c>
      <c r="B2722" s="28" t="s">
        <v>11724</v>
      </c>
    </row>
    <row r="2723" spans="1:2" x14ac:dyDescent="0.25">
      <c r="A2723" s="27">
        <v>8301350</v>
      </c>
      <c r="B2723" s="28" t="s">
        <v>8483</v>
      </c>
    </row>
    <row r="2724" spans="1:2" x14ac:dyDescent="0.25">
      <c r="A2724" s="27">
        <v>8301495</v>
      </c>
      <c r="B2724" s="28" t="s">
        <v>8484</v>
      </c>
    </row>
    <row r="2725" spans="1:2" x14ac:dyDescent="0.25">
      <c r="A2725" s="27">
        <v>8301558</v>
      </c>
      <c r="B2725" s="28" t="s">
        <v>8477</v>
      </c>
    </row>
    <row r="2726" spans="1:2" x14ac:dyDescent="0.25">
      <c r="A2726" s="27">
        <v>8301700</v>
      </c>
      <c r="B2726" s="28" t="s">
        <v>8485</v>
      </c>
    </row>
    <row r="2727" spans="1:2" x14ac:dyDescent="0.25">
      <c r="A2727" s="27">
        <v>8301805</v>
      </c>
      <c r="B2727" s="28" t="s">
        <v>8482</v>
      </c>
    </row>
    <row r="2728" spans="1:2" x14ac:dyDescent="0.25">
      <c r="A2728" s="27">
        <v>8301900</v>
      </c>
      <c r="B2728" s="28" t="s">
        <v>8479</v>
      </c>
    </row>
    <row r="2729" spans="1:2" x14ac:dyDescent="0.25">
      <c r="A2729" s="27">
        <v>8301901</v>
      </c>
      <c r="B2729" s="28" t="s">
        <v>11725</v>
      </c>
    </row>
    <row r="2730" spans="1:2" x14ac:dyDescent="0.25">
      <c r="A2730" s="27">
        <v>8302001</v>
      </c>
      <c r="B2730" s="28" t="s">
        <v>11726</v>
      </c>
    </row>
    <row r="2731" spans="1:2" x14ac:dyDescent="0.25">
      <c r="A2731" s="27">
        <v>8303000</v>
      </c>
      <c r="B2731" s="28" t="s">
        <v>11727</v>
      </c>
    </row>
    <row r="2732" spans="1:2" x14ac:dyDescent="0.25">
      <c r="A2732" s="27">
        <v>8303001</v>
      </c>
      <c r="B2732" s="28" t="s">
        <v>9190</v>
      </c>
    </row>
    <row r="2733" spans="1:2" x14ac:dyDescent="0.25">
      <c r="A2733" s="27">
        <v>8303002</v>
      </c>
      <c r="B2733" s="28" t="s">
        <v>9193</v>
      </c>
    </row>
    <row r="2734" spans="1:2" x14ac:dyDescent="0.25">
      <c r="A2734" s="27">
        <v>8303003</v>
      </c>
      <c r="B2734" s="28" t="s">
        <v>9180</v>
      </c>
    </row>
    <row r="2735" spans="1:2" x14ac:dyDescent="0.25">
      <c r="A2735" s="27">
        <v>8303004</v>
      </c>
      <c r="B2735" s="28" t="s">
        <v>9182</v>
      </c>
    </row>
    <row r="2736" spans="1:2" x14ac:dyDescent="0.25">
      <c r="A2736" s="27">
        <v>8303005</v>
      </c>
      <c r="B2736" s="28" t="s">
        <v>9165</v>
      </c>
    </row>
    <row r="2737" spans="1:2" x14ac:dyDescent="0.25">
      <c r="A2737" s="27">
        <v>8303006</v>
      </c>
      <c r="B2737" s="28" t="s">
        <v>9170</v>
      </c>
    </row>
    <row r="2738" spans="1:2" x14ac:dyDescent="0.25">
      <c r="A2738" s="27">
        <v>8303007</v>
      </c>
      <c r="B2738" s="28" t="s">
        <v>9194</v>
      </c>
    </row>
    <row r="2739" spans="1:2" x14ac:dyDescent="0.25">
      <c r="A2739" s="27">
        <v>8303008</v>
      </c>
      <c r="B2739" s="28" t="s">
        <v>9161</v>
      </c>
    </row>
    <row r="2740" spans="1:2" x14ac:dyDescent="0.25">
      <c r="A2740" s="27">
        <v>8303009</v>
      </c>
      <c r="B2740" s="28" t="s">
        <v>11728</v>
      </c>
    </row>
    <row r="2741" spans="1:2" x14ac:dyDescent="0.25">
      <c r="A2741" s="27">
        <v>8303010</v>
      </c>
      <c r="B2741" s="28" t="s">
        <v>9165</v>
      </c>
    </row>
    <row r="2742" spans="1:2" x14ac:dyDescent="0.25">
      <c r="A2742" s="27">
        <v>8303011</v>
      </c>
      <c r="B2742" s="28" t="s">
        <v>9167</v>
      </c>
    </row>
    <row r="2743" spans="1:2" x14ac:dyDescent="0.25">
      <c r="A2743" s="27">
        <v>8303012</v>
      </c>
      <c r="B2743" s="28" t="s">
        <v>11729</v>
      </c>
    </row>
    <row r="2744" spans="1:2" x14ac:dyDescent="0.25">
      <c r="A2744" s="27">
        <v>8303013</v>
      </c>
      <c r="B2744" s="28" t="s">
        <v>11730</v>
      </c>
    </row>
    <row r="2745" spans="1:2" x14ac:dyDescent="0.25">
      <c r="A2745" s="27">
        <v>8303014</v>
      </c>
      <c r="B2745" s="28" t="s">
        <v>12461</v>
      </c>
    </row>
    <row r="2746" spans="1:2" x14ac:dyDescent="0.25">
      <c r="A2746" s="27">
        <v>8303015</v>
      </c>
      <c r="B2746" s="28" t="s">
        <v>11731</v>
      </c>
    </row>
    <row r="2747" spans="1:2" x14ac:dyDescent="0.25">
      <c r="A2747" s="27">
        <v>8303016</v>
      </c>
      <c r="B2747" s="28" t="s">
        <v>11732</v>
      </c>
    </row>
    <row r="2748" spans="1:2" x14ac:dyDescent="0.25">
      <c r="A2748" s="27">
        <v>8303017</v>
      </c>
      <c r="B2748" s="28" t="s">
        <v>11733</v>
      </c>
    </row>
    <row r="2749" spans="1:2" x14ac:dyDescent="0.25">
      <c r="A2749" s="27">
        <v>8303018</v>
      </c>
      <c r="B2749" s="28" t="s">
        <v>11734</v>
      </c>
    </row>
    <row r="2750" spans="1:2" x14ac:dyDescent="0.25">
      <c r="A2750" s="27">
        <v>8303019</v>
      </c>
      <c r="B2750" s="28" t="s">
        <v>11735</v>
      </c>
    </row>
    <row r="2751" spans="1:2" x14ac:dyDescent="0.25">
      <c r="A2751" s="27">
        <v>8303020</v>
      </c>
      <c r="B2751" s="28" t="s">
        <v>9166</v>
      </c>
    </row>
    <row r="2752" spans="1:2" x14ac:dyDescent="0.25">
      <c r="A2752" s="27">
        <v>8303021</v>
      </c>
      <c r="B2752" s="28" t="s">
        <v>12462</v>
      </c>
    </row>
    <row r="2753" spans="1:2" x14ac:dyDescent="0.25">
      <c r="A2753" s="27">
        <v>8303022</v>
      </c>
      <c r="B2753" s="28" t="s">
        <v>12463</v>
      </c>
    </row>
    <row r="2754" spans="1:2" x14ac:dyDescent="0.25">
      <c r="A2754" s="27">
        <v>8303023</v>
      </c>
      <c r="B2754" s="28" t="s">
        <v>12464</v>
      </c>
    </row>
    <row r="2755" spans="1:2" x14ac:dyDescent="0.25">
      <c r="A2755" s="27">
        <v>8303032</v>
      </c>
      <c r="B2755" s="28" t="s">
        <v>11736</v>
      </c>
    </row>
    <row r="2756" spans="1:2" x14ac:dyDescent="0.25">
      <c r="A2756" s="27">
        <v>8303033</v>
      </c>
      <c r="B2756" s="28" t="s">
        <v>11737</v>
      </c>
    </row>
    <row r="2757" spans="1:2" x14ac:dyDescent="0.25">
      <c r="A2757" s="27">
        <v>8303110</v>
      </c>
      <c r="B2757" s="25" t="s">
        <v>9173</v>
      </c>
    </row>
    <row r="2758" spans="1:2" x14ac:dyDescent="0.25">
      <c r="A2758" s="27">
        <v>8303111</v>
      </c>
      <c r="B2758" s="28" t="s">
        <v>9172</v>
      </c>
    </row>
    <row r="2759" spans="1:2" x14ac:dyDescent="0.25">
      <c r="A2759" s="27">
        <v>8303112</v>
      </c>
      <c r="B2759" s="28" t="s">
        <v>9171</v>
      </c>
    </row>
    <row r="2760" spans="1:2" x14ac:dyDescent="0.25">
      <c r="A2760" s="27">
        <v>8303113</v>
      </c>
      <c r="B2760" s="28" t="s">
        <v>9186</v>
      </c>
    </row>
    <row r="2761" spans="1:2" x14ac:dyDescent="0.25">
      <c r="A2761" s="27">
        <v>8303114</v>
      </c>
      <c r="B2761" s="25" t="s">
        <v>9168</v>
      </c>
    </row>
    <row r="2762" spans="1:2" x14ac:dyDescent="0.25">
      <c r="A2762" s="27">
        <v>8303115</v>
      </c>
      <c r="B2762" s="25" t="s">
        <v>9164</v>
      </c>
    </row>
    <row r="2763" spans="1:2" x14ac:dyDescent="0.25">
      <c r="A2763" s="27">
        <v>8303116</v>
      </c>
      <c r="B2763" s="28" t="s">
        <v>12465</v>
      </c>
    </row>
    <row r="2764" spans="1:2" x14ac:dyDescent="0.25">
      <c r="A2764" s="27">
        <v>8303119</v>
      </c>
      <c r="B2764" s="28" t="s">
        <v>12466</v>
      </c>
    </row>
    <row r="2765" spans="1:2" x14ac:dyDescent="0.25">
      <c r="A2765" s="27">
        <v>8303120</v>
      </c>
      <c r="B2765" s="28" t="s">
        <v>9174</v>
      </c>
    </row>
    <row r="2766" spans="1:2" x14ac:dyDescent="0.25">
      <c r="A2766" s="27">
        <v>8303121</v>
      </c>
      <c r="B2766" s="28" t="s">
        <v>9177</v>
      </c>
    </row>
    <row r="2767" spans="1:2" x14ac:dyDescent="0.25">
      <c r="A2767" s="27">
        <v>8303123</v>
      </c>
      <c r="B2767" s="28" t="s">
        <v>9160</v>
      </c>
    </row>
    <row r="2768" spans="1:2" x14ac:dyDescent="0.25">
      <c r="A2768" s="27">
        <v>8303124</v>
      </c>
      <c r="B2768" s="28" t="s">
        <v>11738</v>
      </c>
    </row>
    <row r="2769" spans="1:2" x14ac:dyDescent="0.25">
      <c r="A2769" s="27">
        <v>8303125</v>
      </c>
      <c r="B2769" s="28" t="s">
        <v>9176</v>
      </c>
    </row>
    <row r="2770" spans="1:2" x14ac:dyDescent="0.25">
      <c r="A2770" s="27">
        <v>8303126</v>
      </c>
      <c r="B2770" s="28" t="s">
        <v>11739</v>
      </c>
    </row>
    <row r="2771" spans="1:2" x14ac:dyDescent="0.25">
      <c r="A2771" s="27">
        <v>8303127</v>
      </c>
      <c r="B2771" s="28" t="s">
        <v>9175</v>
      </c>
    </row>
    <row r="2772" spans="1:2" x14ac:dyDescent="0.25">
      <c r="A2772" s="27">
        <v>8303128</v>
      </c>
      <c r="B2772" s="28" t="s">
        <v>9184</v>
      </c>
    </row>
    <row r="2773" spans="1:2" x14ac:dyDescent="0.25">
      <c r="A2773" s="27">
        <v>8303129</v>
      </c>
      <c r="B2773" s="28" t="s">
        <v>9191</v>
      </c>
    </row>
    <row r="2774" spans="1:2" x14ac:dyDescent="0.25">
      <c r="A2774" s="27">
        <v>8303130</v>
      </c>
      <c r="B2774" s="28" t="s">
        <v>9179</v>
      </c>
    </row>
    <row r="2775" spans="1:2" x14ac:dyDescent="0.25">
      <c r="A2775" s="27">
        <v>8303131</v>
      </c>
      <c r="B2775" s="28" t="s">
        <v>11740</v>
      </c>
    </row>
    <row r="2776" spans="1:2" x14ac:dyDescent="0.25">
      <c r="A2776" s="27">
        <v>8303132</v>
      </c>
      <c r="B2776" s="25" t="s">
        <v>11741</v>
      </c>
    </row>
    <row r="2777" spans="1:2" x14ac:dyDescent="0.25">
      <c r="A2777" s="27">
        <v>8303133</v>
      </c>
      <c r="B2777" s="28" t="s">
        <v>11742</v>
      </c>
    </row>
    <row r="2778" spans="1:2" x14ac:dyDescent="0.25">
      <c r="A2778" s="27">
        <v>8303134</v>
      </c>
      <c r="B2778" s="28" t="s">
        <v>12467</v>
      </c>
    </row>
    <row r="2779" spans="1:2" x14ac:dyDescent="0.25">
      <c r="A2779" s="27">
        <v>8303135</v>
      </c>
      <c r="B2779" s="28" t="s">
        <v>12468</v>
      </c>
    </row>
    <row r="2780" spans="1:2" x14ac:dyDescent="0.25">
      <c r="A2780" s="27">
        <v>8303136</v>
      </c>
      <c r="B2780" s="28" t="s">
        <v>11743</v>
      </c>
    </row>
    <row r="2781" spans="1:2" x14ac:dyDescent="0.25">
      <c r="A2781" s="27">
        <v>8303222</v>
      </c>
      <c r="B2781" s="28" t="s">
        <v>13595</v>
      </c>
    </row>
    <row r="2782" spans="1:2" x14ac:dyDescent="0.25">
      <c r="A2782" s="27">
        <v>8303223</v>
      </c>
      <c r="B2782" s="28" t="s">
        <v>13596</v>
      </c>
    </row>
    <row r="2783" spans="1:2" x14ac:dyDescent="0.25">
      <c r="A2783" s="27">
        <v>8303297</v>
      </c>
      <c r="B2783" s="28" t="s">
        <v>10771</v>
      </c>
    </row>
    <row r="2784" spans="1:2" x14ac:dyDescent="0.25">
      <c r="A2784" s="27">
        <v>8303298</v>
      </c>
      <c r="B2784" s="28" t="s">
        <v>10773</v>
      </c>
    </row>
    <row r="2785" spans="1:2" x14ac:dyDescent="0.25">
      <c r="A2785" s="27">
        <v>8303299</v>
      </c>
      <c r="B2785" s="28" t="s">
        <v>10770</v>
      </c>
    </row>
    <row r="2786" spans="1:2" x14ac:dyDescent="0.25">
      <c r="A2786" s="27">
        <v>8303300</v>
      </c>
      <c r="B2786" s="28" t="s">
        <v>10774</v>
      </c>
    </row>
    <row r="2787" spans="1:2" x14ac:dyDescent="0.25">
      <c r="A2787" s="27">
        <v>8303356</v>
      </c>
      <c r="B2787" s="28" t="s">
        <v>11744</v>
      </c>
    </row>
    <row r="2788" spans="1:2" x14ac:dyDescent="0.25">
      <c r="A2788" s="27">
        <v>8303357</v>
      </c>
      <c r="B2788" s="28" t="s">
        <v>9193</v>
      </c>
    </row>
    <row r="2789" spans="1:2" x14ac:dyDescent="0.25">
      <c r="A2789" s="27">
        <v>8303358</v>
      </c>
      <c r="B2789" s="28" t="s">
        <v>11745</v>
      </c>
    </row>
    <row r="2790" spans="1:2" x14ac:dyDescent="0.25">
      <c r="A2790" s="27">
        <v>8303360</v>
      </c>
      <c r="B2790" s="28" t="s">
        <v>12352</v>
      </c>
    </row>
    <row r="2791" spans="1:2" x14ac:dyDescent="0.25">
      <c r="A2791" s="27">
        <v>8303442</v>
      </c>
      <c r="B2791" s="28" t="s">
        <v>13597</v>
      </c>
    </row>
    <row r="2792" spans="1:2" x14ac:dyDescent="0.25">
      <c r="A2792" s="27">
        <v>8303495</v>
      </c>
      <c r="B2792" s="28" t="s">
        <v>9178</v>
      </c>
    </row>
    <row r="2793" spans="1:2" x14ac:dyDescent="0.25">
      <c r="A2793" s="27">
        <v>8303496</v>
      </c>
      <c r="B2793" s="28" t="s">
        <v>9185</v>
      </c>
    </row>
    <row r="2794" spans="1:2" x14ac:dyDescent="0.25">
      <c r="A2794" s="27">
        <v>8303523</v>
      </c>
      <c r="B2794" s="28" t="s">
        <v>10772</v>
      </c>
    </row>
    <row r="2795" spans="1:2" x14ac:dyDescent="0.25">
      <c r="A2795" s="27">
        <v>8303544</v>
      </c>
      <c r="B2795" s="28" t="s">
        <v>9187</v>
      </c>
    </row>
    <row r="2796" spans="1:2" x14ac:dyDescent="0.25">
      <c r="A2796" s="27">
        <v>8303665</v>
      </c>
      <c r="B2796" s="28" t="s">
        <v>9162</v>
      </c>
    </row>
    <row r="2797" spans="1:2" x14ac:dyDescent="0.25">
      <c r="A2797" s="27">
        <v>8303674</v>
      </c>
      <c r="B2797" s="28" t="s">
        <v>9169</v>
      </c>
    </row>
    <row r="2798" spans="1:2" x14ac:dyDescent="0.25">
      <c r="A2798" s="27">
        <v>8303677</v>
      </c>
      <c r="B2798" s="28" t="s">
        <v>9163</v>
      </c>
    </row>
    <row r="2799" spans="1:2" x14ac:dyDescent="0.25">
      <c r="A2799" s="27">
        <v>8303700</v>
      </c>
      <c r="B2799" s="28" t="s">
        <v>11746</v>
      </c>
    </row>
    <row r="2800" spans="1:2" x14ac:dyDescent="0.25">
      <c r="A2800" s="27">
        <v>8303701</v>
      </c>
      <c r="B2800" s="28" t="s">
        <v>9192</v>
      </c>
    </row>
    <row r="2801" spans="1:2" x14ac:dyDescent="0.25">
      <c r="A2801" s="27">
        <v>8303800</v>
      </c>
      <c r="B2801" s="28" t="s">
        <v>9181</v>
      </c>
    </row>
    <row r="2802" spans="1:2" x14ac:dyDescent="0.25">
      <c r="A2802" s="27">
        <v>8303900</v>
      </c>
      <c r="B2802" s="28" t="s">
        <v>9188</v>
      </c>
    </row>
    <row r="2803" spans="1:2" x14ac:dyDescent="0.25">
      <c r="A2803" s="27">
        <v>8303901</v>
      </c>
      <c r="B2803" s="25" t="s">
        <v>9189</v>
      </c>
    </row>
    <row r="2804" spans="1:2" x14ac:dyDescent="0.25">
      <c r="A2804" s="27">
        <v>8303902</v>
      </c>
      <c r="B2804" s="28" t="s">
        <v>9183</v>
      </c>
    </row>
    <row r="2805" spans="1:2" x14ac:dyDescent="0.25">
      <c r="A2805" s="27">
        <v>8303987</v>
      </c>
      <c r="B2805" s="28" t="s">
        <v>11747</v>
      </c>
    </row>
    <row r="2806" spans="1:2" x14ac:dyDescent="0.25">
      <c r="A2806" s="27">
        <v>8305000</v>
      </c>
      <c r="B2806" s="25" t="s">
        <v>9702</v>
      </c>
    </row>
    <row r="2807" spans="1:2" x14ac:dyDescent="0.25">
      <c r="A2807" s="27">
        <v>8305001</v>
      </c>
      <c r="B2807" s="28" t="s">
        <v>9705</v>
      </c>
    </row>
    <row r="2808" spans="1:2" x14ac:dyDescent="0.25">
      <c r="A2808" s="27">
        <v>8305002</v>
      </c>
      <c r="B2808" s="28" t="s">
        <v>9706</v>
      </c>
    </row>
    <row r="2809" spans="1:2" x14ac:dyDescent="0.25">
      <c r="A2809" s="27">
        <v>8305003</v>
      </c>
      <c r="B2809" s="25" t="s">
        <v>11748</v>
      </c>
    </row>
    <row r="2810" spans="1:2" x14ac:dyDescent="0.25">
      <c r="A2810" s="27">
        <v>8305004</v>
      </c>
      <c r="B2810" s="28" t="s">
        <v>11749</v>
      </c>
    </row>
    <row r="2811" spans="1:2" x14ac:dyDescent="0.25">
      <c r="A2811" s="27">
        <v>8305006</v>
      </c>
      <c r="B2811" s="25" t="s">
        <v>11750</v>
      </c>
    </row>
    <row r="2812" spans="1:2" x14ac:dyDescent="0.25">
      <c r="A2812" s="27">
        <v>8305007</v>
      </c>
      <c r="B2812" s="28" t="s">
        <v>11751</v>
      </c>
    </row>
    <row r="2813" spans="1:2" x14ac:dyDescent="0.25">
      <c r="A2813" s="27">
        <v>8305008</v>
      </c>
      <c r="B2813" s="28" t="s">
        <v>9703</v>
      </c>
    </row>
    <row r="2814" spans="1:2" x14ac:dyDescent="0.25">
      <c r="A2814" s="27">
        <v>8306100</v>
      </c>
      <c r="B2814" s="28" t="s">
        <v>9772</v>
      </c>
    </row>
    <row r="2815" spans="1:2" x14ac:dyDescent="0.25">
      <c r="A2815" s="27">
        <v>8306101</v>
      </c>
      <c r="B2815" s="28" t="s">
        <v>9775</v>
      </c>
    </row>
    <row r="2816" spans="1:2" x14ac:dyDescent="0.25">
      <c r="A2816" s="27">
        <v>8306200</v>
      </c>
      <c r="B2816" s="28" t="s">
        <v>9776</v>
      </c>
    </row>
    <row r="2817" spans="1:2" x14ac:dyDescent="0.25">
      <c r="A2817" s="27">
        <v>8307001</v>
      </c>
      <c r="B2817" s="28" t="s">
        <v>11752</v>
      </c>
    </row>
    <row r="2818" spans="1:2" x14ac:dyDescent="0.25">
      <c r="A2818" s="27" t="s">
        <v>13598</v>
      </c>
      <c r="B2818" s="28"/>
    </row>
    <row r="2819" spans="1:2" x14ac:dyDescent="0.25">
      <c r="A2819" s="27">
        <v>8307002</v>
      </c>
      <c r="B2819" s="28" t="s">
        <v>8802</v>
      </c>
    </row>
    <row r="2820" spans="1:2" x14ac:dyDescent="0.25">
      <c r="A2820" s="27">
        <v>8307003</v>
      </c>
      <c r="B2820" s="25" t="s">
        <v>12469</v>
      </c>
    </row>
    <row r="2821" spans="1:2" x14ac:dyDescent="0.25">
      <c r="A2821" s="27">
        <v>8307017</v>
      </c>
      <c r="B2821" s="25" t="s">
        <v>11753</v>
      </c>
    </row>
    <row r="2822" spans="1:2" x14ac:dyDescent="0.25">
      <c r="A2822" s="27">
        <v>8307018</v>
      </c>
      <c r="B2822" s="25" t="s">
        <v>11754</v>
      </c>
    </row>
    <row r="2823" spans="1:2" x14ac:dyDescent="0.25">
      <c r="A2823" s="27">
        <v>8307159</v>
      </c>
      <c r="B2823" s="28" t="s">
        <v>11755</v>
      </c>
    </row>
    <row r="2824" spans="1:2" x14ac:dyDescent="0.25">
      <c r="A2824" s="27">
        <v>8307810</v>
      </c>
      <c r="B2824" s="25" t="s">
        <v>9226</v>
      </c>
    </row>
    <row r="2825" spans="1:2" x14ac:dyDescent="0.25">
      <c r="A2825" s="27">
        <v>8307811</v>
      </c>
      <c r="B2825" s="25" t="s">
        <v>11756</v>
      </c>
    </row>
    <row r="2826" spans="1:2" x14ac:dyDescent="0.25">
      <c r="A2826" s="27">
        <v>8307812</v>
      </c>
      <c r="B2826" s="28" t="s">
        <v>11757</v>
      </c>
    </row>
    <row r="2827" spans="1:2" x14ac:dyDescent="0.25">
      <c r="A2827" s="27">
        <v>8307813</v>
      </c>
      <c r="B2827" s="25" t="s">
        <v>11758</v>
      </c>
    </row>
    <row r="2828" spans="1:2" x14ac:dyDescent="0.25">
      <c r="A2828" s="27">
        <v>8351026</v>
      </c>
      <c r="B2828" s="28" t="s">
        <v>11759</v>
      </c>
    </row>
    <row r="2829" spans="1:2" x14ac:dyDescent="0.25">
      <c r="A2829" s="27">
        <v>8400000</v>
      </c>
      <c r="B2829" s="28" t="s">
        <v>9708</v>
      </c>
    </row>
    <row r="2830" spans="1:2" x14ac:dyDescent="0.25">
      <c r="A2830" s="27">
        <v>8400001</v>
      </c>
      <c r="B2830" s="28" t="s">
        <v>9726</v>
      </c>
    </row>
    <row r="2831" spans="1:2" x14ac:dyDescent="0.25">
      <c r="A2831" s="27">
        <v>8400002</v>
      </c>
      <c r="B2831" s="25" t="s">
        <v>9710</v>
      </c>
    </row>
    <row r="2832" spans="1:2" x14ac:dyDescent="0.25">
      <c r="A2832" s="27">
        <v>8400003</v>
      </c>
      <c r="B2832" s="25" t="s">
        <v>9749</v>
      </c>
    </row>
    <row r="2833" spans="1:2" x14ac:dyDescent="0.25">
      <c r="A2833" s="27">
        <v>8400004</v>
      </c>
      <c r="B2833" s="28" t="s">
        <v>9724</v>
      </c>
    </row>
    <row r="2834" spans="1:2" x14ac:dyDescent="0.25">
      <c r="A2834" s="27">
        <v>8400005</v>
      </c>
      <c r="B2834" s="28" t="s">
        <v>9765</v>
      </c>
    </row>
    <row r="2835" spans="1:2" x14ac:dyDescent="0.25">
      <c r="A2835" s="27">
        <v>8400007</v>
      </c>
      <c r="B2835" s="28" t="s">
        <v>12353</v>
      </c>
    </row>
    <row r="2836" spans="1:2" x14ac:dyDescent="0.25">
      <c r="A2836" s="27">
        <v>8400008</v>
      </c>
      <c r="B2836" s="28" t="s">
        <v>9707</v>
      </c>
    </row>
    <row r="2837" spans="1:2" x14ac:dyDescent="0.25">
      <c r="A2837" s="27">
        <v>8400009</v>
      </c>
      <c r="B2837" s="28" t="s">
        <v>11760</v>
      </c>
    </row>
    <row r="2838" spans="1:2" x14ac:dyDescent="0.25">
      <c r="A2838" s="27">
        <v>8400010</v>
      </c>
      <c r="B2838" s="28" t="s">
        <v>9709</v>
      </c>
    </row>
    <row r="2839" spans="1:2" x14ac:dyDescent="0.25">
      <c r="A2839" s="27">
        <v>8400020</v>
      </c>
      <c r="B2839" s="28" t="s">
        <v>11761</v>
      </c>
    </row>
    <row r="2840" spans="1:2" x14ac:dyDescent="0.25">
      <c r="A2840" s="27">
        <v>8400021</v>
      </c>
      <c r="B2840" s="28" t="s">
        <v>11762</v>
      </c>
    </row>
    <row r="2841" spans="1:2" x14ac:dyDescent="0.25">
      <c r="A2841" s="27">
        <v>8400024</v>
      </c>
      <c r="B2841" s="28" t="s">
        <v>9729</v>
      </c>
    </row>
    <row r="2842" spans="1:2" x14ac:dyDescent="0.25">
      <c r="A2842" s="27">
        <v>8400025</v>
      </c>
      <c r="B2842" s="28" t="s">
        <v>11763</v>
      </c>
    </row>
    <row r="2843" spans="1:2" x14ac:dyDescent="0.25">
      <c r="A2843" s="27">
        <v>8400026</v>
      </c>
      <c r="B2843" s="25" t="s">
        <v>9744</v>
      </c>
    </row>
    <row r="2844" spans="1:2" x14ac:dyDescent="0.25">
      <c r="A2844" s="27">
        <v>8400027</v>
      </c>
      <c r="B2844" s="28" t="s">
        <v>9730</v>
      </c>
    </row>
    <row r="2845" spans="1:2" x14ac:dyDescent="0.25">
      <c r="A2845" s="27">
        <v>8400028</v>
      </c>
      <c r="B2845" s="28" t="s">
        <v>11764</v>
      </c>
    </row>
    <row r="2846" spans="1:2" x14ac:dyDescent="0.25">
      <c r="A2846" s="27">
        <v>8400029</v>
      </c>
      <c r="B2846" s="28" t="s">
        <v>11765</v>
      </c>
    </row>
    <row r="2847" spans="1:2" x14ac:dyDescent="0.25">
      <c r="A2847" s="27">
        <v>8400030</v>
      </c>
      <c r="B2847" s="28" t="s">
        <v>11766</v>
      </c>
    </row>
    <row r="2848" spans="1:2" x14ac:dyDescent="0.25">
      <c r="A2848" s="27">
        <v>8400032</v>
      </c>
      <c r="B2848" s="28" t="s">
        <v>11767</v>
      </c>
    </row>
    <row r="2849" spans="1:2" x14ac:dyDescent="0.25">
      <c r="A2849" s="27">
        <v>8400035</v>
      </c>
      <c r="B2849" s="28" t="s">
        <v>11768</v>
      </c>
    </row>
    <row r="2850" spans="1:2" x14ac:dyDescent="0.25">
      <c r="A2850" s="27">
        <v>8400036</v>
      </c>
      <c r="B2850" s="28" t="s">
        <v>11769</v>
      </c>
    </row>
    <row r="2851" spans="1:2" x14ac:dyDescent="0.25">
      <c r="A2851" s="27">
        <v>8400051</v>
      </c>
      <c r="B2851" s="28" t="s">
        <v>9752</v>
      </c>
    </row>
    <row r="2852" spans="1:2" x14ac:dyDescent="0.25">
      <c r="A2852" s="27">
        <v>8400062</v>
      </c>
      <c r="B2852" s="28" t="s">
        <v>9766</v>
      </c>
    </row>
    <row r="2853" spans="1:2" x14ac:dyDescent="0.25">
      <c r="A2853" s="27">
        <v>8400070</v>
      </c>
      <c r="B2853" s="28" t="s">
        <v>10360</v>
      </c>
    </row>
    <row r="2854" spans="1:2" x14ac:dyDescent="0.25">
      <c r="A2854" s="27">
        <v>8400076</v>
      </c>
      <c r="B2854" s="28" t="s">
        <v>11770</v>
      </c>
    </row>
    <row r="2855" spans="1:2" x14ac:dyDescent="0.25">
      <c r="A2855" s="27">
        <v>8400080</v>
      </c>
      <c r="B2855" s="28" t="s">
        <v>10359</v>
      </c>
    </row>
    <row r="2856" spans="1:2" x14ac:dyDescent="0.25">
      <c r="A2856" s="27">
        <v>8400085</v>
      </c>
      <c r="B2856" s="28" t="s">
        <v>11771</v>
      </c>
    </row>
    <row r="2857" spans="1:2" x14ac:dyDescent="0.25">
      <c r="A2857" s="27">
        <v>8400086</v>
      </c>
      <c r="B2857" s="28" t="s">
        <v>11772</v>
      </c>
    </row>
    <row r="2858" spans="1:2" x14ac:dyDescent="0.25">
      <c r="A2858" s="27">
        <v>8400087</v>
      </c>
      <c r="B2858" s="28" t="s">
        <v>11773</v>
      </c>
    </row>
    <row r="2859" spans="1:2" x14ac:dyDescent="0.25">
      <c r="A2859" s="27">
        <v>8400088</v>
      </c>
      <c r="B2859" s="28" t="s">
        <v>11774</v>
      </c>
    </row>
    <row r="2860" spans="1:2" x14ac:dyDescent="0.25">
      <c r="A2860" s="27">
        <v>8400089</v>
      </c>
      <c r="B2860" s="28" t="s">
        <v>11775</v>
      </c>
    </row>
    <row r="2861" spans="1:2" x14ac:dyDescent="0.25">
      <c r="A2861" s="27">
        <v>8400090</v>
      </c>
      <c r="B2861" s="28" t="s">
        <v>11776</v>
      </c>
    </row>
    <row r="2862" spans="1:2" x14ac:dyDescent="0.25">
      <c r="A2862" s="27">
        <v>8400091</v>
      </c>
      <c r="B2862" s="28" t="s">
        <v>9725</v>
      </c>
    </row>
    <row r="2863" spans="1:2" x14ac:dyDescent="0.25">
      <c r="A2863" s="27">
        <v>8400105</v>
      </c>
      <c r="B2863" s="28" t="s">
        <v>9768</v>
      </c>
    </row>
    <row r="2864" spans="1:2" x14ac:dyDescent="0.25">
      <c r="A2864" s="27">
        <v>8400106</v>
      </c>
      <c r="B2864" s="28" t="s">
        <v>11777</v>
      </c>
    </row>
    <row r="2865" spans="1:2" x14ac:dyDescent="0.25">
      <c r="A2865" s="27">
        <v>8400107</v>
      </c>
      <c r="B2865" s="28" t="s">
        <v>9756</v>
      </c>
    </row>
    <row r="2866" spans="1:2" x14ac:dyDescent="0.25">
      <c r="A2866" s="27">
        <v>8400110</v>
      </c>
      <c r="B2866" s="28" t="s">
        <v>9769</v>
      </c>
    </row>
    <row r="2867" spans="1:2" x14ac:dyDescent="0.25">
      <c r="A2867" s="27">
        <v>8400111</v>
      </c>
      <c r="B2867" s="28" t="s">
        <v>9774</v>
      </c>
    </row>
    <row r="2868" spans="1:2" x14ac:dyDescent="0.25">
      <c r="A2868" s="27">
        <v>8400112</v>
      </c>
      <c r="B2868" s="28" t="s">
        <v>9760</v>
      </c>
    </row>
    <row r="2869" spans="1:2" x14ac:dyDescent="0.25">
      <c r="A2869" s="27">
        <v>8400113</v>
      </c>
      <c r="B2869" s="28" t="s">
        <v>11778</v>
      </c>
    </row>
    <row r="2870" spans="1:2" x14ac:dyDescent="0.25">
      <c r="A2870" s="27">
        <v>8400114</v>
      </c>
      <c r="B2870" s="28" t="s">
        <v>11779</v>
      </c>
    </row>
    <row r="2871" spans="1:2" x14ac:dyDescent="0.25">
      <c r="A2871" s="27">
        <v>8400116</v>
      </c>
      <c r="B2871" s="28" t="s">
        <v>9777</v>
      </c>
    </row>
    <row r="2872" spans="1:2" x14ac:dyDescent="0.25">
      <c r="A2872" s="27">
        <v>8400117</v>
      </c>
      <c r="B2872" s="28" t="s">
        <v>11780</v>
      </c>
    </row>
    <row r="2873" spans="1:2" x14ac:dyDescent="0.25">
      <c r="A2873" s="27">
        <v>8400119</v>
      </c>
      <c r="B2873" s="28" t="s">
        <v>9757</v>
      </c>
    </row>
    <row r="2874" spans="1:2" x14ac:dyDescent="0.25">
      <c r="A2874" s="27">
        <v>8400120</v>
      </c>
      <c r="B2874" s="28" t="s">
        <v>9746</v>
      </c>
    </row>
    <row r="2875" spans="1:2" x14ac:dyDescent="0.25">
      <c r="A2875" s="27">
        <v>8400121</v>
      </c>
      <c r="B2875" s="28" t="s">
        <v>9713</v>
      </c>
    </row>
    <row r="2876" spans="1:2" x14ac:dyDescent="0.25">
      <c r="A2876" s="27">
        <v>8400122</v>
      </c>
      <c r="B2876" s="28" t="s">
        <v>9745</v>
      </c>
    </row>
    <row r="2877" spans="1:2" x14ac:dyDescent="0.25">
      <c r="A2877" s="27">
        <v>8400123</v>
      </c>
      <c r="B2877" s="28" t="s">
        <v>9736</v>
      </c>
    </row>
    <row r="2878" spans="1:2" x14ac:dyDescent="0.25">
      <c r="A2878" s="27">
        <v>8400124</v>
      </c>
      <c r="B2878" s="28" t="s">
        <v>9712</v>
      </c>
    </row>
    <row r="2879" spans="1:2" x14ac:dyDescent="0.25">
      <c r="A2879" s="27">
        <v>8400125</v>
      </c>
      <c r="B2879" s="28" t="s">
        <v>9771</v>
      </c>
    </row>
    <row r="2880" spans="1:2" x14ac:dyDescent="0.25">
      <c r="A2880" s="27">
        <v>8400126</v>
      </c>
      <c r="B2880" s="28" t="s">
        <v>9754</v>
      </c>
    </row>
    <row r="2881" spans="1:2" x14ac:dyDescent="0.25">
      <c r="A2881" s="27">
        <v>8400127</v>
      </c>
      <c r="B2881" s="28" t="s">
        <v>9758</v>
      </c>
    </row>
    <row r="2882" spans="1:2" x14ac:dyDescent="0.25">
      <c r="A2882" s="27">
        <v>8400128</v>
      </c>
      <c r="B2882" s="28" t="s">
        <v>9722</v>
      </c>
    </row>
    <row r="2883" spans="1:2" x14ac:dyDescent="0.25">
      <c r="A2883" s="27">
        <v>8400129</v>
      </c>
      <c r="B2883" s="28" t="s">
        <v>9723</v>
      </c>
    </row>
    <row r="2884" spans="1:2" x14ac:dyDescent="0.25">
      <c r="A2884" s="27">
        <v>8400130</v>
      </c>
      <c r="B2884" s="28" t="s">
        <v>9750</v>
      </c>
    </row>
    <row r="2885" spans="1:2" x14ac:dyDescent="0.25">
      <c r="A2885" s="27">
        <v>8400131</v>
      </c>
      <c r="B2885" s="28" t="s">
        <v>9717</v>
      </c>
    </row>
    <row r="2886" spans="1:2" x14ac:dyDescent="0.25">
      <c r="A2886" s="27">
        <v>8400132</v>
      </c>
      <c r="B2886" s="28" t="s">
        <v>11781</v>
      </c>
    </row>
    <row r="2887" spans="1:2" x14ac:dyDescent="0.25">
      <c r="A2887" s="27">
        <v>8400142</v>
      </c>
      <c r="B2887" s="28" t="s">
        <v>9761</v>
      </c>
    </row>
    <row r="2888" spans="1:2" x14ac:dyDescent="0.25">
      <c r="A2888" s="27">
        <v>8400150</v>
      </c>
      <c r="B2888" s="28" t="s">
        <v>9770</v>
      </c>
    </row>
    <row r="2889" spans="1:2" x14ac:dyDescent="0.25">
      <c r="A2889" s="27">
        <v>8400155</v>
      </c>
      <c r="B2889" s="28" t="s">
        <v>11782</v>
      </c>
    </row>
    <row r="2890" spans="1:2" x14ac:dyDescent="0.25">
      <c r="A2890" s="27">
        <v>8400158</v>
      </c>
      <c r="B2890" s="28" t="s">
        <v>11783</v>
      </c>
    </row>
    <row r="2891" spans="1:2" x14ac:dyDescent="0.25">
      <c r="A2891" s="27">
        <v>8400164</v>
      </c>
      <c r="B2891" s="28" t="s">
        <v>11784</v>
      </c>
    </row>
    <row r="2892" spans="1:2" x14ac:dyDescent="0.25">
      <c r="A2892" s="27">
        <v>8400165</v>
      </c>
      <c r="B2892" s="28" t="s">
        <v>11785</v>
      </c>
    </row>
    <row r="2893" spans="1:2" x14ac:dyDescent="0.25">
      <c r="A2893" s="27">
        <v>8400166</v>
      </c>
      <c r="B2893" s="28" t="s">
        <v>11786</v>
      </c>
    </row>
    <row r="2894" spans="1:2" x14ac:dyDescent="0.25">
      <c r="A2894" s="27">
        <v>8400167</v>
      </c>
      <c r="B2894" s="28" t="s">
        <v>9740</v>
      </c>
    </row>
    <row r="2895" spans="1:2" x14ac:dyDescent="0.25">
      <c r="A2895" s="27">
        <v>8400168</v>
      </c>
      <c r="B2895" s="28" t="s">
        <v>9739</v>
      </c>
    </row>
    <row r="2896" spans="1:2" x14ac:dyDescent="0.25">
      <c r="A2896" s="27">
        <v>8400169</v>
      </c>
      <c r="B2896" s="28" t="s">
        <v>9727</v>
      </c>
    </row>
    <row r="2897" spans="1:2" x14ac:dyDescent="0.25">
      <c r="A2897" s="27">
        <v>8400170</v>
      </c>
      <c r="B2897" s="28" t="s">
        <v>11787</v>
      </c>
    </row>
    <row r="2898" spans="1:2" x14ac:dyDescent="0.25">
      <c r="A2898" s="27">
        <v>8400173</v>
      </c>
      <c r="B2898" s="28" t="s">
        <v>9737</v>
      </c>
    </row>
    <row r="2899" spans="1:2" x14ac:dyDescent="0.25">
      <c r="A2899" s="27">
        <v>8400174</v>
      </c>
      <c r="B2899" s="28" t="s">
        <v>11788</v>
      </c>
    </row>
    <row r="2900" spans="1:2" x14ac:dyDescent="0.25">
      <c r="A2900" s="27">
        <v>8400175</v>
      </c>
      <c r="B2900" s="28" t="s">
        <v>9764</v>
      </c>
    </row>
    <row r="2901" spans="1:2" x14ac:dyDescent="0.25">
      <c r="A2901" s="27">
        <v>8400190</v>
      </c>
      <c r="B2901" s="28" t="s">
        <v>11789</v>
      </c>
    </row>
    <row r="2902" spans="1:2" x14ac:dyDescent="0.25">
      <c r="A2902" s="27">
        <v>8400214</v>
      </c>
      <c r="B2902" s="28" t="s">
        <v>11790</v>
      </c>
    </row>
    <row r="2903" spans="1:2" x14ac:dyDescent="0.25">
      <c r="A2903" s="27">
        <v>8400222</v>
      </c>
      <c r="B2903" s="28" t="s">
        <v>11791</v>
      </c>
    </row>
    <row r="2904" spans="1:2" x14ac:dyDescent="0.25">
      <c r="A2904" s="27">
        <v>8400223</v>
      </c>
      <c r="B2904" s="28" t="s">
        <v>11792</v>
      </c>
    </row>
    <row r="2905" spans="1:2" x14ac:dyDescent="0.25">
      <c r="A2905" s="27">
        <v>8400224</v>
      </c>
      <c r="B2905" s="28" t="s">
        <v>11793</v>
      </c>
    </row>
    <row r="2906" spans="1:2" x14ac:dyDescent="0.25">
      <c r="A2906" s="27">
        <v>8400240</v>
      </c>
      <c r="B2906" s="28" t="s">
        <v>9773</v>
      </c>
    </row>
    <row r="2907" spans="1:2" x14ac:dyDescent="0.25">
      <c r="A2907" s="27">
        <v>8400252</v>
      </c>
      <c r="B2907" s="28" t="s">
        <v>9762</v>
      </c>
    </row>
    <row r="2908" spans="1:2" x14ac:dyDescent="0.25">
      <c r="A2908" s="27">
        <v>8400265</v>
      </c>
      <c r="B2908" s="28" t="s">
        <v>11794</v>
      </c>
    </row>
    <row r="2909" spans="1:2" x14ac:dyDescent="0.25">
      <c r="A2909" s="27">
        <v>8400266</v>
      </c>
      <c r="B2909" s="28" t="s">
        <v>9748</v>
      </c>
    </row>
    <row r="2910" spans="1:2" x14ac:dyDescent="0.25">
      <c r="A2910" s="27">
        <v>8400280</v>
      </c>
      <c r="B2910" s="28" t="s">
        <v>11795</v>
      </c>
    </row>
    <row r="2911" spans="1:2" x14ac:dyDescent="0.25">
      <c r="A2911" s="27">
        <v>8400286</v>
      </c>
      <c r="B2911" s="28" t="s">
        <v>9741</v>
      </c>
    </row>
    <row r="2912" spans="1:2" x14ac:dyDescent="0.25">
      <c r="A2912" s="27">
        <v>8400287</v>
      </c>
      <c r="B2912" s="28" t="s">
        <v>11796</v>
      </c>
    </row>
    <row r="2913" spans="1:2" x14ac:dyDescent="0.25">
      <c r="A2913" s="27">
        <v>8400292</v>
      </c>
      <c r="B2913" s="28" t="s">
        <v>9735</v>
      </c>
    </row>
    <row r="2914" spans="1:2" x14ac:dyDescent="0.25">
      <c r="A2914" s="27">
        <v>8400300</v>
      </c>
      <c r="B2914" s="25" t="s">
        <v>9759</v>
      </c>
    </row>
    <row r="2915" spans="1:2" x14ac:dyDescent="0.25">
      <c r="A2915" s="27">
        <v>8400309</v>
      </c>
      <c r="B2915" s="28" t="s">
        <v>11797</v>
      </c>
    </row>
    <row r="2916" spans="1:2" x14ac:dyDescent="0.25">
      <c r="A2916" s="27">
        <v>8400311</v>
      </c>
      <c r="B2916" s="28" t="s">
        <v>9711</v>
      </c>
    </row>
    <row r="2917" spans="1:2" x14ac:dyDescent="0.25">
      <c r="A2917" s="27">
        <v>8400312</v>
      </c>
      <c r="B2917" s="28" t="s">
        <v>11798</v>
      </c>
    </row>
    <row r="2918" spans="1:2" x14ac:dyDescent="0.25">
      <c r="A2918" s="27">
        <v>8400323</v>
      </c>
      <c r="B2918" s="28" t="s">
        <v>9747</v>
      </c>
    </row>
    <row r="2919" spans="1:2" x14ac:dyDescent="0.25">
      <c r="A2919" s="27">
        <v>8400330</v>
      </c>
      <c r="B2919" s="28" t="s">
        <v>9728</v>
      </c>
    </row>
    <row r="2920" spans="1:2" x14ac:dyDescent="0.25">
      <c r="A2920" s="27">
        <v>8400331</v>
      </c>
      <c r="B2920" s="28" t="s">
        <v>9742</v>
      </c>
    </row>
    <row r="2921" spans="1:2" x14ac:dyDescent="0.25">
      <c r="A2921" s="27">
        <v>8400333</v>
      </c>
      <c r="B2921" s="28" t="s">
        <v>9763</v>
      </c>
    </row>
    <row r="2922" spans="1:2" x14ac:dyDescent="0.25">
      <c r="A2922" s="27">
        <v>8400356</v>
      </c>
      <c r="B2922" s="28" t="s">
        <v>9714</v>
      </c>
    </row>
    <row r="2923" spans="1:2" x14ac:dyDescent="0.25">
      <c r="A2923" s="27">
        <v>8400357</v>
      </c>
      <c r="B2923" s="28" t="s">
        <v>9715</v>
      </c>
    </row>
    <row r="2924" spans="1:2" x14ac:dyDescent="0.25">
      <c r="A2924" s="27">
        <v>8400360</v>
      </c>
      <c r="B2924" s="28" t="s">
        <v>9767</v>
      </c>
    </row>
    <row r="2925" spans="1:2" x14ac:dyDescent="0.25">
      <c r="A2925" s="27">
        <v>8400367</v>
      </c>
      <c r="B2925" s="28" t="s">
        <v>9738</v>
      </c>
    </row>
    <row r="2926" spans="1:2" x14ac:dyDescent="0.25">
      <c r="A2926" s="27">
        <v>8400368</v>
      </c>
      <c r="B2926" s="28" t="s">
        <v>9755</v>
      </c>
    </row>
    <row r="2927" spans="1:2" x14ac:dyDescent="0.25">
      <c r="A2927" s="27">
        <v>8400369</v>
      </c>
      <c r="B2927" s="28" t="s">
        <v>11799</v>
      </c>
    </row>
    <row r="2928" spans="1:2" x14ac:dyDescent="0.25">
      <c r="A2928" s="27">
        <v>8400370</v>
      </c>
      <c r="B2928" s="28" t="s">
        <v>9734</v>
      </c>
    </row>
    <row r="2929" spans="1:2" x14ac:dyDescent="0.25">
      <c r="A2929" s="27">
        <v>8400390</v>
      </c>
      <c r="B2929" s="28" t="s">
        <v>9733</v>
      </c>
    </row>
    <row r="2930" spans="1:2" x14ac:dyDescent="0.25">
      <c r="A2930" s="27">
        <v>8400391</v>
      </c>
      <c r="B2930" s="28" t="s">
        <v>9731</v>
      </c>
    </row>
    <row r="2931" spans="1:2" x14ac:dyDescent="0.25">
      <c r="A2931" s="27">
        <v>8400392</v>
      </c>
      <c r="B2931" s="28" t="s">
        <v>12354</v>
      </c>
    </row>
    <row r="2932" spans="1:2" x14ac:dyDescent="0.25">
      <c r="A2932" s="27">
        <v>8400393</v>
      </c>
      <c r="B2932" s="28" t="s">
        <v>9732</v>
      </c>
    </row>
    <row r="2933" spans="1:2" x14ac:dyDescent="0.25">
      <c r="A2933" s="27">
        <v>8400452</v>
      </c>
      <c r="B2933" s="28" t="s">
        <v>11800</v>
      </c>
    </row>
    <row r="2934" spans="1:2" x14ac:dyDescent="0.25">
      <c r="A2934" s="27">
        <v>8400456</v>
      </c>
      <c r="B2934" s="28" t="s">
        <v>11801</v>
      </c>
    </row>
    <row r="2935" spans="1:2" x14ac:dyDescent="0.25">
      <c r="A2935" s="27">
        <v>8400564</v>
      </c>
      <c r="B2935" s="28" t="s">
        <v>11802</v>
      </c>
    </row>
    <row r="2936" spans="1:2" x14ac:dyDescent="0.25">
      <c r="A2936" s="27">
        <v>8400650</v>
      </c>
      <c r="B2936" s="28" t="s">
        <v>9753</v>
      </c>
    </row>
    <row r="2937" spans="1:2" x14ac:dyDescent="0.25">
      <c r="A2937" s="27">
        <v>8400651</v>
      </c>
      <c r="B2937" s="28" t="s">
        <v>11803</v>
      </c>
    </row>
    <row r="2938" spans="1:2" x14ac:dyDescent="0.25">
      <c r="A2938" s="27">
        <v>8400654</v>
      </c>
      <c r="B2938" s="28" t="s">
        <v>9743</v>
      </c>
    </row>
    <row r="2939" spans="1:2" x14ac:dyDescent="0.25">
      <c r="A2939" s="27">
        <v>8400661</v>
      </c>
      <c r="B2939" s="28" t="s">
        <v>9778</v>
      </c>
    </row>
    <row r="2940" spans="1:2" x14ac:dyDescent="0.25">
      <c r="A2940" s="27">
        <v>8400662</v>
      </c>
      <c r="B2940" s="28" t="s">
        <v>11804</v>
      </c>
    </row>
    <row r="2941" spans="1:2" x14ac:dyDescent="0.25">
      <c r="A2941" s="27">
        <v>8400663</v>
      </c>
      <c r="B2941" s="28" t="s">
        <v>11805</v>
      </c>
    </row>
    <row r="2942" spans="1:2" x14ac:dyDescent="0.25">
      <c r="A2942" s="27">
        <v>8400664</v>
      </c>
      <c r="B2942" s="28" t="s">
        <v>11806</v>
      </c>
    </row>
    <row r="2943" spans="1:2" x14ac:dyDescent="0.25">
      <c r="A2943" s="27">
        <v>8400689</v>
      </c>
      <c r="B2943" s="28" t="s">
        <v>9721</v>
      </c>
    </row>
    <row r="2944" spans="1:2" x14ac:dyDescent="0.25">
      <c r="A2944" s="27">
        <v>8400691</v>
      </c>
      <c r="B2944" s="28" t="s">
        <v>9716</v>
      </c>
    </row>
    <row r="2945" spans="1:2" x14ac:dyDescent="0.25">
      <c r="A2945" s="27">
        <v>8400753</v>
      </c>
      <c r="B2945" s="28" t="s">
        <v>11807</v>
      </c>
    </row>
    <row r="2946" spans="1:2" x14ac:dyDescent="0.25">
      <c r="A2946" s="27">
        <v>8400852</v>
      </c>
      <c r="B2946" s="28" t="s">
        <v>9751</v>
      </c>
    </row>
    <row r="2947" spans="1:2" x14ac:dyDescent="0.25">
      <c r="A2947" s="27">
        <v>8400907</v>
      </c>
      <c r="B2947" s="28" t="s">
        <v>11808</v>
      </c>
    </row>
    <row r="2948" spans="1:2" x14ac:dyDescent="0.25">
      <c r="A2948" s="27">
        <v>8400908</v>
      </c>
      <c r="B2948" s="28" t="s">
        <v>9718</v>
      </c>
    </row>
    <row r="2949" spans="1:2" x14ac:dyDescent="0.25">
      <c r="A2949" s="27">
        <v>8400951</v>
      </c>
      <c r="B2949" s="28" t="s">
        <v>11809</v>
      </c>
    </row>
    <row r="2950" spans="1:2" x14ac:dyDescent="0.25">
      <c r="A2950" s="27">
        <v>8401001</v>
      </c>
      <c r="B2950" s="28" t="s">
        <v>12355</v>
      </c>
    </row>
    <row r="2951" spans="1:2" x14ac:dyDescent="0.25">
      <c r="A2951" s="27">
        <v>8401002</v>
      </c>
      <c r="B2951" s="28" t="s">
        <v>10066</v>
      </c>
    </row>
    <row r="2952" spans="1:2" x14ac:dyDescent="0.25">
      <c r="A2952" s="27">
        <v>8401003</v>
      </c>
      <c r="B2952" s="28" t="s">
        <v>10871</v>
      </c>
    </row>
    <row r="2953" spans="1:2" x14ac:dyDescent="0.25">
      <c r="A2953" s="27">
        <v>8401004</v>
      </c>
      <c r="B2953" s="28" t="s">
        <v>10864</v>
      </c>
    </row>
    <row r="2954" spans="1:2" x14ac:dyDescent="0.25">
      <c r="A2954" s="27">
        <v>8401005</v>
      </c>
      <c r="B2954" s="28" t="s">
        <v>10866</v>
      </c>
    </row>
    <row r="2955" spans="1:2" x14ac:dyDescent="0.25">
      <c r="A2955" s="27">
        <v>8401006</v>
      </c>
      <c r="B2955" s="28" t="s">
        <v>10865</v>
      </c>
    </row>
    <row r="2956" spans="1:2" x14ac:dyDescent="0.25">
      <c r="A2956" s="27">
        <v>8401007</v>
      </c>
      <c r="B2956" s="28" t="s">
        <v>11810</v>
      </c>
    </row>
    <row r="2957" spans="1:2" x14ac:dyDescent="0.25">
      <c r="A2957" s="27">
        <v>8401008</v>
      </c>
      <c r="B2957" s="28" t="s">
        <v>11811</v>
      </c>
    </row>
    <row r="2958" spans="1:2" x14ac:dyDescent="0.25">
      <c r="A2958" s="27">
        <v>8401009</v>
      </c>
      <c r="B2958" s="28" t="s">
        <v>10868</v>
      </c>
    </row>
    <row r="2959" spans="1:2" x14ac:dyDescent="0.25">
      <c r="A2959" s="27">
        <v>8401010</v>
      </c>
      <c r="B2959" s="28" t="s">
        <v>10867</v>
      </c>
    </row>
    <row r="2960" spans="1:2" x14ac:dyDescent="0.25">
      <c r="A2960" s="27">
        <v>8401011</v>
      </c>
      <c r="B2960" s="25" t="s">
        <v>10870</v>
      </c>
    </row>
    <row r="2961" spans="1:2" x14ac:dyDescent="0.25">
      <c r="A2961" s="27">
        <v>8401012</v>
      </c>
      <c r="B2961" s="28" t="s">
        <v>10869</v>
      </c>
    </row>
    <row r="2962" spans="1:2" x14ac:dyDescent="0.25">
      <c r="A2962" s="27">
        <v>8401013</v>
      </c>
      <c r="B2962" s="28" t="s">
        <v>10863</v>
      </c>
    </row>
    <row r="2963" spans="1:2" x14ac:dyDescent="0.25">
      <c r="A2963" s="27">
        <v>8401014</v>
      </c>
      <c r="B2963" s="28" t="s">
        <v>12470</v>
      </c>
    </row>
    <row r="2964" spans="1:2" x14ac:dyDescent="0.25">
      <c r="A2964" s="27">
        <v>8401133</v>
      </c>
      <c r="B2964" s="28" t="s">
        <v>9719</v>
      </c>
    </row>
    <row r="2965" spans="1:2" x14ac:dyDescent="0.25">
      <c r="A2965" s="27">
        <v>8401134</v>
      </c>
      <c r="B2965" s="28" t="s">
        <v>9720</v>
      </c>
    </row>
    <row r="2966" spans="1:2" x14ac:dyDescent="0.25">
      <c r="A2966" s="27">
        <v>8401232</v>
      </c>
      <c r="B2966" s="28" t="s">
        <v>9704</v>
      </c>
    </row>
    <row r="2967" spans="1:2" x14ac:dyDescent="0.25">
      <c r="A2967" s="27">
        <v>8500001</v>
      </c>
      <c r="B2967" s="28" t="s">
        <v>9619</v>
      </c>
    </row>
    <row r="2968" spans="1:2" x14ac:dyDescent="0.25">
      <c r="A2968" s="27">
        <v>8500002</v>
      </c>
      <c r="B2968" s="28" t="s">
        <v>11812</v>
      </c>
    </row>
    <row r="2969" spans="1:2" x14ac:dyDescent="0.25">
      <c r="A2969" s="27">
        <v>8500003</v>
      </c>
      <c r="B2969" s="28" t="s">
        <v>9623</v>
      </c>
    </row>
    <row r="2970" spans="1:2" x14ac:dyDescent="0.25">
      <c r="A2970" s="27">
        <v>8500300</v>
      </c>
      <c r="B2970" s="28" t="s">
        <v>11813</v>
      </c>
    </row>
    <row r="2971" spans="1:2" x14ac:dyDescent="0.25">
      <c r="A2971" s="27">
        <v>8500500</v>
      </c>
      <c r="B2971" s="28" t="s">
        <v>10751</v>
      </c>
    </row>
    <row r="2972" spans="1:2" x14ac:dyDescent="0.25">
      <c r="A2972" s="27">
        <v>8501001</v>
      </c>
      <c r="B2972" s="28" t="s">
        <v>10699</v>
      </c>
    </row>
    <row r="2973" spans="1:2" x14ac:dyDescent="0.25">
      <c r="A2973" s="27">
        <v>8501015</v>
      </c>
      <c r="B2973" s="28" t="s">
        <v>10656</v>
      </c>
    </row>
    <row r="2974" spans="1:2" x14ac:dyDescent="0.25">
      <c r="A2974" s="27">
        <v>8501024</v>
      </c>
      <c r="B2974" s="28" t="s">
        <v>10697</v>
      </c>
    </row>
    <row r="2975" spans="1:2" x14ac:dyDescent="0.25">
      <c r="A2975" s="27">
        <v>8501025</v>
      </c>
      <c r="B2975" s="28" t="s">
        <v>10694</v>
      </c>
    </row>
    <row r="2976" spans="1:2" x14ac:dyDescent="0.25">
      <c r="A2976" s="27">
        <v>8501026</v>
      </c>
      <c r="B2976" s="28" t="s">
        <v>10696</v>
      </c>
    </row>
    <row r="2977" spans="1:2" x14ac:dyDescent="0.25">
      <c r="A2977" s="27">
        <v>8501027</v>
      </c>
      <c r="B2977" s="28" t="s">
        <v>10695</v>
      </c>
    </row>
    <row r="2978" spans="1:2" x14ac:dyDescent="0.25">
      <c r="A2978" s="27">
        <v>8501034</v>
      </c>
      <c r="B2978" s="28" t="s">
        <v>10698</v>
      </c>
    </row>
    <row r="2979" spans="1:2" x14ac:dyDescent="0.25">
      <c r="A2979" s="27">
        <v>8501228</v>
      </c>
      <c r="B2979" s="28" t="s">
        <v>11814</v>
      </c>
    </row>
    <row r="2980" spans="1:2" x14ac:dyDescent="0.25">
      <c r="A2980" s="27">
        <v>8501551</v>
      </c>
      <c r="B2980" s="28" t="s">
        <v>10701</v>
      </c>
    </row>
    <row r="2981" spans="1:2" x14ac:dyDescent="0.25">
      <c r="A2981" s="27">
        <v>8501594</v>
      </c>
      <c r="B2981" s="28" t="s">
        <v>11815</v>
      </c>
    </row>
    <row r="2982" spans="1:2" x14ac:dyDescent="0.25">
      <c r="A2982" s="27">
        <v>8501602</v>
      </c>
      <c r="B2982" s="28" t="s">
        <v>11816</v>
      </c>
    </row>
    <row r="2983" spans="1:2" x14ac:dyDescent="0.25">
      <c r="A2983" s="27">
        <v>8501621</v>
      </c>
      <c r="B2983" s="28" t="s">
        <v>10700</v>
      </c>
    </row>
    <row r="2984" spans="1:2" x14ac:dyDescent="0.25">
      <c r="A2984" s="27">
        <v>8501654</v>
      </c>
      <c r="B2984" s="28" t="s">
        <v>11817</v>
      </c>
    </row>
    <row r="2985" spans="1:2" x14ac:dyDescent="0.25">
      <c r="A2985" s="27">
        <v>8501655</v>
      </c>
      <c r="B2985" s="28" t="s">
        <v>11818</v>
      </c>
    </row>
    <row r="2986" spans="1:2" x14ac:dyDescent="0.25">
      <c r="A2986" s="27">
        <v>8501662</v>
      </c>
      <c r="B2986" s="28" t="s">
        <v>10702</v>
      </c>
    </row>
    <row r="2987" spans="1:2" x14ac:dyDescent="0.25">
      <c r="A2987" s="27">
        <v>8501700</v>
      </c>
      <c r="B2987" s="28" t="s">
        <v>10277</v>
      </c>
    </row>
    <row r="2988" spans="1:2" x14ac:dyDescent="0.25">
      <c r="A2988" s="27">
        <v>8503000</v>
      </c>
      <c r="B2988" s="28" t="s">
        <v>9617</v>
      </c>
    </row>
    <row r="2989" spans="1:2" x14ac:dyDescent="0.25">
      <c r="A2989" s="27">
        <v>8503003</v>
      </c>
      <c r="B2989" s="28" t="s">
        <v>9621</v>
      </c>
    </row>
    <row r="2990" spans="1:2" x14ac:dyDescent="0.25">
      <c r="A2990" s="27">
        <v>8503011</v>
      </c>
      <c r="B2990" s="28" t="s">
        <v>11819</v>
      </c>
    </row>
    <row r="2991" spans="1:2" x14ac:dyDescent="0.25">
      <c r="A2991" s="27">
        <v>8503012</v>
      </c>
      <c r="B2991" s="28" t="s">
        <v>9620</v>
      </c>
    </row>
    <row r="2992" spans="1:2" x14ac:dyDescent="0.25">
      <c r="A2992" s="27">
        <v>8503020</v>
      </c>
      <c r="B2992" s="28" t="s">
        <v>11820</v>
      </c>
    </row>
    <row r="2993" spans="1:2" x14ac:dyDescent="0.25">
      <c r="A2993" s="27">
        <v>8503026</v>
      </c>
      <c r="B2993" s="28" t="s">
        <v>11821</v>
      </c>
    </row>
    <row r="2994" spans="1:2" x14ac:dyDescent="0.25">
      <c r="A2994" s="27">
        <v>8503045</v>
      </c>
      <c r="B2994" s="28" t="s">
        <v>9618</v>
      </c>
    </row>
    <row r="2995" spans="1:2" x14ac:dyDescent="0.25">
      <c r="A2995" s="27">
        <v>8503046</v>
      </c>
      <c r="B2995" s="28" t="s">
        <v>11822</v>
      </c>
    </row>
    <row r="2996" spans="1:2" x14ac:dyDescent="0.25">
      <c r="A2996" s="27">
        <v>8503060</v>
      </c>
      <c r="B2996" s="28" t="s">
        <v>11823</v>
      </c>
    </row>
    <row r="2997" spans="1:2" x14ac:dyDescent="0.25">
      <c r="A2997" s="27">
        <v>8503061</v>
      </c>
      <c r="B2997" s="28" t="s">
        <v>10874</v>
      </c>
    </row>
    <row r="2998" spans="1:2" x14ac:dyDescent="0.25">
      <c r="A2998" s="27">
        <v>850306101</v>
      </c>
      <c r="B2998" s="28" t="s">
        <v>11824</v>
      </c>
    </row>
    <row r="2999" spans="1:2" x14ac:dyDescent="0.25">
      <c r="A2999" s="27">
        <v>8503063</v>
      </c>
      <c r="B2999" s="28" t="s">
        <v>11825</v>
      </c>
    </row>
    <row r="3000" spans="1:2" x14ac:dyDescent="0.25">
      <c r="A3000" s="27">
        <v>8503090</v>
      </c>
      <c r="B3000" s="28" t="s">
        <v>11826</v>
      </c>
    </row>
    <row r="3001" spans="1:2" x14ac:dyDescent="0.25">
      <c r="A3001" s="27">
        <v>8503091</v>
      </c>
      <c r="B3001" s="28" t="s">
        <v>11827</v>
      </c>
    </row>
    <row r="3002" spans="1:2" x14ac:dyDescent="0.25">
      <c r="A3002" s="27" t="s">
        <v>13599</v>
      </c>
      <c r="B3002" s="28"/>
    </row>
    <row r="3003" spans="1:2" x14ac:dyDescent="0.25">
      <c r="A3003" s="27">
        <v>8503092</v>
      </c>
      <c r="B3003" s="28" t="s">
        <v>9614</v>
      </c>
    </row>
    <row r="3004" spans="1:2" x14ac:dyDescent="0.25">
      <c r="A3004" s="27">
        <v>8503097</v>
      </c>
      <c r="B3004" s="28" t="s">
        <v>13600</v>
      </c>
    </row>
    <row r="3005" spans="1:2" x14ac:dyDescent="0.25">
      <c r="A3005" s="27">
        <v>8503098</v>
      </c>
      <c r="B3005" s="28" t="s">
        <v>10384</v>
      </c>
    </row>
    <row r="3006" spans="1:2" x14ac:dyDescent="0.25">
      <c r="A3006" s="27">
        <v>8503100</v>
      </c>
      <c r="B3006" s="28" t="s">
        <v>8454</v>
      </c>
    </row>
    <row r="3007" spans="1:2" x14ac:dyDescent="0.25">
      <c r="A3007" s="27">
        <v>8503111</v>
      </c>
      <c r="B3007" s="28" t="s">
        <v>11828</v>
      </c>
    </row>
    <row r="3008" spans="1:2" x14ac:dyDescent="0.25">
      <c r="A3008" s="27">
        <v>8503125</v>
      </c>
      <c r="B3008" s="28" t="s">
        <v>8456</v>
      </c>
    </row>
    <row r="3009" spans="1:2" x14ac:dyDescent="0.25">
      <c r="A3009" s="27">
        <v>8503130</v>
      </c>
      <c r="B3009" s="28" t="s">
        <v>11829</v>
      </c>
    </row>
    <row r="3010" spans="1:2" x14ac:dyDescent="0.25">
      <c r="A3010" s="27">
        <v>8503159</v>
      </c>
      <c r="B3010" s="28" t="s">
        <v>8463</v>
      </c>
    </row>
    <row r="3011" spans="1:2" x14ac:dyDescent="0.25">
      <c r="A3011" s="27">
        <v>8503168</v>
      </c>
      <c r="B3011" s="28" t="s">
        <v>8464</v>
      </c>
    </row>
    <row r="3012" spans="1:2" x14ac:dyDescent="0.25">
      <c r="A3012" s="27">
        <v>8503201</v>
      </c>
      <c r="B3012" s="28" t="s">
        <v>10764</v>
      </c>
    </row>
    <row r="3013" spans="1:2" x14ac:dyDescent="0.25">
      <c r="A3013" s="27">
        <v>8503202</v>
      </c>
      <c r="B3013" s="28" t="s">
        <v>10876</v>
      </c>
    </row>
    <row r="3014" spans="1:2" x14ac:dyDescent="0.25">
      <c r="A3014" s="27">
        <v>8503209</v>
      </c>
      <c r="B3014" s="28" t="s">
        <v>8461</v>
      </c>
    </row>
    <row r="3015" spans="1:2" x14ac:dyDescent="0.25">
      <c r="A3015" s="27">
        <v>8503224</v>
      </c>
      <c r="B3015" s="28" t="s">
        <v>10755</v>
      </c>
    </row>
    <row r="3016" spans="1:2" x14ac:dyDescent="0.25">
      <c r="A3016" s="27">
        <v>8503225</v>
      </c>
      <c r="B3016" s="28" t="s">
        <v>10754</v>
      </c>
    </row>
    <row r="3017" spans="1:2" x14ac:dyDescent="0.25">
      <c r="A3017" s="27">
        <v>8503230</v>
      </c>
      <c r="B3017" s="28" t="s">
        <v>11830</v>
      </c>
    </row>
    <row r="3018" spans="1:2" x14ac:dyDescent="0.25">
      <c r="A3018" s="27">
        <v>8503234</v>
      </c>
      <c r="B3018" s="28" t="s">
        <v>10381</v>
      </c>
    </row>
    <row r="3019" spans="1:2" x14ac:dyDescent="0.25">
      <c r="A3019" s="27">
        <v>8503235</v>
      </c>
      <c r="B3019" s="28" t="s">
        <v>10383</v>
      </c>
    </row>
    <row r="3020" spans="1:2" x14ac:dyDescent="0.25">
      <c r="A3020" s="27">
        <v>8503236</v>
      </c>
      <c r="B3020" s="28" t="s">
        <v>10382</v>
      </c>
    </row>
    <row r="3021" spans="1:2" x14ac:dyDescent="0.25">
      <c r="A3021" s="27">
        <v>8503238</v>
      </c>
      <c r="B3021" s="28" t="s">
        <v>10386</v>
      </c>
    </row>
    <row r="3022" spans="1:2" x14ac:dyDescent="0.25">
      <c r="A3022" s="27">
        <v>8503250</v>
      </c>
      <c r="B3022" s="28" t="s">
        <v>8462</v>
      </c>
    </row>
    <row r="3023" spans="1:2" x14ac:dyDescent="0.25">
      <c r="A3023" s="27">
        <v>8503258</v>
      </c>
      <c r="B3023" s="28" t="s">
        <v>10841</v>
      </c>
    </row>
    <row r="3024" spans="1:2" x14ac:dyDescent="0.25">
      <c r="A3024" s="27">
        <v>8503302</v>
      </c>
      <c r="B3024" s="28" t="s">
        <v>10766</v>
      </c>
    </row>
    <row r="3025" spans="1:2" x14ac:dyDescent="0.25">
      <c r="A3025" s="27">
        <v>8503303</v>
      </c>
      <c r="B3025" s="28" t="s">
        <v>10768</v>
      </c>
    </row>
    <row r="3026" spans="1:2" x14ac:dyDescent="0.25">
      <c r="A3026" s="27">
        <v>8503304</v>
      </c>
      <c r="B3026" s="28" t="s">
        <v>11831</v>
      </c>
    </row>
    <row r="3027" spans="1:2" x14ac:dyDescent="0.25">
      <c r="A3027" s="27">
        <v>8503305</v>
      </c>
      <c r="B3027" s="28" t="s">
        <v>10769</v>
      </c>
    </row>
    <row r="3028" spans="1:2" x14ac:dyDescent="0.25">
      <c r="A3028" s="27">
        <v>8503310</v>
      </c>
      <c r="B3028" s="28" t="s">
        <v>9622</v>
      </c>
    </row>
    <row r="3029" spans="1:2" x14ac:dyDescent="0.25">
      <c r="A3029" s="27">
        <v>8503320</v>
      </c>
      <c r="B3029" s="28" t="s">
        <v>11832</v>
      </c>
    </row>
    <row r="3030" spans="1:2" x14ac:dyDescent="0.25">
      <c r="A3030" s="27">
        <v>8503332</v>
      </c>
      <c r="B3030" s="28" t="s">
        <v>10006</v>
      </c>
    </row>
    <row r="3031" spans="1:2" x14ac:dyDescent="0.25">
      <c r="A3031" s="27">
        <v>8503401</v>
      </c>
      <c r="B3031" s="28" t="s">
        <v>11833</v>
      </c>
    </row>
    <row r="3032" spans="1:2" x14ac:dyDescent="0.25">
      <c r="A3032" s="27">
        <v>8503402</v>
      </c>
      <c r="B3032" s="28" t="s">
        <v>8459</v>
      </c>
    </row>
    <row r="3033" spans="1:2" x14ac:dyDescent="0.25">
      <c r="A3033" s="27">
        <v>8503424</v>
      </c>
      <c r="B3033" s="28" t="s">
        <v>8457</v>
      </c>
    </row>
    <row r="3034" spans="1:2" x14ac:dyDescent="0.25">
      <c r="A3034" s="27">
        <v>8503425</v>
      </c>
      <c r="B3034" s="28" t="s">
        <v>11834</v>
      </c>
    </row>
    <row r="3035" spans="1:2" x14ac:dyDescent="0.25">
      <c r="A3035" s="27">
        <v>8503426</v>
      </c>
      <c r="B3035" s="28" t="s">
        <v>8460</v>
      </c>
    </row>
    <row r="3036" spans="1:2" x14ac:dyDescent="0.25">
      <c r="A3036" s="27">
        <v>8503427</v>
      </c>
      <c r="B3036" s="28" t="s">
        <v>11835</v>
      </c>
    </row>
    <row r="3037" spans="1:2" x14ac:dyDescent="0.25">
      <c r="A3037" s="27">
        <v>8503428</v>
      </c>
      <c r="B3037" s="28" t="s">
        <v>8458</v>
      </c>
    </row>
    <row r="3038" spans="1:2" x14ac:dyDescent="0.25">
      <c r="A3038" s="27">
        <v>8503429</v>
      </c>
      <c r="B3038" s="28" t="s">
        <v>11836</v>
      </c>
    </row>
    <row r="3039" spans="1:2" x14ac:dyDescent="0.25">
      <c r="A3039" s="27">
        <v>8503450</v>
      </c>
      <c r="B3039" s="28" t="s">
        <v>11837</v>
      </c>
    </row>
    <row r="3040" spans="1:2" x14ac:dyDescent="0.25">
      <c r="A3040" s="27">
        <v>8503451</v>
      </c>
      <c r="B3040" s="28" t="s">
        <v>11838</v>
      </c>
    </row>
    <row r="3041" spans="1:2" x14ac:dyDescent="0.25">
      <c r="A3041" s="27">
        <v>8503456</v>
      </c>
      <c r="B3041" s="28" t="s">
        <v>11822</v>
      </c>
    </row>
    <row r="3042" spans="1:2" x14ac:dyDescent="0.25">
      <c r="A3042" s="27">
        <v>8503457</v>
      </c>
      <c r="B3042" s="28" t="s">
        <v>11839</v>
      </c>
    </row>
    <row r="3043" spans="1:2" x14ac:dyDescent="0.25">
      <c r="A3043" s="27">
        <v>8503458</v>
      </c>
      <c r="B3043" s="28" t="s">
        <v>11840</v>
      </c>
    </row>
    <row r="3044" spans="1:2" x14ac:dyDescent="0.25">
      <c r="A3044" s="27">
        <v>8503500</v>
      </c>
      <c r="B3044" s="28" t="s">
        <v>11841</v>
      </c>
    </row>
    <row r="3045" spans="1:2" x14ac:dyDescent="0.25">
      <c r="A3045" s="27">
        <v>8503505</v>
      </c>
      <c r="B3045" s="28" t="s">
        <v>10049</v>
      </c>
    </row>
    <row r="3046" spans="1:2" x14ac:dyDescent="0.25">
      <c r="A3046" s="27">
        <v>8503600</v>
      </c>
      <c r="B3046" s="28" t="s">
        <v>10007</v>
      </c>
    </row>
    <row r="3047" spans="1:2" x14ac:dyDescent="0.25">
      <c r="A3047" s="27">
        <v>8503638</v>
      </c>
      <c r="B3047" s="28" t="s">
        <v>10753</v>
      </c>
    </row>
    <row r="3048" spans="1:2" x14ac:dyDescent="0.25">
      <c r="A3048" s="27">
        <v>8503639</v>
      </c>
      <c r="B3048" s="28" t="s">
        <v>10752</v>
      </c>
    </row>
    <row r="3049" spans="1:2" x14ac:dyDescent="0.25">
      <c r="A3049" s="27">
        <v>8503712</v>
      </c>
      <c r="B3049" s="28" t="s">
        <v>10840</v>
      </c>
    </row>
    <row r="3050" spans="1:2" x14ac:dyDescent="0.25">
      <c r="A3050" s="27">
        <v>8503716</v>
      </c>
      <c r="B3050" s="28" t="s">
        <v>8455</v>
      </c>
    </row>
    <row r="3051" spans="1:2" x14ac:dyDescent="0.25">
      <c r="A3051" s="27">
        <v>8503750</v>
      </c>
      <c r="B3051" s="28" t="s">
        <v>10757</v>
      </c>
    </row>
    <row r="3052" spans="1:2" x14ac:dyDescent="0.25">
      <c r="A3052" s="27">
        <v>8503760</v>
      </c>
      <c r="B3052" s="28" t="s">
        <v>10756</v>
      </c>
    </row>
    <row r="3053" spans="1:2" x14ac:dyDescent="0.25">
      <c r="A3053" s="27">
        <v>8503800</v>
      </c>
      <c r="B3053" s="28" t="s">
        <v>11842</v>
      </c>
    </row>
    <row r="3054" spans="1:2" x14ac:dyDescent="0.25">
      <c r="A3054" s="27">
        <v>8503801</v>
      </c>
      <c r="B3054" s="28" t="s">
        <v>10069</v>
      </c>
    </row>
    <row r="3055" spans="1:2" x14ac:dyDescent="0.25">
      <c r="A3055" s="27">
        <v>8503802</v>
      </c>
      <c r="B3055" s="28" t="s">
        <v>11843</v>
      </c>
    </row>
    <row r="3056" spans="1:2" x14ac:dyDescent="0.25">
      <c r="A3056" s="27">
        <v>8503803</v>
      </c>
      <c r="B3056" s="28" t="s">
        <v>10073</v>
      </c>
    </row>
    <row r="3057" spans="1:2" x14ac:dyDescent="0.25">
      <c r="A3057" s="27">
        <v>8503804</v>
      </c>
      <c r="B3057" s="28" t="s">
        <v>11844</v>
      </c>
    </row>
    <row r="3058" spans="1:2" x14ac:dyDescent="0.25">
      <c r="A3058" s="27">
        <v>8503808</v>
      </c>
      <c r="B3058" s="28" t="s">
        <v>11845</v>
      </c>
    </row>
    <row r="3059" spans="1:2" x14ac:dyDescent="0.25">
      <c r="A3059" s="27">
        <v>8503820</v>
      </c>
      <c r="B3059" s="28" t="s">
        <v>10758</v>
      </c>
    </row>
    <row r="3060" spans="1:2" x14ac:dyDescent="0.25">
      <c r="A3060" s="27">
        <v>8503821</v>
      </c>
      <c r="B3060" s="28" t="s">
        <v>11846</v>
      </c>
    </row>
    <row r="3061" spans="1:2" x14ac:dyDescent="0.25">
      <c r="A3061" s="27">
        <v>8503822</v>
      </c>
      <c r="B3061" s="28" t="s">
        <v>8404</v>
      </c>
    </row>
    <row r="3062" spans="1:2" x14ac:dyDescent="0.25">
      <c r="A3062" s="27">
        <v>8503823</v>
      </c>
      <c r="B3062" s="28" t="s">
        <v>8402</v>
      </c>
    </row>
    <row r="3063" spans="1:2" x14ac:dyDescent="0.25">
      <c r="A3063" s="27">
        <v>8503824</v>
      </c>
      <c r="B3063" s="28" t="s">
        <v>8403</v>
      </c>
    </row>
    <row r="3064" spans="1:2" x14ac:dyDescent="0.25">
      <c r="A3064" s="27">
        <v>8503825</v>
      </c>
      <c r="B3064" s="28" t="s">
        <v>11847</v>
      </c>
    </row>
    <row r="3065" spans="1:2" x14ac:dyDescent="0.25">
      <c r="A3065" s="27">
        <v>8503826</v>
      </c>
      <c r="B3065" s="28" t="s">
        <v>11848</v>
      </c>
    </row>
    <row r="3066" spans="1:2" x14ac:dyDescent="0.25">
      <c r="A3066" s="27">
        <v>8503827</v>
      </c>
      <c r="B3066" s="28" t="s">
        <v>11849</v>
      </c>
    </row>
    <row r="3067" spans="1:2" x14ac:dyDescent="0.25">
      <c r="A3067" s="27">
        <v>8503828</v>
      </c>
      <c r="B3067" s="28" t="s">
        <v>11850</v>
      </c>
    </row>
    <row r="3068" spans="1:2" x14ac:dyDescent="0.25">
      <c r="A3068" s="27">
        <v>8503829</v>
      </c>
      <c r="B3068" s="28" t="s">
        <v>11851</v>
      </c>
    </row>
    <row r="3069" spans="1:2" x14ac:dyDescent="0.25">
      <c r="A3069" s="27">
        <v>8503830</v>
      </c>
      <c r="B3069" s="28" t="s">
        <v>11852</v>
      </c>
    </row>
    <row r="3070" spans="1:2" x14ac:dyDescent="0.25">
      <c r="A3070" s="27">
        <v>8503831</v>
      </c>
      <c r="B3070" s="28" t="s">
        <v>11853</v>
      </c>
    </row>
    <row r="3071" spans="1:2" x14ac:dyDescent="0.25">
      <c r="A3071" s="27">
        <v>8503832</v>
      </c>
      <c r="B3071" s="28" t="s">
        <v>8405</v>
      </c>
    </row>
    <row r="3072" spans="1:2" x14ac:dyDescent="0.25">
      <c r="A3072" s="27">
        <v>8503833</v>
      </c>
      <c r="B3072" s="28" t="s">
        <v>11854</v>
      </c>
    </row>
    <row r="3073" spans="1:2" x14ac:dyDescent="0.25">
      <c r="A3073" s="27">
        <v>8503834</v>
      </c>
      <c r="B3073" s="28" t="s">
        <v>11855</v>
      </c>
    </row>
    <row r="3074" spans="1:2" x14ac:dyDescent="0.25">
      <c r="A3074" s="27">
        <v>8503835</v>
      </c>
      <c r="B3074" s="28" t="s">
        <v>11856</v>
      </c>
    </row>
    <row r="3075" spans="1:2" x14ac:dyDescent="0.25">
      <c r="A3075" s="27">
        <v>8503836</v>
      </c>
      <c r="B3075" s="28" t="s">
        <v>11857</v>
      </c>
    </row>
    <row r="3076" spans="1:2" x14ac:dyDescent="0.25">
      <c r="A3076" s="27">
        <v>8503837</v>
      </c>
      <c r="B3076" s="28" t="s">
        <v>11858</v>
      </c>
    </row>
    <row r="3077" spans="1:2" x14ac:dyDescent="0.25">
      <c r="A3077" s="27">
        <v>8503853</v>
      </c>
      <c r="B3077" s="28" t="s">
        <v>11859</v>
      </c>
    </row>
    <row r="3078" spans="1:2" x14ac:dyDescent="0.25">
      <c r="A3078" s="27">
        <v>8503888</v>
      </c>
      <c r="B3078" s="28" t="s">
        <v>11860</v>
      </c>
    </row>
    <row r="3079" spans="1:2" x14ac:dyDescent="0.25">
      <c r="A3079" s="27">
        <v>8503901</v>
      </c>
      <c r="B3079" s="28" t="s">
        <v>10875</v>
      </c>
    </row>
    <row r="3080" spans="1:2" x14ac:dyDescent="0.25">
      <c r="A3080" s="27">
        <v>8503983</v>
      </c>
      <c r="B3080" s="28" t="s">
        <v>10385</v>
      </c>
    </row>
    <row r="3081" spans="1:2" x14ac:dyDescent="0.25">
      <c r="A3081" s="27">
        <v>8503984</v>
      </c>
      <c r="B3081" s="28" t="s">
        <v>10380</v>
      </c>
    </row>
    <row r="3082" spans="1:2" x14ac:dyDescent="0.25">
      <c r="A3082" s="27">
        <v>8503999</v>
      </c>
      <c r="B3082" s="28" t="s">
        <v>11861</v>
      </c>
    </row>
    <row r="3083" spans="1:2" x14ac:dyDescent="0.25">
      <c r="A3083" s="27">
        <v>8505000</v>
      </c>
      <c r="B3083" s="28" t="s">
        <v>11862</v>
      </c>
    </row>
    <row r="3084" spans="1:2" x14ac:dyDescent="0.25">
      <c r="A3084" s="27">
        <v>8505001</v>
      </c>
      <c r="B3084" s="28" t="s">
        <v>10474</v>
      </c>
    </row>
    <row r="3085" spans="1:2" x14ac:dyDescent="0.25">
      <c r="A3085" s="27">
        <v>8505002</v>
      </c>
      <c r="B3085" s="28" t="s">
        <v>10477</v>
      </c>
    </row>
    <row r="3086" spans="1:2" x14ac:dyDescent="0.25">
      <c r="A3086" s="27">
        <v>8505003</v>
      </c>
      <c r="B3086" s="28" t="s">
        <v>8453</v>
      </c>
    </row>
    <row r="3087" spans="1:2" x14ac:dyDescent="0.25">
      <c r="A3087" s="27">
        <v>8505004</v>
      </c>
      <c r="B3087" s="28" t="s">
        <v>10480</v>
      </c>
    </row>
    <row r="3088" spans="1:2" x14ac:dyDescent="0.25">
      <c r="A3088" s="27">
        <v>8505005</v>
      </c>
      <c r="B3088" s="28" t="s">
        <v>10475</v>
      </c>
    </row>
    <row r="3089" spans="1:2" x14ac:dyDescent="0.25">
      <c r="A3089" s="27">
        <v>8505006</v>
      </c>
      <c r="B3089" s="28" t="s">
        <v>10479</v>
      </c>
    </row>
    <row r="3090" spans="1:2" x14ac:dyDescent="0.25">
      <c r="A3090" s="27">
        <v>8505007</v>
      </c>
      <c r="B3090" s="28" t="s">
        <v>10476</v>
      </c>
    </row>
    <row r="3091" spans="1:2" x14ac:dyDescent="0.25">
      <c r="A3091" s="27">
        <v>8505008</v>
      </c>
      <c r="B3091" s="28" t="s">
        <v>10478</v>
      </c>
    </row>
    <row r="3092" spans="1:2" x14ac:dyDescent="0.25">
      <c r="A3092" s="27">
        <v>8505009</v>
      </c>
      <c r="B3092" s="28" t="s">
        <v>11863</v>
      </c>
    </row>
    <row r="3093" spans="1:2" x14ac:dyDescent="0.25">
      <c r="A3093" s="27">
        <v>8505010</v>
      </c>
      <c r="B3093" s="28" t="s">
        <v>11864</v>
      </c>
    </row>
    <row r="3094" spans="1:2" x14ac:dyDescent="0.25">
      <c r="A3094" s="27">
        <v>8505011</v>
      </c>
      <c r="B3094" s="28" t="s">
        <v>11865</v>
      </c>
    </row>
    <row r="3095" spans="1:2" x14ac:dyDescent="0.25">
      <c r="A3095" s="27">
        <v>8505012</v>
      </c>
      <c r="B3095" s="28" t="s">
        <v>10452</v>
      </c>
    </row>
    <row r="3096" spans="1:2" x14ac:dyDescent="0.25">
      <c r="A3096" s="27">
        <v>8505013</v>
      </c>
      <c r="B3096" s="28" t="s">
        <v>11866</v>
      </c>
    </row>
    <row r="3097" spans="1:2" x14ac:dyDescent="0.25">
      <c r="A3097" s="27">
        <v>8505014</v>
      </c>
      <c r="B3097" s="28" t="s">
        <v>10525</v>
      </c>
    </row>
    <row r="3098" spans="1:2" x14ac:dyDescent="0.25">
      <c r="A3098" s="27">
        <v>8505015</v>
      </c>
      <c r="B3098" s="28" t="s">
        <v>9779</v>
      </c>
    </row>
    <row r="3099" spans="1:2" x14ac:dyDescent="0.25">
      <c r="A3099" s="27">
        <v>8505016</v>
      </c>
      <c r="B3099" s="28" t="s">
        <v>9780</v>
      </c>
    </row>
    <row r="3100" spans="1:2" x14ac:dyDescent="0.25">
      <c r="A3100" s="27">
        <v>8505017</v>
      </c>
      <c r="B3100" s="28" t="s">
        <v>12356</v>
      </c>
    </row>
    <row r="3101" spans="1:2" x14ac:dyDescent="0.25">
      <c r="A3101" s="27">
        <v>8505018</v>
      </c>
      <c r="B3101" s="28" t="s">
        <v>11867</v>
      </c>
    </row>
    <row r="3102" spans="1:2" x14ac:dyDescent="0.25">
      <c r="A3102" s="27">
        <v>8505019</v>
      </c>
      <c r="B3102" s="28" t="s">
        <v>12357</v>
      </c>
    </row>
    <row r="3103" spans="1:2" x14ac:dyDescent="0.25">
      <c r="A3103" s="27">
        <v>8505020</v>
      </c>
      <c r="B3103" s="28" t="s">
        <v>11868</v>
      </c>
    </row>
    <row r="3104" spans="1:2" x14ac:dyDescent="0.25">
      <c r="A3104" s="27">
        <v>8505021</v>
      </c>
      <c r="B3104" s="28" t="s">
        <v>10459</v>
      </c>
    </row>
    <row r="3105" spans="1:2" x14ac:dyDescent="0.25">
      <c r="A3105" s="27">
        <v>8505022</v>
      </c>
      <c r="B3105" s="28" t="s">
        <v>10462</v>
      </c>
    </row>
    <row r="3106" spans="1:2" x14ac:dyDescent="0.25">
      <c r="A3106" s="27">
        <v>850502201</v>
      </c>
      <c r="B3106" s="28" t="s">
        <v>11869</v>
      </c>
    </row>
    <row r="3107" spans="1:2" x14ac:dyDescent="0.25">
      <c r="A3107" s="27">
        <v>8505023</v>
      </c>
      <c r="B3107" s="28" t="s">
        <v>10458</v>
      </c>
    </row>
    <row r="3108" spans="1:2" x14ac:dyDescent="0.25">
      <c r="A3108" s="27">
        <v>850502302</v>
      </c>
      <c r="B3108" s="28" t="s">
        <v>11870</v>
      </c>
    </row>
    <row r="3109" spans="1:2" x14ac:dyDescent="0.25">
      <c r="A3109" s="27">
        <v>8505024</v>
      </c>
      <c r="B3109" s="28" t="s">
        <v>10461</v>
      </c>
    </row>
    <row r="3110" spans="1:2" x14ac:dyDescent="0.25">
      <c r="A3110" s="27">
        <v>850502403</v>
      </c>
      <c r="B3110" s="28" t="s">
        <v>11871</v>
      </c>
    </row>
    <row r="3111" spans="1:2" x14ac:dyDescent="0.25">
      <c r="A3111" s="27">
        <v>8505025</v>
      </c>
      <c r="B3111" s="28" t="s">
        <v>10448</v>
      </c>
    </row>
    <row r="3112" spans="1:2" x14ac:dyDescent="0.25">
      <c r="A3112" s="27">
        <v>8505026</v>
      </c>
      <c r="B3112" s="28" t="s">
        <v>10521</v>
      </c>
    </row>
    <row r="3113" spans="1:2" x14ac:dyDescent="0.25">
      <c r="A3113" s="27">
        <v>8505027</v>
      </c>
      <c r="B3113" s="28" t="s">
        <v>11872</v>
      </c>
    </row>
    <row r="3114" spans="1:2" x14ac:dyDescent="0.25">
      <c r="A3114" s="27">
        <v>8505028</v>
      </c>
      <c r="B3114" s="28" t="s">
        <v>10445</v>
      </c>
    </row>
    <row r="3115" spans="1:2" x14ac:dyDescent="0.25">
      <c r="A3115" s="27">
        <v>8505029</v>
      </c>
      <c r="B3115" s="28" t="s">
        <v>10447</v>
      </c>
    </row>
    <row r="3116" spans="1:2" x14ac:dyDescent="0.25">
      <c r="A3116" s="27">
        <v>8505030</v>
      </c>
      <c r="B3116" s="28" t="s">
        <v>10446</v>
      </c>
    </row>
    <row r="3117" spans="1:2" x14ac:dyDescent="0.25">
      <c r="A3117" s="27">
        <v>8505031</v>
      </c>
      <c r="B3117" s="28" t="s">
        <v>10460</v>
      </c>
    </row>
    <row r="3118" spans="1:2" x14ac:dyDescent="0.25">
      <c r="A3118" s="27">
        <v>8505032</v>
      </c>
      <c r="B3118" s="28" t="s">
        <v>10463</v>
      </c>
    </row>
    <row r="3119" spans="1:2" x14ac:dyDescent="0.25">
      <c r="A3119" s="27">
        <v>8505033</v>
      </c>
      <c r="B3119" s="28" t="s">
        <v>10422</v>
      </c>
    </row>
    <row r="3120" spans="1:2" x14ac:dyDescent="0.25">
      <c r="A3120" s="27">
        <v>8505034</v>
      </c>
      <c r="B3120" s="28" t="s">
        <v>11873</v>
      </c>
    </row>
    <row r="3121" spans="1:2" x14ac:dyDescent="0.25">
      <c r="A3121" s="27">
        <v>8505040</v>
      </c>
      <c r="B3121" s="28" t="s">
        <v>10493</v>
      </c>
    </row>
    <row r="3122" spans="1:2" x14ac:dyDescent="0.25">
      <c r="A3122" s="27">
        <v>8505041</v>
      </c>
      <c r="B3122" s="28" t="s">
        <v>10487</v>
      </c>
    </row>
    <row r="3123" spans="1:2" x14ac:dyDescent="0.25">
      <c r="A3123" s="27">
        <v>8505042</v>
      </c>
      <c r="B3123" s="28" t="s">
        <v>10488</v>
      </c>
    </row>
    <row r="3124" spans="1:2" x14ac:dyDescent="0.25">
      <c r="A3124" s="27">
        <v>8505043</v>
      </c>
      <c r="B3124" s="28" t="s">
        <v>10494</v>
      </c>
    </row>
    <row r="3125" spans="1:2" x14ac:dyDescent="0.25">
      <c r="A3125" s="27">
        <v>8505044</v>
      </c>
      <c r="B3125" s="28" t="s">
        <v>10489</v>
      </c>
    </row>
    <row r="3126" spans="1:2" x14ac:dyDescent="0.25">
      <c r="A3126" s="27">
        <v>8505045</v>
      </c>
      <c r="B3126" s="28" t="s">
        <v>10490</v>
      </c>
    </row>
    <row r="3127" spans="1:2" x14ac:dyDescent="0.25">
      <c r="A3127" s="27">
        <v>8505046</v>
      </c>
      <c r="B3127" s="28" t="s">
        <v>10495</v>
      </c>
    </row>
    <row r="3128" spans="1:2" x14ac:dyDescent="0.25">
      <c r="A3128" s="27">
        <v>8505047</v>
      </c>
      <c r="B3128" s="28" t="s">
        <v>10492</v>
      </c>
    </row>
    <row r="3129" spans="1:2" x14ac:dyDescent="0.25">
      <c r="A3129" s="27">
        <v>8505048</v>
      </c>
      <c r="B3129" s="25" t="s">
        <v>10491</v>
      </c>
    </row>
    <row r="3130" spans="1:2" x14ac:dyDescent="0.25">
      <c r="A3130" s="27">
        <v>8505050</v>
      </c>
      <c r="B3130" s="28" t="s">
        <v>11874</v>
      </c>
    </row>
    <row r="3131" spans="1:2" x14ac:dyDescent="0.25">
      <c r="A3131" s="27">
        <v>8505051</v>
      </c>
      <c r="B3131" s="28" t="s">
        <v>11875</v>
      </c>
    </row>
    <row r="3132" spans="1:2" x14ac:dyDescent="0.25">
      <c r="A3132" s="27">
        <v>8505052</v>
      </c>
      <c r="B3132" s="28" t="s">
        <v>11876</v>
      </c>
    </row>
    <row r="3133" spans="1:2" x14ac:dyDescent="0.25">
      <c r="A3133" s="27">
        <v>8505053</v>
      </c>
      <c r="B3133" s="28" t="s">
        <v>11877</v>
      </c>
    </row>
    <row r="3134" spans="1:2" x14ac:dyDescent="0.25">
      <c r="A3134" s="27">
        <v>8505054</v>
      </c>
      <c r="B3134" s="28" t="s">
        <v>11878</v>
      </c>
    </row>
    <row r="3135" spans="1:2" x14ac:dyDescent="0.25">
      <c r="A3135" s="27">
        <v>8505055</v>
      </c>
      <c r="B3135" s="28" t="s">
        <v>11879</v>
      </c>
    </row>
    <row r="3136" spans="1:2" x14ac:dyDescent="0.25">
      <c r="A3136" s="27">
        <v>8505063</v>
      </c>
      <c r="B3136" s="28" t="s">
        <v>10511</v>
      </c>
    </row>
    <row r="3137" spans="1:2" x14ac:dyDescent="0.25">
      <c r="A3137" s="27">
        <v>8505067</v>
      </c>
      <c r="B3137" s="28" t="s">
        <v>10354</v>
      </c>
    </row>
    <row r="3138" spans="1:2" x14ac:dyDescent="0.25">
      <c r="A3138" s="27">
        <v>8505068</v>
      </c>
      <c r="B3138" s="28" t="s">
        <v>11880</v>
      </c>
    </row>
    <row r="3139" spans="1:2" x14ac:dyDescent="0.25">
      <c r="A3139" s="27">
        <v>8505069</v>
      </c>
      <c r="B3139" s="28" t="s">
        <v>11881</v>
      </c>
    </row>
    <row r="3140" spans="1:2" x14ac:dyDescent="0.25">
      <c r="A3140" s="27">
        <v>8505070</v>
      </c>
      <c r="B3140" s="28" t="s">
        <v>10357</v>
      </c>
    </row>
    <row r="3141" spans="1:2" x14ac:dyDescent="0.25">
      <c r="A3141" s="27">
        <v>8505071</v>
      </c>
      <c r="B3141" s="28" t="s">
        <v>11882</v>
      </c>
    </row>
    <row r="3142" spans="1:2" x14ac:dyDescent="0.25">
      <c r="A3142" s="27">
        <v>8505072</v>
      </c>
      <c r="B3142" s="28" t="s">
        <v>11883</v>
      </c>
    </row>
    <row r="3143" spans="1:2" x14ac:dyDescent="0.25">
      <c r="A3143" s="27">
        <v>8505073</v>
      </c>
      <c r="B3143" s="28" t="s">
        <v>11884</v>
      </c>
    </row>
    <row r="3144" spans="1:2" x14ac:dyDescent="0.25">
      <c r="A3144" s="27">
        <v>8505074</v>
      </c>
      <c r="B3144" s="28" t="s">
        <v>10356</v>
      </c>
    </row>
    <row r="3145" spans="1:2" x14ac:dyDescent="0.25">
      <c r="A3145" s="27">
        <v>8505075</v>
      </c>
      <c r="B3145" s="28" t="s">
        <v>10355</v>
      </c>
    </row>
    <row r="3146" spans="1:2" x14ac:dyDescent="0.25">
      <c r="A3146" s="27">
        <v>8505076</v>
      </c>
      <c r="B3146" s="28" t="s">
        <v>11885</v>
      </c>
    </row>
    <row r="3147" spans="1:2" x14ac:dyDescent="0.25">
      <c r="A3147" s="27">
        <v>8505100</v>
      </c>
      <c r="B3147" s="28" t="s">
        <v>11886</v>
      </c>
    </row>
    <row r="3148" spans="1:2" x14ac:dyDescent="0.25">
      <c r="A3148" s="27">
        <v>8505101</v>
      </c>
      <c r="B3148" s="28" t="s">
        <v>10450</v>
      </c>
    </row>
    <row r="3149" spans="1:2" x14ac:dyDescent="0.25">
      <c r="A3149" s="27">
        <v>8505109</v>
      </c>
      <c r="B3149" s="28" t="s">
        <v>10451</v>
      </c>
    </row>
    <row r="3150" spans="1:2" x14ac:dyDescent="0.25">
      <c r="A3150" s="27">
        <v>8505110</v>
      </c>
      <c r="B3150" s="28" t="s">
        <v>11887</v>
      </c>
    </row>
    <row r="3151" spans="1:2" x14ac:dyDescent="0.25">
      <c r="A3151" s="27">
        <v>8505111</v>
      </c>
      <c r="B3151" s="28" t="s">
        <v>10441</v>
      </c>
    </row>
    <row r="3152" spans="1:2" x14ac:dyDescent="0.25">
      <c r="A3152" s="27">
        <v>8505118</v>
      </c>
      <c r="B3152" s="28" t="s">
        <v>10496</v>
      </c>
    </row>
    <row r="3153" spans="1:2" x14ac:dyDescent="0.25">
      <c r="A3153" s="27">
        <v>8505120</v>
      </c>
      <c r="B3153" s="28" t="s">
        <v>10497</v>
      </c>
    </row>
    <row r="3154" spans="1:2" x14ac:dyDescent="0.25">
      <c r="A3154" s="27">
        <v>8505121</v>
      </c>
      <c r="B3154" s="28" t="s">
        <v>8440</v>
      </c>
    </row>
    <row r="3155" spans="1:2" x14ac:dyDescent="0.25">
      <c r="A3155" s="27">
        <v>8505122</v>
      </c>
      <c r="B3155" s="28" t="s">
        <v>8442</v>
      </c>
    </row>
    <row r="3156" spans="1:2" x14ac:dyDescent="0.25">
      <c r="A3156" s="27">
        <v>8505123</v>
      </c>
      <c r="B3156" s="28" t="s">
        <v>8446</v>
      </c>
    </row>
    <row r="3157" spans="1:2" x14ac:dyDescent="0.25">
      <c r="A3157" s="27">
        <v>8505124</v>
      </c>
      <c r="B3157" s="28" t="s">
        <v>8447</v>
      </c>
    </row>
    <row r="3158" spans="1:2" x14ac:dyDescent="0.25">
      <c r="A3158" s="27">
        <v>8505125</v>
      </c>
      <c r="B3158" s="28" t="s">
        <v>8448</v>
      </c>
    </row>
    <row r="3159" spans="1:2" x14ac:dyDescent="0.25">
      <c r="A3159" s="27">
        <v>8505126</v>
      </c>
      <c r="B3159" s="28" t="s">
        <v>8449</v>
      </c>
    </row>
    <row r="3160" spans="1:2" x14ac:dyDescent="0.25">
      <c r="A3160" s="27">
        <v>8505127</v>
      </c>
      <c r="B3160" s="28" t="s">
        <v>10523</v>
      </c>
    </row>
    <row r="3161" spans="1:2" x14ac:dyDescent="0.25">
      <c r="A3161" s="27">
        <v>8505128</v>
      </c>
      <c r="B3161" s="28" t="s">
        <v>10449</v>
      </c>
    </row>
    <row r="3162" spans="1:2" x14ac:dyDescent="0.25">
      <c r="A3162" s="27">
        <v>8505129</v>
      </c>
      <c r="B3162" s="28" t="s">
        <v>10522</v>
      </c>
    </row>
    <row r="3163" spans="1:2" x14ac:dyDescent="0.25">
      <c r="A3163" s="27">
        <v>8505130</v>
      </c>
      <c r="B3163" s="28" t="s">
        <v>10473</v>
      </c>
    </row>
    <row r="3164" spans="1:2" x14ac:dyDescent="0.25">
      <c r="A3164" s="27">
        <v>8505131</v>
      </c>
      <c r="B3164" s="28" t="s">
        <v>10471</v>
      </c>
    </row>
    <row r="3165" spans="1:2" x14ac:dyDescent="0.25">
      <c r="A3165" s="27">
        <v>8505132</v>
      </c>
      <c r="B3165" s="28" t="s">
        <v>11888</v>
      </c>
    </row>
    <row r="3166" spans="1:2" x14ac:dyDescent="0.25">
      <c r="A3166" s="27">
        <v>8505133</v>
      </c>
      <c r="B3166" s="28" t="s">
        <v>8443</v>
      </c>
    </row>
    <row r="3167" spans="1:2" x14ac:dyDescent="0.25">
      <c r="A3167" s="27">
        <v>8505134</v>
      </c>
      <c r="B3167" s="28" t="s">
        <v>10498</v>
      </c>
    </row>
    <row r="3168" spans="1:2" x14ac:dyDescent="0.25">
      <c r="A3168" s="27">
        <v>8505135</v>
      </c>
      <c r="B3168" s="28" t="s">
        <v>10499</v>
      </c>
    </row>
    <row r="3169" spans="1:2" x14ac:dyDescent="0.25">
      <c r="A3169" s="27">
        <v>8505136</v>
      </c>
      <c r="B3169" s="28" t="s">
        <v>10500</v>
      </c>
    </row>
    <row r="3170" spans="1:2" x14ac:dyDescent="0.25">
      <c r="A3170" s="27">
        <v>8505137</v>
      </c>
      <c r="B3170" s="28" t="s">
        <v>10501</v>
      </c>
    </row>
    <row r="3171" spans="1:2" x14ac:dyDescent="0.25">
      <c r="A3171" s="27">
        <v>8505138</v>
      </c>
      <c r="B3171" s="28" t="s">
        <v>10502</v>
      </c>
    </row>
    <row r="3172" spans="1:2" x14ac:dyDescent="0.25">
      <c r="A3172" s="27">
        <v>8505139</v>
      </c>
      <c r="B3172" s="28" t="s">
        <v>10518</v>
      </c>
    </row>
    <row r="3173" spans="1:2" x14ac:dyDescent="0.25">
      <c r="A3173" s="27">
        <v>8505140</v>
      </c>
      <c r="B3173" s="28" t="s">
        <v>10520</v>
      </c>
    </row>
    <row r="3174" spans="1:2" x14ac:dyDescent="0.25">
      <c r="A3174" s="27">
        <v>8505141</v>
      </c>
      <c r="B3174" s="28" t="s">
        <v>10519</v>
      </c>
    </row>
    <row r="3175" spans="1:2" x14ac:dyDescent="0.25">
      <c r="A3175" s="27">
        <v>8505142</v>
      </c>
      <c r="B3175" s="28" t="s">
        <v>10517</v>
      </c>
    </row>
    <row r="3176" spans="1:2" x14ac:dyDescent="0.25">
      <c r="A3176" s="27">
        <v>8505149</v>
      </c>
      <c r="B3176" s="28" t="s">
        <v>8434</v>
      </c>
    </row>
    <row r="3177" spans="1:2" x14ac:dyDescent="0.25">
      <c r="A3177" s="27">
        <v>8505150</v>
      </c>
      <c r="B3177" s="28" t="s">
        <v>11889</v>
      </c>
    </row>
    <row r="3178" spans="1:2" x14ac:dyDescent="0.25">
      <c r="A3178" s="27">
        <v>8505151</v>
      </c>
      <c r="B3178" s="28" t="s">
        <v>8438</v>
      </c>
    </row>
    <row r="3179" spans="1:2" x14ac:dyDescent="0.25">
      <c r="A3179" s="27">
        <v>8505153</v>
      </c>
      <c r="B3179" s="28" t="s">
        <v>8445</v>
      </c>
    </row>
    <row r="3180" spans="1:2" x14ac:dyDescent="0.25">
      <c r="A3180" s="27">
        <v>8505154</v>
      </c>
      <c r="B3180" s="28" t="s">
        <v>8451</v>
      </c>
    </row>
    <row r="3181" spans="1:2" x14ac:dyDescent="0.25">
      <c r="A3181" s="27">
        <v>8505155</v>
      </c>
      <c r="B3181" s="28" t="s">
        <v>8450</v>
      </c>
    </row>
    <row r="3182" spans="1:2" x14ac:dyDescent="0.25">
      <c r="A3182" s="27">
        <v>8505156</v>
      </c>
      <c r="B3182" s="28" t="s">
        <v>10512</v>
      </c>
    </row>
    <row r="3183" spans="1:2" x14ac:dyDescent="0.25">
      <c r="A3183" s="27">
        <v>8505157</v>
      </c>
      <c r="B3183" s="28" t="s">
        <v>10514</v>
      </c>
    </row>
    <row r="3184" spans="1:2" x14ac:dyDescent="0.25">
      <c r="A3184" s="27">
        <v>8505158</v>
      </c>
      <c r="B3184" s="28" t="s">
        <v>10513</v>
      </c>
    </row>
    <row r="3185" spans="1:2" x14ac:dyDescent="0.25">
      <c r="A3185" s="27">
        <v>8505159</v>
      </c>
      <c r="B3185" s="28" t="s">
        <v>10467</v>
      </c>
    </row>
    <row r="3186" spans="1:2" x14ac:dyDescent="0.25">
      <c r="A3186" s="27">
        <v>8505160</v>
      </c>
      <c r="B3186" s="28" t="s">
        <v>10466</v>
      </c>
    </row>
    <row r="3187" spans="1:2" x14ac:dyDescent="0.25">
      <c r="A3187" s="27">
        <v>8505161</v>
      </c>
      <c r="B3187" s="28" t="s">
        <v>8439</v>
      </c>
    </row>
    <row r="3188" spans="1:2" x14ac:dyDescent="0.25">
      <c r="A3188" s="27">
        <v>8505162</v>
      </c>
      <c r="B3188" s="28" t="s">
        <v>8444</v>
      </c>
    </row>
    <row r="3189" spans="1:2" x14ac:dyDescent="0.25">
      <c r="A3189" s="27">
        <v>8505163</v>
      </c>
      <c r="B3189" s="28" t="s">
        <v>11890</v>
      </c>
    </row>
    <row r="3190" spans="1:2" x14ac:dyDescent="0.25">
      <c r="A3190" s="27">
        <v>8505164</v>
      </c>
      <c r="B3190" s="28" t="s">
        <v>11891</v>
      </c>
    </row>
    <row r="3191" spans="1:2" x14ac:dyDescent="0.25">
      <c r="A3191" s="27">
        <v>8505165</v>
      </c>
      <c r="B3191" s="28" t="s">
        <v>11892</v>
      </c>
    </row>
    <row r="3192" spans="1:2" x14ac:dyDescent="0.25">
      <c r="A3192" s="27">
        <v>8505166</v>
      </c>
      <c r="B3192" s="28" t="s">
        <v>11893</v>
      </c>
    </row>
    <row r="3193" spans="1:2" x14ac:dyDescent="0.25">
      <c r="A3193" s="27">
        <v>8505167</v>
      </c>
      <c r="B3193" s="28" t="s">
        <v>10454</v>
      </c>
    </row>
    <row r="3194" spans="1:2" x14ac:dyDescent="0.25">
      <c r="A3194" s="27">
        <v>8505168</v>
      </c>
      <c r="B3194" s="28" t="s">
        <v>10456</v>
      </c>
    </row>
    <row r="3195" spans="1:2" x14ac:dyDescent="0.25">
      <c r="A3195" s="27">
        <v>8505169</v>
      </c>
      <c r="B3195" s="28" t="s">
        <v>10457</v>
      </c>
    </row>
    <row r="3196" spans="1:2" x14ac:dyDescent="0.25">
      <c r="A3196" s="27">
        <v>8505170</v>
      </c>
      <c r="B3196" s="28" t="s">
        <v>8441</v>
      </c>
    </row>
    <row r="3197" spans="1:2" x14ac:dyDescent="0.25">
      <c r="A3197" s="27">
        <v>8505171</v>
      </c>
      <c r="B3197" s="28" t="s">
        <v>8436</v>
      </c>
    </row>
    <row r="3198" spans="1:2" x14ac:dyDescent="0.25">
      <c r="A3198" s="27">
        <v>8505172</v>
      </c>
      <c r="B3198" s="28" t="s">
        <v>8435</v>
      </c>
    </row>
    <row r="3199" spans="1:2" x14ac:dyDescent="0.25">
      <c r="A3199" s="27">
        <v>8505173</v>
      </c>
      <c r="B3199" s="28" t="s">
        <v>8437</v>
      </c>
    </row>
    <row r="3200" spans="1:2" x14ac:dyDescent="0.25">
      <c r="A3200" s="27">
        <v>8505174</v>
      </c>
      <c r="B3200" s="28" t="s">
        <v>8452</v>
      </c>
    </row>
    <row r="3201" spans="1:2" x14ac:dyDescent="0.25">
      <c r="A3201" s="27">
        <v>8505175</v>
      </c>
      <c r="B3201" s="28" t="s">
        <v>10516</v>
      </c>
    </row>
    <row r="3202" spans="1:2" x14ac:dyDescent="0.25">
      <c r="A3202" s="27">
        <v>8505176</v>
      </c>
      <c r="B3202" s="28" t="s">
        <v>10453</v>
      </c>
    </row>
    <row r="3203" spans="1:2" x14ac:dyDescent="0.25">
      <c r="A3203" s="27">
        <v>8505177</v>
      </c>
      <c r="B3203" s="28" t="s">
        <v>10455</v>
      </c>
    </row>
    <row r="3204" spans="1:2" x14ac:dyDescent="0.25">
      <c r="A3204" s="27">
        <v>8505178</v>
      </c>
      <c r="B3204" s="28" t="s">
        <v>11894</v>
      </c>
    </row>
    <row r="3205" spans="1:2" x14ac:dyDescent="0.25">
      <c r="A3205" s="27">
        <v>8505196</v>
      </c>
      <c r="B3205" s="28" t="s">
        <v>10430</v>
      </c>
    </row>
    <row r="3206" spans="1:2" x14ac:dyDescent="0.25">
      <c r="A3206" s="27">
        <v>8505200</v>
      </c>
      <c r="B3206" s="28" t="s">
        <v>11895</v>
      </c>
    </row>
    <row r="3207" spans="1:2" x14ac:dyDescent="0.25">
      <c r="A3207" s="27">
        <v>8505201</v>
      </c>
      <c r="B3207" s="28" t="s">
        <v>10438</v>
      </c>
    </row>
    <row r="3208" spans="1:2" x14ac:dyDescent="0.25">
      <c r="A3208" s="27">
        <v>8505202</v>
      </c>
      <c r="B3208" s="28" t="s">
        <v>10434</v>
      </c>
    </row>
    <row r="3209" spans="1:2" x14ac:dyDescent="0.25">
      <c r="A3209" s="27">
        <v>8505203</v>
      </c>
      <c r="B3209" s="28" t="s">
        <v>11896</v>
      </c>
    </row>
    <row r="3210" spans="1:2" x14ac:dyDescent="0.25">
      <c r="A3210" s="27">
        <v>8505204</v>
      </c>
      <c r="B3210" s="28" t="s">
        <v>11897</v>
      </c>
    </row>
    <row r="3211" spans="1:2" x14ac:dyDescent="0.25">
      <c r="A3211" s="27">
        <v>8505205</v>
      </c>
      <c r="B3211" s="28" t="s">
        <v>10428</v>
      </c>
    </row>
    <row r="3212" spans="1:2" x14ac:dyDescent="0.25">
      <c r="A3212" s="27">
        <v>8505206</v>
      </c>
      <c r="B3212" s="28" t="s">
        <v>10433</v>
      </c>
    </row>
    <row r="3213" spans="1:2" x14ac:dyDescent="0.25">
      <c r="A3213" s="27">
        <v>8505207</v>
      </c>
      <c r="B3213" s="28" t="s">
        <v>10437</v>
      </c>
    </row>
    <row r="3214" spans="1:2" x14ac:dyDescent="0.25">
      <c r="A3214" s="27">
        <v>8505208</v>
      </c>
      <c r="B3214" s="25" t="s">
        <v>11898</v>
      </c>
    </row>
    <row r="3215" spans="1:2" x14ac:dyDescent="0.25">
      <c r="A3215" s="27">
        <v>8505209</v>
      </c>
      <c r="B3215" s="28" t="s">
        <v>10426</v>
      </c>
    </row>
    <row r="3216" spans="1:2" x14ac:dyDescent="0.25">
      <c r="A3216" s="27">
        <v>8505210</v>
      </c>
      <c r="B3216" s="28" t="s">
        <v>10436</v>
      </c>
    </row>
    <row r="3217" spans="1:2" x14ac:dyDescent="0.25">
      <c r="A3217" s="27">
        <v>8505211</v>
      </c>
      <c r="B3217" s="28" t="s">
        <v>10427</v>
      </c>
    </row>
    <row r="3218" spans="1:2" x14ac:dyDescent="0.25">
      <c r="A3218" s="27">
        <v>8505215</v>
      </c>
      <c r="B3218" s="28" t="s">
        <v>10439</v>
      </c>
    </row>
    <row r="3219" spans="1:2" x14ac:dyDescent="0.25">
      <c r="A3219" s="27">
        <v>8505216</v>
      </c>
      <c r="B3219" s="28" t="s">
        <v>11899</v>
      </c>
    </row>
    <row r="3220" spans="1:2" x14ac:dyDescent="0.25">
      <c r="A3220" s="27">
        <v>8505217</v>
      </c>
      <c r="B3220" s="28" t="s">
        <v>11900</v>
      </c>
    </row>
    <row r="3221" spans="1:2" x14ac:dyDescent="0.25">
      <c r="A3221" s="27">
        <v>8505219</v>
      </c>
      <c r="B3221" s="28" t="s">
        <v>11901</v>
      </c>
    </row>
    <row r="3222" spans="1:2" x14ac:dyDescent="0.25">
      <c r="A3222" s="27">
        <v>8505220</v>
      </c>
      <c r="B3222" s="28" t="s">
        <v>10443</v>
      </c>
    </row>
    <row r="3223" spans="1:2" x14ac:dyDescent="0.25">
      <c r="A3223" s="27">
        <v>8505221</v>
      </c>
      <c r="B3223" s="28" t="s">
        <v>10442</v>
      </c>
    </row>
    <row r="3224" spans="1:2" x14ac:dyDescent="0.25">
      <c r="A3224" s="27">
        <v>8505223</v>
      </c>
      <c r="B3224" s="28" t="s">
        <v>10424</v>
      </c>
    </row>
    <row r="3225" spans="1:2" x14ac:dyDescent="0.25">
      <c r="A3225" s="27">
        <v>8505224</v>
      </c>
      <c r="B3225" s="28" t="s">
        <v>10423</v>
      </c>
    </row>
    <row r="3226" spans="1:2" x14ac:dyDescent="0.25">
      <c r="A3226" s="27">
        <v>8505225</v>
      </c>
      <c r="B3226" s="28" t="s">
        <v>11902</v>
      </c>
    </row>
    <row r="3227" spans="1:2" x14ac:dyDescent="0.25">
      <c r="A3227" s="27">
        <v>8505233</v>
      </c>
      <c r="B3227" s="28" t="s">
        <v>10429</v>
      </c>
    </row>
    <row r="3228" spans="1:2" x14ac:dyDescent="0.25">
      <c r="A3228" s="27">
        <v>8505243</v>
      </c>
      <c r="B3228" s="28" t="s">
        <v>10435</v>
      </c>
    </row>
    <row r="3229" spans="1:2" x14ac:dyDescent="0.25">
      <c r="A3229" s="27">
        <v>8505250</v>
      </c>
      <c r="B3229" s="28" t="s">
        <v>10468</v>
      </c>
    </row>
    <row r="3230" spans="1:2" x14ac:dyDescent="0.25">
      <c r="A3230" s="27">
        <v>8505262</v>
      </c>
      <c r="B3230" s="28" t="s">
        <v>10425</v>
      </c>
    </row>
    <row r="3231" spans="1:2" x14ac:dyDescent="0.25">
      <c r="A3231" s="27">
        <v>8505263</v>
      </c>
      <c r="B3231" s="28" t="s">
        <v>11903</v>
      </c>
    </row>
    <row r="3232" spans="1:2" x14ac:dyDescent="0.25">
      <c r="A3232" s="27">
        <v>8505264</v>
      </c>
      <c r="B3232" s="28" t="s">
        <v>11904</v>
      </c>
    </row>
    <row r="3233" spans="1:2" x14ac:dyDescent="0.25">
      <c r="A3233" s="27" t="s">
        <v>13601</v>
      </c>
      <c r="B3233" s="28"/>
    </row>
    <row r="3234" spans="1:2" x14ac:dyDescent="0.25">
      <c r="A3234" s="27">
        <v>8505290</v>
      </c>
      <c r="B3234" s="28" t="s">
        <v>11905</v>
      </c>
    </row>
    <row r="3235" spans="1:2" x14ac:dyDescent="0.25">
      <c r="A3235" s="27">
        <v>8505291</v>
      </c>
      <c r="B3235" s="28" t="s">
        <v>11906</v>
      </c>
    </row>
    <row r="3236" spans="1:2" x14ac:dyDescent="0.25">
      <c r="A3236" s="27">
        <v>8505320</v>
      </c>
      <c r="B3236" s="28" t="s">
        <v>11907</v>
      </c>
    </row>
    <row r="3237" spans="1:2" x14ac:dyDescent="0.25">
      <c r="A3237" s="27">
        <v>8505322</v>
      </c>
      <c r="B3237" s="28" t="s">
        <v>11908</v>
      </c>
    </row>
    <row r="3238" spans="1:2" x14ac:dyDescent="0.25">
      <c r="A3238" s="27">
        <v>8505324</v>
      </c>
      <c r="B3238" s="28" t="s">
        <v>11909</v>
      </c>
    </row>
    <row r="3239" spans="1:2" x14ac:dyDescent="0.25">
      <c r="A3239" s="27">
        <v>8505329</v>
      </c>
      <c r="B3239" s="28" t="s">
        <v>10432</v>
      </c>
    </row>
    <row r="3240" spans="1:2" x14ac:dyDescent="0.25">
      <c r="A3240" s="27">
        <v>8505330</v>
      </c>
      <c r="B3240" s="28" t="s">
        <v>10470</v>
      </c>
    </row>
    <row r="3241" spans="1:2" x14ac:dyDescent="0.25">
      <c r="A3241" s="27">
        <v>8505331</v>
      </c>
      <c r="B3241" s="28" t="s">
        <v>10431</v>
      </c>
    </row>
    <row r="3242" spans="1:2" x14ac:dyDescent="0.25">
      <c r="A3242" s="27">
        <v>8505367</v>
      </c>
      <c r="B3242" s="28" t="s">
        <v>10469</v>
      </c>
    </row>
    <row r="3243" spans="1:2" x14ac:dyDescent="0.25">
      <c r="A3243" s="27">
        <v>8505401</v>
      </c>
      <c r="B3243" s="28" t="s">
        <v>10481</v>
      </c>
    </row>
    <row r="3244" spans="1:2" x14ac:dyDescent="0.25">
      <c r="A3244" s="27">
        <v>8505402</v>
      </c>
      <c r="B3244" s="28" t="s">
        <v>10485</v>
      </c>
    </row>
    <row r="3245" spans="1:2" x14ac:dyDescent="0.25">
      <c r="A3245" s="27">
        <v>8505403</v>
      </c>
      <c r="B3245" s="28" t="s">
        <v>10486</v>
      </c>
    </row>
    <row r="3246" spans="1:2" x14ac:dyDescent="0.25">
      <c r="A3246" s="27">
        <v>8505404</v>
      </c>
      <c r="B3246" s="28" t="s">
        <v>10482</v>
      </c>
    </row>
    <row r="3247" spans="1:2" x14ac:dyDescent="0.25">
      <c r="A3247" s="27">
        <v>8505405</v>
      </c>
      <c r="B3247" s="28" t="s">
        <v>10483</v>
      </c>
    </row>
    <row r="3248" spans="1:2" x14ac:dyDescent="0.25">
      <c r="A3248" s="27">
        <v>8505406</v>
      </c>
      <c r="B3248" s="28" t="s">
        <v>10484</v>
      </c>
    </row>
    <row r="3249" spans="1:2" x14ac:dyDescent="0.25">
      <c r="A3249" s="27">
        <v>8505590</v>
      </c>
      <c r="B3249" s="28" t="s">
        <v>13602</v>
      </c>
    </row>
    <row r="3250" spans="1:2" x14ac:dyDescent="0.25">
      <c r="A3250" s="27">
        <v>8505591</v>
      </c>
      <c r="B3250" s="28" t="s">
        <v>13603</v>
      </c>
    </row>
    <row r="3251" spans="1:2" x14ac:dyDescent="0.25">
      <c r="A3251" s="27">
        <v>8505600</v>
      </c>
      <c r="B3251" s="28" t="s">
        <v>10444</v>
      </c>
    </row>
    <row r="3252" spans="1:2" x14ac:dyDescent="0.25">
      <c r="A3252" s="27">
        <v>8505601</v>
      </c>
      <c r="B3252" s="28" t="s">
        <v>9948</v>
      </c>
    </row>
    <row r="3253" spans="1:2" x14ac:dyDescent="0.25">
      <c r="A3253" s="27">
        <v>8505602</v>
      </c>
      <c r="B3253" s="28" t="s">
        <v>9955</v>
      </c>
    </row>
    <row r="3254" spans="1:2" x14ac:dyDescent="0.25">
      <c r="A3254" s="27">
        <v>8505603</v>
      </c>
      <c r="B3254" s="28" t="s">
        <v>9960</v>
      </c>
    </row>
    <row r="3255" spans="1:2" x14ac:dyDescent="0.25">
      <c r="A3255" s="27">
        <v>8505604</v>
      </c>
      <c r="B3255" s="28" t="s">
        <v>9959</v>
      </c>
    </row>
    <row r="3256" spans="1:2" x14ac:dyDescent="0.25">
      <c r="A3256" s="27">
        <v>8505605</v>
      </c>
      <c r="B3256" s="28" t="s">
        <v>9966</v>
      </c>
    </row>
    <row r="3257" spans="1:2" x14ac:dyDescent="0.25">
      <c r="A3257" s="27">
        <v>8505606</v>
      </c>
      <c r="B3257" s="28" t="s">
        <v>9968</v>
      </c>
    </row>
    <row r="3258" spans="1:2" x14ac:dyDescent="0.25">
      <c r="A3258" s="27">
        <v>8505607</v>
      </c>
      <c r="B3258" s="28" t="s">
        <v>9962</v>
      </c>
    </row>
    <row r="3259" spans="1:2" x14ac:dyDescent="0.25">
      <c r="A3259" s="27">
        <v>8505650</v>
      </c>
      <c r="B3259" s="28" t="s">
        <v>8432</v>
      </c>
    </row>
    <row r="3260" spans="1:2" x14ac:dyDescent="0.25">
      <c r="A3260" s="27">
        <v>8505688</v>
      </c>
      <c r="B3260" s="28" t="s">
        <v>10902</v>
      </c>
    </row>
    <row r="3261" spans="1:2" x14ac:dyDescent="0.25">
      <c r="A3261" s="27">
        <v>8505689</v>
      </c>
      <c r="B3261" s="28" t="s">
        <v>10899</v>
      </c>
    </row>
    <row r="3262" spans="1:2" x14ac:dyDescent="0.25">
      <c r="A3262" s="27">
        <v>8505690</v>
      </c>
      <c r="B3262" s="28" t="s">
        <v>10898</v>
      </c>
    </row>
    <row r="3263" spans="1:2" x14ac:dyDescent="0.25">
      <c r="A3263" s="27">
        <v>8505691</v>
      </c>
      <c r="B3263" s="28" t="s">
        <v>10900</v>
      </c>
    </row>
    <row r="3264" spans="1:2" x14ac:dyDescent="0.25">
      <c r="A3264" s="27">
        <v>8505692</v>
      </c>
      <c r="B3264" s="28" t="s">
        <v>11910</v>
      </c>
    </row>
    <row r="3265" spans="1:2" x14ac:dyDescent="0.25">
      <c r="A3265" s="27">
        <v>8505693</v>
      </c>
      <c r="B3265" s="28" t="s">
        <v>10901</v>
      </c>
    </row>
    <row r="3266" spans="1:2" x14ac:dyDescent="0.25">
      <c r="A3266" s="27">
        <v>8505701</v>
      </c>
      <c r="B3266" s="28" t="s">
        <v>9947</v>
      </c>
    </row>
    <row r="3267" spans="1:2" x14ac:dyDescent="0.25">
      <c r="A3267" s="27">
        <v>8505702</v>
      </c>
      <c r="B3267" s="28" t="s">
        <v>11911</v>
      </c>
    </row>
    <row r="3268" spans="1:2" x14ac:dyDescent="0.25">
      <c r="A3268" s="27">
        <v>8505703</v>
      </c>
      <c r="B3268" s="28" t="s">
        <v>9952</v>
      </c>
    </row>
    <row r="3269" spans="1:2" x14ac:dyDescent="0.25">
      <c r="A3269" s="27">
        <v>8505704</v>
      </c>
      <c r="B3269" s="28" t="s">
        <v>9953</v>
      </c>
    </row>
    <row r="3270" spans="1:2" x14ac:dyDescent="0.25">
      <c r="A3270" s="27">
        <v>8505705</v>
      </c>
      <c r="B3270" s="28" t="s">
        <v>9951</v>
      </c>
    </row>
    <row r="3271" spans="1:2" x14ac:dyDescent="0.25">
      <c r="A3271" s="27">
        <v>8505706</v>
      </c>
      <c r="B3271" s="28" t="s">
        <v>9964</v>
      </c>
    </row>
    <row r="3272" spans="1:2" x14ac:dyDescent="0.25">
      <c r="A3272" s="27">
        <v>8505707</v>
      </c>
      <c r="B3272" s="28" t="s">
        <v>9961</v>
      </c>
    </row>
    <row r="3273" spans="1:2" x14ac:dyDescent="0.25">
      <c r="A3273" s="27">
        <v>8505708</v>
      </c>
      <c r="B3273" s="25" t="s">
        <v>11912</v>
      </c>
    </row>
    <row r="3274" spans="1:2" x14ac:dyDescent="0.25">
      <c r="A3274" s="27">
        <v>8505709</v>
      </c>
      <c r="B3274" s="28" t="s">
        <v>11913</v>
      </c>
    </row>
    <row r="3275" spans="1:2" x14ac:dyDescent="0.25">
      <c r="A3275" s="27">
        <v>8505710</v>
      </c>
      <c r="B3275" s="28" t="s">
        <v>11914</v>
      </c>
    </row>
    <row r="3276" spans="1:2" x14ac:dyDescent="0.25">
      <c r="A3276" s="27">
        <v>8505711</v>
      </c>
      <c r="B3276" s="28" t="s">
        <v>11915</v>
      </c>
    </row>
    <row r="3277" spans="1:2" x14ac:dyDescent="0.25">
      <c r="A3277" s="27">
        <v>8505712</v>
      </c>
      <c r="B3277" s="28" t="s">
        <v>11916</v>
      </c>
    </row>
    <row r="3278" spans="1:2" x14ac:dyDescent="0.25">
      <c r="A3278" s="27">
        <v>8505713</v>
      </c>
      <c r="B3278" s="28" t="s">
        <v>11917</v>
      </c>
    </row>
    <row r="3279" spans="1:2" x14ac:dyDescent="0.25">
      <c r="A3279" s="27">
        <v>8505714</v>
      </c>
      <c r="B3279" s="28" t="s">
        <v>11918</v>
      </c>
    </row>
    <row r="3280" spans="1:2" x14ac:dyDescent="0.25">
      <c r="A3280" s="27">
        <v>8505715</v>
      </c>
      <c r="B3280" s="28" t="s">
        <v>9970</v>
      </c>
    </row>
    <row r="3281" spans="1:2" x14ac:dyDescent="0.25">
      <c r="A3281" s="27">
        <v>8505789</v>
      </c>
      <c r="B3281" s="28" t="s">
        <v>10515</v>
      </c>
    </row>
    <row r="3282" spans="1:2" x14ac:dyDescent="0.25">
      <c r="A3282" s="27">
        <v>8505800</v>
      </c>
      <c r="B3282" s="28" t="s">
        <v>10464</v>
      </c>
    </row>
    <row r="3283" spans="1:2" x14ac:dyDescent="0.25">
      <c r="A3283" s="27">
        <v>8505801</v>
      </c>
      <c r="B3283" s="28" t="s">
        <v>10465</v>
      </c>
    </row>
    <row r="3284" spans="1:2" x14ac:dyDescent="0.25">
      <c r="A3284" s="27">
        <v>8505809</v>
      </c>
      <c r="B3284" s="28" t="s">
        <v>11919</v>
      </c>
    </row>
    <row r="3285" spans="1:2" x14ac:dyDescent="0.25">
      <c r="A3285" s="27">
        <v>8505810</v>
      </c>
      <c r="B3285" s="28" t="s">
        <v>11920</v>
      </c>
    </row>
    <row r="3286" spans="1:2" x14ac:dyDescent="0.25">
      <c r="A3286" s="27">
        <v>8505820</v>
      </c>
      <c r="B3286" s="28" t="s">
        <v>8430</v>
      </c>
    </row>
    <row r="3287" spans="1:2" x14ac:dyDescent="0.25">
      <c r="A3287" s="27">
        <v>8505821</v>
      </c>
      <c r="B3287" s="28" t="s">
        <v>8427</v>
      </c>
    </row>
    <row r="3288" spans="1:2" x14ac:dyDescent="0.25">
      <c r="A3288" s="27">
        <v>8505822</v>
      </c>
      <c r="B3288" s="28" t="s">
        <v>8426</v>
      </c>
    </row>
    <row r="3289" spans="1:2" x14ac:dyDescent="0.25">
      <c r="A3289" s="27">
        <v>8505823</v>
      </c>
      <c r="B3289" s="28" t="s">
        <v>8429</v>
      </c>
    </row>
    <row r="3290" spans="1:2" x14ac:dyDescent="0.25">
      <c r="A3290" s="27">
        <v>8505824</v>
      </c>
      <c r="B3290" s="28" t="s">
        <v>8428</v>
      </c>
    </row>
    <row r="3291" spans="1:2" x14ac:dyDescent="0.25">
      <c r="A3291" s="27">
        <v>8505825</v>
      </c>
      <c r="B3291" s="28" t="s">
        <v>8431</v>
      </c>
    </row>
    <row r="3292" spans="1:2" x14ac:dyDescent="0.25">
      <c r="A3292" s="27">
        <v>8505826</v>
      </c>
      <c r="B3292" s="28" t="s">
        <v>8433</v>
      </c>
    </row>
    <row r="3293" spans="1:2" x14ac:dyDescent="0.25">
      <c r="A3293" s="27">
        <v>8505827</v>
      </c>
      <c r="B3293" s="28" t="s">
        <v>8425</v>
      </c>
    </row>
    <row r="3294" spans="1:2" x14ac:dyDescent="0.25">
      <c r="A3294" s="27">
        <v>8505838</v>
      </c>
      <c r="B3294" s="28" t="s">
        <v>11921</v>
      </c>
    </row>
    <row r="3295" spans="1:2" x14ac:dyDescent="0.25">
      <c r="A3295" s="27">
        <v>8507002</v>
      </c>
      <c r="B3295" s="28" t="s">
        <v>10873</v>
      </c>
    </row>
    <row r="3296" spans="1:2" x14ac:dyDescent="0.25">
      <c r="A3296" s="27">
        <v>8508065</v>
      </c>
      <c r="B3296" s="28" t="s">
        <v>11922</v>
      </c>
    </row>
    <row r="3297" spans="1:2" x14ac:dyDescent="0.25">
      <c r="A3297" s="27">
        <v>8508121</v>
      </c>
      <c r="B3297" s="28" t="s">
        <v>11923</v>
      </c>
    </row>
    <row r="3298" spans="1:2" x14ac:dyDescent="0.25">
      <c r="A3298" s="27">
        <v>850812160</v>
      </c>
      <c r="B3298" s="28" t="s">
        <v>11923</v>
      </c>
    </row>
    <row r="3299" spans="1:2" x14ac:dyDescent="0.25">
      <c r="A3299" s="27">
        <v>8508132</v>
      </c>
      <c r="B3299" s="28" t="s">
        <v>9395</v>
      </c>
    </row>
    <row r="3300" spans="1:2" x14ac:dyDescent="0.25">
      <c r="A3300" s="27">
        <v>850814110</v>
      </c>
      <c r="B3300" s="28" t="s">
        <v>11924</v>
      </c>
    </row>
    <row r="3301" spans="1:2" x14ac:dyDescent="0.25">
      <c r="A3301" s="27">
        <v>850822000</v>
      </c>
      <c r="B3301" s="28" t="s">
        <v>11925</v>
      </c>
    </row>
    <row r="3302" spans="1:2" x14ac:dyDescent="0.25">
      <c r="A3302" s="27">
        <v>8508507</v>
      </c>
      <c r="B3302" s="28" t="s">
        <v>10061</v>
      </c>
    </row>
    <row r="3303" spans="1:2" x14ac:dyDescent="0.25">
      <c r="A3303" s="27">
        <v>850850712</v>
      </c>
      <c r="B3303" s="27">
        <v>850850712</v>
      </c>
    </row>
    <row r="3304" spans="1:2" x14ac:dyDescent="0.25">
      <c r="A3304" s="27">
        <v>8509729</v>
      </c>
      <c r="B3304" s="28" t="s">
        <v>9422</v>
      </c>
    </row>
    <row r="3305" spans="1:2" x14ac:dyDescent="0.25">
      <c r="A3305" s="27">
        <v>8511115</v>
      </c>
      <c r="B3305" s="28" t="s">
        <v>10202</v>
      </c>
    </row>
    <row r="3306" spans="1:2" x14ac:dyDescent="0.25">
      <c r="A3306" s="27">
        <v>8511421</v>
      </c>
      <c r="B3306" s="28" t="s">
        <v>8854</v>
      </c>
    </row>
    <row r="3307" spans="1:2" x14ac:dyDescent="0.25">
      <c r="A3307" s="27">
        <v>8511446</v>
      </c>
      <c r="B3307" s="28" t="s">
        <v>11926</v>
      </c>
    </row>
    <row r="3308" spans="1:2" x14ac:dyDescent="0.25">
      <c r="A3308" s="27">
        <v>8511522</v>
      </c>
      <c r="B3308" s="28" t="s">
        <v>8853</v>
      </c>
    </row>
    <row r="3309" spans="1:2" x14ac:dyDescent="0.25">
      <c r="A3309" s="27">
        <v>8511744</v>
      </c>
      <c r="B3309" s="28" t="s">
        <v>8852</v>
      </c>
    </row>
    <row r="3310" spans="1:2" x14ac:dyDescent="0.25">
      <c r="A3310" s="27">
        <v>8513001</v>
      </c>
      <c r="B3310" s="28" t="s">
        <v>11927</v>
      </c>
    </row>
    <row r="3311" spans="1:2" x14ac:dyDescent="0.25">
      <c r="A3311" s="27">
        <v>8513012</v>
      </c>
      <c r="B3311" s="28" t="s">
        <v>9136</v>
      </c>
    </row>
    <row r="3312" spans="1:2" x14ac:dyDescent="0.25">
      <c r="A3312" s="27">
        <v>8513160</v>
      </c>
      <c r="B3312" s="28" t="s">
        <v>10060</v>
      </c>
    </row>
    <row r="3313" spans="1:2" x14ac:dyDescent="0.25">
      <c r="A3313" s="27">
        <v>8513173</v>
      </c>
      <c r="B3313" s="28" t="s">
        <v>10003</v>
      </c>
    </row>
    <row r="3314" spans="1:2" x14ac:dyDescent="0.25">
      <c r="A3314" s="27">
        <v>8513174</v>
      </c>
      <c r="B3314" s="28" t="s">
        <v>10005</v>
      </c>
    </row>
    <row r="3315" spans="1:2" x14ac:dyDescent="0.25">
      <c r="A3315" s="27">
        <v>8513175</v>
      </c>
      <c r="B3315" s="28" t="s">
        <v>8424</v>
      </c>
    </row>
    <row r="3316" spans="1:2" x14ac:dyDescent="0.25">
      <c r="A3316" s="27">
        <v>8513202</v>
      </c>
      <c r="B3316" s="28" t="s">
        <v>13604</v>
      </c>
    </row>
    <row r="3317" spans="1:2" x14ac:dyDescent="0.25">
      <c r="A3317" s="27">
        <v>8513224</v>
      </c>
      <c r="B3317" s="28" t="s">
        <v>11928</v>
      </c>
    </row>
    <row r="3318" spans="1:2" x14ac:dyDescent="0.25">
      <c r="A3318" s="27">
        <v>8513243</v>
      </c>
      <c r="B3318" s="28" t="s">
        <v>11929</v>
      </c>
    </row>
    <row r="3319" spans="1:2" x14ac:dyDescent="0.25">
      <c r="A3319" s="27">
        <v>8513244</v>
      </c>
      <c r="B3319" s="28" t="s">
        <v>9135</v>
      </c>
    </row>
    <row r="3320" spans="1:2" x14ac:dyDescent="0.25">
      <c r="A3320" s="27">
        <v>8513245</v>
      </c>
      <c r="B3320" s="28" t="s">
        <v>11930</v>
      </c>
    </row>
    <row r="3321" spans="1:2" x14ac:dyDescent="0.25">
      <c r="A3321" s="27">
        <v>8513303</v>
      </c>
      <c r="B3321" s="28" t="s">
        <v>10387</v>
      </c>
    </row>
    <row r="3322" spans="1:2" x14ac:dyDescent="0.25">
      <c r="A3322" s="27">
        <v>8513405</v>
      </c>
      <c r="B3322" s="28" t="s">
        <v>10004</v>
      </c>
    </row>
    <row r="3323" spans="1:2" x14ac:dyDescent="0.25">
      <c r="A3323" s="27">
        <v>8515001</v>
      </c>
      <c r="B3323" s="28" t="s">
        <v>11931</v>
      </c>
    </row>
    <row r="3324" spans="1:2" x14ac:dyDescent="0.25">
      <c r="A3324" s="27">
        <v>8515004</v>
      </c>
      <c r="B3324" s="28" t="s">
        <v>11932</v>
      </c>
    </row>
    <row r="3325" spans="1:2" x14ac:dyDescent="0.25">
      <c r="A3325" s="27">
        <v>8515180</v>
      </c>
      <c r="B3325" s="28" t="s">
        <v>10059</v>
      </c>
    </row>
    <row r="3326" spans="1:2" x14ac:dyDescent="0.25">
      <c r="A3326" s="27">
        <v>8515181</v>
      </c>
      <c r="B3326" s="28" t="s">
        <v>10847</v>
      </c>
    </row>
    <row r="3327" spans="1:2" x14ac:dyDescent="0.25">
      <c r="A3327" s="27">
        <v>8515740</v>
      </c>
      <c r="B3327" s="28" t="s">
        <v>9380</v>
      </c>
    </row>
    <row r="3328" spans="1:2" x14ac:dyDescent="0.25">
      <c r="A3328" s="27">
        <v>8515746</v>
      </c>
      <c r="B3328" s="28" t="s">
        <v>9376</v>
      </c>
    </row>
    <row r="3329" spans="1:2" x14ac:dyDescent="0.25">
      <c r="A3329" s="27">
        <v>8515747</v>
      </c>
      <c r="B3329" s="28" t="s">
        <v>9375</v>
      </c>
    </row>
    <row r="3330" spans="1:2" x14ac:dyDescent="0.25">
      <c r="A3330" s="27">
        <v>8515748</v>
      </c>
      <c r="B3330" s="28" t="s">
        <v>9379</v>
      </c>
    </row>
    <row r="3331" spans="1:2" x14ac:dyDescent="0.25">
      <c r="A3331" s="27">
        <v>8515749</v>
      </c>
      <c r="B3331" s="28" t="s">
        <v>9378</v>
      </c>
    </row>
    <row r="3332" spans="1:2" x14ac:dyDescent="0.25">
      <c r="A3332" s="27">
        <v>8515750</v>
      </c>
      <c r="B3332" s="28" t="s">
        <v>12358</v>
      </c>
    </row>
    <row r="3333" spans="1:2" x14ac:dyDescent="0.25">
      <c r="A3333" s="27">
        <v>8515751</v>
      </c>
      <c r="B3333" s="28" t="s">
        <v>12471</v>
      </c>
    </row>
    <row r="3334" spans="1:2" x14ac:dyDescent="0.25">
      <c r="A3334" s="27">
        <v>8515760</v>
      </c>
      <c r="B3334" s="28" t="s">
        <v>9377</v>
      </c>
    </row>
    <row r="3335" spans="1:2" x14ac:dyDescent="0.25">
      <c r="A3335" s="27">
        <v>8515770</v>
      </c>
      <c r="B3335" s="28" t="s">
        <v>11933</v>
      </c>
    </row>
    <row r="3336" spans="1:2" x14ac:dyDescent="0.25">
      <c r="A3336" s="27">
        <v>8516000</v>
      </c>
      <c r="B3336" s="28" t="s">
        <v>10643</v>
      </c>
    </row>
    <row r="3337" spans="1:2" x14ac:dyDescent="0.25">
      <c r="A3337" s="27">
        <v>8517000</v>
      </c>
      <c r="B3337" s="28" t="s">
        <v>9798</v>
      </c>
    </row>
    <row r="3338" spans="1:2" x14ac:dyDescent="0.25">
      <c r="A3338" s="27">
        <v>8517001</v>
      </c>
      <c r="B3338" s="28" t="s">
        <v>11934</v>
      </c>
    </row>
    <row r="3339" spans="1:2" x14ac:dyDescent="0.25">
      <c r="A3339" s="27">
        <v>8517004</v>
      </c>
      <c r="B3339" s="28" t="s">
        <v>9787</v>
      </c>
    </row>
    <row r="3340" spans="1:2" x14ac:dyDescent="0.25">
      <c r="A3340" s="27">
        <v>8517035</v>
      </c>
      <c r="B3340" s="28" t="s">
        <v>11935</v>
      </c>
    </row>
    <row r="3341" spans="1:2" x14ac:dyDescent="0.25">
      <c r="A3341" s="27">
        <v>8517050</v>
      </c>
      <c r="B3341" s="28" t="s">
        <v>9790</v>
      </c>
    </row>
    <row r="3342" spans="1:2" x14ac:dyDescent="0.25">
      <c r="A3342" s="27">
        <v>8517051</v>
      </c>
      <c r="B3342" s="28" t="s">
        <v>9781</v>
      </c>
    </row>
    <row r="3343" spans="1:2" x14ac:dyDescent="0.25">
      <c r="A3343" s="27">
        <v>8517103</v>
      </c>
      <c r="B3343" s="28" t="s">
        <v>9784</v>
      </c>
    </row>
    <row r="3344" spans="1:2" x14ac:dyDescent="0.25">
      <c r="A3344" s="27">
        <v>851710307</v>
      </c>
      <c r="B3344" s="28" t="s">
        <v>11936</v>
      </c>
    </row>
    <row r="3345" spans="1:2" x14ac:dyDescent="0.25">
      <c r="A3345" s="27">
        <v>851710308</v>
      </c>
      <c r="B3345" s="28" t="s">
        <v>11937</v>
      </c>
    </row>
    <row r="3346" spans="1:2" x14ac:dyDescent="0.25">
      <c r="A3346" s="27">
        <v>851710309</v>
      </c>
      <c r="B3346" s="28" t="s">
        <v>11938</v>
      </c>
    </row>
    <row r="3347" spans="1:2" x14ac:dyDescent="0.25">
      <c r="A3347" s="27">
        <v>851710310</v>
      </c>
      <c r="B3347" s="28" t="s">
        <v>11939</v>
      </c>
    </row>
    <row r="3348" spans="1:2" x14ac:dyDescent="0.25">
      <c r="A3348" s="27">
        <v>851710375</v>
      </c>
      <c r="B3348" s="28" t="s">
        <v>11940</v>
      </c>
    </row>
    <row r="3349" spans="1:2" x14ac:dyDescent="0.25">
      <c r="A3349" s="27">
        <v>851710385</v>
      </c>
      <c r="B3349" s="28" t="s">
        <v>11941</v>
      </c>
    </row>
    <row r="3350" spans="1:2" x14ac:dyDescent="0.25">
      <c r="A3350" s="27">
        <v>851710395</v>
      </c>
      <c r="B3350" s="28" t="s">
        <v>11942</v>
      </c>
    </row>
    <row r="3351" spans="1:2" x14ac:dyDescent="0.25">
      <c r="A3351" s="27">
        <v>8517104</v>
      </c>
      <c r="B3351" s="28" t="s">
        <v>11943</v>
      </c>
    </row>
    <row r="3352" spans="1:2" x14ac:dyDescent="0.25">
      <c r="A3352" s="27">
        <v>8517110</v>
      </c>
      <c r="B3352" s="28" t="s">
        <v>9786</v>
      </c>
    </row>
    <row r="3353" spans="1:2" x14ac:dyDescent="0.25">
      <c r="A3353" s="27">
        <v>8517235</v>
      </c>
      <c r="B3353" s="28" t="s">
        <v>9783</v>
      </c>
    </row>
    <row r="3354" spans="1:2" x14ac:dyDescent="0.25">
      <c r="A3354" s="27">
        <v>8517300</v>
      </c>
      <c r="B3354" s="28" t="s">
        <v>9788</v>
      </c>
    </row>
    <row r="3355" spans="1:2" x14ac:dyDescent="0.25">
      <c r="A3355" s="27">
        <v>8517408</v>
      </c>
      <c r="B3355" s="28" t="s">
        <v>9785</v>
      </c>
    </row>
    <row r="3356" spans="1:2" x14ac:dyDescent="0.25">
      <c r="A3356" s="27">
        <v>8517900</v>
      </c>
      <c r="B3356" s="28" t="s">
        <v>9795</v>
      </c>
    </row>
    <row r="3357" spans="1:2" x14ac:dyDescent="0.25">
      <c r="A3357" s="27">
        <v>8517901</v>
      </c>
      <c r="B3357" s="28" t="s">
        <v>9792</v>
      </c>
    </row>
    <row r="3358" spans="1:2" x14ac:dyDescent="0.25">
      <c r="A3358" s="27">
        <v>8517902</v>
      </c>
      <c r="B3358" s="28" t="s">
        <v>9797</v>
      </c>
    </row>
    <row r="3359" spans="1:2" x14ac:dyDescent="0.25">
      <c r="A3359" s="27">
        <v>8517903</v>
      </c>
      <c r="B3359" s="28" t="s">
        <v>9793</v>
      </c>
    </row>
    <row r="3360" spans="1:2" x14ac:dyDescent="0.25">
      <c r="A3360" s="27">
        <v>8517904</v>
      </c>
      <c r="B3360" s="28" t="s">
        <v>9796</v>
      </c>
    </row>
    <row r="3361" spans="1:2" x14ac:dyDescent="0.25">
      <c r="A3361" s="27">
        <v>8517905</v>
      </c>
      <c r="B3361" s="28" t="s">
        <v>9794</v>
      </c>
    </row>
    <row r="3362" spans="1:2" x14ac:dyDescent="0.25">
      <c r="A3362" s="27">
        <v>8517906</v>
      </c>
      <c r="B3362" s="28" t="s">
        <v>9791</v>
      </c>
    </row>
    <row r="3363" spans="1:2" x14ac:dyDescent="0.25">
      <c r="A3363" s="27">
        <v>8517907</v>
      </c>
      <c r="B3363" s="28" t="s">
        <v>9782</v>
      </c>
    </row>
    <row r="3364" spans="1:2" x14ac:dyDescent="0.25">
      <c r="A3364" s="27">
        <v>8518000</v>
      </c>
      <c r="B3364" s="28" t="s">
        <v>11944</v>
      </c>
    </row>
    <row r="3365" spans="1:2" x14ac:dyDescent="0.25">
      <c r="A3365" s="27">
        <v>8518011</v>
      </c>
      <c r="B3365" s="28" t="s">
        <v>10071</v>
      </c>
    </row>
    <row r="3366" spans="1:2" x14ac:dyDescent="0.25">
      <c r="A3366" s="27">
        <v>8518012</v>
      </c>
      <c r="B3366" s="28" t="s">
        <v>11945</v>
      </c>
    </row>
    <row r="3367" spans="1:2" x14ac:dyDescent="0.25">
      <c r="A3367" s="27">
        <v>8518013</v>
      </c>
      <c r="B3367" s="28" t="s">
        <v>10070</v>
      </c>
    </row>
    <row r="3368" spans="1:2" x14ac:dyDescent="0.25">
      <c r="A3368" s="27">
        <v>8518014</v>
      </c>
      <c r="B3368" s="28" t="s">
        <v>10068</v>
      </c>
    </row>
    <row r="3369" spans="1:2" x14ac:dyDescent="0.25">
      <c r="A3369" s="27">
        <v>8518015</v>
      </c>
      <c r="B3369" s="28" t="s">
        <v>11946</v>
      </c>
    </row>
    <row r="3370" spans="1:2" x14ac:dyDescent="0.25">
      <c r="A3370" s="27">
        <v>8518016</v>
      </c>
      <c r="B3370" s="28" t="s">
        <v>11947</v>
      </c>
    </row>
    <row r="3371" spans="1:2" x14ac:dyDescent="0.25">
      <c r="A3371" s="27">
        <v>8518017</v>
      </c>
      <c r="B3371" s="28" t="s">
        <v>11948</v>
      </c>
    </row>
    <row r="3372" spans="1:2" x14ac:dyDescent="0.25">
      <c r="A3372" s="27">
        <v>8518018</v>
      </c>
      <c r="B3372" s="28" t="s">
        <v>11949</v>
      </c>
    </row>
    <row r="3373" spans="1:2" x14ac:dyDescent="0.25">
      <c r="A3373" s="27">
        <v>8518019</v>
      </c>
      <c r="B3373" s="28" t="s">
        <v>11950</v>
      </c>
    </row>
    <row r="3374" spans="1:2" x14ac:dyDescent="0.25">
      <c r="A3374" s="27">
        <v>8518159</v>
      </c>
      <c r="B3374" s="28" t="s">
        <v>9421</v>
      </c>
    </row>
    <row r="3375" spans="1:2" x14ac:dyDescent="0.25">
      <c r="A3375" s="27">
        <v>8518300</v>
      </c>
      <c r="B3375" s="28" t="s">
        <v>10072</v>
      </c>
    </row>
    <row r="3376" spans="1:2" x14ac:dyDescent="0.25">
      <c r="A3376" s="27">
        <v>8518753</v>
      </c>
      <c r="B3376" s="28" t="s">
        <v>9370</v>
      </c>
    </row>
    <row r="3377" spans="1:2" x14ac:dyDescent="0.25">
      <c r="A3377" s="27">
        <v>8518789</v>
      </c>
      <c r="B3377" s="28" t="s">
        <v>9420</v>
      </c>
    </row>
    <row r="3378" spans="1:2" x14ac:dyDescent="0.25">
      <c r="A3378" s="27">
        <v>8519021</v>
      </c>
      <c r="B3378" s="28" t="s">
        <v>11951</v>
      </c>
    </row>
    <row r="3379" spans="1:2" x14ac:dyDescent="0.25">
      <c r="A3379" s="27">
        <v>8519022</v>
      </c>
      <c r="B3379" s="28" t="s">
        <v>8391</v>
      </c>
    </row>
    <row r="3380" spans="1:2" x14ac:dyDescent="0.25">
      <c r="A3380" s="27">
        <v>8519040</v>
      </c>
      <c r="B3380" s="28" t="s">
        <v>11952</v>
      </c>
    </row>
    <row r="3381" spans="1:2" x14ac:dyDescent="0.25">
      <c r="A3381" s="27">
        <v>8519041</v>
      </c>
      <c r="B3381" s="28" t="s">
        <v>8388</v>
      </c>
    </row>
    <row r="3382" spans="1:2" x14ac:dyDescent="0.25">
      <c r="A3382" s="27">
        <v>8519042</v>
      </c>
      <c r="B3382" s="28" t="s">
        <v>13605</v>
      </c>
    </row>
    <row r="3383" spans="1:2" x14ac:dyDescent="0.25">
      <c r="A3383" s="27">
        <v>8519043</v>
      </c>
      <c r="B3383" s="28" t="s">
        <v>11953</v>
      </c>
    </row>
    <row r="3384" spans="1:2" x14ac:dyDescent="0.25">
      <c r="A3384" s="27">
        <v>8519044</v>
      </c>
      <c r="B3384" s="28" t="s">
        <v>8387</v>
      </c>
    </row>
    <row r="3385" spans="1:2" x14ac:dyDescent="0.25">
      <c r="A3385" s="27">
        <v>8519060</v>
      </c>
      <c r="B3385" s="28" t="s">
        <v>8386</v>
      </c>
    </row>
    <row r="3386" spans="1:2" x14ac:dyDescent="0.25">
      <c r="A3386" s="27">
        <v>851949714</v>
      </c>
      <c r="B3386" s="28" t="s">
        <v>11954</v>
      </c>
    </row>
    <row r="3387" spans="1:2" x14ac:dyDescent="0.25">
      <c r="A3387" s="27">
        <v>851949822</v>
      </c>
      <c r="B3387" s="28" t="s">
        <v>11955</v>
      </c>
    </row>
    <row r="3388" spans="1:2" x14ac:dyDescent="0.25">
      <c r="A3388" s="27">
        <v>8519499</v>
      </c>
      <c r="B3388" s="28" t="s">
        <v>11956</v>
      </c>
    </row>
    <row r="3389" spans="1:2" x14ac:dyDescent="0.25">
      <c r="A3389" s="27">
        <v>8519500</v>
      </c>
      <c r="B3389" s="28" t="s">
        <v>8389</v>
      </c>
    </row>
    <row r="3390" spans="1:2" x14ac:dyDescent="0.25">
      <c r="A3390" s="27">
        <v>851950099</v>
      </c>
      <c r="B3390" s="28" t="s">
        <v>11957</v>
      </c>
    </row>
    <row r="3391" spans="1:2" x14ac:dyDescent="0.25">
      <c r="A3391" s="27">
        <v>8519502</v>
      </c>
      <c r="B3391" s="28" t="s">
        <v>8390</v>
      </c>
    </row>
    <row r="3392" spans="1:2" x14ac:dyDescent="0.25">
      <c r="A3392" s="27">
        <v>8520000</v>
      </c>
      <c r="B3392" s="28" t="s">
        <v>10032</v>
      </c>
    </row>
    <row r="3393" spans="1:2" x14ac:dyDescent="0.25">
      <c r="A3393" s="27">
        <v>8520001</v>
      </c>
      <c r="B3393" s="28" t="s">
        <v>11958</v>
      </c>
    </row>
    <row r="3394" spans="1:2" x14ac:dyDescent="0.25">
      <c r="A3394" s="27">
        <v>8520003</v>
      </c>
      <c r="B3394" s="28" t="s">
        <v>10048</v>
      </c>
    </row>
    <row r="3395" spans="1:2" x14ac:dyDescent="0.25">
      <c r="A3395" s="27">
        <v>85200038</v>
      </c>
      <c r="B3395" s="28" t="s">
        <v>11959</v>
      </c>
    </row>
    <row r="3396" spans="1:2" x14ac:dyDescent="0.25">
      <c r="A3396" s="27">
        <v>8520004</v>
      </c>
      <c r="B3396" s="28" t="s">
        <v>10760</v>
      </c>
    </row>
    <row r="3397" spans="1:2" x14ac:dyDescent="0.25">
      <c r="A3397" s="27">
        <v>8520005</v>
      </c>
      <c r="B3397" s="28" t="s">
        <v>10054</v>
      </c>
    </row>
    <row r="3398" spans="1:2" x14ac:dyDescent="0.25">
      <c r="A3398" s="27">
        <v>8520006</v>
      </c>
      <c r="B3398" s="28" t="s">
        <v>11960</v>
      </c>
    </row>
    <row r="3399" spans="1:2" x14ac:dyDescent="0.25">
      <c r="A3399" s="27">
        <v>8520007</v>
      </c>
      <c r="B3399" s="28" t="s">
        <v>10008</v>
      </c>
    </row>
    <row r="3400" spans="1:2" x14ac:dyDescent="0.25">
      <c r="A3400" s="27">
        <v>8520008</v>
      </c>
      <c r="B3400" s="28" t="s">
        <v>11961</v>
      </c>
    </row>
    <row r="3401" spans="1:2" x14ac:dyDescent="0.25">
      <c r="A3401" s="27">
        <v>8520009</v>
      </c>
      <c r="B3401" s="28" t="s">
        <v>9126</v>
      </c>
    </row>
    <row r="3402" spans="1:2" x14ac:dyDescent="0.25">
      <c r="A3402" s="27">
        <v>8520010</v>
      </c>
      <c r="B3402" s="28" t="s">
        <v>9127</v>
      </c>
    </row>
    <row r="3403" spans="1:2" x14ac:dyDescent="0.25">
      <c r="A3403" s="27">
        <v>8520011</v>
      </c>
      <c r="B3403" s="28" t="s">
        <v>11962</v>
      </c>
    </row>
    <row r="3404" spans="1:2" x14ac:dyDescent="0.25">
      <c r="A3404" s="27">
        <v>8520012</v>
      </c>
      <c r="B3404" s="28" t="s">
        <v>11963</v>
      </c>
    </row>
    <row r="3405" spans="1:2" x14ac:dyDescent="0.25">
      <c r="A3405" s="27">
        <v>8520013</v>
      </c>
      <c r="B3405" s="28" t="s">
        <v>11964</v>
      </c>
    </row>
    <row r="3406" spans="1:2" x14ac:dyDescent="0.25">
      <c r="A3406" s="27">
        <v>8520014</v>
      </c>
      <c r="B3406" s="28" t="s">
        <v>10040</v>
      </c>
    </row>
    <row r="3407" spans="1:2" x14ac:dyDescent="0.25">
      <c r="A3407" s="27">
        <v>8520015</v>
      </c>
      <c r="B3407" s="28" t="s">
        <v>11965</v>
      </c>
    </row>
    <row r="3408" spans="1:2" x14ac:dyDescent="0.25">
      <c r="A3408" s="27">
        <v>8520016</v>
      </c>
      <c r="B3408" s="28" t="s">
        <v>10053</v>
      </c>
    </row>
    <row r="3409" spans="1:2" x14ac:dyDescent="0.25">
      <c r="A3409" s="27">
        <v>8520017</v>
      </c>
      <c r="B3409" s="28" t="s">
        <v>10215</v>
      </c>
    </row>
    <row r="3410" spans="1:2" x14ac:dyDescent="0.25">
      <c r="A3410" s="27">
        <v>8520018</v>
      </c>
      <c r="B3410" s="28" t="s">
        <v>11966</v>
      </c>
    </row>
    <row r="3411" spans="1:2" x14ac:dyDescent="0.25">
      <c r="A3411" s="27">
        <v>8520019</v>
      </c>
      <c r="B3411" s="28" t="s">
        <v>11967</v>
      </c>
    </row>
    <row r="3412" spans="1:2" x14ac:dyDescent="0.25">
      <c r="A3412" s="27">
        <v>8520020</v>
      </c>
      <c r="B3412" s="28" t="s">
        <v>11968</v>
      </c>
    </row>
    <row r="3413" spans="1:2" x14ac:dyDescent="0.25">
      <c r="A3413" s="27">
        <v>8520021</v>
      </c>
      <c r="B3413" s="28" t="s">
        <v>11968</v>
      </c>
    </row>
    <row r="3414" spans="1:2" x14ac:dyDescent="0.25">
      <c r="A3414" s="27">
        <v>8520022</v>
      </c>
      <c r="B3414" s="28" t="s">
        <v>11969</v>
      </c>
    </row>
    <row r="3415" spans="1:2" x14ac:dyDescent="0.25">
      <c r="A3415" s="27">
        <v>8520023</v>
      </c>
      <c r="B3415" s="28" t="s">
        <v>11970</v>
      </c>
    </row>
    <row r="3416" spans="1:2" x14ac:dyDescent="0.25">
      <c r="A3416" s="27">
        <v>8520024</v>
      </c>
      <c r="B3416" s="28" t="s">
        <v>11971</v>
      </c>
    </row>
    <row r="3417" spans="1:2" x14ac:dyDescent="0.25">
      <c r="A3417" s="27">
        <v>8520025</v>
      </c>
      <c r="B3417" s="28" t="s">
        <v>10041</v>
      </c>
    </row>
    <row r="3418" spans="1:2" x14ac:dyDescent="0.25">
      <c r="A3418" s="27">
        <v>8520026</v>
      </c>
      <c r="B3418" s="28" t="s">
        <v>10030</v>
      </c>
    </row>
    <row r="3419" spans="1:2" x14ac:dyDescent="0.25">
      <c r="A3419" s="27">
        <v>8520027</v>
      </c>
      <c r="B3419" s="28" t="s">
        <v>11972</v>
      </c>
    </row>
    <row r="3420" spans="1:2" x14ac:dyDescent="0.25">
      <c r="A3420" s="27">
        <v>8520028</v>
      </c>
      <c r="B3420" s="28" t="s">
        <v>11973</v>
      </c>
    </row>
    <row r="3421" spans="1:2" x14ac:dyDescent="0.25">
      <c r="A3421" s="27">
        <v>8520029</v>
      </c>
      <c r="B3421" s="28" t="s">
        <v>11974</v>
      </c>
    </row>
    <row r="3422" spans="1:2" x14ac:dyDescent="0.25">
      <c r="A3422" s="27">
        <v>8520030</v>
      </c>
      <c r="B3422" s="28" t="s">
        <v>10052</v>
      </c>
    </row>
    <row r="3423" spans="1:2" x14ac:dyDescent="0.25">
      <c r="A3423" s="27">
        <v>8520031</v>
      </c>
      <c r="B3423" s="28" t="s">
        <v>11975</v>
      </c>
    </row>
    <row r="3424" spans="1:2" x14ac:dyDescent="0.25">
      <c r="A3424" s="27">
        <v>8520032</v>
      </c>
      <c r="B3424" s="28" t="s">
        <v>11976</v>
      </c>
    </row>
    <row r="3425" spans="1:2" x14ac:dyDescent="0.25">
      <c r="A3425" s="27">
        <v>8520033</v>
      </c>
      <c r="B3425" s="28" t="s">
        <v>11977</v>
      </c>
    </row>
    <row r="3426" spans="1:2" x14ac:dyDescent="0.25">
      <c r="A3426" s="27">
        <v>8520034</v>
      </c>
      <c r="B3426" s="28" t="s">
        <v>11978</v>
      </c>
    </row>
    <row r="3427" spans="1:2" x14ac:dyDescent="0.25">
      <c r="A3427" s="27">
        <v>8520035</v>
      </c>
      <c r="B3427" s="28" t="s">
        <v>11979</v>
      </c>
    </row>
    <row r="3428" spans="1:2" x14ac:dyDescent="0.25">
      <c r="A3428" s="27">
        <v>8520036</v>
      </c>
      <c r="B3428" s="28" t="s">
        <v>11980</v>
      </c>
    </row>
    <row r="3429" spans="1:2" x14ac:dyDescent="0.25">
      <c r="A3429" s="27">
        <v>8520037</v>
      </c>
      <c r="B3429" s="28" t="s">
        <v>11981</v>
      </c>
    </row>
    <row r="3430" spans="1:2" x14ac:dyDescent="0.25">
      <c r="A3430" s="27">
        <v>8520040</v>
      </c>
      <c r="B3430" s="28" t="s">
        <v>8474</v>
      </c>
    </row>
    <row r="3431" spans="1:2" x14ac:dyDescent="0.25">
      <c r="A3431" s="27">
        <v>8520042</v>
      </c>
      <c r="B3431" s="28" t="s">
        <v>12472</v>
      </c>
    </row>
    <row r="3432" spans="1:2" x14ac:dyDescent="0.25">
      <c r="A3432" s="27" t="s">
        <v>13606</v>
      </c>
      <c r="B3432" s="28"/>
    </row>
    <row r="3433" spans="1:2" x14ac:dyDescent="0.25">
      <c r="A3433" s="27">
        <v>8520045</v>
      </c>
      <c r="B3433" s="28" t="s">
        <v>10039</v>
      </c>
    </row>
    <row r="3434" spans="1:2" x14ac:dyDescent="0.25">
      <c r="A3434" s="27">
        <v>8520050</v>
      </c>
      <c r="B3434" s="28" t="s">
        <v>10031</v>
      </c>
    </row>
    <row r="3435" spans="1:2" x14ac:dyDescent="0.25">
      <c r="A3435" s="27">
        <v>8520051</v>
      </c>
      <c r="B3435" s="25" t="s">
        <v>10018</v>
      </c>
    </row>
    <row r="3436" spans="1:2" x14ac:dyDescent="0.25">
      <c r="A3436" s="27">
        <v>8520052</v>
      </c>
      <c r="B3436" s="28" t="s">
        <v>10020</v>
      </c>
    </row>
    <row r="3437" spans="1:2" x14ac:dyDescent="0.25">
      <c r="A3437" s="27">
        <v>8520059</v>
      </c>
      <c r="B3437" s="28" t="s">
        <v>10051</v>
      </c>
    </row>
    <row r="3438" spans="1:2" x14ac:dyDescent="0.25">
      <c r="A3438" s="27">
        <v>8520060</v>
      </c>
      <c r="B3438" s="28" t="s">
        <v>10050</v>
      </c>
    </row>
    <row r="3439" spans="1:2" x14ac:dyDescent="0.25">
      <c r="A3439" s="27">
        <v>8520064</v>
      </c>
      <c r="B3439" s="28" t="s">
        <v>10012</v>
      </c>
    </row>
    <row r="3440" spans="1:2" x14ac:dyDescent="0.25">
      <c r="A3440" s="27">
        <v>8520065</v>
      </c>
      <c r="B3440" s="28" t="s">
        <v>11982</v>
      </c>
    </row>
    <row r="3441" spans="1:2" x14ac:dyDescent="0.25">
      <c r="A3441" s="27">
        <v>8520066</v>
      </c>
      <c r="B3441" s="28" t="s">
        <v>11983</v>
      </c>
    </row>
    <row r="3442" spans="1:2" x14ac:dyDescent="0.25">
      <c r="A3442" s="27">
        <v>8520067</v>
      </c>
      <c r="B3442" s="28" t="s">
        <v>10019</v>
      </c>
    </row>
    <row r="3443" spans="1:2" x14ac:dyDescent="0.25">
      <c r="A3443" s="27">
        <v>8520068</v>
      </c>
      <c r="B3443" s="28" t="s">
        <v>10022</v>
      </c>
    </row>
    <row r="3444" spans="1:2" x14ac:dyDescent="0.25">
      <c r="A3444" s="27">
        <v>8520070</v>
      </c>
      <c r="B3444" s="28" t="s">
        <v>11984</v>
      </c>
    </row>
    <row r="3445" spans="1:2" x14ac:dyDescent="0.25">
      <c r="A3445" s="27">
        <v>8520100</v>
      </c>
      <c r="B3445" s="28" t="s">
        <v>9137</v>
      </c>
    </row>
    <row r="3446" spans="1:2" x14ac:dyDescent="0.25">
      <c r="A3446" s="27">
        <v>8520101</v>
      </c>
      <c r="B3446" s="28" t="s">
        <v>10346</v>
      </c>
    </row>
    <row r="3447" spans="1:2" x14ac:dyDescent="0.25">
      <c r="A3447" s="27">
        <v>8520102</v>
      </c>
      <c r="B3447" s="28" t="s">
        <v>10335</v>
      </c>
    </row>
    <row r="3448" spans="1:2" x14ac:dyDescent="0.25">
      <c r="A3448" s="27">
        <v>8520103</v>
      </c>
      <c r="B3448" s="28" t="s">
        <v>11985</v>
      </c>
    </row>
    <row r="3449" spans="1:2" x14ac:dyDescent="0.25">
      <c r="A3449" s="27">
        <v>8520104</v>
      </c>
      <c r="B3449" s="28" t="s">
        <v>10340</v>
      </c>
    </row>
    <row r="3450" spans="1:2" x14ac:dyDescent="0.25">
      <c r="A3450" s="27">
        <v>8520105</v>
      </c>
      <c r="B3450" s="28" t="s">
        <v>11986</v>
      </c>
    </row>
    <row r="3451" spans="1:2" x14ac:dyDescent="0.25">
      <c r="A3451" s="27">
        <v>8520106</v>
      </c>
      <c r="B3451" s="28" t="s">
        <v>11987</v>
      </c>
    </row>
    <row r="3452" spans="1:2" x14ac:dyDescent="0.25">
      <c r="A3452" s="27">
        <v>8520110</v>
      </c>
      <c r="B3452" s="28" t="s">
        <v>10333</v>
      </c>
    </row>
    <row r="3453" spans="1:2" x14ac:dyDescent="0.25">
      <c r="A3453" s="27">
        <v>85201100</v>
      </c>
      <c r="B3453" s="28" t="s">
        <v>11988</v>
      </c>
    </row>
    <row r="3454" spans="1:2" x14ac:dyDescent="0.25">
      <c r="A3454" s="27">
        <v>8520111</v>
      </c>
      <c r="B3454" s="28" t="s">
        <v>10338</v>
      </c>
    </row>
    <row r="3455" spans="1:2" x14ac:dyDescent="0.25">
      <c r="A3455" s="27">
        <v>8520116</v>
      </c>
      <c r="B3455" s="28" t="s">
        <v>9129</v>
      </c>
    </row>
    <row r="3456" spans="1:2" x14ac:dyDescent="0.25">
      <c r="A3456" s="27">
        <v>8520118</v>
      </c>
      <c r="B3456" s="28" t="s">
        <v>10026</v>
      </c>
    </row>
    <row r="3457" spans="1:2" x14ac:dyDescent="0.25">
      <c r="A3457" s="27">
        <v>8520119</v>
      </c>
      <c r="B3457" s="28" t="s">
        <v>11989</v>
      </c>
    </row>
    <row r="3458" spans="1:2" x14ac:dyDescent="0.25">
      <c r="A3458" s="27">
        <v>8520120</v>
      </c>
      <c r="B3458" s="28" t="s">
        <v>10033</v>
      </c>
    </row>
    <row r="3459" spans="1:2" x14ac:dyDescent="0.25">
      <c r="A3459" s="27">
        <v>8520121</v>
      </c>
      <c r="B3459" s="28" t="s">
        <v>8835</v>
      </c>
    </row>
    <row r="3460" spans="1:2" x14ac:dyDescent="0.25">
      <c r="A3460" s="27">
        <v>8520122</v>
      </c>
      <c r="B3460" s="28" t="s">
        <v>11990</v>
      </c>
    </row>
    <row r="3461" spans="1:2" x14ac:dyDescent="0.25">
      <c r="A3461" s="27">
        <v>8520123</v>
      </c>
      <c r="B3461" s="28" t="s">
        <v>11991</v>
      </c>
    </row>
    <row r="3462" spans="1:2" x14ac:dyDescent="0.25">
      <c r="A3462" s="27">
        <v>8520124</v>
      </c>
      <c r="B3462" s="25" t="s">
        <v>11992</v>
      </c>
    </row>
    <row r="3463" spans="1:2" x14ac:dyDescent="0.25">
      <c r="A3463" s="27">
        <v>8520125</v>
      </c>
      <c r="B3463" s="28" t="s">
        <v>10527</v>
      </c>
    </row>
    <row r="3464" spans="1:2" x14ac:dyDescent="0.25">
      <c r="A3464" s="27">
        <v>8520126</v>
      </c>
      <c r="B3464" s="25" t="s">
        <v>11993</v>
      </c>
    </row>
    <row r="3465" spans="1:2" x14ac:dyDescent="0.25">
      <c r="A3465" s="27">
        <v>8520127</v>
      </c>
      <c r="B3465" s="28" t="s">
        <v>11994</v>
      </c>
    </row>
    <row r="3466" spans="1:2" x14ac:dyDescent="0.25">
      <c r="A3466" s="27">
        <v>8520130</v>
      </c>
      <c r="B3466" s="28" t="s">
        <v>11995</v>
      </c>
    </row>
    <row r="3467" spans="1:2" x14ac:dyDescent="0.25">
      <c r="A3467" s="27">
        <v>8520141</v>
      </c>
      <c r="B3467" s="28" t="s">
        <v>10021</v>
      </c>
    </row>
    <row r="3468" spans="1:2" x14ac:dyDescent="0.25">
      <c r="A3468" s="27">
        <v>8520142</v>
      </c>
      <c r="B3468" s="28" t="s">
        <v>11996</v>
      </c>
    </row>
    <row r="3469" spans="1:2" x14ac:dyDescent="0.25">
      <c r="A3469" s="27">
        <v>8520143</v>
      </c>
      <c r="B3469" s="28" t="s">
        <v>11997</v>
      </c>
    </row>
    <row r="3470" spans="1:2" x14ac:dyDescent="0.25">
      <c r="A3470" s="27">
        <v>8520144</v>
      </c>
      <c r="B3470" s="28" t="s">
        <v>11998</v>
      </c>
    </row>
    <row r="3471" spans="1:2" x14ac:dyDescent="0.25">
      <c r="A3471" s="27">
        <v>8520155</v>
      </c>
      <c r="B3471" s="28" t="s">
        <v>11999</v>
      </c>
    </row>
    <row r="3472" spans="1:2" x14ac:dyDescent="0.25">
      <c r="A3472" s="27">
        <v>8520162</v>
      </c>
      <c r="B3472" s="28" t="s">
        <v>10334</v>
      </c>
    </row>
    <row r="3473" spans="1:2" x14ac:dyDescent="0.25">
      <c r="A3473" s="27">
        <v>8520165</v>
      </c>
      <c r="B3473" s="28" t="s">
        <v>10027</v>
      </c>
    </row>
    <row r="3474" spans="1:2" x14ac:dyDescent="0.25">
      <c r="A3474" s="27">
        <v>8520166</v>
      </c>
      <c r="B3474" s="28" t="s">
        <v>10029</v>
      </c>
    </row>
    <row r="3475" spans="1:2" x14ac:dyDescent="0.25">
      <c r="A3475" s="27">
        <v>8520175</v>
      </c>
      <c r="B3475" s="28" t="s">
        <v>12000</v>
      </c>
    </row>
    <row r="3476" spans="1:2" x14ac:dyDescent="0.25">
      <c r="A3476" s="27">
        <v>8520190</v>
      </c>
      <c r="B3476" s="28" t="s">
        <v>10337</v>
      </c>
    </row>
    <row r="3477" spans="1:2" x14ac:dyDescent="0.25">
      <c r="A3477" s="27">
        <v>8520209</v>
      </c>
      <c r="B3477" s="28" t="s">
        <v>9393</v>
      </c>
    </row>
    <row r="3478" spans="1:2" x14ac:dyDescent="0.25">
      <c r="A3478" s="27">
        <v>8520220</v>
      </c>
      <c r="B3478" s="28" t="s">
        <v>10330</v>
      </c>
    </row>
    <row r="3479" spans="1:2" x14ac:dyDescent="0.25">
      <c r="A3479" s="27">
        <v>8520222</v>
      </c>
      <c r="B3479" s="28" t="s">
        <v>12001</v>
      </c>
    </row>
    <row r="3480" spans="1:2" x14ac:dyDescent="0.25">
      <c r="A3480" s="27">
        <v>8520230</v>
      </c>
      <c r="B3480" s="28" t="s">
        <v>10348</v>
      </c>
    </row>
    <row r="3481" spans="1:2" x14ac:dyDescent="0.25">
      <c r="A3481" s="27">
        <v>8520235</v>
      </c>
      <c r="B3481" s="28" t="s">
        <v>12473</v>
      </c>
    </row>
    <row r="3482" spans="1:2" x14ac:dyDescent="0.25">
      <c r="A3482" s="27">
        <v>8520264</v>
      </c>
      <c r="B3482" s="28" t="s">
        <v>12002</v>
      </c>
    </row>
    <row r="3483" spans="1:2" x14ac:dyDescent="0.25">
      <c r="A3483" s="27">
        <v>8520265</v>
      </c>
      <c r="B3483" s="28" t="s">
        <v>10025</v>
      </c>
    </row>
    <row r="3484" spans="1:2" x14ac:dyDescent="0.25">
      <c r="A3484" s="27">
        <v>8520271</v>
      </c>
      <c r="B3484" s="28" t="s">
        <v>12003</v>
      </c>
    </row>
    <row r="3485" spans="1:2" x14ac:dyDescent="0.25">
      <c r="A3485" s="27">
        <v>8520282</v>
      </c>
      <c r="B3485" s="28" t="s">
        <v>12004</v>
      </c>
    </row>
    <row r="3486" spans="1:2" x14ac:dyDescent="0.25">
      <c r="A3486" s="27">
        <v>8520283</v>
      </c>
      <c r="B3486" s="28" t="s">
        <v>12474</v>
      </c>
    </row>
    <row r="3487" spans="1:2" x14ac:dyDescent="0.25">
      <c r="A3487" s="27">
        <v>8520290</v>
      </c>
      <c r="B3487" s="28" t="s">
        <v>10045</v>
      </c>
    </row>
    <row r="3488" spans="1:2" x14ac:dyDescent="0.25">
      <c r="A3488" s="27">
        <v>8520305</v>
      </c>
      <c r="B3488" s="28" t="s">
        <v>12005</v>
      </c>
    </row>
    <row r="3489" spans="1:2" x14ac:dyDescent="0.25">
      <c r="A3489" s="27">
        <v>8520306</v>
      </c>
      <c r="B3489" s="28" t="s">
        <v>10047</v>
      </c>
    </row>
    <row r="3490" spans="1:2" x14ac:dyDescent="0.25">
      <c r="A3490" s="27">
        <v>8520372</v>
      </c>
      <c r="B3490" s="28" t="s">
        <v>10336</v>
      </c>
    </row>
    <row r="3491" spans="1:2" x14ac:dyDescent="0.25">
      <c r="A3491" s="27">
        <v>8520398</v>
      </c>
      <c r="B3491" s="28" t="s">
        <v>10037</v>
      </c>
    </row>
    <row r="3492" spans="1:2" x14ac:dyDescent="0.25">
      <c r="A3492" s="27">
        <v>8520407</v>
      </c>
      <c r="B3492" s="28" t="s">
        <v>10028</v>
      </c>
    </row>
    <row r="3493" spans="1:2" x14ac:dyDescent="0.25">
      <c r="A3493" s="27">
        <v>8520419</v>
      </c>
      <c r="B3493" s="28" t="s">
        <v>12006</v>
      </c>
    </row>
    <row r="3494" spans="1:2" x14ac:dyDescent="0.25">
      <c r="A3494" s="27">
        <v>8520458</v>
      </c>
      <c r="B3494" s="28" t="s">
        <v>10344</v>
      </c>
    </row>
    <row r="3495" spans="1:2" x14ac:dyDescent="0.25">
      <c r="A3495" s="27">
        <v>8520506</v>
      </c>
      <c r="B3495" s="28" t="s">
        <v>9645</v>
      </c>
    </row>
    <row r="3496" spans="1:2" x14ac:dyDescent="0.25">
      <c r="A3496" s="27">
        <v>8520507</v>
      </c>
      <c r="B3496" s="28" t="s">
        <v>9646</v>
      </c>
    </row>
    <row r="3497" spans="1:2" x14ac:dyDescent="0.25">
      <c r="A3497" s="27">
        <v>8520508</v>
      </c>
      <c r="B3497" s="28" t="s">
        <v>12007</v>
      </c>
    </row>
    <row r="3498" spans="1:2" x14ac:dyDescent="0.25">
      <c r="A3498" s="27">
        <v>8520509</v>
      </c>
      <c r="B3498" s="28" t="s">
        <v>12008</v>
      </c>
    </row>
    <row r="3499" spans="1:2" x14ac:dyDescent="0.25">
      <c r="A3499" s="27">
        <v>8520510</v>
      </c>
      <c r="B3499" s="28" t="s">
        <v>12009</v>
      </c>
    </row>
    <row r="3500" spans="1:2" x14ac:dyDescent="0.25">
      <c r="A3500" s="27">
        <v>8520511</v>
      </c>
      <c r="B3500" s="28" t="s">
        <v>10289</v>
      </c>
    </row>
    <row r="3501" spans="1:2" x14ac:dyDescent="0.25">
      <c r="A3501" s="27">
        <v>8520512</v>
      </c>
      <c r="B3501" s="28" t="s">
        <v>12010</v>
      </c>
    </row>
    <row r="3502" spans="1:2" x14ac:dyDescent="0.25">
      <c r="A3502" s="27">
        <v>8520513</v>
      </c>
      <c r="B3502" s="28" t="s">
        <v>10288</v>
      </c>
    </row>
    <row r="3503" spans="1:2" x14ac:dyDescent="0.25">
      <c r="A3503" s="27">
        <v>8520517</v>
      </c>
      <c r="B3503" s="28" t="s">
        <v>10347</v>
      </c>
    </row>
    <row r="3504" spans="1:2" x14ac:dyDescent="0.25">
      <c r="A3504" s="27">
        <v>8520546</v>
      </c>
      <c r="B3504" s="28" t="s">
        <v>10044</v>
      </c>
    </row>
    <row r="3505" spans="1:2" x14ac:dyDescent="0.25">
      <c r="A3505" s="27">
        <v>8520556</v>
      </c>
      <c r="B3505" s="28" t="s">
        <v>12011</v>
      </c>
    </row>
    <row r="3506" spans="1:2" x14ac:dyDescent="0.25">
      <c r="A3506" s="27">
        <v>8520620</v>
      </c>
      <c r="B3506" s="28" t="s">
        <v>10529</v>
      </c>
    </row>
    <row r="3507" spans="1:2" x14ac:dyDescent="0.25">
      <c r="A3507" s="27">
        <v>8520623</v>
      </c>
      <c r="B3507" s="28" t="s">
        <v>10530</v>
      </c>
    </row>
    <row r="3508" spans="1:2" x14ac:dyDescent="0.25">
      <c r="A3508" s="27">
        <v>8520624</v>
      </c>
      <c r="B3508" s="28" t="s">
        <v>12012</v>
      </c>
    </row>
    <row r="3509" spans="1:2" x14ac:dyDescent="0.25">
      <c r="A3509" s="27">
        <v>8520625</v>
      </c>
      <c r="B3509" s="28" t="s">
        <v>12013</v>
      </c>
    </row>
    <row r="3510" spans="1:2" x14ac:dyDescent="0.25">
      <c r="A3510" s="27">
        <v>8520626</v>
      </c>
      <c r="B3510" s="28" t="s">
        <v>12014</v>
      </c>
    </row>
    <row r="3511" spans="1:2" x14ac:dyDescent="0.25">
      <c r="A3511" s="27">
        <v>8520629</v>
      </c>
      <c r="B3511" s="28" t="s">
        <v>10528</v>
      </c>
    </row>
    <row r="3512" spans="1:2" x14ac:dyDescent="0.25">
      <c r="A3512" s="27">
        <v>8520690</v>
      </c>
      <c r="B3512" s="28" t="s">
        <v>8471</v>
      </c>
    </row>
    <row r="3513" spans="1:2" x14ac:dyDescent="0.25">
      <c r="A3513" s="27">
        <v>8520691</v>
      </c>
      <c r="B3513" s="28" t="s">
        <v>8473</v>
      </c>
    </row>
    <row r="3514" spans="1:2" x14ac:dyDescent="0.25">
      <c r="A3514" s="27">
        <v>8520710</v>
      </c>
      <c r="B3514" s="28" t="s">
        <v>10345</v>
      </c>
    </row>
    <row r="3515" spans="1:2" x14ac:dyDescent="0.25">
      <c r="A3515" s="27">
        <v>8520726</v>
      </c>
      <c r="B3515" s="28" t="s">
        <v>10035</v>
      </c>
    </row>
    <row r="3516" spans="1:2" x14ac:dyDescent="0.25">
      <c r="A3516" s="27">
        <v>8520728</v>
      </c>
      <c r="B3516" s="28" t="s">
        <v>12015</v>
      </c>
    </row>
    <row r="3517" spans="1:2" x14ac:dyDescent="0.25">
      <c r="A3517" s="27">
        <v>8520729</v>
      </c>
      <c r="B3517" s="28" t="s">
        <v>10024</v>
      </c>
    </row>
    <row r="3518" spans="1:2" x14ac:dyDescent="0.25">
      <c r="A3518" s="27">
        <v>8520733</v>
      </c>
      <c r="B3518" s="28" t="s">
        <v>10046</v>
      </c>
    </row>
    <row r="3519" spans="1:2" x14ac:dyDescent="0.25">
      <c r="A3519" s="27">
        <v>8520738</v>
      </c>
      <c r="B3519" s="28" t="s">
        <v>10055</v>
      </c>
    </row>
    <row r="3520" spans="1:2" x14ac:dyDescent="0.25">
      <c r="A3520" s="27">
        <v>8520745</v>
      </c>
      <c r="B3520" s="28" t="s">
        <v>10036</v>
      </c>
    </row>
    <row r="3521" spans="1:2" x14ac:dyDescent="0.25">
      <c r="A3521" s="27">
        <v>8520746</v>
      </c>
      <c r="B3521" s="28" t="s">
        <v>12016</v>
      </c>
    </row>
    <row r="3522" spans="1:2" x14ac:dyDescent="0.25">
      <c r="A3522" s="27">
        <v>8520750</v>
      </c>
      <c r="B3522" s="28" t="s">
        <v>10011</v>
      </c>
    </row>
    <row r="3523" spans="1:2" x14ac:dyDescent="0.25">
      <c r="A3523" s="27">
        <v>8520751</v>
      </c>
      <c r="B3523" s="28" t="s">
        <v>12017</v>
      </c>
    </row>
    <row r="3524" spans="1:2" x14ac:dyDescent="0.25">
      <c r="A3524" s="27">
        <v>8520776</v>
      </c>
      <c r="B3524" s="28" t="s">
        <v>11979</v>
      </c>
    </row>
    <row r="3525" spans="1:2" x14ac:dyDescent="0.25">
      <c r="A3525" s="27">
        <v>8520779</v>
      </c>
      <c r="B3525" s="28" t="s">
        <v>12018</v>
      </c>
    </row>
    <row r="3526" spans="1:2" x14ac:dyDescent="0.25">
      <c r="A3526" s="27">
        <v>8520781</v>
      </c>
      <c r="B3526" s="28" t="s">
        <v>10023</v>
      </c>
    </row>
    <row r="3527" spans="1:2" x14ac:dyDescent="0.25">
      <c r="A3527" s="27">
        <v>8520802</v>
      </c>
      <c r="B3527" s="28" t="s">
        <v>10332</v>
      </c>
    </row>
    <row r="3528" spans="1:2" x14ac:dyDescent="0.25">
      <c r="A3528" s="27">
        <v>8520804</v>
      </c>
      <c r="B3528" s="28" t="s">
        <v>10331</v>
      </c>
    </row>
    <row r="3529" spans="1:2" x14ac:dyDescent="0.25">
      <c r="A3529" s="27">
        <v>8520813</v>
      </c>
      <c r="B3529" s="28" t="s">
        <v>10341</v>
      </c>
    </row>
    <row r="3530" spans="1:2" x14ac:dyDescent="0.25">
      <c r="A3530" s="27">
        <v>8520814</v>
      </c>
      <c r="B3530" s="28" t="s">
        <v>10351</v>
      </c>
    </row>
    <row r="3531" spans="1:2" x14ac:dyDescent="0.25">
      <c r="A3531" s="27">
        <v>8520817</v>
      </c>
      <c r="B3531" s="28" t="s">
        <v>10042</v>
      </c>
    </row>
    <row r="3532" spans="1:2" x14ac:dyDescent="0.25">
      <c r="A3532" s="27">
        <v>8520821</v>
      </c>
      <c r="B3532" s="28" t="s">
        <v>12019</v>
      </c>
    </row>
    <row r="3533" spans="1:2" x14ac:dyDescent="0.25">
      <c r="A3533" s="27">
        <v>8520824</v>
      </c>
      <c r="B3533" s="28" t="s">
        <v>12020</v>
      </c>
    </row>
    <row r="3534" spans="1:2" x14ac:dyDescent="0.25">
      <c r="A3534" s="27">
        <v>8520866</v>
      </c>
      <c r="B3534" s="28" t="s">
        <v>10349</v>
      </c>
    </row>
    <row r="3535" spans="1:2" x14ac:dyDescent="0.25">
      <c r="A3535" s="27">
        <v>8520925</v>
      </c>
      <c r="B3535" s="28" t="s">
        <v>12021</v>
      </c>
    </row>
    <row r="3536" spans="1:2" x14ac:dyDescent="0.25">
      <c r="A3536" s="27">
        <v>8520932</v>
      </c>
      <c r="B3536" s="28" t="s">
        <v>10014</v>
      </c>
    </row>
    <row r="3537" spans="1:2" x14ac:dyDescent="0.25">
      <c r="A3537" s="27">
        <v>8520936</v>
      </c>
      <c r="B3537" s="28" t="s">
        <v>10013</v>
      </c>
    </row>
    <row r="3538" spans="1:2" x14ac:dyDescent="0.25">
      <c r="A3538" s="27">
        <v>8520941</v>
      </c>
      <c r="B3538" s="28" t="s">
        <v>10015</v>
      </c>
    </row>
    <row r="3539" spans="1:2" x14ac:dyDescent="0.25">
      <c r="A3539" s="27">
        <v>8520942</v>
      </c>
      <c r="B3539" s="28" t="s">
        <v>12022</v>
      </c>
    </row>
    <row r="3540" spans="1:2" x14ac:dyDescent="0.25">
      <c r="A3540" s="27">
        <v>8520945</v>
      </c>
      <c r="B3540" s="28" t="s">
        <v>12023</v>
      </c>
    </row>
    <row r="3541" spans="1:2" x14ac:dyDescent="0.25">
      <c r="A3541" s="27">
        <v>8520946</v>
      </c>
      <c r="B3541" s="28" t="s">
        <v>10016</v>
      </c>
    </row>
    <row r="3542" spans="1:2" x14ac:dyDescent="0.25">
      <c r="A3542" s="27">
        <v>8520947</v>
      </c>
      <c r="B3542" s="28" t="s">
        <v>10017</v>
      </c>
    </row>
    <row r="3543" spans="1:2" x14ac:dyDescent="0.25">
      <c r="A3543" s="27">
        <v>8520948</v>
      </c>
      <c r="B3543" s="28" t="s">
        <v>12024</v>
      </c>
    </row>
    <row r="3544" spans="1:2" x14ac:dyDescent="0.25">
      <c r="A3544" s="27">
        <v>8520953</v>
      </c>
      <c r="B3544" s="28" t="s">
        <v>12025</v>
      </c>
    </row>
    <row r="3545" spans="1:2" x14ac:dyDescent="0.25">
      <c r="A3545" s="27">
        <v>8520986</v>
      </c>
      <c r="B3545" s="28" t="s">
        <v>10009</v>
      </c>
    </row>
    <row r="3546" spans="1:2" x14ac:dyDescent="0.25">
      <c r="A3546" s="27">
        <v>8520994</v>
      </c>
      <c r="B3546" s="28" t="s">
        <v>12026</v>
      </c>
    </row>
    <row r="3547" spans="1:2" x14ac:dyDescent="0.25">
      <c r="A3547" s="27">
        <v>8520999</v>
      </c>
      <c r="B3547" s="28" t="s">
        <v>9396</v>
      </c>
    </row>
    <row r="3548" spans="1:2" x14ac:dyDescent="0.25">
      <c r="A3548" s="27">
        <v>8521001</v>
      </c>
      <c r="B3548" s="28" t="s">
        <v>12027</v>
      </c>
    </row>
    <row r="3549" spans="1:2" x14ac:dyDescent="0.25">
      <c r="A3549" s="27">
        <v>8521002</v>
      </c>
      <c r="B3549" s="28" t="s">
        <v>9414</v>
      </c>
    </row>
    <row r="3550" spans="1:2" x14ac:dyDescent="0.25">
      <c r="A3550" s="27">
        <v>8521013</v>
      </c>
      <c r="B3550" s="28" t="s">
        <v>9406</v>
      </c>
    </row>
    <row r="3551" spans="1:2" x14ac:dyDescent="0.25">
      <c r="A3551" s="27">
        <v>8521014</v>
      </c>
      <c r="B3551" s="28" t="s">
        <v>9408</v>
      </c>
    </row>
    <row r="3552" spans="1:2" x14ac:dyDescent="0.25">
      <c r="A3552" s="27">
        <v>8521015</v>
      </c>
      <c r="B3552" s="28" t="s">
        <v>9413</v>
      </c>
    </row>
    <row r="3553" spans="1:2" x14ac:dyDescent="0.25">
      <c r="A3553" s="27">
        <v>8521021</v>
      </c>
      <c r="B3553" s="28" t="s">
        <v>12028</v>
      </c>
    </row>
    <row r="3554" spans="1:2" x14ac:dyDescent="0.25">
      <c r="A3554" s="27">
        <v>8521024</v>
      </c>
      <c r="B3554" s="28" t="s">
        <v>9398</v>
      </c>
    </row>
    <row r="3555" spans="1:2" x14ac:dyDescent="0.25">
      <c r="A3555" s="27">
        <v>8521029</v>
      </c>
      <c r="B3555" s="28" t="s">
        <v>12029</v>
      </c>
    </row>
    <row r="3556" spans="1:2" x14ac:dyDescent="0.25">
      <c r="A3556" s="27">
        <v>8521030</v>
      </c>
      <c r="B3556" s="28" t="s">
        <v>12030</v>
      </c>
    </row>
    <row r="3557" spans="1:2" x14ac:dyDescent="0.25">
      <c r="A3557" s="27">
        <v>8521031</v>
      </c>
      <c r="B3557" s="28" t="s">
        <v>12031</v>
      </c>
    </row>
    <row r="3558" spans="1:2" x14ac:dyDescent="0.25">
      <c r="A3558" s="27">
        <v>8521032</v>
      </c>
      <c r="B3558" s="28" t="s">
        <v>12032</v>
      </c>
    </row>
    <row r="3559" spans="1:2" x14ac:dyDescent="0.25">
      <c r="A3559" s="27">
        <v>8521033</v>
      </c>
      <c r="B3559" s="28" t="s">
        <v>12033</v>
      </c>
    </row>
    <row r="3560" spans="1:2" x14ac:dyDescent="0.25">
      <c r="A3560" s="27">
        <v>8521034</v>
      </c>
      <c r="B3560" s="28" t="s">
        <v>9409</v>
      </c>
    </row>
    <row r="3561" spans="1:2" x14ac:dyDescent="0.25">
      <c r="A3561" s="27">
        <v>8521036</v>
      </c>
      <c r="B3561" s="28" t="s">
        <v>9404</v>
      </c>
    </row>
    <row r="3562" spans="1:2" x14ac:dyDescent="0.25">
      <c r="A3562" s="27">
        <v>8521040</v>
      </c>
      <c r="B3562" s="28" t="s">
        <v>9412</v>
      </c>
    </row>
    <row r="3563" spans="1:2" x14ac:dyDescent="0.25">
      <c r="A3563" s="27">
        <v>8521042</v>
      </c>
      <c r="B3563" s="28" t="s">
        <v>12034</v>
      </c>
    </row>
    <row r="3564" spans="1:2" x14ac:dyDescent="0.25">
      <c r="A3564" s="27">
        <v>8521043</v>
      </c>
      <c r="B3564" s="28" t="s">
        <v>12035</v>
      </c>
    </row>
    <row r="3565" spans="1:2" x14ac:dyDescent="0.25">
      <c r="A3565" s="27">
        <v>8521045</v>
      </c>
      <c r="B3565" s="28" t="s">
        <v>12036</v>
      </c>
    </row>
    <row r="3566" spans="1:2" x14ac:dyDescent="0.25">
      <c r="A3566" s="27">
        <v>8521046</v>
      </c>
      <c r="B3566" s="28" t="s">
        <v>12037</v>
      </c>
    </row>
    <row r="3567" spans="1:2" x14ac:dyDescent="0.25">
      <c r="A3567" s="27">
        <v>8521050</v>
      </c>
      <c r="B3567" s="28" t="s">
        <v>10848</v>
      </c>
    </row>
    <row r="3568" spans="1:2" x14ac:dyDescent="0.25">
      <c r="A3568" s="27">
        <v>8521060</v>
      </c>
      <c r="B3568" s="28" t="s">
        <v>9411</v>
      </c>
    </row>
    <row r="3569" spans="1:2" x14ac:dyDescent="0.25">
      <c r="A3569" s="27">
        <v>8521061</v>
      </c>
      <c r="B3569" s="28" t="s">
        <v>12038</v>
      </c>
    </row>
    <row r="3570" spans="1:2" x14ac:dyDescent="0.25">
      <c r="A3570" s="27">
        <v>8521062</v>
      </c>
      <c r="B3570" s="28" t="s">
        <v>12039</v>
      </c>
    </row>
    <row r="3571" spans="1:2" x14ac:dyDescent="0.25">
      <c r="A3571" s="27">
        <v>8521063</v>
      </c>
      <c r="B3571" s="28" t="s">
        <v>9397</v>
      </c>
    </row>
    <row r="3572" spans="1:2" x14ac:dyDescent="0.25">
      <c r="A3572" s="27">
        <v>8521064</v>
      </c>
      <c r="B3572" s="28" t="s">
        <v>9410</v>
      </c>
    </row>
    <row r="3573" spans="1:2" x14ac:dyDescent="0.25">
      <c r="A3573" s="27">
        <v>8521100</v>
      </c>
      <c r="B3573" s="28" t="s">
        <v>9407</v>
      </c>
    </row>
    <row r="3574" spans="1:2" x14ac:dyDescent="0.25">
      <c r="A3574" s="27">
        <v>8521101</v>
      </c>
      <c r="B3574" s="28" t="s">
        <v>12040</v>
      </c>
    </row>
    <row r="3575" spans="1:2" x14ac:dyDescent="0.25">
      <c r="A3575" s="27">
        <v>8521102</v>
      </c>
      <c r="B3575" s="28" t="s">
        <v>12359</v>
      </c>
    </row>
    <row r="3576" spans="1:2" x14ac:dyDescent="0.25">
      <c r="A3576" s="27">
        <v>8521120</v>
      </c>
      <c r="B3576" s="28" t="s">
        <v>9401</v>
      </c>
    </row>
    <row r="3577" spans="1:2" x14ac:dyDescent="0.25">
      <c r="A3577" s="27">
        <v>8521129</v>
      </c>
      <c r="B3577" s="28" t="s">
        <v>12041</v>
      </c>
    </row>
    <row r="3578" spans="1:2" x14ac:dyDescent="0.25">
      <c r="A3578" s="27">
        <v>8521160</v>
      </c>
      <c r="B3578" s="28" t="s">
        <v>12042</v>
      </c>
    </row>
    <row r="3579" spans="1:2" x14ac:dyDescent="0.25">
      <c r="A3579" s="27">
        <v>8521290</v>
      </c>
      <c r="B3579" s="28" t="s">
        <v>12043</v>
      </c>
    </row>
    <row r="3580" spans="1:2" x14ac:dyDescent="0.25">
      <c r="A3580" s="27">
        <v>8521300</v>
      </c>
      <c r="B3580" s="28" t="s">
        <v>9418</v>
      </c>
    </row>
    <row r="3581" spans="1:2" x14ac:dyDescent="0.25">
      <c r="A3581" s="27">
        <v>8521301</v>
      </c>
      <c r="B3581" s="28" t="s">
        <v>10342</v>
      </c>
    </row>
    <row r="3582" spans="1:2" x14ac:dyDescent="0.25">
      <c r="A3582" s="27">
        <v>8521302</v>
      </c>
      <c r="B3582" s="28" t="s">
        <v>10343</v>
      </c>
    </row>
    <row r="3583" spans="1:2" x14ac:dyDescent="0.25">
      <c r="A3583" s="27">
        <v>8521303</v>
      </c>
      <c r="B3583" s="28" t="s">
        <v>10339</v>
      </c>
    </row>
    <row r="3584" spans="1:2" x14ac:dyDescent="0.25">
      <c r="A3584" s="27">
        <v>8521304</v>
      </c>
      <c r="B3584" s="28" t="s">
        <v>10352</v>
      </c>
    </row>
    <row r="3585" spans="1:2" x14ac:dyDescent="0.25">
      <c r="A3585" s="27">
        <v>8521305</v>
      </c>
      <c r="B3585" s="28" t="s">
        <v>10350</v>
      </c>
    </row>
    <row r="3586" spans="1:2" x14ac:dyDescent="0.25">
      <c r="A3586" s="27">
        <v>8521306</v>
      </c>
      <c r="B3586" s="28" t="s">
        <v>10353</v>
      </c>
    </row>
    <row r="3587" spans="1:2" x14ac:dyDescent="0.25">
      <c r="A3587" s="27">
        <v>8521307</v>
      </c>
      <c r="B3587" s="28" t="s">
        <v>12044</v>
      </c>
    </row>
    <row r="3588" spans="1:2" x14ac:dyDescent="0.25">
      <c r="A3588" s="27">
        <v>8521374</v>
      </c>
      <c r="B3588" s="28" t="s">
        <v>12475</v>
      </c>
    </row>
    <row r="3589" spans="1:2" x14ac:dyDescent="0.25">
      <c r="A3589" s="27">
        <v>8521443</v>
      </c>
      <c r="B3589" s="28" t="s">
        <v>9399</v>
      </c>
    </row>
    <row r="3590" spans="1:2" x14ac:dyDescent="0.25">
      <c r="A3590" s="27">
        <v>8521455</v>
      </c>
      <c r="B3590" s="28" t="s">
        <v>9415</v>
      </c>
    </row>
    <row r="3591" spans="1:2" x14ac:dyDescent="0.25">
      <c r="A3591" s="27">
        <v>8521458</v>
      </c>
      <c r="B3591" s="28" t="s">
        <v>9416</v>
      </c>
    </row>
    <row r="3592" spans="1:2" x14ac:dyDescent="0.25">
      <c r="A3592" s="27">
        <v>8521467</v>
      </c>
      <c r="B3592" s="28" t="s">
        <v>12045</v>
      </c>
    </row>
    <row r="3593" spans="1:2" x14ac:dyDescent="0.25">
      <c r="A3593" s="27">
        <v>8521472</v>
      </c>
      <c r="B3593" s="28" t="s">
        <v>9403</v>
      </c>
    </row>
    <row r="3594" spans="1:2" x14ac:dyDescent="0.25">
      <c r="A3594" s="27">
        <v>8521498</v>
      </c>
      <c r="B3594" s="28" t="s">
        <v>10533</v>
      </c>
    </row>
    <row r="3595" spans="1:2" x14ac:dyDescent="0.25">
      <c r="A3595" s="27">
        <v>8521499</v>
      </c>
      <c r="B3595" s="28" t="s">
        <v>12476</v>
      </c>
    </row>
    <row r="3596" spans="1:2" x14ac:dyDescent="0.25">
      <c r="A3596" s="27">
        <v>8521551</v>
      </c>
      <c r="B3596" s="28" t="s">
        <v>9402</v>
      </c>
    </row>
    <row r="3597" spans="1:2" x14ac:dyDescent="0.25">
      <c r="A3597" s="27">
        <v>8521572</v>
      </c>
      <c r="B3597" s="28" t="s">
        <v>12046</v>
      </c>
    </row>
    <row r="3598" spans="1:2" x14ac:dyDescent="0.25">
      <c r="A3598" s="27">
        <v>8521580</v>
      </c>
      <c r="B3598" s="28" t="s">
        <v>9405</v>
      </c>
    </row>
    <row r="3599" spans="1:2" x14ac:dyDescent="0.25">
      <c r="A3599" s="27">
        <v>8521593</v>
      </c>
      <c r="B3599" s="28" t="s">
        <v>12047</v>
      </c>
    </row>
    <row r="3600" spans="1:2" x14ac:dyDescent="0.25">
      <c r="A3600" s="27" t="s">
        <v>13607</v>
      </c>
      <c r="B3600" s="28"/>
    </row>
    <row r="3601" spans="1:2" x14ac:dyDescent="0.25">
      <c r="A3601" s="27">
        <v>8521660</v>
      </c>
      <c r="B3601" s="28" t="s">
        <v>9400</v>
      </c>
    </row>
    <row r="3602" spans="1:2" x14ac:dyDescent="0.25">
      <c r="A3602" s="27">
        <v>8521674</v>
      </c>
      <c r="B3602" s="28" t="s">
        <v>9419</v>
      </c>
    </row>
    <row r="3603" spans="1:2" x14ac:dyDescent="0.25">
      <c r="A3603" s="27">
        <v>8521903</v>
      </c>
      <c r="B3603" s="28" t="s">
        <v>12048</v>
      </c>
    </row>
    <row r="3604" spans="1:2" x14ac:dyDescent="0.25">
      <c r="A3604" s="27">
        <v>8522001</v>
      </c>
      <c r="B3604" s="28" t="s">
        <v>12049</v>
      </c>
    </row>
    <row r="3605" spans="1:2" x14ac:dyDescent="0.25">
      <c r="A3605" s="27">
        <v>8522011</v>
      </c>
      <c r="B3605" s="28" t="s">
        <v>12477</v>
      </c>
    </row>
    <row r="3606" spans="1:2" x14ac:dyDescent="0.25">
      <c r="A3606" s="27">
        <v>8522012</v>
      </c>
      <c r="B3606" s="28" t="s">
        <v>9389</v>
      </c>
    </row>
    <row r="3607" spans="1:2" x14ac:dyDescent="0.25">
      <c r="A3607" s="27">
        <v>8522030</v>
      </c>
      <c r="B3607" s="28" t="s">
        <v>10763</v>
      </c>
    </row>
    <row r="3608" spans="1:2" x14ac:dyDescent="0.25">
      <c r="A3608" s="27">
        <v>8522101</v>
      </c>
      <c r="B3608" s="28" t="s">
        <v>10762</v>
      </c>
    </row>
    <row r="3609" spans="1:2" x14ac:dyDescent="0.25">
      <c r="A3609" s="27">
        <v>8522999</v>
      </c>
      <c r="B3609" s="28" t="s">
        <v>10761</v>
      </c>
    </row>
    <row r="3610" spans="1:2" x14ac:dyDescent="0.25">
      <c r="A3610" s="27">
        <v>8523071</v>
      </c>
      <c r="B3610" s="28" t="s">
        <v>9394</v>
      </c>
    </row>
    <row r="3611" spans="1:2" x14ac:dyDescent="0.25">
      <c r="A3611" s="27">
        <v>8523072</v>
      </c>
      <c r="B3611" s="28" t="s">
        <v>12050</v>
      </c>
    </row>
    <row r="3612" spans="1:2" x14ac:dyDescent="0.25">
      <c r="A3612" s="27">
        <v>8523073</v>
      </c>
      <c r="B3612" s="28" t="s">
        <v>12051</v>
      </c>
    </row>
    <row r="3613" spans="1:2" x14ac:dyDescent="0.25">
      <c r="A3613" s="27">
        <v>8525001</v>
      </c>
      <c r="B3613" s="28" t="s">
        <v>10852</v>
      </c>
    </row>
    <row r="3614" spans="1:2" x14ac:dyDescent="0.25">
      <c r="A3614" s="27">
        <v>8525576</v>
      </c>
      <c r="B3614" s="28" t="s">
        <v>10853</v>
      </c>
    </row>
    <row r="3615" spans="1:2" x14ac:dyDescent="0.25">
      <c r="A3615" s="27">
        <v>8525999</v>
      </c>
      <c r="B3615" s="28" t="s">
        <v>10851</v>
      </c>
    </row>
    <row r="3616" spans="1:2" x14ac:dyDescent="0.25">
      <c r="A3616" s="27">
        <v>8549042</v>
      </c>
      <c r="B3616" s="28" t="s">
        <v>8392</v>
      </c>
    </row>
    <row r="3617" spans="1:2" x14ac:dyDescent="0.25">
      <c r="A3617" s="27">
        <v>8601008</v>
      </c>
      <c r="B3617" s="28" t="s">
        <v>9124</v>
      </c>
    </row>
    <row r="3618" spans="1:2" x14ac:dyDescent="0.25">
      <c r="A3618" s="27">
        <v>8601050</v>
      </c>
      <c r="B3618" s="28" t="s">
        <v>9278</v>
      </c>
    </row>
    <row r="3619" spans="1:2" x14ac:dyDescent="0.25">
      <c r="A3619" s="27">
        <v>8612001</v>
      </c>
      <c r="B3619" s="28" t="s">
        <v>8487</v>
      </c>
    </row>
    <row r="3620" spans="1:2" x14ac:dyDescent="0.25">
      <c r="A3620" s="27">
        <v>8612002</v>
      </c>
      <c r="B3620" s="28" t="s">
        <v>8495</v>
      </c>
    </row>
    <row r="3621" spans="1:2" x14ac:dyDescent="0.25">
      <c r="A3621" s="27">
        <v>8612006</v>
      </c>
      <c r="B3621" s="28" t="s">
        <v>10002</v>
      </c>
    </row>
    <row r="3622" spans="1:2" x14ac:dyDescent="0.25">
      <c r="A3622" s="27">
        <v>8612009</v>
      </c>
      <c r="B3622" s="28" t="s">
        <v>9124</v>
      </c>
    </row>
    <row r="3623" spans="1:2" x14ac:dyDescent="0.25">
      <c r="A3623" s="27">
        <v>8612051</v>
      </c>
      <c r="B3623" s="28" t="s">
        <v>9154</v>
      </c>
    </row>
    <row r="3624" spans="1:2" x14ac:dyDescent="0.25">
      <c r="A3624" s="27">
        <v>8612052</v>
      </c>
      <c r="B3624" s="25" t="s">
        <v>9150</v>
      </c>
    </row>
    <row r="3625" spans="1:2" x14ac:dyDescent="0.25">
      <c r="A3625" s="27">
        <v>8612053</v>
      </c>
      <c r="B3625" s="28" t="s">
        <v>9153</v>
      </c>
    </row>
    <row r="3626" spans="1:2" x14ac:dyDescent="0.25">
      <c r="A3626" s="27">
        <v>8612054</v>
      </c>
      <c r="B3626" s="25" t="s">
        <v>9151</v>
      </c>
    </row>
    <row r="3627" spans="1:2" x14ac:dyDescent="0.25">
      <c r="A3627" s="27">
        <v>8612055</v>
      </c>
      <c r="B3627" s="28" t="s">
        <v>9152</v>
      </c>
    </row>
    <row r="3628" spans="1:2" x14ac:dyDescent="0.25">
      <c r="A3628" s="27">
        <v>8612056</v>
      </c>
      <c r="B3628" s="28" t="s">
        <v>9139</v>
      </c>
    </row>
    <row r="3629" spans="1:2" x14ac:dyDescent="0.25">
      <c r="A3629" s="27">
        <v>8612057</v>
      </c>
      <c r="B3629" s="28" t="s">
        <v>9138</v>
      </c>
    </row>
    <row r="3630" spans="1:2" x14ac:dyDescent="0.25">
      <c r="A3630" s="27">
        <v>8612058</v>
      </c>
      <c r="B3630" s="25" t="s">
        <v>9146</v>
      </c>
    </row>
    <row r="3631" spans="1:2" x14ac:dyDescent="0.25">
      <c r="A3631" s="27">
        <v>8612059</v>
      </c>
      <c r="B3631" s="28" t="s">
        <v>12052</v>
      </c>
    </row>
    <row r="3632" spans="1:2" x14ac:dyDescent="0.25">
      <c r="A3632" s="27">
        <v>8612080</v>
      </c>
      <c r="B3632" s="28" t="s">
        <v>8491</v>
      </c>
    </row>
    <row r="3633" spans="1:2" x14ac:dyDescent="0.25">
      <c r="A3633" s="27">
        <v>8612093</v>
      </c>
      <c r="B3633" s="28" t="s">
        <v>8492</v>
      </c>
    </row>
    <row r="3634" spans="1:2" x14ac:dyDescent="0.25">
      <c r="A3634" s="27">
        <v>8612101</v>
      </c>
      <c r="B3634" s="28" t="s">
        <v>9374</v>
      </c>
    </row>
    <row r="3635" spans="1:2" x14ac:dyDescent="0.25">
      <c r="A3635" s="27">
        <v>8612102</v>
      </c>
      <c r="B3635" s="28" t="s">
        <v>12053</v>
      </c>
    </row>
    <row r="3636" spans="1:2" x14ac:dyDescent="0.25">
      <c r="A3636" s="27">
        <v>8612112</v>
      </c>
      <c r="B3636" s="28" t="s">
        <v>9318</v>
      </c>
    </row>
    <row r="3637" spans="1:2" x14ac:dyDescent="0.25">
      <c r="A3637" s="27">
        <v>8612122</v>
      </c>
      <c r="B3637" s="28" t="s">
        <v>9701</v>
      </c>
    </row>
    <row r="3638" spans="1:2" x14ac:dyDescent="0.25">
      <c r="A3638" s="27">
        <v>8612151</v>
      </c>
      <c r="B3638" s="28" t="s">
        <v>10854</v>
      </c>
    </row>
    <row r="3639" spans="1:2" x14ac:dyDescent="0.25">
      <c r="A3639" s="27">
        <v>8612200</v>
      </c>
      <c r="B3639" s="28" t="s">
        <v>8494</v>
      </c>
    </row>
    <row r="3640" spans="1:2" x14ac:dyDescent="0.25">
      <c r="A3640" s="27">
        <v>8612201</v>
      </c>
      <c r="B3640" s="28" t="s">
        <v>10100</v>
      </c>
    </row>
    <row r="3641" spans="1:2" x14ac:dyDescent="0.25">
      <c r="A3641" s="27">
        <v>8612203</v>
      </c>
      <c r="B3641" s="28" t="s">
        <v>9319</v>
      </c>
    </row>
    <row r="3642" spans="1:2" x14ac:dyDescent="0.25">
      <c r="A3642" s="27">
        <v>8612300</v>
      </c>
      <c r="B3642" s="28" t="s">
        <v>10765</v>
      </c>
    </row>
    <row r="3643" spans="1:2" x14ac:dyDescent="0.25">
      <c r="A3643" s="27">
        <v>8612416</v>
      </c>
      <c r="B3643" s="28" t="s">
        <v>10379</v>
      </c>
    </row>
    <row r="3644" spans="1:2" x14ac:dyDescent="0.25">
      <c r="A3644" s="27">
        <v>8612418</v>
      </c>
      <c r="B3644" s="28" t="s">
        <v>10872</v>
      </c>
    </row>
    <row r="3645" spans="1:2" x14ac:dyDescent="0.25">
      <c r="A3645" s="27">
        <v>8612420</v>
      </c>
      <c r="B3645" s="28" t="s">
        <v>12054</v>
      </c>
    </row>
    <row r="3646" spans="1:2" x14ac:dyDescent="0.25">
      <c r="A3646" s="27">
        <v>8612462</v>
      </c>
      <c r="B3646" s="28" t="s">
        <v>9142</v>
      </c>
    </row>
    <row r="3647" spans="1:2" x14ac:dyDescent="0.25">
      <c r="A3647" s="27">
        <v>8612468</v>
      </c>
      <c r="B3647" s="28" t="s">
        <v>9143</v>
      </c>
    </row>
    <row r="3648" spans="1:2" x14ac:dyDescent="0.25">
      <c r="A3648" s="27">
        <v>8612500</v>
      </c>
      <c r="B3648" s="28" t="s">
        <v>10849</v>
      </c>
    </row>
    <row r="3649" spans="1:2" x14ac:dyDescent="0.25">
      <c r="A3649" s="27">
        <v>8612523</v>
      </c>
      <c r="B3649" s="28" t="s">
        <v>9141</v>
      </c>
    </row>
    <row r="3650" spans="1:2" x14ac:dyDescent="0.25">
      <c r="A3650" s="27">
        <v>8612600</v>
      </c>
      <c r="B3650" s="28" t="s">
        <v>9140</v>
      </c>
    </row>
    <row r="3651" spans="1:2" x14ac:dyDescent="0.25">
      <c r="A3651" s="27">
        <v>8612601</v>
      </c>
      <c r="B3651" s="28" t="s">
        <v>12055</v>
      </c>
    </row>
    <row r="3652" spans="1:2" x14ac:dyDescent="0.25">
      <c r="A3652" s="27">
        <v>8612697</v>
      </c>
      <c r="B3652" s="28" t="s">
        <v>12056</v>
      </c>
    </row>
    <row r="3653" spans="1:2" x14ac:dyDescent="0.25">
      <c r="A3653" s="27">
        <v>8612793</v>
      </c>
      <c r="B3653" s="28" t="s">
        <v>9144</v>
      </c>
    </row>
    <row r="3654" spans="1:2" x14ac:dyDescent="0.25">
      <c r="A3654" s="27">
        <v>8612794</v>
      </c>
      <c r="B3654" s="28" t="s">
        <v>9145</v>
      </c>
    </row>
    <row r="3655" spans="1:2" x14ac:dyDescent="0.25">
      <c r="A3655" s="27">
        <v>8614014</v>
      </c>
      <c r="B3655" s="28" t="s">
        <v>9918</v>
      </c>
    </row>
    <row r="3656" spans="1:2" x14ac:dyDescent="0.25">
      <c r="A3656" s="27">
        <v>8614015</v>
      </c>
      <c r="B3656" s="28" t="s">
        <v>9320</v>
      </c>
    </row>
    <row r="3657" spans="1:2" x14ac:dyDescent="0.25">
      <c r="A3657" s="27">
        <v>8614016</v>
      </c>
      <c r="B3657" s="28" t="s">
        <v>9321</v>
      </c>
    </row>
    <row r="3658" spans="1:2" x14ac:dyDescent="0.25">
      <c r="A3658" s="27">
        <v>8660019</v>
      </c>
      <c r="B3658" s="28" t="s">
        <v>12057</v>
      </c>
    </row>
    <row r="3659" spans="1:2" x14ac:dyDescent="0.25">
      <c r="A3659" s="27">
        <v>8676004</v>
      </c>
      <c r="B3659" s="28" t="s">
        <v>8844</v>
      </c>
    </row>
    <row r="3660" spans="1:2" x14ac:dyDescent="0.25">
      <c r="A3660" s="27">
        <v>8686003</v>
      </c>
      <c r="B3660" s="28" t="s">
        <v>8842</v>
      </c>
    </row>
    <row r="3661" spans="1:2" x14ac:dyDescent="0.25">
      <c r="A3661" s="27">
        <v>8686004</v>
      </c>
      <c r="B3661" s="28" t="s">
        <v>12058</v>
      </c>
    </row>
    <row r="3662" spans="1:2" x14ac:dyDescent="0.25">
      <c r="A3662" s="27">
        <v>8686010</v>
      </c>
      <c r="B3662" s="28" t="s">
        <v>10767</v>
      </c>
    </row>
    <row r="3663" spans="1:2" x14ac:dyDescent="0.25">
      <c r="A3663" s="27">
        <v>8686070</v>
      </c>
      <c r="B3663" s="28" t="s">
        <v>8843</v>
      </c>
    </row>
    <row r="3664" spans="1:2" x14ac:dyDescent="0.25">
      <c r="A3664" s="27">
        <v>8687002</v>
      </c>
      <c r="B3664" s="28" t="s">
        <v>8845</v>
      </c>
    </row>
    <row r="3665" spans="1:2" x14ac:dyDescent="0.25">
      <c r="A3665" s="27">
        <v>8691016</v>
      </c>
      <c r="B3665" s="28" t="s">
        <v>12059</v>
      </c>
    </row>
    <row r="3666" spans="1:2" x14ac:dyDescent="0.25">
      <c r="A3666" s="27">
        <v>8691508</v>
      </c>
      <c r="B3666" s="28" t="s">
        <v>12060</v>
      </c>
    </row>
    <row r="3667" spans="1:2" x14ac:dyDescent="0.25">
      <c r="A3667" s="27">
        <v>8692010</v>
      </c>
      <c r="B3667" s="28" t="s">
        <v>9125</v>
      </c>
    </row>
    <row r="3668" spans="1:2" x14ac:dyDescent="0.25">
      <c r="A3668" s="27">
        <v>8692011</v>
      </c>
      <c r="B3668" s="28" t="s">
        <v>9128</v>
      </c>
    </row>
    <row r="3669" spans="1:2" x14ac:dyDescent="0.25">
      <c r="A3669" s="27">
        <v>8692150</v>
      </c>
      <c r="B3669" s="28" t="s">
        <v>9147</v>
      </c>
    </row>
    <row r="3670" spans="1:2" x14ac:dyDescent="0.25">
      <c r="A3670" s="27">
        <v>8692210</v>
      </c>
      <c r="B3670" s="28" t="s">
        <v>9148</v>
      </c>
    </row>
    <row r="3671" spans="1:2" x14ac:dyDescent="0.25">
      <c r="A3671" s="27">
        <v>8692230</v>
      </c>
      <c r="B3671" s="28" t="s">
        <v>8493</v>
      </c>
    </row>
    <row r="3672" spans="1:2" x14ac:dyDescent="0.25">
      <c r="A3672" s="27">
        <v>8692231</v>
      </c>
      <c r="B3672" s="28" t="s">
        <v>8489</v>
      </c>
    </row>
    <row r="3673" spans="1:2" x14ac:dyDescent="0.25">
      <c r="A3673" s="27">
        <v>8692232</v>
      </c>
      <c r="B3673" s="28" t="s">
        <v>8488</v>
      </c>
    </row>
    <row r="3674" spans="1:2" x14ac:dyDescent="0.25">
      <c r="A3674" s="27">
        <v>8692233</v>
      </c>
      <c r="B3674" s="28" t="s">
        <v>8490</v>
      </c>
    </row>
    <row r="3675" spans="1:2" x14ac:dyDescent="0.25">
      <c r="A3675" s="27">
        <v>8692240</v>
      </c>
      <c r="B3675" s="28" t="s">
        <v>9149</v>
      </c>
    </row>
    <row r="3676" spans="1:2" x14ac:dyDescent="0.25">
      <c r="A3676" s="27">
        <v>8692501</v>
      </c>
      <c r="B3676" s="28" t="s">
        <v>12061</v>
      </c>
    </row>
    <row r="3677" spans="1:2" x14ac:dyDescent="0.25">
      <c r="A3677" s="27">
        <v>8692502</v>
      </c>
      <c r="B3677" s="28" t="s">
        <v>12062</v>
      </c>
    </row>
    <row r="3678" spans="1:2" x14ac:dyDescent="0.25">
      <c r="A3678" s="27">
        <v>8692503</v>
      </c>
      <c r="B3678" s="28" t="s">
        <v>12063</v>
      </c>
    </row>
    <row r="3679" spans="1:2" x14ac:dyDescent="0.25">
      <c r="A3679" s="27">
        <v>8692504</v>
      </c>
      <c r="B3679" s="28" t="s">
        <v>9316</v>
      </c>
    </row>
    <row r="3680" spans="1:2" x14ac:dyDescent="0.25">
      <c r="A3680" s="27">
        <v>8692505</v>
      </c>
      <c r="B3680" s="28" t="s">
        <v>9317</v>
      </c>
    </row>
    <row r="3681" spans="1:2" x14ac:dyDescent="0.25">
      <c r="A3681" s="27">
        <v>8692506</v>
      </c>
      <c r="B3681" s="28" t="s">
        <v>9018</v>
      </c>
    </row>
    <row r="3682" spans="1:2" x14ac:dyDescent="0.25">
      <c r="A3682" s="27">
        <v>8692507</v>
      </c>
      <c r="B3682" s="28" t="s">
        <v>12064</v>
      </c>
    </row>
    <row r="3683" spans="1:2" x14ac:dyDescent="0.25">
      <c r="A3683" s="27">
        <v>8692508</v>
      </c>
      <c r="B3683" s="28" t="s">
        <v>12060</v>
      </c>
    </row>
    <row r="3684" spans="1:2" x14ac:dyDescent="0.25">
      <c r="A3684" s="27">
        <v>8692851</v>
      </c>
      <c r="B3684" s="28" t="s">
        <v>12065</v>
      </c>
    </row>
    <row r="3685" spans="1:2" x14ac:dyDescent="0.25">
      <c r="A3685" s="27">
        <v>8693012</v>
      </c>
      <c r="B3685" s="28" t="s">
        <v>12066</v>
      </c>
    </row>
    <row r="3686" spans="1:2" x14ac:dyDescent="0.25">
      <c r="A3686" s="27">
        <v>8694014</v>
      </c>
      <c r="B3686" s="28" t="s">
        <v>12066</v>
      </c>
    </row>
    <row r="3687" spans="1:2" x14ac:dyDescent="0.25">
      <c r="A3687" s="27">
        <v>8695001</v>
      </c>
      <c r="B3687" s="28" t="s">
        <v>12067</v>
      </c>
    </row>
    <row r="3688" spans="1:2" x14ac:dyDescent="0.25">
      <c r="A3688" s="27">
        <v>8697004</v>
      </c>
      <c r="B3688" s="28" t="s">
        <v>9124</v>
      </c>
    </row>
    <row r="3689" spans="1:2" x14ac:dyDescent="0.25">
      <c r="A3689" s="27">
        <v>8701000</v>
      </c>
      <c r="B3689" s="28" t="s">
        <v>9302</v>
      </c>
    </row>
    <row r="3690" spans="1:2" x14ac:dyDescent="0.25">
      <c r="A3690" s="27">
        <v>8701001</v>
      </c>
      <c r="B3690" s="28" t="s">
        <v>9616</v>
      </c>
    </row>
    <row r="3691" spans="1:2" x14ac:dyDescent="0.25">
      <c r="A3691" s="27">
        <v>8701002</v>
      </c>
      <c r="B3691" s="28" t="s">
        <v>9300</v>
      </c>
    </row>
    <row r="3692" spans="1:2" x14ac:dyDescent="0.25">
      <c r="A3692" s="27">
        <v>8701003</v>
      </c>
      <c r="B3692" s="28" t="s">
        <v>9301</v>
      </c>
    </row>
    <row r="3693" spans="1:2" x14ac:dyDescent="0.25">
      <c r="A3693" s="27">
        <v>8701005</v>
      </c>
      <c r="B3693" s="28" t="s">
        <v>9303</v>
      </c>
    </row>
    <row r="3694" spans="1:2" x14ac:dyDescent="0.25">
      <c r="A3694" s="27">
        <v>8701010</v>
      </c>
      <c r="B3694" s="28" t="s">
        <v>12360</v>
      </c>
    </row>
    <row r="3695" spans="1:2" x14ac:dyDescent="0.25">
      <c r="A3695" s="27">
        <v>8701015</v>
      </c>
      <c r="B3695" s="28" t="s">
        <v>12361</v>
      </c>
    </row>
    <row r="3696" spans="1:2" x14ac:dyDescent="0.25">
      <c r="A3696" s="27">
        <v>8701020</v>
      </c>
      <c r="B3696" s="28" t="s">
        <v>9304</v>
      </c>
    </row>
    <row r="3697" spans="1:2" x14ac:dyDescent="0.25">
      <c r="A3697" s="27">
        <v>8701032</v>
      </c>
      <c r="B3697" s="28" t="s">
        <v>9294</v>
      </c>
    </row>
    <row r="3698" spans="1:2" x14ac:dyDescent="0.25">
      <c r="A3698" s="27">
        <v>8701033</v>
      </c>
      <c r="B3698" s="28" t="s">
        <v>9293</v>
      </c>
    </row>
    <row r="3699" spans="1:2" x14ac:dyDescent="0.25">
      <c r="A3699" s="27">
        <v>8701038</v>
      </c>
      <c r="B3699" s="28" t="s">
        <v>9312</v>
      </c>
    </row>
    <row r="3700" spans="1:2" x14ac:dyDescent="0.25">
      <c r="A3700" s="27">
        <v>8701060</v>
      </c>
      <c r="B3700" s="28" t="s">
        <v>12068</v>
      </c>
    </row>
    <row r="3701" spans="1:2" x14ac:dyDescent="0.25">
      <c r="A3701" s="27">
        <v>8701090</v>
      </c>
      <c r="B3701" s="28" t="s">
        <v>9282</v>
      </c>
    </row>
    <row r="3702" spans="1:2" x14ac:dyDescent="0.25">
      <c r="A3702" s="27">
        <v>8701092</v>
      </c>
      <c r="B3702" s="28" t="s">
        <v>9283</v>
      </c>
    </row>
    <row r="3703" spans="1:2" x14ac:dyDescent="0.25">
      <c r="A3703" s="27">
        <v>8701093</v>
      </c>
      <c r="B3703" s="28" t="s">
        <v>9281</v>
      </c>
    </row>
    <row r="3704" spans="1:2" x14ac:dyDescent="0.25">
      <c r="A3704" s="27">
        <v>8701100</v>
      </c>
      <c r="B3704" s="28" t="s">
        <v>12069</v>
      </c>
    </row>
    <row r="3705" spans="1:2" x14ac:dyDescent="0.25">
      <c r="A3705" s="27">
        <v>8701120</v>
      </c>
      <c r="B3705" s="28" t="s">
        <v>9295</v>
      </c>
    </row>
    <row r="3706" spans="1:2" x14ac:dyDescent="0.25">
      <c r="A3706" s="27">
        <v>8701158</v>
      </c>
      <c r="B3706" s="28" t="s">
        <v>12070</v>
      </c>
    </row>
    <row r="3707" spans="1:2" x14ac:dyDescent="0.25">
      <c r="A3707" s="27">
        <v>8701162</v>
      </c>
      <c r="B3707" s="28" t="s">
        <v>9299</v>
      </c>
    </row>
    <row r="3708" spans="1:2" x14ac:dyDescent="0.25">
      <c r="A3708" s="27">
        <v>8701200</v>
      </c>
      <c r="B3708" s="28" t="s">
        <v>9296</v>
      </c>
    </row>
    <row r="3709" spans="1:2" x14ac:dyDescent="0.25">
      <c r="A3709" s="27">
        <v>8701214</v>
      </c>
      <c r="B3709" s="28" t="s">
        <v>9286</v>
      </c>
    </row>
    <row r="3710" spans="1:2" x14ac:dyDescent="0.25">
      <c r="A3710" s="27">
        <v>8701215</v>
      </c>
      <c r="B3710" s="28" t="s">
        <v>9290</v>
      </c>
    </row>
    <row r="3711" spans="1:2" x14ac:dyDescent="0.25">
      <c r="A3711" s="27">
        <v>8701216</v>
      </c>
      <c r="B3711" s="28" t="s">
        <v>9285</v>
      </c>
    </row>
    <row r="3712" spans="1:2" x14ac:dyDescent="0.25">
      <c r="A3712" s="27">
        <v>8701253</v>
      </c>
      <c r="B3712" s="28" t="s">
        <v>9307</v>
      </c>
    </row>
    <row r="3713" spans="1:2" x14ac:dyDescent="0.25">
      <c r="A3713" s="27">
        <v>8701255</v>
      </c>
      <c r="B3713" s="28" t="s">
        <v>9309</v>
      </c>
    </row>
    <row r="3714" spans="1:2" x14ac:dyDescent="0.25">
      <c r="A3714" s="27">
        <v>8701325</v>
      </c>
      <c r="B3714" s="28" t="s">
        <v>9308</v>
      </c>
    </row>
    <row r="3715" spans="1:2" x14ac:dyDescent="0.25">
      <c r="A3715" s="27">
        <v>8701326</v>
      </c>
      <c r="B3715" s="28" t="s">
        <v>12071</v>
      </c>
    </row>
    <row r="3716" spans="1:2" x14ac:dyDescent="0.25">
      <c r="A3716" s="27">
        <v>8701350</v>
      </c>
      <c r="B3716" s="28" t="s">
        <v>9311</v>
      </c>
    </row>
    <row r="3717" spans="1:2" x14ac:dyDescent="0.25">
      <c r="A3717" s="27">
        <v>8701351</v>
      </c>
      <c r="B3717" s="28" t="s">
        <v>12072</v>
      </c>
    </row>
    <row r="3718" spans="1:2" x14ac:dyDescent="0.25">
      <c r="A3718" s="27">
        <v>8701458</v>
      </c>
      <c r="B3718" s="28" t="s">
        <v>9289</v>
      </c>
    </row>
    <row r="3719" spans="1:2" x14ac:dyDescent="0.25">
      <c r="A3719" s="27">
        <v>8701494</v>
      </c>
      <c r="B3719" s="28" t="s">
        <v>9314</v>
      </c>
    </row>
    <row r="3720" spans="1:2" x14ac:dyDescent="0.25">
      <c r="A3720" s="27">
        <v>8701495</v>
      </c>
      <c r="B3720" s="28" t="s">
        <v>9313</v>
      </c>
    </row>
    <row r="3721" spans="1:2" x14ac:dyDescent="0.25">
      <c r="A3721" s="27">
        <v>8701500</v>
      </c>
      <c r="B3721" s="28" t="s">
        <v>9315</v>
      </c>
    </row>
    <row r="3722" spans="1:2" x14ac:dyDescent="0.25">
      <c r="A3722" s="27">
        <v>8701541</v>
      </c>
      <c r="B3722" s="28" t="s">
        <v>9287</v>
      </c>
    </row>
    <row r="3723" spans="1:2" x14ac:dyDescent="0.25">
      <c r="A3723" s="27">
        <v>8701542</v>
      </c>
      <c r="B3723" s="28" t="s">
        <v>9288</v>
      </c>
    </row>
    <row r="3724" spans="1:2" x14ac:dyDescent="0.25">
      <c r="A3724" s="27">
        <v>8701552</v>
      </c>
      <c r="B3724" s="28" t="s">
        <v>12073</v>
      </c>
    </row>
    <row r="3725" spans="1:2" x14ac:dyDescent="0.25">
      <c r="A3725" s="27">
        <v>8701575</v>
      </c>
      <c r="B3725" s="28" t="s">
        <v>9310</v>
      </c>
    </row>
    <row r="3726" spans="1:2" x14ac:dyDescent="0.25">
      <c r="A3726" s="27">
        <v>8701576</v>
      </c>
      <c r="B3726" s="28" t="s">
        <v>12362</v>
      </c>
    </row>
    <row r="3727" spans="1:2" x14ac:dyDescent="0.25">
      <c r="A3727" s="27">
        <v>8701652</v>
      </c>
      <c r="B3727" s="28" t="s">
        <v>10845</v>
      </c>
    </row>
    <row r="3728" spans="1:2" x14ac:dyDescent="0.25">
      <c r="A3728" s="27">
        <v>8701653</v>
      </c>
      <c r="B3728" s="28" t="s">
        <v>10844</v>
      </c>
    </row>
    <row r="3729" spans="1:2" x14ac:dyDescent="0.25">
      <c r="A3729" s="27">
        <v>8701654</v>
      </c>
      <c r="B3729" s="28" t="s">
        <v>10843</v>
      </c>
    </row>
    <row r="3730" spans="1:2" x14ac:dyDescent="0.25">
      <c r="A3730" s="27">
        <v>8701655</v>
      </c>
      <c r="B3730" s="28" t="s">
        <v>9297</v>
      </c>
    </row>
    <row r="3731" spans="1:2" x14ac:dyDescent="0.25">
      <c r="A3731" s="27">
        <v>8701656</v>
      </c>
      <c r="B3731" s="28" t="s">
        <v>9298</v>
      </c>
    </row>
    <row r="3732" spans="1:2" x14ac:dyDescent="0.25">
      <c r="A3732" s="27">
        <v>8701657</v>
      </c>
      <c r="B3732" s="28" t="s">
        <v>10846</v>
      </c>
    </row>
    <row r="3733" spans="1:2" x14ac:dyDescent="0.25">
      <c r="A3733" s="27">
        <v>8701658</v>
      </c>
      <c r="B3733" s="28" t="s">
        <v>12074</v>
      </c>
    </row>
    <row r="3734" spans="1:2" x14ac:dyDescent="0.25">
      <c r="A3734" s="27">
        <v>8701735</v>
      </c>
      <c r="B3734" s="28" t="s">
        <v>9292</v>
      </c>
    </row>
    <row r="3735" spans="1:2" x14ac:dyDescent="0.25">
      <c r="A3735" s="27">
        <v>8701736</v>
      </c>
      <c r="B3735" s="28" t="s">
        <v>12075</v>
      </c>
    </row>
    <row r="3736" spans="1:2" x14ac:dyDescent="0.25">
      <c r="A3736" s="27">
        <v>8701741</v>
      </c>
      <c r="B3736" s="28" t="s">
        <v>12363</v>
      </c>
    </row>
    <row r="3737" spans="1:2" x14ac:dyDescent="0.25">
      <c r="A3737" s="27">
        <v>8701742</v>
      </c>
      <c r="B3737" s="28" t="s">
        <v>12364</v>
      </c>
    </row>
    <row r="3738" spans="1:2" x14ac:dyDescent="0.25">
      <c r="A3738" s="27">
        <v>8701745</v>
      </c>
      <c r="B3738" s="28" t="s">
        <v>12076</v>
      </c>
    </row>
    <row r="3739" spans="1:2" x14ac:dyDescent="0.25">
      <c r="A3739" s="27">
        <v>8701750</v>
      </c>
      <c r="B3739" s="28" t="s">
        <v>9284</v>
      </c>
    </row>
    <row r="3740" spans="1:2" x14ac:dyDescent="0.25">
      <c r="A3740" s="27">
        <v>8701800</v>
      </c>
      <c r="B3740" s="28" t="s">
        <v>9305</v>
      </c>
    </row>
    <row r="3741" spans="1:2" x14ac:dyDescent="0.25">
      <c r="A3741" s="27">
        <v>8701856</v>
      </c>
      <c r="B3741" s="28" t="s">
        <v>9306</v>
      </c>
    </row>
    <row r="3742" spans="1:2" x14ac:dyDescent="0.25">
      <c r="A3742" s="27">
        <v>8701900</v>
      </c>
      <c r="B3742" s="28" t="s">
        <v>12365</v>
      </c>
    </row>
    <row r="3743" spans="1:2" x14ac:dyDescent="0.25">
      <c r="A3743" s="27">
        <v>8701999</v>
      </c>
      <c r="B3743" s="28" t="s">
        <v>9291</v>
      </c>
    </row>
    <row r="3744" spans="1:2" x14ac:dyDescent="0.25">
      <c r="A3744" s="27">
        <v>8702073</v>
      </c>
      <c r="B3744" s="28" t="s">
        <v>12077</v>
      </c>
    </row>
    <row r="3745" spans="1:2" x14ac:dyDescent="0.25">
      <c r="A3745" s="27">
        <v>8702228</v>
      </c>
      <c r="B3745" s="28" t="s">
        <v>12078</v>
      </c>
    </row>
    <row r="3746" spans="1:2" x14ac:dyDescent="0.25">
      <c r="A3746" s="27">
        <v>8702557</v>
      </c>
      <c r="B3746" s="28" t="s">
        <v>10687</v>
      </c>
    </row>
    <row r="3747" spans="1:2" x14ac:dyDescent="0.25">
      <c r="A3747" s="27">
        <v>8702660</v>
      </c>
      <c r="B3747" s="28" t="s">
        <v>9130</v>
      </c>
    </row>
    <row r="3748" spans="1:2" x14ac:dyDescent="0.25">
      <c r="A3748" s="27">
        <v>8702661</v>
      </c>
      <c r="B3748" s="28" t="s">
        <v>9131</v>
      </c>
    </row>
    <row r="3749" spans="1:2" x14ac:dyDescent="0.25">
      <c r="A3749" s="27">
        <v>8702668</v>
      </c>
      <c r="B3749" s="28" t="s">
        <v>10688</v>
      </c>
    </row>
    <row r="3750" spans="1:2" x14ac:dyDescent="0.25">
      <c r="A3750" s="27">
        <v>8703000</v>
      </c>
      <c r="B3750" s="28" t="s">
        <v>12079</v>
      </c>
    </row>
    <row r="3751" spans="1:2" x14ac:dyDescent="0.25">
      <c r="A3751" s="27">
        <v>8703001</v>
      </c>
      <c r="B3751" s="28" t="s">
        <v>10541</v>
      </c>
    </row>
    <row r="3752" spans="1:2" x14ac:dyDescent="0.25">
      <c r="A3752" s="27">
        <v>8703002</v>
      </c>
      <c r="B3752" s="28" t="s">
        <v>12080</v>
      </c>
    </row>
    <row r="3753" spans="1:2" x14ac:dyDescent="0.25">
      <c r="A3753" s="27">
        <v>8703004</v>
      </c>
      <c r="B3753" s="28" t="s">
        <v>9643</v>
      </c>
    </row>
    <row r="3754" spans="1:2" x14ac:dyDescent="0.25">
      <c r="A3754" s="27">
        <v>8703005</v>
      </c>
      <c r="B3754" s="28" t="s">
        <v>12081</v>
      </c>
    </row>
    <row r="3755" spans="1:2" x14ac:dyDescent="0.25">
      <c r="A3755" s="27">
        <v>8703011</v>
      </c>
      <c r="B3755" s="28" t="s">
        <v>12082</v>
      </c>
    </row>
    <row r="3756" spans="1:2" x14ac:dyDescent="0.25">
      <c r="A3756" s="27">
        <v>8703012</v>
      </c>
      <c r="B3756" s="28" t="s">
        <v>12083</v>
      </c>
    </row>
    <row r="3757" spans="1:2" x14ac:dyDescent="0.25">
      <c r="A3757" s="27">
        <v>8703017</v>
      </c>
      <c r="B3757" s="28" t="s">
        <v>10311</v>
      </c>
    </row>
    <row r="3758" spans="1:2" x14ac:dyDescent="0.25">
      <c r="A3758" s="27">
        <v>8703018</v>
      </c>
      <c r="B3758" s="28" t="s">
        <v>10321</v>
      </c>
    </row>
    <row r="3759" spans="1:2" x14ac:dyDescent="0.25">
      <c r="A3759" s="27">
        <v>8703020</v>
      </c>
      <c r="B3759" s="25" t="s">
        <v>10546</v>
      </c>
    </row>
    <row r="3760" spans="1:2" x14ac:dyDescent="0.25">
      <c r="A3760" s="27">
        <v>8703021</v>
      </c>
      <c r="B3760" s="28" t="s">
        <v>12084</v>
      </c>
    </row>
    <row r="3761" spans="1:2" x14ac:dyDescent="0.25">
      <c r="A3761" s="27">
        <v>8703028</v>
      </c>
      <c r="B3761" s="28" t="s">
        <v>12366</v>
      </c>
    </row>
    <row r="3762" spans="1:2" x14ac:dyDescent="0.25">
      <c r="A3762" s="27">
        <v>8703030</v>
      </c>
      <c r="B3762" s="28" t="s">
        <v>10540</v>
      </c>
    </row>
    <row r="3763" spans="1:2" x14ac:dyDescent="0.25">
      <c r="A3763" s="27">
        <v>8703034</v>
      </c>
      <c r="B3763" s="28" t="s">
        <v>10536</v>
      </c>
    </row>
    <row r="3764" spans="1:2" x14ac:dyDescent="0.25">
      <c r="A3764" s="27">
        <v>8703035</v>
      </c>
      <c r="B3764" s="28" t="s">
        <v>10538</v>
      </c>
    </row>
    <row r="3765" spans="1:2" x14ac:dyDescent="0.25">
      <c r="A3765" s="27">
        <v>8703036</v>
      </c>
      <c r="B3765" s="28" t="s">
        <v>10537</v>
      </c>
    </row>
    <row r="3766" spans="1:2" x14ac:dyDescent="0.25">
      <c r="A3766" s="27">
        <v>870303601</v>
      </c>
      <c r="B3766" s="28" t="s">
        <v>12085</v>
      </c>
    </row>
    <row r="3767" spans="1:2" x14ac:dyDescent="0.25">
      <c r="A3767" s="27">
        <v>870303602</v>
      </c>
      <c r="B3767" s="28" t="s">
        <v>12086</v>
      </c>
    </row>
    <row r="3768" spans="1:2" x14ac:dyDescent="0.25">
      <c r="A3768" s="27">
        <v>8703037</v>
      </c>
      <c r="B3768" s="28" t="s">
        <v>10551</v>
      </c>
    </row>
    <row r="3769" spans="1:2" x14ac:dyDescent="0.25">
      <c r="A3769" s="27">
        <v>8703038</v>
      </c>
      <c r="B3769" s="28" t="s">
        <v>10550</v>
      </c>
    </row>
    <row r="3770" spans="1:2" x14ac:dyDescent="0.25">
      <c r="A3770" s="27">
        <v>870303800</v>
      </c>
      <c r="B3770" s="28" t="s">
        <v>12087</v>
      </c>
    </row>
    <row r="3771" spans="1:2" x14ac:dyDescent="0.25">
      <c r="A3771" s="27">
        <v>870303801</v>
      </c>
      <c r="B3771" s="28" t="s">
        <v>10555</v>
      </c>
    </row>
    <row r="3772" spans="1:2" x14ac:dyDescent="0.25">
      <c r="A3772" s="27">
        <v>870303802</v>
      </c>
      <c r="B3772" s="28" t="s">
        <v>12088</v>
      </c>
    </row>
    <row r="3773" spans="1:2" x14ac:dyDescent="0.25">
      <c r="A3773" s="27">
        <v>870303803</v>
      </c>
      <c r="B3773" s="28" t="s">
        <v>12089</v>
      </c>
    </row>
    <row r="3774" spans="1:2" x14ac:dyDescent="0.25">
      <c r="A3774" s="27">
        <v>8703039</v>
      </c>
      <c r="B3774" s="28" t="s">
        <v>12090</v>
      </c>
    </row>
    <row r="3775" spans="1:2" x14ac:dyDescent="0.25">
      <c r="A3775" s="27">
        <v>8703040</v>
      </c>
      <c r="B3775" s="28" t="s">
        <v>10554</v>
      </c>
    </row>
    <row r="3776" spans="1:2" x14ac:dyDescent="0.25">
      <c r="A3776" s="27">
        <v>8703041</v>
      </c>
      <c r="B3776" s="28" t="s">
        <v>10553</v>
      </c>
    </row>
    <row r="3777" spans="1:2" x14ac:dyDescent="0.25">
      <c r="A3777" s="27">
        <v>870304101</v>
      </c>
      <c r="B3777" s="28" t="s">
        <v>12091</v>
      </c>
    </row>
    <row r="3778" spans="1:2" x14ac:dyDescent="0.25">
      <c r="A3778" s="27">
        <v>870304102</v>
      </c>
      <c r="B3778" s="28" t="s">
        <v>12092</v>
      </c>
    </row>
    <row r="3779" spans="1:2" x14ac:dyDescent="0.25">
      <c r="A3779" s="27">
        <v>8703042</v>
      </c>
      <c r="B3779" s="28" t="s">
        <v>10557</v>
      </c>
    </row>
    <row r="3780" spans="1:2" x14ac:dyDescent="0.25">
      <c r="A3780" s="27">
        <v>8703045</v>
      </c>
      <c r="B3780" s="28" t="s">
        <v>10562</v>
      </c>
    </row>
    <row r="3781" spans="1:2" x14ac:dyDescent="0.25">
      <c r="A3781" s="27">
        <v>8703046</v>
      </c>
      <c r="B3781" s="28" t="s">
        <v>10633</v>
      </c>
    </row>
    <row r="3782" spans="1:2" x14ac:dyDescent="0.25">
      <c r="A3782" s="27">
        <v>8703047</v>
      </c>
      <c r="B3782" s="28" t="s">
        <v>10832</v>
      </c>
    </row>
    <row r="3783" spans="1:2" x14ac:dyDescent="0.25">
      <c r="A3783" s="27">
        <v>8703051</v>
      </c>
      <c r="B3783" s="28" t="s">
        <v>10556</v>
      </c>
    </row>
    <row r="3784" spans="1:2" x14ac:dyDescent="0.25">
      <c r="A3784" s="27">
        <v>8703052</v>
      </c>
      <c r="B3784" s="28" t="s">
        <v>10634</v>
      </c>
    </row>
    <row r="3785" spans="1:2" x14ac:dyDescent="0.25">
      <c r="A3785" s="27">
        <v>8703053</v>
      </c>
      <c r="B3785" s="28" t="s">
        <v>10635</v>
      </c>
    </row>
    <row r="3786" spans="1:2" x14ac:dyDescent="0.25">
      <c r="A3786" s="27">
        <v>8703062</v>
      </c>
      <c r="B3786" s="28" t="s">
        <v>12093</v>
      </c>
    </row>
    <row r="3787" spans="1:2" x14ac:dyDescent="0.25">
      <c r="A3787" s="27">
        <v>8703090</v>
      </c>
      <c r="B3787" s="28" t="s">
        <v>12094</v>
      </c>
    </row>
    <row r="3788" spans="1:2" x14ac:dyDescent="0.25">
      <c r="A3788" s="27">
        <v>8703094</v>
      </c>
      <c r="B3788" s="28" t="s">
        <v>12095</v>
      </c>
    </row>
    <row r="3789" spans="1:2" x14ac:dyDescent="0.25">
      <c r="A3789" s="27">
        <v>8703097</v>
      </c>
      <c r="B3789" s="28" t="s">
        <v>10534</v>
      </c>
    </row>
    <row r="3790" spans="1:2" x14ac:dyDescent="0.25">
      <c r="A3790" s="27">
        <v>8703099</v>
      </c>
      <c r="B3790" s="28" t="s">
        <v>10232</v>
      </c>
    </row>
    <row r="3791" spans="1:2" x14ac:dyDescent="0.25">
      <c r="A3791" s="27">
        <v>8703100</v>
      </c>
      <c r="B3791" s="28" t="s">
        <v>12096</v>
      </c>
    </row>
    <row r="3792" spans="1:2" x14ac:dyDescent="0.25">
      <c r="A3792" s="27">
        <v>8703101</v>
      </c>
      <c r="B3792" s="28" t="s">
        <v>10325</v>
      </c>
    </row>
    <row r="3793" spans="1:2" x14ac:dyDescent="0.25">
      <c r="A3793" s="27">
        <v>8703102</v>
      </c>
      <c r="B3793" s="28" t="s">
        <v>10838</v>
      </c>
    </row>
    <row r="3794" spans="1:2" x14ac:dyDescent="0.25">
      <c r="A3794" s="27">
        <v>8703103</v>
      </c>
      <c r="B3794" s="28" t="s">
        <v>9634</v>
      </c>
    </row>
    <row r="3795" spans="1:2" x14ac:dyDescent="0.25">
      <c r="A3795" s="27">
        <v>8703104</v>
      </c>
      <c r="B3795" s="28" t="s">
        <v>10678</v>
      </c>
    </row>
    <row r="3796" spans="1:2" x14ac:dyDescent="0.25">
      <c r="A3796" s="27">
        <v>8703105</v>
      </c>
      <c r="B3796" s="28" t="s">
        <v>9638</v>
      </c>
    </row>
    <row r="3797" spans="1:2" x14ac:dyDescent="0.25">
      <c r="A3797" s="27">
        <v>8703106</v>
      </c>
      <c r="B3797" s="28" t="s">
        <v>9640</v>
      </c>
    </row>
    <row r="3798" spans="1:2" x14ac:dyDescent="0.25">
      <c r="A3798" s="27">
        <v>8703107</v>
      </c>
      <c r="B3798" s="28" t="s">
        <v>9641</v>
      </c>
    </row>
    <row r="3799" spans="1:2" x14ac:dyDescent="0.25">
      <c r="A3799" s="27">
        <v>8703108</v>
      </c>
      <c r="B3799" s="28" t="s">
        <v>10683</v>
      </c>
    </row>
    <row r="3800" spans="1:2" x14ac:dyDescent="0.25">
      <c r="A3800" s="27">
        <v>8703109</v>
      </c>
      <c r="B3800" s="28" t="s">
        <v>9629</v>
      </c>
    </row>
    <row r="3801" spans="1:2" x14ac:dyDescent="0.25">
      <c r="A3801" s="27">
        <v>8703110</v>
      </c>
      <c r="B3801" s="28" t="s">
        <v>10307</v>
      </c>
    </row>
    <row r="3802" spans="1:2" x14ac:dyDescent="0.25">
      <c r="A3802" s="27">
        <v>8703111</v>
      </c>
      <c r="B3802" s="28" t="s">
        <v>10216</v>
      </c>
    </row>
    <row r="3803" spans="1:2" x14ac:dyDescent="0.25">
      <c r="A3803" s="27">
        <v>8703112</v>
      </c>
      <c r="B3803" s="28" t="s">
        <v>10217</v>
      </c>
    </row>
    <row r="3804" spans="1:2" x14ac:dyDescent="0.25">
      <c r="A3804" s="27">
        <v>8703113</v>
      </c>
      <c r="B3804" s="28" t="s">
        <v>10218</v>
      </c>
    </row>
    <row r="3805" spans="1:2" x14ac:dyDescent="0.25">
      <c r="A3805" s="27">
        <v>8703114</v>
      </c>
      <c r="B3805" s="28" t="s">
        <v>12097</v>
      </c>
    </row>
    <row r="3806" spans="1:2" x14ac:dyDescent="0.25">
      <c r="A3806" s="27">
        <v>8703115</v>
      </c>
      <c r="B3806" s="28" t="s">
        <v>9630</v>
      </c>
    </row>
    <row r="3807" spans="1:2" x14ac:dyDescent="0.25">
      <c r="A3807" s="27">
        <v>8703116</v>
      </c>
      <c r="B3807" s="28" t="s">
        <v>9631</v>
      </c>
    </row>
    <row r="3808" spans="1:2" x14ac:dyDescent="0.25">
      <c r="A3808" s="27">
        <v>8703117</v>
      </c>
      <c r="B3808" s="28" t="s">
        <v>9632</v>
      </c>
    </row>
    <row r="3809" spans="1:2" x14ac:dyDescent="0.25">
      <c r="A3809" s="27">
        <v>8703118</v>
      </c>
      <c r="B3809" s="28" t="s">
        <v>9633</v>
      </c>
    </row>
    <row r="3810" spans="1:2" x14ac:dyDescent="0.25">
      <c r="A3810" s="27">
        <v>8703119</v>
      </c>
      <c r="B3810" s="28" t="s">
        <v>9636</v>
      </c>
    </row>
    <row r="3811" spans="1:2" x14ac:dyDescent="0.25">
      <c r="A3811" s="27">
        <v>8703120</v>
      </c>
      <c r="B3811" s="28" t="s">
        <v>12098</v>
      </c>
    </row>
    <row r="3812" spans="1:2" x14ac:dyDescent="0.25">
      <c r="A3812" s="27">
        <v>8703121</v>
      </c>
      <c r="B3812" s="28" t="s">
        <v>12099</v>
      </c>
    </row>
    <row r="3813" spans="1:2" x14ac:dyDescent="0.25">
      <c r="A3813" s="27">
        <v>8703122</v>
      </c>
      <c r="B3813" s="28" t="s">
        <v>9635</v>
      </c>
    </row>
    <row r="3814" spans="1:2" x14ac:dyDescent="0.25">
      <c r="A3814" s="27">
        <v>8703128</v>
      </c>
      <c r="B3814" s="28" t="s">
        <v>9642</v>
      </c>
    </row>
    <row r="3815" spans="1:2" x14ac:dyDescent="0.25">
      <c r="A3815" s="27">
        <v>8703135</v>
      </c>
      <c r="B3815" s="28" t="s">
        <v>12100</v>
      </c>
    </row>
    <row r="3816" spans="1:2" x14ac:dyDescent="0.25">
      <c r="A3816" s="27">
        <v>8703138</v>
      </c>
      <c r="B3816" s="28" t="s">
        <v>12101</v>
      </c>
    </row>
    <row r="3817" spans="1:2" x14ac:dyDescent="0.25">
      <c r="A3817" s="27">
        <v>8703150</v>
      </c>
      <c r="B3817" s="28" t="s">
        <v>10836</v>
      </c>
    </row>
    <row r="3818" spans="1:2" x14ac:dyDescent="0.25">
      <c r="A3818" s="27">
        <v>8703151</v>
      </c>
      <c r="B3818" s="28" t="s">
        <v>12367</v>
      </c>
    </row>
    <row r="3819" spans="1:2" x14ac:dyDescent="0.25">
      <c r="A3819" s="27">
        <v>8703152</v>
      </c>
      <c r="B3819" s="28" t="s">
        <v>12368</v>
      </c>
    </row>
    <row r="3820" spans="1:2" x14ac:dyDescent="0.25">
      <c r="A3820" s="27">
        <v>8703153</v>
      </c>
      <c r="B3820" s="28" t="s">
        <v>10837</v>
      </c>
    </row>
    <row r="3821" spans="1:2" x14ac:dyDescent="0.25">
      <c r="A3821" s="27">
        <v>8703155</v>
      </c>
      <c r="B3821" s="28" t="s">
        <v>9639</v>
      </c>
    </row>
    <row r="3822" spans="1:2" x14ac:dyDescent="0.25">
      <c r="A3822" s="27">
        <v>8703157</v>
      </c>
      <c r="B3822" s="28" t="s">
        <v>9637</v>
      </c>
    </row>
    <row r="3823" spans="1:2" x14ac:dyDescent="0.25">
      <c r="A3823" s="27">
        <v>8703158</v>
      </c>
      <c r="B3823" s="28" t="s">
        <v>12102</v>
      </c>
    </row>
    <row r="3824" spans="1:2" x14ac:dyDescent="0.25">
      <c r="A3824" s="27">
        <v>8703162</v>
      </c>
      <c r="B3824" s="28" t="s">
        <v>10312</v>
      </c>
    </row>
    <row r="3825" spans="1:2" x14ac:dyDescent="0.25">
      <c r="A3825" s="27">
        <v>8703163</v>
      </c>
      <c r="B3825" s="28" t="s">
        <v>10297</v>
      </c>
    </row>
    <row r="3826" spans="1:2" x14ac:dyDescent="0.25">
      <c r="A3826" s="27">
        <v>8703197</v>
      </c>
      <c r="B3826" s="28" t="s">
        <v>10300</v>
      </c>
    </row>
    <row r="3827" spans="1:2" x14ac:dyDescent="0.25">
      <c r="A3827" s="27">
        <v>8703200</v>
      </c>
      <c r="B3827" s="28" t="s">
        <v>10326</v>
      </c>
    </row>
    <row r="3828" spans="1:2" x14ac:dyDescent="0.25">
      <c r="A3828" s="27">
        <v>8703201</v>
      </c>
      <c r="B3828" s="28" t="s">
        <v>12103</v>
      </c>
    </row>
    <row r="3829" spans="1:2" x14ac:dyDescent="0.25">
      <c r="A3829" s="27">
        <v>8703203</v>
      </c>
      <c r="B3829" s="28" t="s">
        <v>9627</v>
      </c>
    </row>
    <row r="3830" spans="1:2" x14ac:dyDescent="0.25">
      <c r="A3830" s="27">
        <v>8703205</v>
      </c>
      <c r="B3830" s="28" t="s">
        <v>10573</v>
      </c>
    </row>
    <row r="3831" spans="1:2" x14ac:dyDescent="0.25">
      <c r="A3831" s="27">
        <v>8703206</v>
      </c>
      <c r="B3831" s="28" t="s">
        <v>10574</v>
      </c>
    </row>
    <row r="3832" spans="1:2" x14ac:dyDescent="0.25">
      <c r="A3832" s="27">
        <v>8703207</v>
      </c>
      <c r="B3832" s="28" t="s">
        <v>10575</v>
      </c>
    </row>
    <row r="3833" spans="1:2" x14ac:dyDescent="0.25">
      <c r="A3833" s="27">
        <v>8703208</v>
      </c>
      <c r="B3833" s="28" t="s">
        <v>10572</v>
      </c>
    </row>
    <row r="3834" spans="1:2" x14ac:dyDescent="0.25">
      <c r="A3834" s="27">
        <v>8703237</v>
      </c>
      <c r="B3834" s="28" t="s">
        <v>12104</v>
      </c>
    </row>
    <row r="3835" spans="1:2" x14ac:dyDescent="0.25">
      <c r="A3835" s="27">
        <v>8703238</v>
      </c>
      <c r="B3835" s="28" t="s">
        <v>10590</v>
      </c>
    </row>
    <row r="3836" spans="1:2" x14ac:dyDescent="0.25">
      <c r="A3836" s="27">
        <v>8703239</v>
      </c>
      <c r="B3836" s="28" t="s">
        <v>12369</v>
      </c>
    </row>
    <row r="3837" spans="1:2" x14ac:dyDescent="0.25">
      <c r="A3837" s="27">
        <v>8703240</v>
      </c>
      <c r="B3837" s="28" t="s">
        <v>10591</v>
      </c>
    </row>
    <row r="3838" spans="1:2" x14ac:dyDescent="0.25">
      <c r="A3838" s="27">
        <v>8703241</v>
      </c>
      <c r="B3838" s="28" t="s">
        <v>10595</v>
      </c>
    </row>
    <row r="3839" spans="1:2" x14ac:dyDescent="0.25">
      <c r="A3839" s="27">
        <v>8703242</v>
      </c>
      <c r="B3839" s="28" t="s">
        <v>12370</v>
      </c>
    </row>
    <row r="3840" spans="1:2" x14ac:dyDescent="0.25">
      <c r="A3840" s="27">
        <v>8703243</v>
      </c>
      <c r="B3840" s="28" t="s">
        <v>12371</v>
      </c>
    </row>
    <row r="3841" spans="1:2" x14ac:dyDescent="0.25">
      <c r="A3841" s="27">
        <v>8703244</v>
      </c>
      <c r="B3841" s="28" t="s">
        <v>10543</v>
      </c>
    </row>
    <row r="3842" spans="1:2" x14ac:dyDescent="0.25">
      <c r="A3842" s="27">
        <v>8703245</v>
      </c>
      <c r="B3842" s="28" t="s">
        <v>10594</v>
      </c>
    </row>
    <row r="3843" spans="1:2" x14ac:dyDescent="0.25">
      <c r="A3843" s="27">
        <v>8703246</v>
      </c>
      <c r="B3843" s="28" t="s">
        <v>12372</v>
      </c>
    </row>
    <row r="3844" spans="1:2" x14ac:dyDescent="0.25">
      <c r="A3844" s="27">
        <v>8703247</v>
      </c>
      <c r="B3844" s="28" t="s">
        <v>10592</v>
      </c>
    </row>
    <row r="3845" spans="1:2" x14ac:dyDescent="0.25">
      <c r="A3845" s="27">
        <v>8703248</v>
      </c>
      <c r="B3845" s="28" t="s">
        <v>12373</v>
      </c>
    </row>
    <row r="3846" spans="1:2" x14ac:dyDescent="0.25">
      <c r="A3846" s="27">
        <v>8703249</v>
      </c>
      <c r="B3846" s="28" t="s">
        <v>10544</v>
      </c>
    </row>
    <row r="3847" spans="1:2" x14ac:dyDescent="0.25">
      <c r="A3847" s="27">
        <v>8703250</v>
      </c>
      <c r="B3847" s="28" t="s">
        <v>10324</v>
      </c>
    </row>
    <row r="3848" spans="1:2" x14ac:dyDescent="0.25">
      <c r="A3848" s="27">
        <v>8703251</v>
      </c>
      <c r="B3848" s="28" t="s">
        <v>12105</v>
      </c>
    </row>
    <row r="3849" spans="1:2" x14ac:dyDescent="0.25">
      <c r="A3849" s="27">
        <v>8703252</v>
      </c>
      <c r="B3849" s="28" t="s">
        <v>10638</v>
      </c>
    </row>
    <row r="3850" spans="1:2" x14ac:dyDescent="0.25">
      <c r="A3850" s="27">
        <v>8703253</v>
      </c>
      <c r="B3850" s="28" t="s">
        <v>12374</v>
      </c>
    </row>
    <row r="3851" spans="1:2" x14ac:dyDescent="0.25">
      <c r="A3851" s="27">
        <v>8703254</v>
      </c>
      <c r="B3851" s="28" t="s">
        <v>12478</v>
      </c>
    </row>
    <row r="3852" spans="1:2" x14ac:dyDescent="0.25">
      <c r="A3852" s="27">
        <v>8703257</v>
      </c>
      <c r="B3852" s="28" t="s">
        <v>10833</v>
      </c>
    </row>
    <row r="3853" spans="1:2" x14ac:dyDescent="0.25">
      <c r="A3853" s="27">
        <v>8703291</v>
      </c>
      <c r="B3853" s="28" t="s">
        <v>12106</v>
      </c>
    </row>
    <row r="3854" spans="1:2" x14ac:dyDescent="0.25">
      <c r="A3854" s="27">
        <v>8703300</v>
      </c>
      <c r="B3854" s="28" t="s">
        <v>10619</v>
      </c>
    </row>
    <row r="3855" spans="1:2" x14ac:dyDescent="0.25">
      <c r="A3855" s="27">
        <v>8703325</v>
      </c>
      <c r="B3855" s="28" t="s">
        <v>10835</v>
      </c>
    </row>
    <row r="3856" spans="1:2" x14ac:dyDescent="0.25">
      <c r="A3856" s="27">
        <v>8703338</v>
      </c>
      <c r="B3856" s="28" t="s">
        <v>10558</v>
      </c>
    </row>
    <row r="3857" spans="1:2" x14ac:dyDescent="0.25">
      <c r="A3857" s="27">
        <v>8703349</v>
      </c>
      <c r="B3857" s="28" t="s">
        <v>12107</v>
      </c>
    </row>
    <row r="3858" spans="1:2" x14ac:dyDescent="0.25">
      <c r="A3858" s="27" t="s">
        <v>13608</v>
      </c>
      <c r="B3858" s="28"/>
    </row>
    <row r="3859" spans="1:2" x14ac:dyDescent="0.25">
      <c r="A3859" s="27">
        <v>8703350</v>
      </c>
      <c r="B3859" s="28" t="s">
        <v>10582</v>
      </c>
    </row>
    <row r="3860" spans="1:2" x14ac:dyDescent="0.25">
      <c r="A3860" s="27">
        <v>8703351</v>
      </c>
      <c r="B3860" s="28" t="s">
        <v>10589</v>
      </c>
    </row>
    <row r="3861" spans="1:2" x14ac:dyDescent="0.25">
      <c r="A3861" s="27">
        <v>8703352</v>
      </c>
      <c r="B3861" s="28" t="s">
        <v>10585</v>
      </c>
    </row>
    <row r="3862" spans="1:2" x14ac:dyDescent="0.25">
      <c r="A3862" s="27">
        <v>8703376</v>
      </c>
      <c r="B3862" s="28" t="s">
        <v>10306</v>
      </c>
    </row>
    <row r="3863" spans="1:2" x14ac:dyDescent="0.25">
      <c r="A3863" s="27">
        <v>8703391</v>
      </c>
      <c r="B3863" s="28" t="s">
        <v>10539</v>
      </c>
    </row>
    <row r="3864" spans="1:2" x14ac:dyDescent="0.25">
      <c r="A3864" s="27">
        <v>8703400</v>
      </c>
      <c r="B3864" s="28" t="s">
        <v>10559</v>
      </c>
    </row>
    <row r="3865" spans="1:2" x14ac:dyDescent="0.25">
      <c r="A3865" s="27">
        <v>8703405</v>
      </c>
      <c r="B3865" s="28" t="s">
        <v>10560</v>
      </c>
    </row>
    <row r="3866" spans="1:2" x14ac:dyDescent="0.25">
      <c r="A3866" s="27">
        <v>8703500</v>
      </c>
      <c r="B3866" s="28" t="s">
        <v>10612</v>
      </c>
    </row>
    <row r="3867" spans="1:2" x14ac:dyDescent="0.25">
      <c r="A3867" s="27">
        <v>8703501</v>
      </c>
      <c r="B3867" s="28" t="s">
        <v>10631</v>
      </c>
    </row>
    <row r="3868" spans="1:2" x14ac:dyDescent="0.25">
      <c r="A3868" s="27">
        <v>8703502</v>
      </c>
      <c r="B3868" s="28" t="s">
        <v>10630</v>
      </c>
    </row>
    <row r="3869" spans="1:2" x14ac:dyDescent="0.25">
      <c r="A3869" s="27">
        <v>8703503</v>
      </c>
      <c r="B3869" s="28" t="s">
        <v>10627</v>
      </c>
    </row>
    <row r="3870" spans="1:2" x14ac:dyDescent="0.25">
      <c r="A3870" s="27">
        <v>8703504</v>
      </c>
      <c r="B3870" s="28" t="s">
        <v>10626</v>
      </c>
    </row>
    <row r="3871" spans="1:2" x14ac:dyDescent="0.25">
      <c r="A3871" s="27">
        <v>8703505</v>
      </c>
      <c r="B3871" s="28" t="s">
        <v>10632</v>
      </c>
    </row>
    <row r="3872" spans="1:2" x14ac:dyDescent="0.25">
      <c r="A3872" s="27">
        <v>8703506</v>
      </c>
      <c r="B3872" s="28" t="s">
        <v>10628</v>
      </c>
    </row>
    <row r="3873" spans="1:2" x14ac:dyDescent="0.25">
      <c r="A3873" s="27">
        <v>8703507</v>
      </c>
      <c r="B3873" s="28" t="s">
        <v>12108</v>
      </c>
    </row>
    <row r="3874" spans="1:2" x14ac:dyDescent="0.25">
      <c r="A3874" s="27">
        <v>8703508</v>
      </c>
      <c r="B3874" s="28" t="s">
        <v>10618</v>
      </c>
    </row>
    <row r="3875" spans="1:2" x14ac:dyDescent="0.25">
      <c r="A3875" s="27">
        <v>8703509</v>
      </c>
      <c r="B3875" s="28" t="s">
        <v>10622</v>
      </c>
    </row>
    <row r="3876" spans="1:2" x14ac:dyDescent="0.25">
      <c r="A3876" s="27">
        <v>8703510</v>
      </c>
      <c r="B3876" s="28" t="s">
        <v>10571</v>
      </c>
    </row>
    <row r="3877" spans="1:2" x14ac:dyDescent="0.25">
      <c r="A3877" s="27">
        <v>8703513</v>
      </c>
      <c r="B3877" s="28" t="s">
        <v>10629</v>
      </c>
    </row>
    <row r="3878" spans="1:2" x14ac:dyDescent="0.25">
      <c r="A3878" s="27">
        <v>8703517</v>
      </c>
      <c r="B3878" s="28" t="s">
        <v>12109</v>
      </c>
    </row>
    <row r="3879" spans="1:2" x14ac:dyDescent="0.25">
      <c r="A3879" s="27">
        <v>8703531</v>
      </c>
      <c r="B3879" s="28" t="s">
        <v>12479</v>
      </c>
    </row>
    <row r="3880" spans="1:2" x14ac:dyDescent="0.25">
      <c r="A3880" s="27">
        <v>8703550</v>
      </c>
      <c r="B3880" s="28" t="s">
        <v>10605</v>
      </c>
    </row>
    <row r="3881" spans="1:2" x14ac:dyDescent="0.25">
      <c r="A3881" s="27">
        <v>8703551</v>
      </c>
      <c r="B3881" s="28" t="s">
        <v>10549</v>
      </c>
    </row>
    <row r="3882" spans="1:2" x14ac:dyDescent="0.25">
      <c r="A3882" s="27">
        <v>8703552</v>
      </c>
      <c r="B3882" s="28" t="s">
        <v>12110</v>
      </c>
    </row>
    <row r="3883" spans="1:2" x14ac:dyDescent="0.25">
      <c r="A3883" s="27">
        <v>8703553</v>
      </c>
      <c r="B3883" s="28" t="s">
        <v>10295</v>
      </c>
    </row>
    <row r="3884" spans="1:2" x14ac:dyDescent="0.25">
      <c r="A3884" s="27">
        <v>8703555</v>
      </c>
      <c r="B3884" s="28" t="s">
        <v>10617</v>
      </c>
    </row>
    <row r="3885" spans="1:2" x14ac:dyDescent="0.25">
      <c r="A3885" s="27">
        <v>8703557</v>
      </c>
      <c r="B3885" s="28" t="s">
        <v>10535</v>
      </c>
    </row>
    <row r="3886" spans="1:2" x14ac:dyDescent="0.25">
      <c r="A3886" s="27">
        <v>8703570</v>
      </c>
      <c r="B3886" s="28" t="s">
        <v>10542</v>
      </c>
    </row>
    <row r="3887" spans="1:2" x14ac:dyDescent="0.25">
      <c r="A3887" s="27">
        <v>8703573</v>
      </c>
      <c r="B3887" s="28" t="s">
        <v>10569</v>
      </c>
    </row>
    <row r="3888" spans="1:2" x14ac:dyDescent="0.25">
      <c r="A3888" s="27">
        <v>8703599</v>
      </c>
      <c r="B3888" s="28" t="s">
        <v>10624</v>
      </c>
    </row>
    <row r="3889" spans="1:2" x14ac:dyDescent="0.25">
      <c r="A3889" s="27">
        <v>8703600</v>
      </c>
      <c r="B3889" s="28" t="s">
        <v>10547</v>
      </c>
    </row>
    <row r="3890" spans="1:2" x14ac:dyDescent="0.25">
      <c r="A3890" s="27">
        <v>8703601</v>
      </c>
      <c r="B3890" s="28" t="s">
        <v>10606</v>
      </c>
    </row>
    <row r="3891" spans="1:2" x14ac:dyDescent="0.25">
      <c r="A3891" s="27">
        <v>8703604</v>
      </c>
      <c r="B3891" s="28" t="s">
        <v>10625</v>
      </c>
    </row>
    <row r="3892" spans="1:2" x14ac:dyDescent="0.25">
      <c r="A3892" s="27">
        <v>8703607</v>
      </c>
      <c r="B3892" s="28" t="s">
        <v>10620</v>
      </c>
    </row>
    <row r="3893" spans="1:2" x14ac:dyDescent="0.25">
      <c r="A3893" s="27">
        <v>8703608</v>
      </c>
      <c r="B3893" s="28" t="s">
        <v>10293</v>
      </c>
    </row>
    <row r="3894" spans="1:2" x14ac:dyDescent="0.25">
      <c r="A3894" s="27">
        <v>8703611</v>
      </c>
      <c r="B3894" s="28" t="s">
        <v>10561</v>
      </c>
    </row>
    <row r="3895" spans="1:2" x14ac:dyDescent="0.25">
      <c r="A3895" s="27">
        <v>8703612</v>
      </c>
      <c r="B3895" s="28" t="s">
        <v>10603</v>
      </c>
    </row>
    <row r="3896" spans="1:2" x14ac:dyDescent="0.25">
      <c r="A3896" s="27">
        <v>8703613</v>
      </c>
      <c r="B3896" s="28" t="s">
        <v>9644</v>
      </c>
    </row>
    <row r="3897" spans="1:2" x14ac:dyDescent="0.25">
      <c r="A3897" s="27">
        <v>8703615</v>
      </c>
      <c r="B3897" s="28" t="s">
        <v>10613</v>
      </c>
    </row>
    <row r="3898" spans="1:2" x14ac:dyDescent="0.25">
      <c r="A3898" s="27">
        <v>8703616</v>
      </c>
      <c r="B3898" s="28" t="s">
        <v>10313</v>
      </c>
    </row>
    <row r="3899" spans="1:2" x14ac:dyDescent="0.25">
      <c r="A3899" s="27">
        <v>8703617</v>
      </c>
      <c r="B3899" s="28" t="s">
        <v>10320</v>
      </c>
    </row>
    <row r="3900" spans="1:2" x14ac:dyDescent="0.25">
      <c r="A3900" s="27">
        <v>8703619</v>
      </c>
      <c r="B3900" s="28" t="s">
        <v>10616</v>
      </c>
    </row>
    <row r="3901" spans="1:2" x14ac:dyDescent="0.25">
      <c r="A3901" s="27">
        <v>8703620</v>
      </c>
      <c r="B3901" s="28" t="s">
        <v>10328</v>
      </c>
    </row>
    <row r="3902" spans="1:2" x14ac:dyDescent="0.25">
      <c r="A3902" s="27">
        <v>8703621</v>
      </c>
      <c r="B3902" s="28" t="s">
        <v>10327</v>
      </c>
    </row>
    <row r="3903" spans="1:2" x14ac:dyDescent="0.25">
      <c r="A3903" s="27">
        <v>8703630</v>
      </c>
      <c r="B3903" s="28" t="s">
        <v>10548</v>
      </c>
    </row>
    <row r="3904" spans="1:2" x14ac:dyDescent="0.25">
      <c r="A3904" s="27">
        <v>8703641</v>
      </c>
      <c r="B3904" s="28" t="s">
        <v>10296</v>
      </c>
    </row>
    <row r="3905" spans="1:2" x14ac:dyDescent="0.25">
      <c r="A3905" s="27">
        <v>8703656</v>
      </c>
      <c r="B3905" s="28" t="s">
        <v>10581</v>
      </c>
    </row>
    <row r="3906" spans="1:2" x14ac:dyDescent="0.25">
      <c r="A3906" s="27">
        <v>8703658</v>
      </c>
      <c r="B3906" s="28" t="s">
        <v>10579</v>
      </c>
    </row>
    <row r="3907" spans="1:2" x14ac:dyDescent="0.25">
      <c r="A3907" s="27">
        <v>8703660</v>
      </c>
      <c r="B3907" s="28" t="s">
        <v>10597</v>
      </c>
    </row>
    <row r="3908" spans="1:2" x14ac:dyDescent="0.25">
      <c r="A3908" s="27">
        <v>8703662</v>
      </c>
      <c r="B3908" s="28" t="s">
        <v>10580</v>
      </c>
    </row>
    <row r="3909" spans="1:2" x14ac:dyDescent="0.25">
      <c r="A3909" s="27">
        <v>8703665</v>
      </c>
      <c r="B3909" s="28" t="s">
        <v>10600</v>
      </c>
    </row>
    <row r="3910" spans="1:2" x14ac:dyDescent="0.25">
      <c r="A3910" s="27">
        <v>8703667</v>
      </c>
      <c r="B3910" s="28" t="s">
        <v>10578</v>
      </c>
    </row>
    <row r="3911" spans="1:2" x14ac:dyDescent="0.25">
      <c r="A3911" s="27">
        <v>8703669</v>
      </c>
      <c r="B3911" s="28" t="s">
        <v>10596</v>
      </c>
    </row>
    <row r="3912" spans="1:2" x14ac:dyDescent="0.25">
      <c r="A3912" s="27">
        <v>8703670</v>
      </c>
      <c r="B3912" s="28" t="s">
        <v>10323</v>
      </c>
    </row>
    <row r="3913" spans="1:2" x14ac:dyDescent="0.25">
      <c r="A3913" s="27">
        <v>8703671</v>
      </c>
      <c r="B3913" s="28" t="s">
        <v>10601</v>
      </c>
    </row>
    <row r="3914" spans="1:2" x14ac:dyDescent="0.25">
      <c r="A3914" s="27">
        <v>8703674</v>
      </c>
      <c r="B3914" s="28" t="s">
        <v>12111</v>
      </c>
    </row>
    <row r="3915" spans="1:2" x14ac:dyDescent="0.25">
      <c r="A3915" s="27">
        <v>8703677</v>
      </c>
      <c r="B3915" s="28" t="s">
        <v>12112</v>
      </c>
    </row>
    <row r="3916" spans="1:2" x14ac:dyDescent="0.25">
      <c r="A3916" s="27">
        <v>8703679</v>
      </c>
      <c r="B3916" s="28" t="s">
        <v>10588</v>
      </c>
    </row>
    <row r="3917" spans="1:2" x14ac:dyDescent="0.25">
      <c r="A3917" s="27">
        <v>8703699</v>
      </c>
      <c r="B3917" s="28" t="s">
        <v>10292</v>
      </c>
    </row>
    <row r="3918" spans="1:2" x14ac:dyDescent="0.25">
      <c r="A3918" s="27">
        <v>8703700</v>
      </c>
      <c r="B3918" s="28" t="s">
        <v>10552</v>
      </c>
    </row>
    <row r="3919" spans="1:2" x14ac:dyDescent="0.25">
      <c r="A3919" s="27">
        <v>8703702</v>
      </c>
      <c r="B3919" s="28" t="s">
        <v>10611</v>
      </c>
    </row>
    <row r="3920" spans="1:2" x14ac:dyDescent="0.25">
      <c r="A3920" s="27">
        <v>8703703</v>
      </c>
      <c r="B3920" s="28" t="s">
        <v>9628</v>
      </c>
    </row>
    <row r="3921" spans="1:2" x14ac:dyDescent="0.25">
      <c r="A3921" s="27">
        <v>8703704</v>
      </c>
      <c r="B3921" s="28" t="s">
        <v>12113</v>
      </c>
    </row>
    <row r="3922" spans="1:2" x14ac:dyDescent="0.25">
      <c r="A3922" s="27">
        <v>8703705</v>
      </c>
      <c r="B3922" s="28" t="s">
        <v>12114</v>
      </c>
    </row>
    <row r="3923" spans="1:2" x14ac:dyDescent="0.25">
      <c r="A3923" s="27">
        <v>8703706</v>
      </c>
      <c r="B3923" s="28" t="s">
        <v>12115</v>
      </c>
    </row>
    <row r="3924" spans="1:2" x14ac:dyDescent="0.25">
      <c r="A3924" s="27">
        <v>8703707</v>
      </c>
      <c r="B3924" s="28" t="s">
        <v>12116</v>
      </c>
    </row>
    <row r="3925" spans="1:2" x14ac:dyDescent="0.25">
      <c r="A3925" s="27">
        <v>8703741</v>
      </c>
      <c r="B3925" s="28" t="s">
        <v>10563</v>
      </c>
    </row>
    <row r="3926" spans="1:2" x14ac:dyDescent="0.25">
      <c r="A3926" s="27">
        <v>8703742</v>
      </c>
      <c r="B3926" s="28" t="s">
        <v>10564</v>
      </c>
    </row>
    <row r="3927" spans="1:2" x14ac:dyDescent="0.25">
      <c r="A3927" s="27">
        <v>8703743</v>
      </c>
      <c r="B3927" s="28" t="s">
        <v>10565</v>
      </c>
    </row>
    <row r="3928" spans="1:2" x14ac:dyDescent="0.25">
      <c r="A3928" s="27">
        <v>8703744</v>
      </c>
      <c r="B3928" s="28" t="s">
        <v>12375</v>
      </c>
    </row>
    <row r="3929" spans="1:2" x14ac:dyDescent="0.25">
      <c r="A3929" s="27">
        <v>8703750</v>
      </c>
      <c r="B3929" s="28" t="s">
        <v>12117</v>
      </c>
    </row>
    <row r="3930" spans="1:2" x14ac:dyDescent="0.25">
      <c r="A3930" s="27">
        <v>8703779</v>
      </c>
      <c r="B3930" s="28" t="s">
        <v>10294</v>
      </c>
    </row>
    <row r="3931" spans="1:2" x14ac:dyDescent="0.25">
      <c r="A3931" s="27">
        <v>8703800</v>
      </c>
      <c r="B3931" s="28" t="s">
        <v>10593</v>
      </c>
    </row>
    <row r="3932" spans="1:2" x14ac:dyDescent="0.25">
      <c r="A3932" s="27">
        <v>8703803</v>
      </c>
      <c r="B3932" s="28" t="s">
        <v>10602</v>
      </c>
    </row>
    <row r="3933" spans="1:2" x14ac:dyDescent="0.25">
      <c r="A3933" s="27">
        <v>8703810</v>
      </c>
      <c r="B3933" s="28" t="s">
        <v>10608</v>
      </c>
    </row>
    <row r="3934" spans="1:2" x14ac:dyDescent="0.25">
      <c r="A3934" s="27">
        <v>8703811</v>
      </c>
      <c r="B3934" s="28" t="s">
        <v>10607</v>
      </c>
    </row>
    <row r="3935" spans="1:2" x14ac:dyDescent="0.25">
      <c r="A3935" s="27">
        <v>8703812</v>
      </c>
      <c r="B3935" s="28" t="s">
        <v>10604</v>
      </c>
    </row>
    <row r="3936" spans="1:2" x14ac:dyDescent="0.25">
      <c r="A3936" s="27">
        <v>8703841</v>
      </c>
      <c r="B3936" s="28" t="s">
        <v>10566</v>
      </c>
    </row>
    <row r="3937" spans="1:2" x14ac:dyDescent="0.25">
      <c r="A3937" s="27">
        <v>8703842</v>
      </c>
      <c r="B3937" s="28" t="s">
        <v>10568</v>
      </c>
    </row>
    <row r="3938" spans="1:2" x14ac:dyDescent="0.25">
      <c r="A3938" s="27">
        <v>8703843</v>
      </c>
      <c r="B3938" s="28" t="s">
        <v>10567</v>
      </c>
    </row>
    <row r="3939" spans="1:2" x14ac:dyDescent="0.25">
      <c r="A3939" s="27">
        <v>8703861</v>
      </c>
      <c r="B3939" s="28" t="s">
        <v>12118</v>
      </c>
    </row>
    <row r="3940" spans="1:2" x14ac:dyDescent="0.25">
      <c r="A3940" s="27">
        <v>8703900</v>
      </c>
      <c r="B3940" s="28" t="s">
        <v>10614</v>
      </c>
    </row>
    <row r="3941" spans="1:2" x14ac:dyDescent="0.25">
      <c r="A3941" s="27">
        <v>8703901</v>
      </c>
      <c r="B3941" s="28" t="s">
        <v>10609</v>
      </c>
    </row>
    <row r="3942" spans="1:2" x14ac:dyDescent="0.25">
      <c r="A3942" s="27">
        <v>8703902</v>
      </c>
      <c r="B3942" s="28" t="s">
        <v>10610</v>
      </c>
    </row>
    <row r="3943" spans="1:2" x14ac:dyDescent="0.25">
      <c r="A3943" s="27">
        <v>8703905</v>
      </c>
      <c r="B3943" s="28" t="s">
        <v>12119</v>
      </c>
    </row>
    <row r="3944" spans="1:2" x14ac:dyDescent="0.25">
      <c r="A3944" s="27">
        <v>8703925</v>
      </c>
      <c r="B3944" s="28" t="s">
        <v>10623</v>
      </c>
    </row>
    <row r="3945" spans="1:2" x14ac:dyDescent="0.25">
      <c r="A3945" s="27">
        <v>8703926</v>
      </c>
      <c r="B3945" s="28" t="s">
        <v>10621</v>
      </c>
    </row>
    <row r="3946" spans="1:2" x14ac:dyDescent="0.25">
      <c r="A3946" s="27">
        <v>8703950</v>
      </c>
      <c r="B3946" s="28" t="s">
        <v>10577</v>
      </c>
    </row>
    <row r="3947" spans="1:2" x14ac:dyDescent="0.25">
      <c r="A3947" s="27">
        <v>8703952</v>
      </c>
      <c r="B3947" s="28" t="s">
        <v>10584</v>
      </c>
    </row>
    <row r="3948" spans="1:2" x14ac:dyDescent="0.25">
      <c r="A3948" s="27">
        <v>8703954</v>
      </c>
      <c r="B3948" s="28" t="s">
        <v>10583</v>
      </c>
    </row>
    <row r="3949" spans="1:2" x14ac:dyDescent="0.25">
      <c r="A3949" s="27">
        <v>8703955</v>
      </c>
      <c r="B3949" s="28" t="s">
        <v>10545</v>
      </c>
    </row>
    <row r="3950" spans="1:2" x14ac:dyDescent="0.25">
      <c r="A3950" s="27">
        <v>8703956</v>
      </c>
      <c r="B3950" s="28" t="s">
        <v>10599</v>
      </c>
    </row>
    <row r="3951" spans="1:2" x14ac:dyDescent="0.25">
      <c r="A3951" s="27">
        <v>8703958</v>
      </c>
      <c r="B3951" s="28" t="s">
        <v>10598</v>
      </c>
    </row>
    <row r="3952" spans="1:2" x14ac:dyDescent="0.25">
      <c r="A3952" s="27">
        <v>8703959</v>
      </c>
      <c r="B3952" s="28" t="s">
        <v>10587</v>
      </c>
    </row>
    <row r="3953" spans="1:2" x14ac:dyDescent="0.25">
      <c r="A3953" s="27">
        <v>8703960</v>
      </c>
      <c r="B3953" s="28" t="s">
        <v>10586</v>
      </c>
    </row>
    <row r="3954" spans="1:2" x14ac:dyDescent="0.25">
      <c r="A3954" s="27">
        <v>8703961</v>
      </c>
      <c r="B3954" s="28" t="s">
        <v>10576</v>
      </c>
    </row>
    <row r="3955" spans="1:2" x14ac:dyDescent="0.25">
      <c r="A3955" s="27">
        <v>8703962</v>
      </c>
      <c r="B3955" s="28" t="s">
        <v>10615</v>
      </c>
    </row>
    <row r="3956" spans="1:2" x14ac:dyDescent="0.25">
      <c r="A3956" s="27">
        <v>8703987</v>
      </c>
      <c r="B3956" s="28" t="s">
        <v>10056</v>
      </c>
    </row>
    <row r="3957" spans="1:2" x14ac:dyDescent="0.25">
      <c r="A3957" s="27">
        <v>8705001</v>
      </c>
      <c r="B3957" s="28" t="s">
        <v>10670</v>
      </c>
    </row>
    <row r="3958" spans="1:2" x14ac:dyDescent="0.25">
      <c r="A3958" s="27">
        <v>8705002</v>
      </c>
      <c r="B3958" s="28" t="s">
        <v>10672</v>
      </c>
    </row>
    <row r="3959" spans="1:2" x14ac:dyDescent="0.25">
      <c r="A3959" s="27">
        <v>8705003</v>
      </c>
      <c r="B3959" s="28" t="s">
        <v>10723</v>
      </c>
    </row>
    <row r="3960" spans="1:2" x14ac:dyDescent="0.25">
      <c r="A3960" s="27">
        <v>8705004</v>
      </c>
      <c r="B3960" s="25" t="s">
        <v>10721</v>
      </c>
    </row>
    <row r="3961" spans="1:2" x14ac:dyDescent="0.25">
      <c r="A3961" s="27">
        <v>8705005</v>
      </c>
      <c r="B3961" s="28" t="s">
        <v>10722</v>
      </c>
    </row>
    <row r="3962" spans="1:2" x14ac:dyDescent="0.25">
      <c r="A3962" s="27">
        <v>8705006</v>
      </c>
      <c r="B3962" s="28" t="s">
        <v>10731</v>
      </c>
    </row>
    <row r="3963" spans="1:2" x14ac:dyDescent="0.25">
      <c r="A3963" s="27">
        <v>8705007</v>
      </c>
      <c r="B3963" s="28" t="s">
        <v>10733</v>
      </c>
    </row>
    <row r="3964" spans="1:2" x14ac:dyDescent="0.25">
      <c r="A3964" s="27">
        <v>8705008</v>
      </c>
      <c r="B3964" s="28" t="s">
        <v>10703</v>
      </c>
    </row>
    <row r="3965" spans="1:2" x14ac:dyDescent="0.25">
      <c r="A3965" s="27">
        <v>8705009</v>
      </c>
      <c r="B3965" s="28" t="s">
        <v>10743</v>
      </c>
    </row>
    <row r="3966" spans="1:2" x14ac:dyDescent="0.25">
      <c r="A3966" s="27">
        <v>8705010</v>
      </c>
      <c r="B3966" s="28" t="s">
        <v>12120</v>
      </c>
    </row>
    <row r="3967" spans="1:2" x14ac:dyDescent="0.25">
      <c r="A3967" s="27">
        <v>8705011</v>
      </c>
      <c r="B3967" s="28" t="s">
        <v>10732</v>
      </c>
    </row>
    <row r="3968" spans="1:2" x14ac:dyDescent="0.25">
      <c r="A3968" s="27">
        <v>8705012</v>
      </c>
      <c r="B3968" s="28" t="s">
        <v>12121</v>
      </c>
    </row>
    <row r="3969" spans="1:2" x14ac:dyDescent="0.25">
      <c r="A3969" s="27">
        <v>8705013</v>
      </c>
      <c r="B3969" s="28" t="s">
        <v>10738</v>
      </c>
    </row>
    <row r="3970" spans="1:2" x14ac:dyDescent="0.25">
      <c r="A3970" s="27">
        <v>8705016</v>
      </c>
      <c r="B3970" s="28" t="s">
        <v>10736</v>
      </c>
    </row>
    <row r="3971" spans="1:2" x14ac:dyDescent="0.25">
      <c r="A3971" s="27">
        <v>8705018</v>
      </c>
      <c r="B3971" s="28" t="s">
        <v>10659</v>
      </c>
    </row>
    <row r="3972" spans="1:2" x14ac:dyDescent="0.25">
      <c r="A3972" s="27">
        <v>8705019</v>
      </c>
      <c r="B3972" s="28" t="s">
        <v>10660</v>
      </c>
    </row>
    <row r="3973" spans="1:2" x14ac:dyDescent="0.25">
      <c r="A3973" s="27">
        <v>8705020</v>
      </c>
      <c r="B3973" s="28" t="s">
        <v>10665</v>
      </c>
    </row>
    <row r="3974" spans="1:2" x14ac:dyDescent="0.25">
      <c r="A3974" s="27">
        <v>8705021</v>
      </c>
      <c r="B3974" s="28" t="s">
        <v>10666</v>
      </c>
    </row>
    <row r="3975" spans="1:2" x14ac:dyDescent="0.25">
      <c r="A3975" s="27">
        <v>8705022</v>
      </c>
      <c r="B3975" s="28" t="s">
        <v>12122</v>
      </c>
    </row>
    <row r="3976" spans="1:2" x14ac:dyDescent="0.25">
      <c r="A3976" s="27">
        <v>8705023</v>
      </c>
      <c r="B3976" s="28" t="s">
        <v>10662</v>
      </c>
    </row>
    <row r="3977" spans="1:2" x14ac:dyDescent="0.25">
      <c r="A3977" s="27">
        <v>8705036</v>
      </c>
      <c r="B3977" s="28" t="s">
        <v>10657</v>
      </c>
    </row>
    <row r="3978" spans="1:2" x14ac:dyDescent="0.25">
      <c r="A3978" s="27">
        <v>8705037</v>
      </c>
      <c r="B3978" s="28" t="s">
        <v>10724</v>
      </c>
    </row>
    <row r="3979" spans="1:2" x14ac:dyDescent="0.25">
      <c r="A3979" s="27">
        <v>8705038</v>
      </c>
      <c r="B3979" s="28" t="s">
        <v>10729</v>
      </c>
    </row>
    <row r="3980" spans="1:2" x14ac:dyDescent="0.25">
      <c r="A3980" s="27">
        <v>8705039</v>
      </c>
      <c r="B3980" s="28" t="s">
        <v>10730</v>
      </c>
    </row>
    <row r="3981" spans="1:2" x14ac:dyDescent="0.25">
      <c r="A3981" s="27">
        <v>8705072</v>
      </c>
      <c r="B3981" s="28" t="s">
        <v>10684</v>
      </c>
    </row>
    <row r="3982" spans="1:2" x14ac:dyDescent="0.25">
      <c r="A3982" s="27">
        <v>8705075</v>
      </c>
      <c r="B3982" s="28" t="s">
        <v>10680</v>
      </c>
    </row>
    <row r="3983" spans="1:2" x14ac:dyDescent="0.25">
      <c r="A3983" s="27">
        <v>8705088</v>
      </c>
      <c r="B3983" s="28" t="s">
        <v>12376</v>
      </c>
    </row>
    <row r="3984" spans="1:2" x14ac:dyDescent="0.25">
      <c r="A3984" s="27">
        <v>8705089</v>
      </c>
      <c r="B3984" s="28" t="s">
        <v>12377</v>
      </c>
    </row>
    <row r="3985" spans="1:2" x14ac:dyDescent="0.25">
      <c r="A3985" s="27">
        <v>8705100</v>
      </c>
      <c r="B3985" s="28" t="s">
        <v>10682</v>
      </c>
    </row>
    <row r="3986" spans="1:2" x14ac:dyDescent="0.25">
      <c r="A3986" s="27">
        <v>8705113</v>
      </c>
      <c r="B3986" s="28" t="s">
        <v>10679</v>
      </c>
    </row>
    <row r="3987" spans="1:2" x14ac:dyDescent="0.25">
      <c r="A3987" s="27">
        <v>8705114</v>
      </c>
      <c r="B3987" s="28" t="s">
        <v>12378</v>
      </c>
    </row>
    <row r="3988" spans="1:2" x14ac:dyDescent="0.25">
      <c r="A3988" s="27">
        <v>8705115</v>
      </c>
      <c r="B3988" s="28" t="s">
        <v>12480</v>
      </c>
    </row>
    <row r="3989" spans="1:2" x14ac:dyDescent="0.25">
      <c r="A3989" s="27">
        <v>8705116</v>
      </c>
      <c r="B3989" s="28" t="s">
        <v>13609</v>
      </c>
    </row>
    <row r="3990" spans="1:2" x14ac:dyDescent="0.25">
      <c r="A3990" s="27">
        <v>8705117</v>
      </c>
      <c r="B3990" s="28" t="s">
        <v>12379</v>
      </c>
    </row>
    <row r="3991" spans="1:2" x14ac:dyDescent="0.25">
      <c r="A3991" s="27">
        <v>8705118</v>
      </c>
      <c r="B3991" s="28" t="s">
        <v>10690</v>
      </c>
    </row>
    <row r="3992" spans="1:2" x14ac:dyDescent="0.25">
      <c r="A3992" s="27">
        <v>8705119</v>
      </c>
      <c r="B3992" s="28" t="s">
        <v>12380</v>
      </c>
    </row>
    <row r="3993" spans="1:2" x14ac:dyDescent="0.25">
      <c r="A3993" s="27">
        <v>8705120</v>
      </c>
      <c r="B3993" s="28" t="s">
        <v>12381</v>
      </c>
    </row>
    <row r="3994" spans="1:2" x14ac:dyDescent="0.25">
      <c r="A3994" s="27">
        <v>8705121</v>
      </c>
      <c r="B3994" s="28" t="s">
        <v>13610</v>
      </c>
    </row>
    <row r="3995" spans="1:2" x14ac:dyDescent="0.25">
      <c r="A3995" s="27">
        <v>8705131</v>
      </c>
      <c r="B3995" s="28" t="s">
        <v>12123</v>
      </c>
    </row>
    <row r="3996" spans="1:2" x14ac:dyDescent="0.25">
      <c r="A3996" s="27">
        <v>8705200</v>
      </c>
      <c r="B3996" s="28" t="s">
        <v>10725</v>
      </c>
    </row>
    <row r="3997" spans="1:2" x14ac:dyDescent="0.25">
      <c r="A3997" s="27">
        <v>8705201</v>
      </c>
      <c r="B3997" s="28" t="s">
        <v>12382</v>
      </c>
    </row>
    <row r="3998" spans="1:2" x14ac:dyDescent="0.25">
      <c r="A3998" s="27">
        <v>8705214</v>
      </c>
      <c r="B3998" s="28" t="s">
        <v>12124</v>
      </c>
    </row>
    <row r="3999" spans="1:2" x14ac:dyDescent="0.25">
      <c r="A3999" s="27">
        <v>8705225</v>
      </c>
      <c r="B3999" s="28" t="s">
        <v>10691</v>
      </c>
    </row>
    <row r="4000" spans="1:2" x14ac:dyDescent="0.25">
      <c r="A4000" s="27">
        <v>8705226</v>
      </c>
      <c r="B4000" s="28" t="s">
        <v>10693</v>
      </c>
    </row>
    <row r="4001" spans="1:2" x14ac:dyDescent="0.25">
      <c r="A4001" s="27">
        <v>8705227</v>
      </c>
      <c r="B4001" s="28" t="s">
        <v>12125</v>
      </c>
    </row>
    <row r="4002" spans="1:2" x14ac:dyDescent="0.25">
      <c r="A4002" s="27">
        <v>8705228</v>
      </c>
      <c r="B4002" s="28" t="s">
        <v>12126</v>
      </c>
    </row>
    <row r="4003" spans="1:2" x14ac:dyDescent="0.25">
      <c r="A4003" s="27">
        <v>8705233</v>
      </c>
      <c r="B4003" s="28" t="s">
        <v>10689</v>
      </c>
    </row>
    <row r="4004" spans="1:2" x14ac:dyDescent="0.25">
      <c r="A4004" s="27">
        <v>8705241</v>
      </c>
      <c r="B4004" s="28" t="s">
        <v>12127</v>
      </c>
    </row>
    <row r="4005" spans="1:2" x14ac:dyDescent="0.25">
      <c r="A4005" s="27">
        <v>8705256</v>
      </c>
      <c r="B4005" s="28" t="s">
        <v>10734</v>
      </c>
    </row>
    <row r="4006" spans="1:2" x14ac:dyDescent="0.25">
      <c r="A4006" s="27">
        <v>8705300</v>
      </c>
      <c r="B4006" s="28" t="s">
        <v>10692</v>
      </c>
    </row>
    <row r="4007" spans="1:2" x14ac:dyDescent="0.25">
      <c r="A4007" s="27">
        <v>8705370</v>
      </c>
      <c r="B4007" s="28" t="s">
        <v>10668</v>
      </c>
    </row>
    <row r="4008" spans="1:2" x14ac:dyDescent="0.25">
      <c r="A4008" s="27">
        <v>8705449</v>
      </c>
      <c r="B4008" s="28" t="s">
        <v>10663</v>
      </c>
    </row>
    <row r="4009" spans="1:2" x14ac:dyDescent="0.25">
      <c r="A4009" s="27">
        <v>8705450</v>
      </c>
      <c r="B4009" s="28" t="s">
        <v>12128</v>
      </c>
    </row>
    <row r="4010" spans="1:2" x14ac:dyDescent="0.25">
      <c r="A4010" s="27">
        <v>8705459</v>
      </c>
      <c r="B4010" s="28" t="s">
        <v>10676</v>
      </c>
    </row>
    <row r="4011" spans="1:2" x14ac:dyDescent="0.25">
      <c r="A4011" s="27">
        <v>8705460</v>
      </c>
      <c r="B4011" s="28" t="s">
        <v>10675</v>
      </c>
    </row>
    <row r="4012" spans="1:2" x14ac:dyDescent="0.25">
      <c r="A4012" s="27">
        <v>8705480</v>
      </c>
      <c r="B4012" s="28" t="s">
        <v>10673</v>
      </c>
    </row>
    <row r="4013" spans="1:2" x14ac:dyDescent="0.25">
      <c r="A4013" s="27">
        <v>8705500</v>
      </c>
      <c r="B4013" s="28" t="s">
        <v>12129</v>
      </c>
    </row>
    <row r="4014" spans="1:2" x14ac:dyDescent="0.25">
      <c r="A4014" s="27">
        <v>8705550</v>
      </c>
      <c r="B4014" s="28" t="s">
        <v>10666</v>
      </c>
    </row>
    <row r="4015" spans="1:2" x14ac:dyDescent="0.25">
      <c r="A4015" s="27">
        <v>8705551</v>
      </c>
      <c r="B4015" s="28" t="s">
        <v>10674</v>
      </c>
    </row>
    <row r="4016" spans="1:2" x14ac:dyDescent="0.25">
      <c r="A4016" s="27">
        <v>8705552</v>
      </c>
      <c r="B4016" s="28" t="s">
        <v>10669</v>
      </c>
    </row>
    <row r="4017" spans="1:2" x14ac:dyDescent="0.25">
      <c r="A4017" s="27">
        <v>8705553</v>
      </c>
      <c r="B4017" s="28" t="s">
        <v>10741</v>
      </c>
    </row>
    <row r="4018" spans="1:2" x14ac:dyDescent="0.25">
      <c r="A4018" s="27">
        <v>8705554</v>
      </c>
      <c r="B4018" s="28" t="s">
        <v>10727</v>
      </c>
    </row>
    <row r="4019" spans="1:2" x14ac:dyDescent="0.25">
      <c r="A4019" s="27">
        <v>8705555</v>
      </c>
      <c r="B4019" s="28" t="s">
        <v>10671</v>
      </c>
    </row>
    <row r="4020" spans="1:2" x14ac:dyDescent="0.25">
      <c r="A4020" s="27">
        <v>8705556</v>
      </c>
      <c r="B4020" s="28" t="s">
        <v>10667</v>
      </c>
    </row>
    <row r="4021" spans="1:2" x14ac:dyDescent="0.25">
      <c r="A4021" s="27">
        <v>8705557</v>
      </c>
      <c r="B4021" s="28" t="s">
        <v>10686</v>
      </c>
    </row>
    <row r="4022" spans="1:2" x14ac:dyDescent="0.25">
      <c r="A4022" s="27">
        <v>8705568</v>
      </c>
      <c r="B4022" s="28" t="s">
        <v>10652</v>
      </c>
    </row>
    <row r="4023" spans="1:2" x14ac:dyDescent="0.25">
      <c r="A4023" s="27">
        <v>8705586</v>
      </c>
      <c r="B4023" s="28" t="s">
        <v>10742</v>
      </c>
    </row>
    <row r="4024" spans="1:2" x14ac:dyDescent="0.25">
      <c r="A4024" s="27">
        <v>8705651</v>
      </c>
      <c r="B4024" s="28" t="s">
        <v>10740</v>
      </c>
    </row>
    <row r="4025" spans="1:2" x14ac:dyDescent="0.25">
      <c r="A4025" s="27">
        <v>8705661</v>
      </c>
      <c r="B4025" s="28" t="s">
        <v>10651</v>
      </c>
    </row>
    <row r="4026" spans="1:2" x14ac:dyDescent="0.25">
      <c r="A4026" s="27">
        <v>8705665</v>
      </c>
      <c r="B4026" s="28" t="s">
        <v>10728</v>
      </c>
    </row>
    <row r="4027" spans="1:2" x14ac:dyDescent="0.25">
      <c r="A4027" s="27">
        <v>8705668</v>
      </c>
      <c r="B4027" s="28" t="s">
        <v>12130</v>
      </c>
    </row>
    <row r="4028" spans="1:2" x14ac:dyDescent="0.25">
      <c r="A4028" s="27">
        <v>8705683</v>
      </c>
      <c r="B4028" s="28" t="s">
        <v>10653</v>
      </c>
    </row>
    <row r="4029" spans="1:2" x14ac:dyDescent="0.25">
      <c r="A4029" s="27">
        <v>8705700</v>
      </c>
      <c r="B4029" s="28" t="s">
        <v>10685</v>
      </c>
    </row>
    <row r="4030" spans="1:2" x14ac:dyDescent="0.25">
      <c r="A4030" s="27">
        <v>8705749</v>
      </c>
      <c r="B4030" s="28" t="s">
        <v>10739</v>
      </c>
    </row>
    <row r="4031" spans="1:2" x14ac:dyDescent="0.25">
      <c r="A4031" s="27">
        <v>8705750</v>
      </c>
      <c r="B4031" s="28" t="s">
        <v>12131</v>
      </c>
    </row>
    <row r="4032" spans="1:2" x14ac:dyDescent="0.25">
      <c r="A4032" s="27">
        <v>8705802</v>
      </c>
      <c r="B4032" s="28" t="s">
        <v>10664</v>
      </c>
    </row>
    <row r="4033" spans="1:2" x14ac:dyDescent="0.25">
      <c r="A4033" s="8">
        <v>8705861</v>
      </c>
      <c r="B4033" s="2" t="s">
        <v>10737</v>
      </c>
    </row>
    <row r="4034" spans="1:2" x14ac:dyDescent="0.25">
      <c r="A4034" s="8">
        <v>8705905</v>
      </c>
      <c r="B4034" s="2" t="s">
        <v>10661</v>
      </c>
    </row>
    <row r="4035" spans="1:2" x14ac:dyDescent="0.25">
      <c r="A4035" s="8">
        <v>8705910</v>
      </c>
      <c r="B4035" s="2" t="s">
        <v>10658</v>
      </c>
    </row>
    <row r="4036" spans="1:2" x14ac:dyDescent="0.25">
      <c r="A4036" s="8">
        <v>8705913</v>
      </c>
      <c r="B4036" s="2" t="s">
        <v>10681</v>
      </c>
    </row>
    <row r="4037" spans="1:2" x14ac:dyDescent="0.25">
      <c r="A4037" s="8">
        <v>8705914</v>
      </c>
      <c r="B4037" s="2" t="s">
        <v>10677</v>
      </c>
    </row>
    <row r="4038" spans="1:2" x14ac:dyDescent="0.25">
      <c r="A4038" s="8">
        <v>8706002</v>
      </c>
      <c r="B4038" s="2" t="s">
        <v>10274</v>
      </c>
    </row>
    <row r="4039" spans="1:2" x14ac:dyDescent="0.25">
      <c r="A4039" s="8">
        <v>8706012</v>
      </c>
      <c r="B4039" s="2" t="s">
        <v>8499</v>
      </c>
    </row>
    <row r="4040" spans="1:2" x14ac:dyDescent="0.25">
      <c r="A4040" s="8">
        <v>8706500</v>
      </c>
      <c r="B4040" s="2" t="s">
        <v>10654</v>
      </c>
    </row>
    <row r="4041" spans="1:2" x14ac:dyDescent="0.25">
      <c r="A4041" s="8">
        <v>8707000</v>
      </c>
      <c r="B4041" s="2" t="s">
        <v>9381</v>
      </c>
    </row>
    <row r="4042" spans="1:2" x14ac:dyDescent="0.25">
      <c r="A4042" s="8">
        <v>8707002</v>
      </c>
      <c r="B4042" s="2" t="s">
        <v>10636</v>
      </c>
    </row>
    <row r="4043" spans="1:2" x14ac:dyDescent="0.25">
      <c r="A4043" s="8">
        <v>8707003</v>
      </c>
      <c r="B4043" s="2" t="s">
        <v>10706</v>
      </c>
    </row>
    <row r="4044" spans="1:2" x14ac:dyDescent="0.25">
      <c r="A4044" s="8">
        <v>8707020</v>
      </c>
      <c r="B4044" s="2" t="s">
        <v>12132</v>
      </c>
    </row>
    <row r="4045" spans="1:2" x14ac:dyDescent="0.25">
      <c r="A4045" s="8">
        <v>8707021</v>
      </c>
      <c r="B4045" s="2" t="s">
        <v>10714</v>
      </c>
    </row>
    <row r="4046" spans="1:2" x14ac:dyDescent="0.25">
      <c r="A4046" s="8">
        <v>8707023</v>
      </c>
      <c r="B4046" s="2" t="s">
        <v>10707</v>
      </c>
    </row>
    <row r="4047" spans="1:2" x14ac:dyDescent="0.25">
      <c r="A4047" s="8">
        <v>8707024</v>
      </c>
      <c r="B4047" s="2" t="s">
        <v>10708</v>
      </c>
    </row>
    <row r="4048" spans="1:2" x14ac:dyDescent="0.25">
      <c r="A4048" s="8">
        <v>8707025</v>
      </c>
      <c r="B4048" s="2" t="s">
        <v>12133</v>
      </c>
    </row>
    <row r="4049" spans="1:2" x14ac:dyDescent="0.25">
      <c r="A4049" s="8">
        <v>8707026</v>
      </c>
      <c r="B4049" s="2" t="s">
        <v>10709</v>
      </c>
    </row>
    <row r="4050" spans="1:2" x14ac:dyDescent="0.25">
      <c r="A4050" s="8">
        <v>8707058</v>
      </c>
      <c r="B4050" s="2" t="s">
        <v>12134</v>
      </c>
    </row>
    <row r="4051" spans="1:2" x14ac:dyDescent="0.25">
      <c r="A4051" s="8">
        <v>8707113</v>
      </c>
      <c r="B4051" s="2" t="s">
        <v>10570</v>
      </c>
    </row>
    <row r="4052" spans="1:2" x14ac:dyDescent="0.25">
      <c r="A4052" s="8">
        <v>8707117</v>
      </c>
      <c r="B4052" s="2" t="s">
        <v>10225</v>
      </c>
    </row>
    <row r="4053" spans="1:2" x14ac:dyDescent="0.25">
      <c r="A4053" s="8">
        <v>8707206</v>
      </c>
      <c r="B4053" s="2" t="s">
        <v>12135</v>
      </c>
    </row>
    <row r="4054" spans="1:2" x14ac:dyDescent="0.25">
      <c r="A4054" s="8">
        <v>8707381</v>
      </c>
      <c r="B4054" s="2" t="s">
        <v>9383</v>
      </c>
    </row>
    <row r="4055" spans="1:2" x14ac:dyDescent="0.25">
      <c r="A4055" s="8">
        <v>8707500</v>
      </c>
      <c r="B4055" s="2" t="s">
        <v>10715</v>
      </c>
    </row>
    <row r="4056" spans="1:2" x14ac:dyDescent="0.25">
      <c r="A4056" s="8">
        <v>8707509</v>
      </c>
      <c r="B4056" s="2" t="s">
        <v>10718</v>
      </c>
    </row>
    <row r="4057" spans="1:2" x14ac:dyDescent="0.25">
      <c r="A4057" s="8">
        <v>8707550</v>
      </c>
      <c r="B4057" s="2" t="s">
        <v>10745</v>
      </c>
    </row>
    <row r="4058" spans="1:2" x14ac:dyDescent="0.25">
      <c r="A4058" s="8">
        <v>8707552</v>
      </c>
      <c r="B4058" s="2" t="s">
        <v>10719</v>
      </c>
    </row>
    <row r="4059" spans="1:2" x14ac:dyDescent="0.25">
      <c r="A4059" s="8">
        <v>8707553</v>
      </c>
      <c r="B4059" s="2" t="s">
        <v>10720</v>
      </c>
    </row>
    <row r="4060" spans="1:2" x14ac:dyDescent="0.25">
      <c r="A4060" s="8">
        <v>8707554</v>
      </c>
      <c r="B4060" s="2" t="s">
        <v>10713</v>
      </c>
    </row>
    <row r="4061" spans="1:2" x14ac:dyDescent="0.25">
      <c r="A4061" s="8">
        <v>8707555</v>
      </c>
      <c r="B4061" s="2" t="s">
        <v>10712</v>
      </c>
    </row>
    <row r="4062" spans="1:2" x14ac:dyDescent="0.25">
      <c r="A4062" s="8">
        <v>8707556</v>
      </c>
      <c r="B4062" s="2" t="s">
        <v>12136</v>
      </c>
    </row>
    <row r="4063" spans="1:2" x14ac:dyDescent="0.25">
      <c r="A4063" s="8">
        <v>8707657</v>
      </c>
      <c r="B4063" s="2" t="s">
        <v>9382</v>
      </c>
    </row>
    <row r="4064" spans="1:2" x14ac:dyDescent="0.25">
      <c r="A4064" s="8">
        <v>8707658</v>
      </c>
      <c r="B4064" s="2" t="s">
        <v>9384</v>
      </c>
    </row>
    <row r="4065" spans="1:2" x14ac:dyDescent="0.25">
      <c r="A4065" s="8">
        <v>8707701</v>
      </c>
      <c r="B4065" s="2" t="s">
        <v>12137</v>
      </c>
    </row>
    <row r="4066" spans="1:2" x14ac:dyDescent="0.25">
      <c r="A4066" s="8">
        <v>8707702</v>
      </c>
      <c r="B4066" s="2" t="s">
        <v>9385</v>
      </c>
    </row>
    <row r="4067" spans="1:2" x14ac:dyDescent="0.25">
      <c r="A4067" s="8">
        <v>8707721</v>
      </c>
      <c r="B4067" s="2" t="s">
        <v>10711</v>
      </c>
    </row>
    <row r="4068" spans="1:2" x14ac:dyDescent="0.25">
      <c r="A4068" s="8">
        <v>8707750</v>
      </c>
      <c r="B4068" s="2" t="s">
        <v>10704</v>
      </c>
    </row>
    <row r="4069" spans="1:2" x14ac:dyDescent="0.25">
      <c r="A4069" s="8">
        <v>8707964</v>
      </c>
      <c r="B4069" s="2" t="s">
        <v>10717</v>
      </c>
    </row>
    <row r="4070" spans="1:2" x14ac:dyDescent="0.25">
      <c r="A4070" s="8">
        <v>8707965</v>
      </c>
      <c r="B4070" s="2" t="s">
        <v>12138</v>
      </c>
    </row>
    <row r="4071" spans="1:2" x14ac:dyDescent="0.25">
      <c r="A4071" s="8">
        <v>8707966</v>
      </c>
      <c r="B4071" s="2" t="s">
        <v>12383</v>
      </c>
    </row>
    <row r="4072" spans="1:2" x14ac:dyDescent="0.25">
      <c r="A4072" s="8">
        <v>8707980</v>
      </c>
      <c r="B4072" s="2" t="s">
        <v>10705</v>
      </c>
    </row>
    <row r="4073" spans="1:2" x14ac:dyDescent="0.25">
      <c r="A4073" s="8">
        <v>8707981</v>
      </c>
      <c r="B4073" s="2" t="s">
        <v>12139</v>
      </c>
    </row>
    <row r="4074" spans="1:2" x14ac:dyDescent="0.25">
      <c r="A4074" s="8">
        <v>8707982</v>
      </c>
      <c r="B4074" s="2" t="s">
        <v>10710</v>
      </c>
    </row>
    <row r="4075" spans="1:2" x14ac:dyDescent="0.25">
      <c r="A4075" s="8">
        <v>8708001</v>
      </c>
      <c r="B4075" s="2" t="s">
        <v>10637</v>
      </c>
    </row>
    <row r="4076" spans="1:2" x14ac:dyDescent="0.25">
      <c r="A4076" s="8">
        <v>8708002</v>
      </c>
      <c r="B4076" s="2" t="s">
        <v>12140</v>
      </c>
    </row>
    <row r="4077" spans="1:2" x14ac:dyDescent="0.25">
      <c r="A4077" s="8">
        <v>8708003</v>
      </c>
      <c r="B4077" s="2" t="s">
        <v>12141</v>
      </c>
    </row>
    <row r="4078" spans="1:2" x14ac:dyDescent="0.25">
      <c r="A4078" s="8">
        <v>8708004</v>
      </c>
      <c r="B4078" s="2" t="s">
        <v>12142</v>
      </c>
    </row>
    <row r="4079" spans="1:2" x14ac:dyDescent="0.25">
      <c r="A4079" s="8">
        <v>8708006</v>
      </c>
      <c r="B4079" s="2" t="s">
        <v>12143</v>
      </c>
    </row>
    <row r="4080" spans="1:2" x14ac:dyDescent="0.25">
      <c r="A4080" s="8">
        <v>8708007</v>
      </c>
      <c r="B4080" s="2" t="s">
        <v>12144</v>
      </c>
    </row>
    <row r="4081" spans="1:2" x14ac:dyDescent="0.25">
      <c r="A4081" s="8">
        <v>8708008</v>
      </c>
      <c r="B4081" s="2" t="s">
        <v>12145</v>
      </c>
    </row>
    <row r="4082" spans="1:2" x14ac:dyDescent="0.25">
      <c r="A4082" s="8">
        <v>8708009</v>
      </c>
      <c r="B4082" s="2" t="s">
        <v>12146</v>
      </c>
    </row>
    <row r="4083" spans="1:2" x14ac:dyDescent="0.25">
      <c r="A4083" s="8">
        <v>8708010</v>
      </c>
      <c r="B4083" s="2" t="s">
        <v>9386</v>
      </c>
    </row>
    <row r="4084" spans="1:2" x14ac:dyDescent="0.25">
      <c r="A4084" s="8">
        <v>8708011</v>
      </c>
      <c r="B4084" s="2" t="s">
        <v>10716</v>
      </c>
    </row>
    <row r="4085" spans="1:2" x14ac:dyDescent="0.25">
      <c r="A4085" s="8">
        <v>87080111</v>
      </c>
      <c r="B4085" s="2" t="s">
        <v>12147</v>
      </c>
    </row>
    <row r="4086" spans="1:2" x14ac:dyDescent="0.25">
      <c r="A4086" s="8">
        <v>8708012</v>
      </c>
      <c r="B4086" s="2" t="s">
        <v>10244</v>
      </c>
    </row>
    <row r="4087" spans="1:2" x14ac:dyDescent="0.25">
      <c r="A4087" s="8">
        <v>8708014</v>
      </c>
      <c r="B4087" s="2" t="s">
        <v>8486</v>
      </c>
    </row>
    <row r="4088" spans="1:2" x14ac:dyDescent="0.25">
      <c r="A4088" s="8">
        <v>8708015</v>
      </c>
      <c r="B4088" s="2" t="s">
        <v>8385</v>
      </c>
    </row>
    <row r="4089" spans="1:2" x14ac:dyDescent="0.25">
      <c r="A4089" s="8">
        <v>8708020</v>
      </c>
      <c r="B4089" s="2" t="s">
        <v>8833</v>
      </c>
    </row>
    <row r="4090" spans="1:2" x14ac:dyDescent="0.25">
      <c r="A4090" s="8">
        <v>8708024</v>
      </c>
      <c r="B4090" s="2" t="s">
        <v>9390</v>
      </c>
    </row>
    <row r="4091" spans="1:2" x14ac:dyDescent="0.25">
      <c r="A4091" s="8">
        <v>8708025</v>
      </c>
      <c r="B4091" s="2" t="s">
        <v>12148</v>
      </c>
    </row>
    <row r="4092" spans="1:2" x14ac:dyDescent="0.25">
      <c r="A4092" s="8">
        <v>8708030</v>
      </c>
      <c r="B4092" s="2" t="s">
        <v>12149</v>
      </c>
    </row>
    <row r="4093" spans="1:2" x14ac:dyDescent="0.25">
      <c r="A4093" s="8">
        <v>8708040</v>
      </c>
      <c r="B4093" s="2" t="s">
        <v>9388</v>
      </c>
    </row>
    <row r="4094" spans="1:2" x14ac:dyDescent="0.25">
      <c r="A4094" s="8">
        <v>8708044</v>
      </c>
      <c r="B4094" s="2" t="s">
        <v>10318</v>
      </c>
    </row>
    <row r="4095" spans="1:2" x14ac:dyDescent="0.25">
      <c r="A4095" s="8">
        <v>8708045</v>
      </c>
      <c r="B4095" s="2" t="s">
        <v>10273</v>
      </c>
    </row>
    <row r="4096" spans="1:2" x14ac:dyDescent="0.25">
      <c r="A4096" s="8">
        <v>8708046</v>
      </c>
      <c r="B4096" s="2" t="s">
        <v>10314</v>
      </c>
    </row>
    <row r="4097" spans="1:2" x14ac:dyDescent="0.25">
      <c r="A4097" s="8">
        <v>8708047</v>
      </c>
      <c r="B4097" s="2" t="s">
        <v>10317</v>
      </c>
    </row>
    <row r="4098" spans="1:2" x14ac:dyDescent="0.25">
      <c r="A4098" s="8">
        <v>8708048</v>
      </c>
      <c r="B4098" s="2" t="s">
        <v>10315</v>
      </c>
    </row>
    <row r="4099" spans="1:2" x14ac:dyDescent="0.25">
      <c r="A4099" s="8">
        <v>8708049</v>
      </c>
      <c r="B4099" s="2" t="s">
        <v>10316</v>
      </c>
    </row>
    <row r="4100" spans="1:2" x14ac:dyDescent="0.25">
      <c r="A4100" s="8">
        <v>8708052</v>
      </c>
      <c r="B4100" s="2" t="s">
        <v>10285</v>
      </c>
    </row>
    <row r="4101" spans="1:2" x14ac:dyDescent="0.25">
      <c r="A4101" s="8">
        <v>8708053</v>
      </c>
      <c r="B4101" s="2" t="s">
        <v>10284</v>
      </c>
    </row>
    <row r="4102" spans="1:2" x14ac:dyDescent="0.25">
      <c r="A4102" s="8">
        <v>8708054</v>
      </c>
      <c r="B4102" s="2" t="s">
        <v>10282</v>
      </c>
    </row>
    <row r="4103" spans="1:2" x14ac:dyDescent="0.25">
      <c r="A4103" s="8">
        <v>8708055</v>
      </c>
      <c r="B4103" s="2" t="s">
        <v>10280</v>
      </c>
    </row>
    <row r="4104" spans="1:2" x14ac:dyDescent="0.25">
      <c r="A4104" s="8">
        <v>8708056</v>
      </c>
      <c r="B4104" s="2" t="s">
        <v>10281</v>
      </c>
    </row>
    <row r="4105" spans="1:2" x14ac:dyDescent="0.25">
      <c r="A4105" s="8">
        <v>8708057</v>
      </c>
      <c r="B4105" s="2" t="s">
        <v>10283</v>
      </c>
    </row>
    <row r="4106" spans="1:2" x14ac:dyDescent="0.25">
      <c r="A4106" s="8">
        <v>8708058</v>
      </c>
      <c r="B4106" s="2" t="s">
        <v>10279</v>
      </c>
    </row>
    <row r="4107" spans="1:2" x14ac:dyDescent="0.25">
      <c r="A4107" s="8">
        <v>8708070</v>
      </c>
      <c r="B4107" s="2" t="s">
        <v>10642</v>
      </c>
    </row>
    <row r="4108" spans="1:2" x14ac:dyDescent="0.25">
      <c r="A4108" s="8">
        <v>8708071</v>
      </c>
      <c r="B4108" s="2" t="s">
        <v>10641</v>
      </c>
    </row>
    <row r="4109" spans="1:2" x14ac:dyDescent="0.25">
      <c r="A4109" s="8">
        <v>8708090</v>
      </c>
      <c r="B4109" s="2" t="s">
        <v>12150</v>
      </c>
    </row>
    <row r="4110" spans="1:2" x14ac:dyDescent="0.25">
      <c r="A4110" s="8">
        <v>8708091</v>
      </c>
      <c r="B4110" s="2" t="s">
        <v>12151</v>
      </c>
    </row>
    <row r="4111" spans="1:2" x14ac:dyDescent="0.25">
      <c r="A4111" s="8">
        <v>8708092</v>
      </c>
      <c r="B4111" s="2" t="s">
        <v>12152</v>
      </c>
    </row>
    <row r="4112" spans="1:2" x14ac:dyDescent="0.25">
      <c r="A4112" s="8">
        <v>8708093</v>
      </c>
      <c r="B4112" s="2" t="s">
        <v>12153</v>
      </c>
    </row>
    <row r="4113" spans="1:2" x14ac:dyDescent="0.25">
      <c r="A4113" s="8">
        <v>8708099</v>
      </c>
      <c r="B4113" s="2" t="s">
        <v>13611</v>
      </c>
    </row>
    <row r="4114" spans="1:2" x14ac:dyDescent="0.25">
      <c r="A4114" s="8">
        <v>8708100</v>
      </c>
      <c r="B4114" s="2" t="s">
        <v>10248</v>
      </c>
    </row>
    <row r="4115" spans="1:2" x14ac:dyDescent="0.25">
      <c r="A4115" s="8">
        <v>8708101</v>
      </c>
      <c r="B4115" s="2" t="s">
        <v>10236</v>
      </c>
    </row>
    <row r="4116" spans="1:2" x14ac:dyDescent="0.25">
      <c r="A4116" s="8">
        <v>8708102</v>
      </c>
      <c r="B4116" s="2" t="s">
        <v>10229</v>
      </c>
    </row>
    <row r="4117" spans="1:2" x14ac:dyDescent="0.25">
      <c r="A4117" s="8">
        <v>8708103</v>
      </c>
      <c r="B4117" s="2" t="s">
        <v>10250</v>
      </c>
    </row>
    <row r="4118" spans="1:2" x14ac:dyDescent="0.25">
      <c r="A4118" s="8">
        <v>8708104</v>
      </c>
      <c r="B4118" s="2" t="s">
        <v>8497</v>
      </c>
    </row>
    <row r="4119" spans="1:2" x14ac:dyDescent="0.25">
      <c r="A4119" s="8">
        <v>8708105</v>
      </c>
      <c r="B4119" s="2" t="s">
        <v>10287</v>
      </c>
    </row>
    <row r="4120" spans="1:2" x14ac:dyDescent="0.25">
      <c r="A4120" s="8">
        <v>8708106</v>
      </c>
      <c r="B4120" s="2" t="s">
        <v>12154</v>
      </c>
    </row>
    <row r="4121" spans="1:2" x14ac:dyDescent="0.25">
      <c r="A4121" s="8">
        <v>8708107</v>
      </c>
      <c r="B4121" s="2" t="s">
        <v>10748</v>
      </c>
    </row>
    <row r="4122" spans="1:2" x14ac:dyDescent="0.25">
      <c r="A4122" s="8">
        <v>8708108</v>
      </c>
      <c r="B4122" s="2" t="s">
        <v>8496</v>
      </c>
    </row>
    <row r="4123" spans="1:2" x14ac:dyDescent="0.25">
      <c r="A4123" s="8">
        <v>8708109</v>
      </c>
      <c r="B4123" s="2" t="s">
        <v>10726</v>
      </c>
    </row>
    <row r="4124" spans="1:2" x14ac:dyDescent="0.25">
      <c r="A4124" s="8">
        <v>8708110</v>
      </c>
      <c r="B4124" s="2" t="s">
        <v>8498</v>
      </c>
    </row>
    <row r="4125" spans="1:2" x14ac:dyDescent="0.25">
      <c r="A4125" s="8">
        <v>8708111</v>
      </c>
      <c r="B4125" s="2" t="s">
        <v>9212</v>
      </c>
    </row>
    <row r="4126" spans="1:2" x14ac:dyDescent="0.25">
      <c r="A4126" s="8">
        <v>8708112</v>
      </c>
      <c r="B4126" s="2" t="s">
        <v>9213</v>
      </c>
    </row>
    <row r="4127" spans="1:2" x14ac:dyDescent="0.25">
      <c r="A4127" s="8">
        <v>8708113</v>
      </c>
      <c r="B4127" s="2" t="s">
        <v>9210</v>
      </c>
    </row>
    <row r="4128" spans="1:2" x14ac:dyDescent="0.25">
      <c r="A4128" s="8">
        <v>8708114</v>
      </c>
      <c r="B4128" s="2" t="s">
        <v>10249</v>
      </c>
    </row>
    <row r="4129" spans="1:2" x14ac:dyDescent="0.25">
      <c r="A4129" s="8">
        <v>8708115</v>
      </c>
      <c r="B4129" s="2" t="s">
        <v>10744</v>
      </c>
    </row>
    <row r="4130" spans="1:2" x14ac:dyDescent="0.25">
      <c r="A4130" s="8">
        <v>8708116</v>
      </c>
      <c r="B4130" s="2" t="s">
        <v>9209</v>
      </c>
    </row>
    <row r="4131" spans="1:2" x14ac:dyDescent="0.25">
      <c r="A4131" s="8">
        <v>8708117</v>
      </c>
      <c r="B4131" s="2" t="s">
        <v>10259</v>
      </c>
    </row>
    <row r="4132" spans="1:2" x14ac:dyDescent="0.25">
      <c r="A4132" s="8">
        <v>8708118</v>
      </c>
      <c r="B4132" s="2" t="s">
        <v>10256</v>
      </c>
    </row>
    <row r="4133" spans="1:2" x14ac:dyDescent="0.25">
      <c r="A4133" s="8">
        <v>8708119</v>
      </c>
      <c r="B4133" s="2" t="s">
        <v>10261</v>
      </c>
    </row>
    <row r="4134" spans="1:2" x14ac:dyDescent="0.25">
      <c r="A4134" s="8">
        <v>8708120</v>
      </c>
      <c r="B4134" s="2" t="s">
        <v>10251</v>
      </c>
    </row>
    <row r="4135" spans="1:2" x14ac:dyDescent="0.25">
      <c r="A4135" s="8">
        <v>8708121</v>
      </c>
      <c r="B4135" s="2" t="s">
        <v>10266</v>
      </c>
    </row>
    <row r="4136" spans="1:2" x14ac:dyDescent="0.25">
      <c r="A4136" s="8">
        <v>8708122</v>
      </c>
      <c r="B4136" s="2" t="s">
        <v>10319</v>
      </c>
    </row>
    <row r="4137" spans="1:2" x14ac:dyDescent="0.25">
      <c r="A4137" s="8">
        <v>8708123</v>
      </c>
      <c r="B4137" s="2" t="s">
        <v>10237</v>
      </c>
    </row>
    <row r="4138" spans="1:2" x14ac:dyDescent="0.25">
      <c r="A4138" s="8">
        <v>8708124</v>
      </c>
      <c r="B4138" s="2" t="s">
        <v>10268</v>
      </c>
    </row>
    <row r="4139" spans="1:2" x14ac:dyDescent="0.25">
      <c r="A4139" s="8">
        <v>8708125</v>
      </c>
      <c r="B4139" s="2" t="s">
        <v>10265</v>
      </c>
    </row>
    <row r="4140" spans="1:2" x14ac:dyDescent="0.25">
      <c r="A4140" s="8">
        <v>8708126</v>
      </c>
      <c r="B4140" s="2" t="s">
        <v>10264</v>
      </c>
    </row>
    <row r="4141" spans="1:2" x14ac:dyDescent="0.25">
      <c r="A4141" s="8">
        <v>8708127</v>
      </c>
      <c r="B4141" s="2" t="s">
        <v>10267</v>
      </c>
    </row>
    <row r="4142" spans="1:2" x14ac:dyDescent="0.25">
      <c r="A4142" s="8">
        <v>8708128</v>
      </c>
      <c r="B4142" s="2" t="s">
        <v>10257</v>
      </c>
    </row>
    <row r="4143" spans="1:2" x14ac:dyDescent="0.25">
      <c r="A4143" s="8">
        <v>8708129</v>
      </c>
      <c r="B4143" s="2" t="s">
        <v>10260</v>
      </c>
    </row>
    <row r="4144" spans="1:2" x14ac:dyDescent="0.25">
      <c r="A4144" s="8">
        <v>8708130</v>
      </c>
      <c r="B4144" s="2" t="s">
        <v>10258</v>
      </c>
    </row>
    <row r="4145" spans="1:2" x14ac:dyDescent="0.25">
      <c r="A4145" s="8">
        <v>8708140</v>
      </c>
      <c r="B4145" s="2" t="s">
        <v>12384</v>
      </c>
    </row>
    <row r="4146" spans="1:2" x14ac:dyDescent="0.25">
      <c r="A4146" s="8">
        <v>8708196</v>
      </c>
      <c r="B4146" s="2" t="s">
        <v>10305</v>
      </c>
    </row>
    <row r="4147" spans="1:2" x14ac:dyDescent="0.25">
      <c r="A4147" s="8">
        <v>8708198</v>
      </c>
      <c r="B4147" s="2" t="s">
        <v>10322</v>
      </c>
    </row>
    <row r="4148" spans="1:2" x14ac:dyDescent="0.25">
      <c r="A4148" s="8">
        <v>8708200</v>
      </c>
      <c r="B4148" s="2" t="s">
        <v>10749</v>
      </c>
    </row>
    <row r="4149" spans="1:2" x14ac:dyDescent="0.25">
      <c r="A4149" s="8">
        <v>8708202</v>
      </c>
      <c r="B4149" s="2" t="s">
        <v>10329</v>
      </c>
    </row>
    <row r="4150" spans="1:2" x14ac:dyDescent="0.25">
      <c r="A4150" s="8">
        <v>8708203</v>
      </c>
      <c r="B4150" s="2" t="s">
        <v>10298</v>
      </c>
    </row>
    <row r="4151" spans="1:2" x14ac:dyDescent="0.25">
      <c r="A4151" s="8">
        <v>8708204</v>
      </c>
      <c r="B4151" s="2" t="s">
        <v>10299</v>
      </c>
    </row>
    <row r="4152" spans="1:2" x14ac:dyDescent="0.25">
      <c r="A4152" s="8">
        <v>8708205</v>
      </c>
      <c r="B4152" s="2" t="s">
        <v>10302</v>
      </c>
    </row>
    <row r="4153" spans="1:2" x14ac:dyDescent="0.25">
      <c r="A4153" s="8">
        <v>8708206</v>
      </c>
      <c r="B4153" s="2" t="s">
        <v>10304</v>
      </c>
    </row>
    <row r="4154" spans="1:2" x14ac:dyDescent="0.25">
      <c r="A4154" s="8">
        <v>8708207</v>
      </c>
      <c r="B4154" s="2" t="s">
        <v>10301</v>
      </c>
    </row>
    <row r="4155" spans="1:2" x14ac:dyDescent="0.25">
      <c r="A4155" s="8">
        <v>8708209</v>
      </c>
      <c r="B4155" s="2" t="s">
        <v>10310</v>
      </c>
    </row>
    <row r="4156" spans="1:2" x14ac:dyDescent="0.25">
      <c r="A4156" s="8">
        <v>8708210</v>
      </c>
      <c r="B4156" s="2" t="s">
        <v>10309</v>
      </c>
    </row>
    <row r="4157" spans="1:2" x14ac:dyDescent="0.25">
      <c r="A4157" s="8">
        <v>8708211</v>
      </c>
      <c r="B4157" s="2" t="s">
        <v>10291</v>
      </c>
    </row>
    <row r="4158" spans="1:2" x14ac:dyDescent="0.25">
      <c r="A4158" s="8">
        <v>8708213</v>
      </c>
      <c r="B4158" s="2" t="s">
        <v>10303</v>
      </c>
    </row>
    <row r="4159" spans="1:2" x14ac:dyDescent="0.25">
      <c r="A4159" s="8">
        <v>8708214</v>
      </c>
      <c r="B4159" s="2" t="s">
        <v>12155</v>
      </c>
    </row>
    <row r="4160" spans="1:2" x14ac:dyDescent="0.25">
      <c r="A4160" s="8">
        <v>8708215</v>
      </c>
      <c r="B4160" s="2" t="s">
        <v>10308</v>
      </c>
    </row>
    <row r="4161" spans="1:2" x14ac:dyDescent="0.25">
      <c r="A4161" s="8">
        <v>8708216</v>
      </c>
      <c r="B4161" s="2" t="s">
        <v>10290</v>
      </c>
    </row>
    <row r="4162" spans="1:2" x14ac:dyDescent="0.25">
      <c r="A4162" s="8">
        <v>8708226</v>
      </c>
      <c r="B4162" s="2" t="s">
        <v>10253</v>
      </c>
    </row>
    <row r="4163" spans="1:2" x14ac:dyDescent="0.25">
      <c r="A4163" s="8">
        <v>8708227</v>
      </c>
      <c r="B4163" s="2" t="s">
        <v>10262</v>
      </c>
    </row>
    <row r="4164" spans="1:2" x14ac:dyDescent="0.25">
      <c r="A4164" s="8">
        <v>8708228</v>
      </c>
      <c r="B4164" s="2" t="s">
        <v>12385</v>
      </c>
    </row>
    <row r="4165" spans="1:2" x14ac:dyDescent="0.25">
      <c r="A4165" s="8">
        <v>8708249</v>
      </c>
      <c r="B4165" s="2" t="s">
        <v>10272</v>
      </c>
    </row>
    <row r="4166" spans="1:2" x14ac:dyDescent="0.25">
      <c r="A4166" s="8">
        <v>8708254</v>
      </c>
      <c r="B4166" s="2" t="s">
        <v>10747</v>
      </c>
    </row>
    <row r="4167" spans="1:2" x14ac:dyDescent="0.25">
      <c r="A4167" s="8">
        <v>8708255</v>
      </c>
      <c r="B4167" s="2" t="s">
        <v>8384</v>
      </c>
    </row>
    <row r="4168" spans="1:2" x14ac:dyDescent="0.25">
      <c r="A4168" s="8">
        <v>8708272</v>
      </c>
      <c r="B4168" s="2" t="s">
        <v>10639</v>
      </c>
    </row>
    <row r="4169" spans="1:2" x14ac:dyDescent="0.25">
      <c r="A4169" s="8">
        <v>8708273</v>
      </c>
      <c r="B4169" s="2" t="s">
        <v>10640</v>
      </c>
    </row>
    <row r="4170" spans="1:2" x14ac:dyDescent="0.25">
      <c r="A4170" s="8">
        <v>8708298</v>
      </c>
      <c r="B4170" s="2" t="s">
        <v>13612</v>
      </c>
    </row>
    <row r="4171" spans="1:2" x14ac:dyDescent="0.25">
      <c r="A4171" s="8">
        <v>8708299</v>
      </c>
      <c r="B4171" s="2" t="s">
        <v>10655</v>
      </c>
    </row>
    <row r="4172" spans="1:2" x14ac:dyDescent="0.25">
      <c r="A4172" s="8">
        <v>8708300</v>
      </c>
      <c r="B4172" s="2" t="s">
        <v>9216</v>
      </c>
    </row>
    <row r="4173" spans="1:2" x14ac:dyDescent="0.25">
      <c r="A4173" s="8">
        <v>8708301</v>
      </c>
      <c r="B4173" s="2" t="s">
        <v>9217</v>
      </c>
    </row>
    <row r="4174" spans="1:2" x14ac:dyDescent="0.25">
      <c r="A4174" s="8">
        <v>8708304</v>
      </c>
      <c r="B4174" s="2" t="s">
        <v>10243</v>
      </c>
    </row>
    <row r="4175" spans="1:2" x14ac:dyDescent="0.25">
      <c r="A4175" s="8">
        <v>8708310</v>
      </c>
      <c r="B4175" s="2" t="s">
        <v>10269</v>
      </c>
    </row>
    <row r="4176" spans="1:2" x14ac:dyDescent="0.25">
      <c r="A4176" s="8">
        <v>8708311</v>
      </c>
      <c r="B4176" s="2" t="s">
        <v>10241</v>
      </c>
    </row>
    <row r="4177" spans="1:2" x14ac:dyDescent="0.25">
      <c r="A4177" s="8">
        <v>8708312</v>
      </c>
      <c r="B4177" s="2" t="s">
        <v>10240</v>
      </c>
    </row>
    <row r="4178" spans="1:2" x14ac:dyDescent="0.25">
      <c r="A4178" s="8">
        <v>8708313</v>
      </c>
      <c r="B4178" s="2" t="s">
        <v>10238</v>
      </c>
    </row>
    <row r="4179" spans="1:2" x14ac:dyDescent="0.25">
      <c r="A4179" s="8">
        <v>8708314</v>
      </c>
      <c r="B4179" s="2" t="s">
        <v>10239</v>
      </c>
    </row>
    <row r="4180" spans="1:2" x14ac:dyDescent="0.25">
      <c r="A4180" s="8">
        <v>8708315</v>
      </c>
      <c r="B4180" s="2" t="s">
        <v>10242</v>
      </c>
    </row>
    <row r="4181" spans="1:2" x14ac:dyDescent="0.25">
      <c r="A4181" s="8">
        <v>8708323</v>
      </c>
      <c r="B4181" s="2" t="s">
        <v>10276</v>
      </c>
    </row>
    <row r="4182" spans="1:2" x14ac:dyDescent="0.25">
      <c r="A4182" s="8">
        <v>8708333</v>
      </c>
      <c r="B4182" s="2" t="s">
        <v>12481</v>
      </c>
    </row>
    <row r="4183" spans="1:2" x14ac:dyDescent="0.25">
      <c r="A4183" s="8">
        <v>8708402</v>
      </c>
      <c r="B4183" s="2" t="s">
        <v>12156</v>
      </c>
    </row>
    <row r="4184" spans="1:2" x14ac:dyDescent="0.25">
      <c r="A4184" s="8">
        <v>8708426</v>
      </c>
      <c r="B4184" s="2" t="s">
        <v>12482</v>
      </c>
    </row>
    <row r="4185" spans="1:2" x14ac:dyDescent="0.25">
      <c r="A4185" s="8">
        <v>8708536</v>
      </c>
      <c r="B4185" s="2" t="s">
        <v>10746</v>
      </c>
    </row>
    <row r="4186" spans="1:2" x14ac:dyDescent="0.25">
      <c r="A4186" s="8">
        <v>8708550</v>
      </c>
      <c r="B4186" s="2" t="s">
        <v>10271</v>
      </c>
    </row>
    <row r="4187" spans="1:2" x14ac:dyDescent="0.25">
      <c r="A4187" s="8">
        <v>8708551</v>
      </c>
      <c r="B4187" s="2" t="s">
        <v>12157</v>
      </c>
    </row>
    <row r="4188" spans="1:2" x14ac:dyDescent="0.25">
      <c r="A4188" s="8">
        <v>8708552</v>
      </c>
      <c r="B4188" s="2" t="s">
        <v>12158</v>
      </c>
    </row>
    <row r="4189" spans="1:2" x14ac:dyDescent="0.25">
      <c r="A4189" s="8">
        <v>8708553</v>
      </c>
      <c r="B4189" s="2" t="s">
        <v>9387</v>
      </c>
    </row>
    <row r="4190" spans="1:2" x14ac:dyDescent="0.25">
      <c r="A4190" s="8">
        <v>8708601</v>
      </c>
      <c r="B4190" s="2" t="s">
        <v>10254</v>
      </c>
    </row>
    <row r="4191" spans="1:2" x14ac:dyDescent="0.25">
      <c r="A4191" s="8">
        <v>8708602</v>
      </c>
      <c r="B4191" s="2" t="s">
        <v>10220</v>
      </c>
    </row>
    <row r="4192" spans="1:2" x14ac:dyDescent="0.25">
      <c r="A4192" s="8">
        <v>8708603</v>
      </c>
      <c r="B4192" s="2" t="s">
        <v>10247</v>
      </c>
    </row>
    <row r="4193" spans="1:2" x14ac:dyDescent="0.25">
      <c r="A4193" s="8">
        <v>8708604</v>
      </c>
      <c r="B4193" s="2" t="s">
        <v>10834</v>
      </c>
    </row>
    <row r="4194" spans="1:2" x14ac:dyDescent="0.25">
      <c r="A4194" s="8">
        <v>8708607</v>
      </c>
      <c r="B4194" s="2" t="s">
        <v>10235</v>
      </c>
    </row>
    <row r="4195" spans="1:2" x14ac:dyDescent="0.25">
      <c r="A4195" s="8">
        <v>8708608</v>
      </c>
      <c r="B4195" s="2" t="s">
        <v>10219</v>
      </c>
    </row>
    <row r="4196" spans="1:2" x14ac:dyDescent="0.25">
      <c r="A4196" s="8">
        <v>8708609</v>
      </c>
      <c r="B4196" s="2" t="s">
        <v>10246</v>
      </c>
    </row>
    <row r="4197" spans="1:2" x14ac:dyDescent="0.25">
      <c r="A4197" s="8">
        <v>8708610</v>
      </c>
      <c r="B4197" s="2" t="s">
        <v>10222</v>
      </c>
    </row>
    <row r="4198" spans="1:2" x14ac:dyDescent="0.25">
      <c r="A4198" s="8">
        <v>8708611</v>
      </c>
      <c r="B4198" s="2" t="s">
        <v>12483</v>
      </c>
    </row>
    <row r="4199" spans="1:2" x14ac:dyDescent="0.25">
      <c r="A4199" s="8">
        <v>8708615</v>
      </c>
      <c r="B4199" s="2" t="s">
        <v>12159</v>
      </c>
    </row>
    <row r="4200" spans="1:2" x14ac:dyDescent="0.25">
      <c r="A4200" s="8">
        <v>8708618</v>
      </c>
      <c r="B4200" s="2" t="s">
        <v>10228</v>
      </c>
    </row>
    <row r="4201" spans="1:2" x14ac:dyDescent="0.25">
      <c r="A4201" s="8">
        <v>8708620</v>
      </c>
      <c r="B4201" s="2" t="s">
        <v>10263</v>
      </c>
    </row>
    <row r="4202" spans="1:2" x14ac:dyDescent="0.25">
      <c r="A4202" s="8">
        <v>8708625</v>
      </c>
      <c r="B4202" s="2" t="s">
        <v>10227</v>
      </c>
    </row>
    <row r="4203" spans="1:2" x14ac:dyDescent="0.25">
      <c r="A4203" s="8">
        <v>8708628</v>
      </c>
      <c r="B4203" s="2" t="s">
        <v>10226</v>
      </c>
    </row>
    <row r="4204" spans="1:2" x14ac:dyDescent="0.25">
      <c r="A4204" s="8">
        <v>8708629</v>
      </c>
      <c r="B4204" s="2" t="s">
        <v>10234</v>
      </c>
    </row>
    <row r="4205" spans="1:2" x14ac:dyDescent="0.25">
      <c r="A4205" s="8">
        <v>8708630</v>
      </c>
      <c r="B4205" s="2" t="s">
        <v>9222</v>
      </c>
    </row>
    <row r="4206" spans="1:2" x14ac:dyDescent="0.25">
      <c r="A4206" s="8">
        <v>8708631</v>
      </c>
      <c r="B4206" s="2" t="s">
        <v>10252</v>
      </c>
    </row>
    <row r="4207" spans="1:2" x14ac:dyDescent="0.25">
      <c r="A4207" s="8">
        <v>8708634</v>
      </c>
      <c r="B4207" s="2" t="s">
        <v>10233</v>
      </c>
    </row>
    <row r="4208" spans="1:2" x14ac:dyDescent="0.25">
      <c r="A4208" s="8">
        <v>8708635</v>
      </c>
      <c r="B4208" s="2" t="s">
        <v>10223</v>
      </c>
    </row>
    <row r="4209" spans="1:2" x14ac:dyDescent="0.25">
      <c r="A4209" s="8">
        <v>8708637</v>
      </c>
      <c r="B4209" s="2" t="s">
        <v>10221</v>
      </c>
    </row>
    <row r="4210" spans="1:2" x14ac:dyDescent="0.25">
      <c r="A4210" s="8">
        <v>8708638</v>
      </c>
      <c r="B4210" s="2" t="s">
        <v>10230</v>
      </c>
    </row>
    <row r="4211" spans="1:2" x14ac:dyDescent="0.25">
      <c r="A4211" s="8">
        <v>8708639</v>
      </c>
      <c r="B4211" s="2" t="s">
        <v>9392</v>
      </c>
    </row>
    <row r="4212" spans="1:2" x14ac:dyDescent="0.25">
      <c r="A4212" s="8">
        <v>8708640</v>
      </c>
      <c r="B4212" s="2" t="s">
        <v>10255</v>
      </c>
    </row>
    <row r="4213" spans="1:2" x14ac:dyDescent="0.25">
      <c r="A4213" s="8">
        <v>8708643</v>
      </c>
      <c r="B4213" s="2" t="s">
        <v>10224</v>
      </c>
    </row>
    <row r="4214" spans="1:2" x14ac:dyDescent="0.25">
      <c r="A4214" s="8">
        <v>8708644</v>
      </c>
      <c r="B4214" s="2" t="s">
        <v>9391</v>
      </c>
    </row>
    <row r="4215" spans="1:2" x14ac:dyDescent="0.25">
      <c r="A4215" s="8">
        <v>8708651</v>
      </c>
      <c r="B4215" s="2" t="s">
        <v>12388</v>
      </c>
    </row>
    <row r="4216" spans="1:2" x14ac:dyDescent="0.25">
      <c r="A4216" s="8">
        <v>8708657</v>
      </c>
      <c r="B4216" s="2" t="s">
        <v>10231</v>
      </c>
    </row>
    <row r="4217" spans="1:2" x14ac:dyDescent="0.25">
      <c r="A4217" s="8">
        <v>8708774</v>
      </c>
      <c r="B4217" s="2" t="s">
        <v>10278</v>
      </c>
    </row>
    <row r="4218" spans="1:2" x14ac:dyDescent="0.25">
      <c r="A4218" s="8">
        <v>8708815</v>
      </c>
      <c r="B4218" s="2" t="s">
        <v>10750</v>
      </c>
    </row>
    <row r="4219" spans="1:2" x14ac:dyDescent="0.25">
      <c r="A4219" s="8">
        <v>8708888</v>
      </c>
      <c r="B4219" s="2" t="s">
        <v>9215</v>
      </c>
    </row>
    <row r="4220" spans="1:2" x14ac:dyDescent="0.25">
      <c r="A4220" s="8">
        <v>8708899</v>
      </c>
      <c r="B4220" s="2" t="s">
        <v>10245</v>
      </c>
    </row>
    <row r="4221" spans="1:2" x14ac:dyDescent="0.25">
      <c r="A4221" s="8">
        <v>8708900</v>
      </c>
      <c r="B4221" s="2" t="s">
        <v>10275</v>
      </c>
    </row>
    <row r="4222" spans="1:2" x14ac:dyDescent="0.25">
      <c r="A4222" s="8">
        <v>8708901</v>
      </c>
      <c r="B4222" s="2" t="s">
        <v>12160</v>
      </c>
    </row>
    <row r="4223" spans="1:2" x14ac:dyDescent="0.25">
      <c r="A4223" s="8">
        <v>8708907</v>
      </c>
      <c r="B4223" s="2" t="s">
        <v>12484</v>
      </c>
    </row>
    <row r="4224" spans="1:2" x14ac:dyDescent="0.25">
      <c r="A4224" s="8">
        <v>8708996</v>
      </c>
      <c r="B4224" s="2" t="s">
        <v>10286</v>
      </c>
    </row>
    <row r="4225" spans="1:2" x14ac:dyDescent="0.25">
      <c r="A4225" s="8">
        <v>8708997</v>
      </c>
      <c r="B4225" s="2" t="s">
        <v>10831</v>
      </c>
    </row>
    <row r="4226" spans="1:2" x14ac:dyDescent="0.25">
      <c r="A4226" s="8">
        <v>8708998</v>
      </c>
      <c r="B4226" s="2" t="s">
        <v>10270</v>
      </c>
    </row>
    <row r="4227" spans="1:2" x14ac:dyDescent="0.25">
      <c r="A4227" s="8">
        <v>8708999</v>
      </c>
      <c r="B4227" s="2" t="s">
        <v>9214</v>
      </c>
    </row>
    <row r="4228" spans="1:2" x14ac:dyDescent="0.25">
      <c r="A4228" s="8">
        <v>8709697</v>
      </c>
      <c r="B4228" s="2" t="s">
        <v>12161</v>
      </c>
    </row>
    <row r="4229" spans="1:2" x14ac:dyDescent="0.25">
      <c r="A4229" s="8">
        <v>8709698</v>
      </c>
      <c r="B4229" s="2" t="s">
        <v>8423</v>
      </c>
    </row>
    <row r="4230" spans="1:2" x14ac:dyDescent="0.25">
      <c r="A4230" s="8">
        <v>8709699</v>
      </c>
      <c r="B4230" s="2" t="s">
        <v>12162</v>
      </c>
    </row>
    <row r="4231" spans="1:2" x14ac:dyDescent="0.25">
      <c r="A4231" s="8">
        <v>8711047</v>
      </c>
      <c r="B4231" s="2" t="s">
        <v>10857</v>
      </c>
    </row>
    <row r="4232" spans="1:2" x14ac:dyDescent="0.25">
      <c r="A4232" s="8">
        <v>8711048</v>
      </c>
      <c r="B4232" s="2" t="s">
        <v>10855</v>
      </c>
    </row>
    <row r="4233" spans="1:2" x14ac:dyDescent="0.25">
      <c r="A4233" s="8">
        <v>8711049</v>
      </c>
      <c r="B4233" s="2" t="s">
        <v>10856</v>
      </c>
    </row>
    <row r="4234" spans="1:2" x14ac:dyDescent="0.25">
      <c r="A4234" s="8">
        <v>8711105</v>
      </c>
      <c r="B4234" s="2" t="s">
        <v>10860</v>
      </c>
    </row>
    <row r="4235" spans="1:2" x14ac:dyDescent="0.25">
      <c r="A4235" s="8">
        <v>8711700</v>
      </c>
      <c r="B4235" s="2" t="s">
        <v>10861</v>
      </c>
    </row>
    <row r="4236" spans="1:2" x14ac:dyDescent="0.25">
      <c r="A4236" s="8">
        <v>8711701</v>
      </c>
      <c r="B4236" s="2" t="s">
        <v>10859</v>
      </c>
    </row>
    <row r="4237" spans="1:2" x14ac:dyDescent="0.25">
      <c r="A4237" s="8">
        <v>8711702</v>
      </c>
      <c r="B4237" s="2" t="s">
        <v>10858</v>
      </c>
    </row>
    <row r="4238" spans="1:2" x14ac:dyDescent="0.25">
      <c r="A4238" s="8">
        <v>8711704</v>
      </c>
      <c r="B4238" s="2" t="s">
        <v>12163</v>
      </c>
    </row>
    <row r="4239" spans="1:2" x14ac:dyDescent="0.25">
      <c r="A4239" s="8">
        <v>8711706</v>
      </c>
      <c r="B4239" s="2" t="s">
        <v>12164</v>
      </c>
    </row>
    <row r="4240" spans="1:2" x14ac:dyDescent="0.25">
      <c r="A4240" s="8">
        <v>8711707</v>
      </c>
      <c r="B4240" s="2" t="s">
        <v>12165</v>
      </c>
    </row>
    <row r="4241" spans="1:2" x14ac:dyDescent="0.25">
      <c r="A4241" s="8">
        <v>8715004</v>
      </c>
      <c r="B4241" s="2" t="s">
        <v>12166</v>
      </c>
    </row>
    <row r="4242" spans="1:2" x14ac:dyDescent="0.25">
      <c r="A4242" s="8">
        <v>8715803</v>
      </c>
      <c r="B4242" s="2" t="s">
        <v>10735</v>
      </c>
    </row>
    <row r="4243" spans="1:2" x14ac:dyDescent="0.25">
      <c r="A4243" s="8">
        <v>8717033</v>
      </c>
      <c r="B4243" s="2" t="s">
        <v>9789</v>
      </c>
    </row>
    <row r="4244" spans="1:2" x14ac:dyDescent="0.25">
      <c r="A4244" s="8">
        <v>8800000</v>
      </c>
      <c r="B4244" s="2" t="s">
        <v>12167</v>
      </c>
    </row>
    <row r="4245" spans="1:2" x14ac:dyDescent="0.25">
      <c r="A4245" s="8">
        <v>8800001</v>
      </c>
      <c r="B4245" s="2" t="s">
        <v>12168</v>
      </c>
    </row>
    <row r="4246" spans="1:2" x14ac:dyDescent="0.25">
      <c r="A4246" s="2" t="s">
        <v>13613</v>
      </c>
    </row>
    <row r="4247" spans="1:2" x14ac:dyDescent="0.25">
      <c r="A4247" s="8">
        <v>8800002</v>
      </c>
      <c r="B4247" s="2" t="s">
        <v>12169</v>
      </c>
    </row>
    <row r="4248" spans="1:2" x14ac:dyDescent="0.25">
      <c r="A4248" s="8">
        <v>8800003</v>
      </c>
      <c r="B4248" s="2" t="s">
        <v>12170</v>
      </c>
    </row>
    <row r="4249" spans="1:2" x14ac:dyDescent="0.25">
      <c r="A4249" s="8">
        <v>8815007</v>
      </c>
      <c r="B4249" s="2" t="s">
        <v>9124</v>
      </c>
    </row>
    <row r="4250" spans="1:2" x14ac:dyDescent="0.25">
      <c r="A4250" s="8">
        <v>8857004</v>
      </c>
      <c r="B4250" s="2" t="s">
        <v>10842</v>
      </c>
    </row>
    <row r="4251" spans="1:2" x14ac:dyDescent="0.25">
      <c r="A4251" s="8">
        <v>8857005</v>
      </c>
      <c r="B4251" s="2" t="s">
        <v>8411</v>
      </c>
    </row>
    <row r="4252" spans="1:2" x14ac:dyDescent="0.25">
      <c r="A4252" s="8">
        <v>8857829</v>
      </c>
      <c r="B4252" s="2" t="s">
        <v>10358</v>
      </c>
    </row>
    <row r="4253" spans="1:2" x14ac:dyDescent="0.25">
      <c r="A4253" s="8">
        <v>8858005</v>
      </c>
      <c r="B4253" s="2" t="s">
        <v>9124</v>
      </c>
    </row>
    <row r="4254" spans="1:2" x14ac:dyDescent="0.25">
      <c r="A4254" s="8">
        <v>8888001</v>
      </c>
      <c r="B4254" s="2" t="s">
        <v>9158</v>
      </c>
    </row>
    <row r="4255" spans="1:2" x14ac:dyDescent="0.25">
      <c r="A4255" s="8">
        <v>8888002</v>
      </c>
      <c r="B4255" s="2" t="s">
        <v>9155</v>
      </c>
    </row>
    <row r="4256" spans="1:2" x14ac:dyDescent="0.25">
      <c r="A4256" s="8">
        <v>8888003</v>
      </c>
      <c r="B4256" s="2" t="s">
        <v>12171</v>
      </c>
    </row>
    <row r="4257" spans="1:2" x14ac:dyDescent="0.25">
      <c r="A4257" s="8">
        <v>8888004</v>
      </c>
      <c r="B4257" s="2" t="s">
        <v>8826</v>
      </c>
    </row>
    <row r="4258" spans="1:2" x14ac:dyDescent="0.25">
      <c r="A4258" s="8">
        <v>8888005</v>
      </c>
      <c r="B4258" s="2" t="s">
        <v>12172</v>
      </c>
    </row>
    <row r="4259" spans="1:2" x14ac:dyDescent="0.25">
      <c r="A4259" s="8">
        <v>8888006</v>
      </c>
      <c r="B4259" s="2" t="s">
        <v>12173</v>
      </c>
    </row>
    <row r="4260" spans="1:2" x14ac:dyDescent="0.25">
      <c r="A4260" s="8">
        <v>8888007</v>
      </c>
      <c r="B4260" s="2" t="s">
        <v>12174</v>
      </c>
    </row>
    <row r="4261" spans="1:2" x14ac:dyDescent="0.25">
      <c r="A4261" s="8">
        <v>8888008</v>
      </c>
      <c r="B4261" s="2" t="s">
        <v>12175</v>
      </c>
    </row>
    <row r="4262" spans="1:2" x14ac:dyDescent="0.25">
      <c r="A4262" s="8">
        <v>8888009</v>
      </c>
      <c r="B4262" s="2" t="s">
        <v>8822</v>
      </c>
    </row>
    <row r="4263" spans="1:2" x14ac:dyDescent="0.25">
      <c r="A4263" s="8">
        <v>8888010</v>
      </c>
      <c r="B4263" s="2" t="s">
        <v>8821</v>
      </c>
    </row>
    <row r="4264" spans="1:2" x14ac:dyDescent="0.25">
      <c r="A4264" s="8">
        <v>8888011</v>
      </c>
      <c r="B4264" s="2" t="s">
        <v>12176</v>
      </c>
    </row>
    <row r="4265" spans="1:2" x14ac:dyDescent="0.25">
      <c r="A4265" s="8">
        <v>8888012</v>
      </c>
      <c r="B4265" s="2" t="s">
        <v>8824</v>
      </c>
    </row>
    <row r="4266" spans="1:2" x14ac:dyDescent="0.25">
      <c r="A4266" s="8">
        <v>8888013</v>
      </c>
      <c r="B4266" s="2" t="s">
        <v>12177</v>
      </c>
    </row>
    <row r="4267" spans="1:2" x14ac:dyDescent="0.25">
      <c r="A4267" s="8">
        <v>8888014</v>
      </c>
      <c r="B4267" s="2" t="s">
        <v>12178</v>
      </c>
    </row>
    <row r="4268" spans="1:2" x14ac:dyDescent="0.25">
      <c r="A4268" s="8">
        <v>8888015</v>
      </c>
      <c r="B4268" s="2" t="s">
        <v>12179</v>
      </c>
    </row>
    <row r="4269" spans="1:2" x14ac:dyDescent="0.25">
      <c r="A4269" s="8">
        <v>8888016</v>
      </c>
      <c r="B4269" s="2" t="s">
        <v>12180</v>
      </c>
    </row>
    <row r="4270" spans="1:2" x14ac:dyDescent="0.25">
      <c r="A4270" s="8">
        <v>8888017</v>
      </c>
      <c r="B4270" s="2" t="s">
        <v>12181</v>
      </c>
    </row>
    <row r="4271" spans="1:2" x14ac:dyDescent="0.25">
      <c r="A4271" s="8">
        <v>8888018</v>
      </c>
      <c r="B4271" s="2" t="s">
        <v>12182</v>
      </c>
    </row>
    <row r="4272" spans="1:2" x14ac:dyDescent="0.25">
      <c r="A4272" s="8">
        <v>8888019</v>
      </c>
      <c r="B4272" s="2" t="s">
        <v>12183</v>
      </c>
    </row>
    <row r="4273" spans="1:2" x14ac:dyDescent="0.25">
      <c r="A4273" s="8">
        <v>8888020</v>
      </c>
      <c r="B4273" s="2" t="s">
        <v>12184</v>
      </c>
    </row>
    <row r="4274" spans="1:2" x14ac:dyDescent="0.25">
      <c r="A4274" s="8">
        <v>8888021</v>
      </c>
      <c r="B4274" s="2" t="s">
        <v>8823</v>
      </c>
    </row>
    <row r="4275" spans="1:2" x14ac:dyDescent="0.25">
      <c r="A4275" s="8">
        <v>8888022</v>
      </c>
      <c r="B4275" s="2" t="s">
        <v>12185</v>
      </c>
    </row>
    <row r="4276" spans="1:2" x14ac:dyDescent="0.25">
      <c r="A4276" s="8">
        <v>8888023</v>
      </c>
      <c r="B4276" s="2" t="s">
        <v>8825</v>
      </c>
    </row>
    <row r="4277" spans="1:2" x14ac:dyDescent="0.25">
      <c r="A4277" s="8">
        <v>8888024</v>
      </c>
      <c r="B4277" s="2" t="s">
        <v>12186</v>
      </c>
    </row>
    <row r="4278" spans="1:2" x14ac:dyDescent="0.25">
      <c r="A4278" s="8">
        <v>8888025</v>
      </c>
      <c r="B4278" s="2" t="s">
        <v>12187</v>
      </c>
    </row>
    <row r="4279" spans="1:2" x14ac:dyDescent="0.25">
      <c r="A4279" s="8">
        <v>8888026</v>
      </c>
      <c r="B4279" s="2" t="s">
        <v>12188</v>
      </c>
    </row>
    <row r="4280" spans="1:2" x14ac:dyDescent="0.25">
      <c r="A4280" s="8">
        <v>8888027</v>
      </c>
      <c r="B4280" s="2" t="s">
        <v>12189</v>
      </c>
    </row>
    <row r="4281" spans="1:2" x14ac:dyDescent="0.25">
      <c r="A4281" s="8">
        <v>8888028</v>
      </c>
      <c r="B4281" s="2" t="s">
        <v>12190</v>
      </c>
    </row>
    <row r="4282" spans="1:2" x14ac:dyDescent="0.25">
      <c r="A4282" s="8">
        <v>8888029</v>
      </c>
      <c r="B4282" s="2" t="s">
        <v>12191</v>
      </c>
    </row>
    <row r="4283" spans="1:2" x14ac:dyDescent="0.25">
      <c r="A4283" s="8">
        <v>8888030</v>
      </c>
      <c r="B4283" s="2" t="s">
        <v>12192</v>
      </c>
    </row>
    <row r="4284" spans="1:2" x14ac:dyDescent="0.25">
      <c r="A4284" s="8">
        <v>8888031</v>
      </c>
      <c r="B4284" s="2" t="s">
        <v>9157</v>
      </c>
    </row>
    <row r="4285" spans="1:2" x14ac:dyDescent="0.25">
      <c r="A4285" s="8">
        <v>8888032</v>
      </c>
      <c r="B4285" s="2" t="s">
        <v>9156</v>
      </c>
    </row>
    <row r="4286" spans="1:2" x14ac:dyDescent="0.25">
      <c r="A4286" s="8">
        <v>8888034</v>
      </c>
      <c r="B4286" s="2" t="s">
        <v>12193</v>
      </c>
    </row>
    <row r="4287" spans="1:2" x14ac:dyDescent="0.25">
      <c r="A4287" s="8">
        <v>8888035</v>
      </c>
      <c r="B4287" s="2" t="s">
        <v>8820</v>
      </c>
    </row>
    <row r="4288" spans="1:2" x14ac:dyDescent="0.25">
      <c r="A4288" s="8">
        <v>8888036</v>
      </c>
      <c r="B4288" s="2" t="s">
        <v>12386</v>
      </c>
    </row>
    <row r="4289" spans="1:2" x14ac:dyDescent="0.25">
      <c r="A4289" s="8">
        <v>8888037</v>
      </c>
      <c r="B4289" s="2" t="s">
        <v>13614</v>
      </c>
    </row>
    <row r="4290" spans="1:2" x14ac:dyDescent="0.25">
      <c r="A4290" s="8">
        <v>8899006</v>
      </c>
      <c r="B4290" s="2" t="s">
        <v>9124</v>
      </c>
    </row>
    <row r="4291" spans="1:2" x14ac:dyDescent="0.25">
      <c r="A4291" s="8">
        <v>9000001</v>
      </c>
      <c r="B4291" s="2" t="s">
        <v>12194</v>
      </c>
    </row>
    <row r="4292" spans="1:2" x14ac:dyDescent="0.25">
      <c r="A4292" s="8">
        <v>9000002</v>
      </c>
      <c r="B4292" s="2" t="s">
        <v>10058</v>
      </c>
    </row>
    <row r="4293" spans="1:2" x14ac:dyDescent="0.25">
      <c r="A4293" s="8">
        <v>9000003</v>
      </c>
      <c r="B4293" s="2" t="s">
        <v>10057</v>
      </c>
    </row>
    <row r="4294" spans="1:2" x14ac:dyDescent="0.25">
      <c r="A4294" s="8">
        <v>9000004</v>
      </c>
      <c r="B4294" s="2" t="s">
        <v>12195</v>
      </c>
    </row>
    <row r="4295" spans="1:2" x14ac:dyDescent="0.25">
      <c r="A4295" s="8">
        <v>9000005</v>
      </c>
      <c r="B4295" s="2" t="s">
        <v>12196</v>
      </c>
    </row>
    <row r="4296" spans="1:2" x14ac:dyDescent="0.25">
      <c r="A4296" s="8">
        <v>9000006</v>
      </c>
      <c r="B4296" s="2" t="s">
        <v>12197</v>
      </c>
    </row>
    <row r="4297" spans="1:2" x14ac:dyDescent="0.25">
      <c r="A4297" s="8">
        <v>9003001</v>
      </c>
      <c r="B4297" s="2" t="s">
        <v>10077</v>
      </c>
    </row>
    <row r="4298" spans="1:2" x14ac:dyDescent="0.25">
      <c r="A4298" s="8">
        <v>9003002</v>
      </c>
      <c r="B4298" s="2" t="s">
        <v>10078</v>
      </c>
    </row>
    <row r="4299" spans="1:2" x14ac:dyDescent="0.25">
      <c r="A4299" s="8">
        <v>9003003</v>
      </c>
      <c r="B4299" s="2" t="s">
        <v>10081</v>
      </c>
    </row>
    <row r="4300" spans="1:2" x14ac:dyDescent="0.25">
      <c r="A4300" s="8">
        <v>9003004</v>
      </c>
      <c r="B4300" s="2" t="s">
        <v>10082</v>
      </c>
    </row>
    <row r="4301" spans="1:2" x14ac:dyDescent="0.25">
      <c r="A4301" s="8">
        <v>9003005</v>
      </c>
      <c r="B4301" s="2" t="s">
        <v>10083</v>
      </c>
    </row>
    <row r="4302" spans="1:2" x14ac:dyDescent="0.25">
      <c r="A4302" s="8">
        <v>9003006</v>
      </c>
      <c r="B4302" s="2" t="s">
        <v>10098</v>
      </c>
    </row>
    <row r="4303" spans="1:2" x14ac:dyDescent="0.25">
      <c r="A4303" s="8">
        <v>9003007</v>
      </c>
      <c r="B4303" s="2" t="s">
        <v>10085</v>
      </c>
    </row>
    <row r="4304" spans="1:2" x14ac:dyDescent="0.25">
      <c r="A4304" s="8">
        <v>9003008</v>
      </c>
      <c r="B4304" s="2" t="s">
        <v>10084</v>
      </c>
    </row>
    <row r="4305" spans="1:2" x14ac:dyDescent="0.25">
      <c r="A4305" s="8">
        <v>9003009</v>
      </c>
      <c r="B4305" s="2" t="s">
        <v>10086</v>
      </c>
    </row>
    <row r="4306" spans="1:2" x14ac:dyDescent="0.25">
      <c r="A4306" s="8">
        <v>9003010</v>
      </c>
      <c r="B4306" s="2" t="s">
        <v>10089</v>
      </c>
    </row>
    <row r="4307" spans="1:2" x14ac:dyDescent="0.25">
      <c r="A4307" s="8">
        <v>9003011</v>
      </c>
      <c r="B4307" s="2" t="s">
        <v>10087</v>
      </c>
    </row>
    <row r="4308" spans="1:2" x14ac:dyDescent="0.25">
      <c r="A4308" s="8">
        <v>9003012</v>
      </c>
      <c r="B4308" s="2" t="s">
        <v>10088</v>
      </c>
    </row>
    <row r="4309" spans="1:2" x14ac:dyDescent="0.25">
      <c r="A4309" s="8">
        <v>9003013</v>
      </c>
      <c r="B4309" s="2" t="s">
        <v>12198</v>
      </c>
    </row>
    <row r="4310" spans="1:2" x14ac:dyDescent="0.25">
      <c r="A4310" s="8">
        <v>9003014</v>
      </c>
      <c r="B4310" s="2" t="s">
        <v>10090</v>
      </c>
    </row>
    <row r="4311" spans="1:2" x14ac:dyDescent="0.25">
      <c r="A4311" s="8">
        <v>9003015</v>
      </c>
      <c r="B4311" s="2" t="s">
        <v>10099</v>
      </c>
    </row>
    <row r="4312" spans="1:2" x14ac:dyDescent="0.25">
      <c r="A4312" s="8">
        <v>9003016</v>
      </c>
      <c r="B4312" s="2" t="s">
        <v>12199</v>
      </c>
    </row>
    <row r="4313" spans="1:2" x14ac:dyDescent="0.25">
      <c r="A4313" s="8">
        <v>9003017</v>
      </c>
      <c r="B4313" s="2" t="s">
        <v>10091</v>
      </c>
    </row>
    <row r="4314" spans="1:2" x14ac:dyDescent="0.25">
      <c r="A4314" s="8">
        <v>9003018</v>
      </c>
      <c r="B4314" s="2" t="s">
        <v>10092</v>
      </c>
    </row>
    <row r="4315" spans="1:2" x14ac:dyDescent="0.25">
      <c r="A4315" s="8">
        <v>9003019</v>
      </c>
      <c r="B4315" s="2" t="s">
        <v>12200</v>
      </c>
    </row>
    <row r="4316" spans="1:2" x14ac:dyDescent="0.25">
      <c r="A4316" s="8">
        <v>9003020</v>
      </c>
      <c r="B4316" s="2" t="s">
        <v>10093</v>
      </c>
    </row>
    <row r="4317" spans="1:2" x14ac:dyDescent="0.25">
      <c r="A4317" s="8">
        <v>9003021</v>
      </c>
      <c r="B4317" s="2" t="s">
        <v>10094</v>
      </c>
    </row>
    <row r="4318" spans="1:2" x14ac:dyDescent="0.25">
      <c r="A4318" s="8">
        <v>9003022</v>
      </c>
      <c r="B4318" s="2" t="s">
        <v>10095</v>
      </c>
    </row>
    <row r="4319" spans="1:2" x14ac:dyDescent="0.25">
      <c r="A4319" s="8">
        <v>9003023</v>
      </c>
      <c r="B4319" s="2" t="s">
        <v>12201</v>
      </c>
    </row>
    <row r="4320" spans="1:2" x14ac:dyDescent="0.25">
      <c r="A4320" s="8">
        <v>9003024</v>
      </c>
      <c r="B4320" s="2" t="s">
        <v>10099</v>
      </c>
    </row>
    <row r="4321" spans="1:2" x14ac:dyDescent="0.25">
      <c r="A4321" s="8">
        <v>9003025</v>
      </c>
      <c r="B4321" s="2" t="s">
        <v>12387</v>
      </c>
    </row>
    <row r="4322" spans="1:2" x14ac:dyDescent="0.25">
      <c r="A4322" s="8">
        <v>9003026</v>
      </c>
      <c r="B4322" s="2" t="s">
        <v>10075</v>
      </c>
    </row>
    <row r="4323" spans="1:2" x14ac:dyDescent="0.25">
      <c r="A4323" s="8">
        <v>9003090</v>
      </c>
      <c r="B4323" s="2" t="s">
        <v>10096</v>
      </c>
    </row>
    <row r="4324" spans="1:2" x14ac:dyDescent="0.25">
      <c r="A4324" s="8">
        <v>9003100</v>
      </c>
      <c r="B4324" s="2" t="s">
        <v>10079</v>
      </c>
    </row>
    <row r="4325" spans="1:2" x14ac:dyDescent="0.25">
      <c r="A4325" s="8">
        <v>9003101</v>
      </c>
      <c r="B4325" s="2" t="s">
        <v>10080</v>
      </c>
    </row>
    <row r="4326" spans="1:2" x14ac:dyDescent="0.25">
      <c r="A4326" s="8">
        <v>9003417</v>
      </c>
      <c r="B4326" s="2" t="s">
        <v>10076</v>
      </c>
    </row>
    <row r="4327" spans="1:2" x14ac:dyDescent="0.25">
      <c r="A4327" s="8">
        <v>9003710</v>
      </c>
      <c r="B4327" s="2" t="s">
        <v>12202</v>
      </c>
    </row>
    <row r="4328" spans="1:2" x14ac:dyDescent="0.25">
      <c r="A4328" s="2" t="s">
        <v>13615</v>
      </c>
    </row>
    <row r="4329" spans="1:2" x14ac:dyDescent="0.25">
      <c r="A4329" s="8">
        <v>9003976</v>
      </c>
      <c r="B4329" s="2" t="s">
        <v>12203</v>
      </c>
    </row>
    <row r="4330" spans="1:2" x14ac:dyDescent="0.25">
      <c r="A4330" s="8">
        <v>900397601</v>
      </c>
      <c r="B4330" s="2" t="s">
        <v>12204</v>
      </c>
    </row>
    <row r="4331" spans="1:2" x14ac:dyDescent="0.25">
      <c r="A4331" s="2" t="s">
        <v>13616</v>
      </c>
    </row>
    <row r="4332" spans="1:2" x14ac:dyDescent="0.25">
      <c r="A4332" s="8">
        <v>900397602</v>
      </c>
      <c r="B4332" s="2" t="s">
        <v>12205</v>
      </c>
    </row>
    <row r="4333" spans="1:2" x14ac:dyDescent="0.25">
      <c r="A4333" s="2" t="s">
        <v>13617</v>
      </c>
    </row>
    <row r="4334" spans="1:2" x14ac:dyDescent="0.25">
      <c r="A4334" s="8">
        <v>9003978</v>
      </c>
      <c r="B4334" s="2" t="s">
        <v>10097</v>
      </c>
    </row>
    <row r="4335" spans="1:2" x14ac:dyDescent="0.25">
      <c r="A4335" s="8">
        <v>900397801</v>
      </c>
      <c r="B4335" s="2" t="s">
        <v>12206</v>
      </c>
    </row>
    <row r="4336" spans="1:2" x14ac:dyDescent="0.25">
      <c r="A4336" s="2" t="s">
        <v>13618</v>
      </c>
    </row>
    <row r="4337" spans="1:2" x14ac:dyDescent="0.25">
      <c r="A4337" s="8">
        <v>900397802</v>
      </c>
      <c r="B4337" s="2" t="s">
        <v>12207</v>
      </c>
    </row>
    <row r="4338" spans="1:2" x14ac:dyDescent="0.25">
      <c r="A4338" s="2" t="s">
        <v>13619</v>
      </c>
    </row>
    <row r="4339" spans="1:2" x14ac:dyDescent="0.25">
      <c r="A4339" s="8">
        <v>9003981</v>
      </c>
      <c r="B4339" s="2" t="s">
        <v>12208</v>
      </c>
    </row>
    <row r="4340" spans="1:2" x14ac:dyDescent="0.25">
      <c r="A4340" s="8">
        <v>9003985</v>
      </c>
      <c r="B4340" s="2" t="s">
        <v>12209</v>
      </c>
    </row>
    <row r="4341" spans="1:2" x14ac:dyDescent="0.25">
      <c r="A4341" s="8">
        <v>900398501</v>
      </c>
      <c r="B4341" s="2" t="s">
        <v>12210</v>
      </c>
    </row>
    <row r="4342" spans="1:2" x14ac:dyDescent="0.25">
      <c r="A4342" s="2" t="s">
        <v>13620</v>
      </c>
    </row>
    <row r="4343" spans="1:2" x14ac:dyDescent="0.25">
      <c r="A4343" s="8">
        <v>900398502</v>
      </c>
      <c r="B4343" s="2" t="s">
        <v>12211</v>
      </c>
    </row>
    <row r="4344" spans="1:2" x14ac:dyDescent="0.25">
      <c r="A4344" s="2" t="s">
        <v>13621</v>
      </c>
    </row>
    <row r="4345" spans="1:2" x14ac:dyDescent="0.25">
      <c r="A4345" s="2" t="s">
        <v>13622</v>
      </c>
    </row>
    <row r="4346" spans="1:2" x14ac:dyDescent="0.25">
      <c r="A4346" s="8">
        <v>9003986</v>
      </c>
      <c r="B4346" s="2" t="s">
        <v>12212</v>
      </c>
    </row>
    <row r="4347" spans="1:2" x14ac:dyDescent="0.25">
      <c r="A4347" s="8">
        <v>9003988</v>
      </c>
      <c r="B4347" s="2" t="s">
        <v>12213</v>
      </c>
    </row>
    <row r="4348" spans="1:2" x14ac:dyDescent="0.25">
      <c r="A4348" s="8">
        <v>9003993</v>
      </c>
      <c r="B4348" s="2" t="s">
        <v>12214</v>
      </c>
    </row>
    <row r="4349" spans="1:2" x14ac:dyDescent="0.25">
      <c r="A4349" s="8">
        <v>900399301</v>
      </c>
      <c r="B4349" s="2" t="s">
        <v>12215</v>
      </c>
    </row>
    <row r="4350" spans="1:2" x14ac:dyDescent="0.25">
      <c r="A4350" s="8">
        <v>900399302</v>
      </c>
      <c r="B4350" s="2" t="s">
        <v>12216</v>
      </c>
    </row>
    <row r="4351" spans="1:2" x14ac:dyDescent="0.25">
      <c r="A4351" s="8">
        <v>900697601</v>
      </c>
      <c r="B4351" s="2" t="s">
        <v>12204</v>
      </c>
    </row>
    <row r="4352" spans="1:2" x14ac:dyDescent="0.25">
      <c r="A4352" s="2" t="s">
        <v>13623</v>
      </c>
    </row>
    <row r="4353" spans="1:2" x14ac:dyDescent="0.25">
      <c r="A4353" s="8">
        <v>9010000</v>
      </c>
      <c r="B4353" s="2" t="s">
        <v>12217</v>
      </c>
    </row>
    <row r="4354" spans="1:2" x14ac:dyDescent="0.25">
      <c r="A4354" s="2" t="s">
        <v>13624</v>
      </c>
    </row>
    <row r="4355" spans="1:2" x14ac:dyDescent="0.25">
      <c r="A4355" s="8">
        <v>9010001</v>
      </c>
      <c r="B4355" s="2" t="s">
        <v>12218</v>
      </c>
    </row>
    <row r="4356" spans="1:2" x14ac:dyDescent="0.25">
      <c r="A4356" s="2" t="s">
        <v>13625</v>
      </c>
    </row>
    <row r="4357" spans="1:2" x14ac:dyDescent="0.25">
      <c r="A4357" s="8">
        <v>9010002</v>
      </c>
      <c r="B4357" s="2" t="s">
        <v>12219</v>
      </c>
    </row>
    <row r="4358" spans="1:2" x14ac:dyDescent="0.25">
      <c r="A4358" s="2" t="s">
        <v>13626</v>
      </c>
    </row>
    <row r="4359" spans="1:2" x14ac:dyDescent="0.25">
      <c r="A4359" s="8">
        <v>9010003</v>
      </c>
      <c r="B4359" s="2" t="s">
        <v>12220</v>
      </c>
    </row>
    <row r="4360" spans="1:2" x14ac:dyDescent="0.25">
      <c r="A4360" s="2" t="s">
        <v>13627</v>
      </c>
    </row>
    <row r="4361" spans="1:2" x14ac:dyDescent="0.25">
      <c r="A4361" s="8">
        <v>9010004</v>
      </c>
      <c r="B4361" s="2" t="s">
        <v>12221</v>
      </c>
    </row>
    <row r="4362" spans="1:2" x14ac:dyDescent="0.25">
      <c r="A4362" s="2" t="s">
        <v>13628</v>
      </c>
    </row>
    <row r="4363" spans="1:2" x14ac:dyDescent="0.25">
      <c r="A4363" s="8">
        <v>9010005</v>
      </c>
      <c r="B4363" s="2" t="s">
        <v>12222</v>
      </c>
    </row>
    <row r="4364" spans="1:2" x14ac:dyDescent="0.25">
      <c r="A4364" s="2" t="s">
        <v>13629</v>
      </c>
    </row>
    <row r="4365" spans="1:2" x14ac:dyDescent="0.25">
      <c r="A4365" s="8">
        <v>9010840</v>
      </c>
      <c r="B4365" s="2" t="s">
        <v>12223</v>
      </c>
    </row>
    <row r="4366" spans="1:2" x14ac:dyDescent="0.25">
      <c r="A4366" s="2" t="s">
        <v>13630</v>
      </c>
    </row>
    <row r="4367" spans="1:2" x14ac:dyDescent="0.25">
      <c r="A4367" s="8">
        <v>9010841</v>
      </c>
      <c r="B4367" s="2" t="s">
        <v>12224</v>
      </c>
    </row>
    <row r="4368" spans="1:2" x14ac:dyDescent="0.25">
      <c r="A4368" s="2" t="s">
        <v>13631</v>
      </c>
    </row>
    <row r="4369" spans="1:2" x14ac:dyDescent="0.25">
      <c r="A4369" s="8">
        <v>9709018</v>
      </c>
      <c r="B4369" s="2" t="s">
        <v>9124</v>
      </c>
    </row>
    <row r="4370" spans="1:2" x14ac:dyDescent="0.25">
      <c r="A4370" s="2" t="s">
        <v>13632</v>
      </c>
    </row>
    <row r="4371" spans="1:2" x14ac:dyDescent="0.25">
      <c r="A4371" s="8">
        <v>9716020</v>
      </c>
      <c r="B4371" s="2" t="s">
        <v>12225</v>
      </c>
    </row>
    <row r="4372" spans="1:2" x14ac:dyDescent="0.25">
      <c r="A4372" s="2" t="s">
        <v>13633</v>
      </c>
    </row>
    <row r="4373" spans="1:2" x14ac:dyDescent="0.25">
      <c r="A4373" s="8">
        <v>9716021</v>
      </c>
      <c r="B4373" s="2" t="s">
        <v>12226</v>
      </c>
    </row>
    <row r="4374" spans="1:2" x14ac:dyDescent="0.25">
      <c r="A4374" s="2" t="s">
        <v>13634</v>
      </c>
    </row>
    <row r="4375" spans="1:2" x14ac:dyDescent="0.25">
      <c r="A4375" s="8">
        <v>9859017</v>
      </c>
      <c r="B4375" s="2" t="s">
        <v>12227</v>
      </c>
    </row>
    <row r="4376" spans="1:2" x14ac:dyDescent="0.25">
      <c r="A4376" s="2" t="s">
        <v>13635</v>
      </c>
    </row>
    <row r="4377" spans="1:2" x14ac:dyDescent="0.25">
      <c r="A4377" s="8">
        <v>999</v>
      </c>
      <c r="B4377" s="2" t="s">
        <v>13636</v>
      </c>
    </row>
    <row r="4378" spans="1:2" x14ac:dyDescent="0.25">
      <c r="A4378" s="8">
        <v>9999000</v>
      </c>
      <c r="B4378" s="2" t="s">
        <v>12228</v>
      </c>
    </row>
    <row r="4379" spans="1:2" x14ac:dyDescent="0.25">
      <c r="A4379" s="8">
        <v>9999022</v>
      </c>
      <c r="B4379" s="2" t="s">
        <v>12229</v>
      </c>
    </row>
    <row r="4380" spans="1:2" x14ac:dyDescent="0.25">
      <c r="A4380" s="2" t="s">
        <v>13637</v>
      </c>
    </row>
    <row r="4381" spans="1:2" x14ac:dyDescent="0.25">
      <c r="A4381" s="8">
        <v>9999025</v>
      </c>
      <c r="B4381" s="2" t="s">
        <v>8383</v>
      </c>
    </row>
    <row r="4382" spans="1:2" x14ac:dyDescent="0.25">
      <c r="A4382" s="8">
        <v>9999026</v>
      </c>
      <c r="B4382" s="2" t="s">
        <v>12230</v>
      </c>
    </row>
    <row r="4383" spans="1:2" x14ac:dyDescent="0.25">
      <c r="A4383" s="2" t="s">
        <v>13638</v>
      </c>
    </row>
    <row r="4384" spans="1:2" x14ac:dyDescent="0.25">
      <c r="A4384" s="8">
        <v>9999050</v>
      </c>
      <c r="B4384" s="2" t="s">
        <v>12231</v>
      </c>
    </row>
    <row r="4385" spans="1:2" x14ac:dyDescent="0.25">
      <c r="A4385" s="2" t="s">
        <v>13639</v>
      </c>
    </row>
    <row r="4386" spans="1:2" x14ac:dyDescent="0.25">
      <c r="A4386" s="8">
        <v>9999075</v>
      </c>
      <c r="B4386" s="2" t="s">
        <v>12232</v>
      </c>
    </row>
    <row r="4387" spans="1:2" x14ac:dyDescent="0.25">
      <c r="A4387" s="2" t="s">
        <v>13640</v>
      </c>
    </row>
    <row r="4388" spans="1:2" x14ac:dyDescent="0.25">
      <c r="A4388" s="2" t="s">
        <v>13641</v>
      </c>
      <c r="B4388" s="2" t="s">
        <v>13642</v>
      </c>
    </row>
    <row r="4389" spans="1:2" x14ac:dyDescent="0.25">
      <c r="A4389" s="2" t="s">
        <v>13643</v>
      </c>
      <c r="B4389" s="2" t="s">
        <v>13644</v>
      </c>
    </row>
    <row r="4390" spans="1:2" x14ac:dyDescent="0.25">
      <c r="A4390" s="2" t="s">
        <v>13645</v>
      </c>
      <c r="B4390" s="2" t="s">
        <v>13646</v>
      </c>
    </row>
    <row r="4391" spans="1:2" x14ac:dyDescent="0.25">
      <c r="A4391" s="2" t="s">
        <v>13647</v>
      </c>
      <c r="B4391" s="2" t="s">
        <v>13648</v>
      </c>
    </row>
    <row r="4392" spans="1:2" x14ac:dyDescent="0.25">
      <c r="A4392" s="2" t="s">
        <v>13649</v>
      </c>
      <c r="B4392" s="2" t="s">
        <v>13650</v>
      </c>
    </row>
    <row r="4393" spans="1:2" x14ac:dyDescent="0.25">
      <c r="A4393" s="2" t="s">
        <v>13651</v>
      </c>
      <c r="B4393" s="2" t="s">
        <v>13652</v>
      </c>
    </row>
    <row r="4394" spans="1:2" x14ac:dyDescent="0.25">
      <c r="A4394" s="2" t="s">
        <v>13653</v>
      </c>
      <c r="B4394" s="2" t="s">
        <v>13654</v>
      </c>
    </row>
    <row r="4395" spans="1:2" x14ac:dyDescent="0.25">
      <c r="A4395" s="2" t="s">
        <v>13655</v>
      </c>
      <c r="B4395" s="2" t="s">
        <v>13656</v>
      </c>
    </row>
    <row r="4396" spans="1:2" x14ac:dyDescent="0.25">
      <c r="A4396" s="2" t="s">
        <v>13657</v>
      </c>
      <c r="B4396" s="2" t="s">
        <v>13658</v>
      </c>
    </row>
    <row r="4397" spans="1:2" x14ac:dyDescent="0.25">
      <c r="A4397" s="2" t="s">
        <v>13659</v>
      </c>
      <c r="B4397" s="2" t="s">
        <v>13660</v>
      </c>
    </row>
    <row r="4398" spans="1:2" x14ac:dyDescent="0.25">
      <c r="A4398" s="2" t="s">
        <v>13661</v>
      </c>
      <c r="B4398" s="2" t="s">
        <v>13662</v>
      </c>
    </row>
    <row r="4399" spans="1:2" x14ac:dyDescent="0.25">
      <c r="A4399" s="2" t="s">
        <v>13663</v>
      </c>
      <c r="B4399" s="2" t="s">
        <v>13664</v>
      </c>
    </row>
    <row r="4400" spans="1:2" x14ac:dyDescent="0.25">
      <c r="A4400" s="2" t="s">
        <v>13665</v>
      </c>
      <c r="B4400" s="2" t="s">
        <v>13666</v>
      </c>
    </row>
    <row r="4401" spans="1:2" x14ac:dyDescent="0.25">
      <c r="A4401" s="2" t="s">
        <v>13667</v>
      </c>
      <c r="B4401" s="2" t="s">
        <v>13668</v>
      </c>
    </row>
    <row r="4402" spans="1:2" x14ac:dyDescent="0.25">
      <c r="A4402" s="2" t="s">
        <v>13669</v>
      </c>
      <c r="B4402" s="2" t="s">
        <v>13670</v>
      </c>
    </row>
    <row r="4403" spans="1:2" x14ac:dyDescent="0.25">
      <c r="A4403" s="2" t="s">
        <v>13671</v>
      </c>
      <c r="B4403" s="2" t="s">
        <v>13672</v>
      </c>
    </row>
    <row r="4404" spans="1:2" x14ac:dyDescent="0.25">
      <c r="A4404" s="2" t="s">
        <v>13673</v>
      </c>
      <c r="B4404" s="2" t="s">
        <v>13674</v>
      </c>
    </row>
    <row r="4405" spans="1:2" x14ac:dyDescent="0.25">
      <c r="A4405" s="2" t="s">
        <v>13675</v>
      </c>
      <c r="B4405" s="2" t="s">
        <v>13676</v>
      </c>
    </row>
    <row r="4406" spans="1:2" x14ac:dyDescent="0.25">
      <c r="A4406" s="2" t="s">
        <v>13677</v>
      </c>
      <c r="B4406" s="2" t="s">
        <v>13678</v>
      </c>
    </row>
    <row r="4407" spans="1:2" x14ac:dyDescent="0.25">
      <c r="A4407" s="2" t="s">
        <v>13679</v>
      </c>
      <c r="B4407" s="2" t="s">
        <v>13680</v>
      </c>
    </row>
    <row r="4408" spans="1:2" x14ac:dyDescent="0.25">
      <c r="A4408" s="2" t="s">
        <v>13681</v>
      </c>
      <c r="B4408" s="2" t="s">
        <v>13682</v>
      </c>
    </row>
    <row r="4409" spans="1:2" x14ac:dyDescent="0.25">
      <c r="A4409" s="2" t="s">
        <v>13683</v>
      </c>
      <c r="B4409" s="2" t="s">
        <v>13684</v>
      </c>
    </row>
    <row r="4410" spans="1:2" x14ac:dyDescent="0.25">
      <c r="A4410" s="2" t="s">
        <v>13685</v>
      </c>
      <c r="B4410" s="2" t="s">
        <v>13686</v>
      </c>
    </row>
    <row r="4411" spans="1:2" x14ac:dyDescent="0.25">
      <c r="A4411" s="2" t="s">
        <v>13687</v>
      </c>
      <c r="B4411" s="2" t="s">
        <v>13688</v>
      </c>
    </row>
    <row r="4412" spans="1:2" x14ac:dyDescent="0.25">
      <c r="A4412" s="2" t="s">
        <v>13689</v>
      </c>
      <c r="B4412" s="2" t="s">
        <v>13690</v>
      </c>
    </row>
    <row r="4413" spans="1:2" x14ac:dyDescent="0.25">
      <c r="A4413" s="2" t="s">
        <v>13691</v>
      </c>
      <c r="B4413" s="2" t="s">
        <v>13692</v>
      </c>
    </row>
    <row r="4414" spans="1:2" x14ac:dyDescent="0.25">
      <c r="A4414" s="2" t="s">
        <v>13693</v>
      </c>
      <c r="B4414" s="2" t="s">
        <v>13694</v>
      </c>
    </row>
    <row r="4415" spans="1:2" x14ac:dyDescent="0.25">
      <c r="A4415" s="2" t="s">
        <v>13695</v>
      </c>
      <c r="B4415" s="2" t="s">
        <v>13696</v>
      </c>
    </row>
    <row r="4416" spans="1:2" x14ac:dyDescent="0.25">
      <c r="A4416" s="2" t="s">
        <v>13697</v>
      </c>
      <c r="B4416" s="2" t="s">
        <v>13698</v>
      </c>
    </row>
    <row r="4417" spans="1:2" x14ac:dyDescent="0.25">
      <c r="A4417" s="2" t="s">
        <v>13699</v>
      </c>
      <c r="B4417" s="2" t="s">
        <v>13700</v>
      </c>
    </row>
    <row r="4418" spans="1:2" x14ac:dyDescent="0.25">
      <c r="A4418" s="2" t="s">
        <v>13701</v>
      </c>
      <c r="B4418" s="2" t="s">
        <v>13702</v>
      </c>
    </row>
    <row r="4419" spans="1:2" x14ac:dyDescent="0.25">
      <c r="A4419" s="2" t="s">
        <v>13703</v>
      </c>
      <c r="B4419" s="2" t="s">
        <v>13704</v>
      </c>
    </row>
    <row r="4420" spans="1:2" x14ac:dyDescent="0.25">
      <c r="A4420" s="2" t="s">
        <v>13705</v>
      </c>
      <c r="B4420" s="2" t="s">
        <v>13706</v>
      </c>
    </row>
    <row r="4421" spans="1:2" x14ac:dyDescent="0.25">
      <c r="A4421" s="2" t="s">
        <v>13707</v>
      </c>
      <c r="B4421" s="2" t="s">
        <v>13708</v>
      </c>
    </row>
    <row r="4422" spans="1:2" x14ac:dyDescent="0.25">
      <c r="A4422" s="2" t="s">
        <v>13709</v>
      </c>
    </row>
    <row r="4423" spans="1:2" x14ac:dyDescent="0.25">
      <c r="A4423" s="2" t="s">
        <v>13710</v>
      </c>
      <c r="B4423" s="2" t="s">
        <v>13711</v>
      </c>
    </row>
    <row r="4424" spans="1:2" x14ac:dyDescent="0.25">
      <c r="A4424" s="2" t="s">
        <v>13712</v>
      </c>
      <c r="B4424" s="2" t="s">
        <v>13713</v>
      </c>
    </row>
    <row r="4425" spans="1:2" x14ac:dyDescent="0.25">
      <c r="A4425" s="2" t="s">
        <v>13714</v>
      </c>
      <c r="B4425" s="2" t="s">
        <v>13715</v>
      </c>
    </row>
    <row r="4426" spans="1:2" x14ac:dyDescent="0.25">
      <c r="A4426" s="2" t="s">
        <v>13716</v>
      </c>
      <c r="B4426" s="2" t="s">
        <v>13717</v>
      </c>
    </row>
    <row r="4427" spans="1:2" x14ac:dyDescent="0.25">
      <c r="A4427" s="2" t="s">
        <v>13718</v>
      </c>
      <c r="B4427" s="2" t="s">
        <v>13719</v>
      </c>
    </row>
    <row r="4428" spans="1:2" x14ac:dyDescent="0.25">
      <c r="A4428" s="2" t="s">
        <v>13720</v>
      </c>
      <c r="B4428" s="2" t="s">
        <v>13721</v>
      </c>
    </row>
    <row r="4429" spans="1:2" x14ac:dyDescent="0.25">
      <c r="A4429" s="2" t="s">
        <v>13722</v>
      </c>
      <c r="B4429" s="2" t="s">
        <v>13723</v>
      </c>
    </row>
    <row r="4430" spans="1:2" x14ac:dyDescent="0.25">
      <c r="A4430" s="2" t="s">
        <v>13724</v>
      </c>
      <c r="B4430" s="2" t="s">
        <v>13725</v>
      </c>
    </row>
    <row r="4431" spans="1:2" x14ac:dyDescent="0.25">
      <c r="A4431" s="2" t="s">
        <v>13726</v>
      </c>
      <c r="B4431" s="2" t="s">
        <v>13727</v>
      </c>
    </row>
    <row r="4432" spans="1:2" x14ac:dyDescent="0.25">
      <c r="A4432" s="2" t="s">
        <v>13728</v>
      </c>
      <c r="B4432" s="2" t="s">
        <v>13729</v>
      </c>
    </row>
    <row r="4433" spans="1:2" x14ac:dyDescent="0.25">
      <c r="A4433" s="2" t="s">
        <v>13730</v>
      </c>
      <c r="B4433" s="2" t="s">
        <v>13731</v>
      </c>
    </row>
    <row r="4434" spans="1:2" x14ac:dyDescent="0.25">
      <c r="A4434" s="2" t="s">
        <v>13732</v>
      </c>
      <c r="B4434" s="2" t="s">
        <v>13733</v>
      </c>
    </row>
    <row r="4435" spans="1:2" x14ac:dyDescent="0.25">
      <c r="A4435" s="2" t="s">
        <v>13734</v>
      </c>
      <c r="B4435" s="2" t="s">
        <v>13735</v>
      </c>
    </row>
    <row r="4436" spans="1:2" x14ac:dyDescent="0.25">
      <c r="A4436" s="2" t="s">
        <v>13736</v>
      </c>
      <c r="B4436" s="2" t="s">
        <v>13737</v>
      </c>
    </row>
    <row r="4437" spans="1:2" x14ac:dyDescent="0.25">
      <c r="A4437" s="2" t="s">
        <v>13738</v>
      </c>
      <c r="B4437" s="2" t="s">
        <v>13739</v>
      </c>
    </row>
    <row r="4438" spans="1:2" x14ac:dyDescent="0.25">
      <c r="A4438" s="2" t="s">
        <v>13740</v>
      </c>
      <c r="B4438" s="2" t="s">
        <v>13741</v>
      </c>
    </row>
    <row r="4439" spans="1:2" x14ac:dyDescent="0.25">
      <c r="A4439" s="2" t="s">
        <v>13742</v>
      </c>
      <c r="B4439" s="2" t="s">
        <v>13741</v>
      </c>
    </row>
    <row r="4440" spans="1:2" x14ac:dyDescent="0.25">
      <c r="A4440" s="2" t="s">
        <v>13743</v>
      </c>
      <c r="B4440" s="2" t="s">
        <v>13744</v>
      </c>
    </row>
    <row r="4441" spans="1:2" x14ac:dyDescent="0.25">
      <c r="A4441" s="2" t="s">
        <v>13745</v>
      </c>
      <c r="B4441" s="2" t="s">
        <v>13746</v>
      </c>
    </row>
    <row r="4442" spans="1:2" x14ac:dyDescent="0.25">
      <c r="A4442" s="2" t="s">
        <v>13747</v>
      </c>
      <c r="B4442" s="2" t="s">
        <v>13748</v>
      </c>
    </row>
    <row r="4443" spans="1:2" x14ac:dyDescent="0.25">
      <c r="A4443" s="2" t="s">
        <v>13749</v>
      </c>
      <c r="B4443" s="2" t="s">
        <v>13750</v>
      </c>
    </row>
    <row r="4444" spans="1:2" x14ac:dyDescent="0.25">
      <c r="A4444" s="2" t="s">
        <v>13751</v>
      </c>
      <c r="B4444" s="2" t="s">
        <v>13752</v>
      </c>
    </row>
    <row r="4445" spans="1:2" x14ac:dyDescent="0.25">
      <c r="A4445" s="2" t="s">
        <v>13753</v>
      </c>
      <c r="B4445" s="2" t="s">
        <v>13754</v>
      </c>
    </row>
    <row r="4446" spans="1:2" x14ac:dyDescent="0.25">
      <c r="A4446" s="2" t="s">
        <v>13755</v>
      </c>
      <c r="B4446" s="2" t="s">
        <v>13756</v>
      </c>
    </row>
    <row r="4447" spans="1:2" x14ac:dyDescent="0.25">
      <c r="A4447" s="2" t="s">
        <v>13757</v>
      </c>
      <c r="B4447" s="2" t="s">
        <v>13758</v>
      </c>
    </row>
    <row r="4448" spans="1:2" x14ac:dyDescent="0.25">
      <c r="A4448" s="2" t="s">
        <v>13759</v>
      </c>
      <c r="B4448" s="2" t="s">
        <v>13760</v>
      </c>
    </row>
    <row r="4449" spans="1:2" x14ac:dyDescent="0.25">
      <c r="A4449" s="2" t="s">
        <v>13761</v>
      </c>
      <c r="B4449" s="2" t="s">
        <v>13762</v>
      </c>
    </row>
    <row r="4450" spans="1:2" x14ac:dyDescent="0.25">
      <c r="A4450" s="2" t="s">
        <v>13763</v>
      </c>
      <c r="B4450" s="2" t="s">
        <v>13764</v>
      </c>
    </row>
    <row r="4451" spans="1:2" x14ac:dyDescent="0.25">
      <c r="A4451" s="2" t="s">
        <v>13765</v>
      </c>
      <c r="B4451" s="2" t="s">
        <v>13766</v>
      </c>
    </row>
    <row r="4452" spans="1:2" x14ac:dyDescent="0.25">
      <c r="A4452" s="2" t="s">
        <v>13767</v>
      </c>
      <c r="B4452" s="2" t="s">
        <v>13768</v>
      </c>
    </row>
    <row r="4453" spans="1:2" x14ac:dyDescent="0.25">
      <c r="A4453" s="2" t="s">
        <v>13769</v>
      </c>
      <c r="B4453" s="2" t="s">
        <v>13770</v>
      </c>
    </row>
    <row r="4454" spans="1:2" x14ac:dyDescent="0.25">
      <c r="A4454" s="2" t="s">
        <v>13771</v>
      </c>
      <c r="B4454" s="2" t="s">
        <v>13772</v>
      </c>
    </row>
    <row r="4455" spans="1:2" x14ac:dyDescent="0.25">
      <c r="A4455" s="2" t="s">
        <v>13773</v>
      </c>
      <c r="B4455" s="2" t="s">
        <v>13774</v>
      </c>
    </row>
    <row r="4456" spans="1:2" x14ac:dyDescent="0.25">
      <c r="A4456" s="2" t="s">
        <v>13775</v>
      </c>
      <c r="B4456" s="2" t="s">
        <v>13776</v>
      </c>
    </row>
    <row r="4457" spans="1:2" x14ac:dyDescent="0.25">
      <c r="A4457" s="2" t="s">
        <v>13777</v>
      </c>
      <c r="B4457" s="2" t="s">
        <v>13778</v>
      </c>
    </row>
    <row r="4458" spans="1:2" x14ac:dyDescent="0.25">
      <c r="A4458" s="2" t="s">
        <v>13779</v>
      </c>
      <c r="B4458" s="2" t="s">
        <v>13778</v>
      </c>
    </row>
    <row r="4459" spans="1:2" x14ac:dyDescent="0.25">
      <c r="A4459" s="2" t="s">
        <v>13780</v>
      </c>
      <c r="B4459" s="2" t="s">
        <v>13781</v>
      </c>
    </row>
    <row r="4460" spans="1:2" x14ac:dyDescent="0.25">
      <c r="A4460" s="2" t="s">
        <v>13782</v>
      </c>
      <c r="B4460" s="2" t="s">
        <v>13783</v>
      </c>
    </row>
    <row r="4461" spans="1:2" x14ac:dyDescent="0.25">
      <c r="A4461" s="2" t="s">
        <v>13784</v>
      </c>
      <c r="B4461" s="2" t="s">
        <v>13785</v>
      </c>
    </row>
    <row r="4462" spans="1:2" x14ac:dyDescent="0.25">
      <c r="A4462" s="2" t="s">
        <v>13786</v>
      </c>
      <c r="B4462" s="2" t="s">
        <v>13787</v>
      </c>
    </row>
    <row r="4463" spans="1:2" x14ac:dyDescent="0.25">
      <c r="A4463" s="2" t="s">
        <v>13788</v>
      </c>
      <c r="B4463" s="2" t="s">
        <v>13788</v>
      </c>
    </row>
    <row r="4464" spans="1:2" x14ac:dyDescent="0.25">
      <c r="A4464" s="2" t="s">
        <v>13789</v>
      </c>
      <c r="B4464" s="2" t="s">
        <v>13790</v>
      </c>
    </row>
    <row r="4465" spans="1:2" x14ac:dyDescent="0.25">
      <c r="A4465" s="2" t="s">
        <v>13791</v>
      </c>
      <c r="B4465" s="2" t="s">
        <v>13792</v>
      </c>
    </row>
    <row r="4466" spans="1:2" x14ac:dyDescent="0.25">
      <c r="A4466" s="2" t="s">
        <v>13793</v>
      </c>
      <c r="B4466" s="2" t="s">
        <v>13794</v>
      </c>
    </row>
    <row r="4467" spans="1:2" x14ac:dyDescent="0.25">
      <c r="A4467" s="2" t="s">
        <v>13795</v>
      </c>
      <c r="B4467" s="2" t="s">
        <v>13796</v>
      </c>
    </row>
    <row r="4468" spans="1:2" x14ac:dyDescent="0.25">
      <c r="A4468" s="2" t="s">
        <v>13797</v>
      </c>
      <c r="B4468" s="2" t="s">
        <v>13798</v>
      </c>
    </row>
    <row r="4469" spans="1:2" x14ac:dyDescent="0.25">
      <c r="A4469" s="2" t="s">
        <v>13799</v>
      </c>
      <c r="B4469" s="2" t="s">
        <v>13800</v>
      </c>
    </row>
    <row r="4470" spans="1:2" x14ac:dyDescent="0.25">
      <c r="A4470" s="2" t="s">
        <v>13801</v>
      </c>
      <c r="B4470" s="2" t="s">
        <v>13802</v>
      </c>
    </row>
    <row r="4471" spans="1:2" x14ac:dyDescent="0.25">
      <c r="A4471" s="2" t="s">
        <v>13803</v>
      </c>
      <c r="B4471" s="2" t="s">
        <v>13804</v>
      </c>
    </row>
    <row r="4472" spans="1:2" x14ac:dyDescent="0.25">
      <c r="A4472" s="2" t="s">
        <v>13805</v>
      </c>
      <c r="B4472" s="2" t="s">
        <v>13806</v>
      </c>
    </row>
    <row r="4473" spans="1:2" x14ac:dyDescent="0.25">
      <c r="A4473" s="2" t="s">
        <v>13807</v>
      </c>
      <c r="B4473" s="2" t="s">
        <v>13808</v>
      </c>
    </row>
    <row r="4474" spans="1:2" x14ac:dyDescent="0.25">
      <c r="A4474" s="2" t="s">
        <v>13809</v>
      </c>
      <c r="B4474" s="2" t="s">
        <v>13810</v>
      </c>
    </row>
    <row r="4475" spans="1:2" x14ac:dyDescent="0.25">
      <c r="A4475" s="2" t="s">
        <v>13811</v>
      </c>
      <c r="B4475" s="2" t="s">
        <v>13812</v>
      </c>
    </row>
    <row r="4476" spans="1:2" x14ac:dyDescent="0.25">
      <c r="A4476" s="2" t="s">
        <v>13813</v>
      </c>
      <c r="B4476" s="2" t="s">
        <v>13814</v>
      </c>
    </row>
    <row r="4477" spans="1:2" x14ac:dyDescent="0.25">
      <c r="A4477" s="2" t="s">
        <v>13815</v>
      </c>
      <c r="B4477" s="2" t="s">
        <v>13816</v>
      </c>
    </row>
    <row r="4478" spans="1:2" x14ac:dyDescent="0.25">
      <c r="A4478" s="2" t="s">
        <v>13817</v>
      </c>
      <c r="B4478" s="2" t="s">
        <v>13818</v>
      </c>
    </row>
    <row r="4479" spans="1:2" x14ac:dyDescent="0.25">
      <c r="A4479" s="2" t="s">
        <v>13819</v>
      </c>
      <c r="B4479" s="2" t="s">
        <v>13820</v>
      </c>
    </row>
    <row r="4480" spans="1:2" x14ac:dyDescent="0.25">
      <c r="A4480" s="2" t="s">
        <v>13821</v>
      </c>
      <c r="B4480" s="2" t="s">
        <v>13822</v>
      </c>
    </row>
    <row r="4481" spans="1:2" x14ac:dyDescent="0.25">
      <c r="A4481" s="2" t="s">
        <v>13823</v>
      </c>
      <c r="B4481" s="2" t="s">
        <v>13824</v>
      </c>
    </row>
    <row r="4482" spans="1:2" x14ac:dyDescent="0.25">
      <c r="A4482" s="2" t="s">
        <v>13825</v>
      </c>
      <c r="B4482" s="2" t="s">
        <v>13826</v>
      </c>
    </row>
    <row r="4483" spans="1:2" x14ac:dyDescent="0.25">
      <c r="A4483" s="2" t="s">
        <v>13827</v>
      </c>
      <c r="B4483" s="2" t="s">
        <v>13826</v>
      </c>
    </row>
    <row r="4484" spans="1:2" x14ac:dyDescent="0.25">
      <c r="A4484" s="2" t="s">
        <v>13828</v>
      </c>
      <c r="B4484" s="2" t="s">
        <v>13829</v>
      </c>
    </row>
    <row r="4485" spans="1:2" x14ac:dyDescent="0.25">
      <c r="A4485" s="2" t="s">
        <v>13830</v>
      </c>
      <c r="B4485" s="2" t="s">
        <v>13831</v>
      </c>
    </row>
    <row r="4486" spans="1:2" x14ac:dyDescent="0.25">
      <c r="A4486" s="2" t="s">
        <v>13832</v>
      </c>
      <c r="B4486" s="2" t="s">
        <v>13833</v>
      </c>
    </row>
    <row r="4487" spans="1:2" x14ac:dyDescent="0.25">
      <c r="A4487" s="2" t="s">
        <v>13834</v>
      </c>
      <c r="B4487" s="2" t="s">
        <v>13835</v>
      </c>
    </row>
    <row r="4488" spans="1:2" x14ac:dyDescent="0.25">
      <c r="A4488" s="2" t="s">
        <v>13836</v>
      </c>
      <c r="B4488" s="2" t="s">
        <v>13837</v>
      </c>
    </row>
    <row r="4489" spans="1:2" x14ac:dyDescent="0.25">
      <c r="A4489" s="2" t="s">
        <v>13838</v>
      </c>
      <c r="B4489" s="2" t="s">
        <v>13839</v>
      </c>
    </row>
    <row r="4490" spans="1:2" x14ac:dyDescent="0.25">
      <c r="A4490" s="2" t="s">
        <v>13840</v>
      </c>
      <c r="B4490" s="2" t="s">
        <v>13841</v>
      </c>
    </row>
    <row r="4491" spans="1:2" x14ac:dyDescent="0.25">
      <c r="A4491" s="2" t="s">
        <v>13842</v>
      </c>
      <c r="B4491" s="2" t="s">
        <v>13843</v>
      </c>
    </row>
    <row r="4492" spans="1:2" x14ac:dyDescent="0.25">
      <c r="A4492" s="2" t="s">
        <v>13844</v>
      </c>
      <c r="B4492" s="2" t="s">
        <v>13845</v>
      </c>
    </row>
    <row r="4493" spans="1:2" x14ac:dyDescent="0.25">
      <c r="A4493" s="2" t="s">
        <v>13846</v>
      </c>
      <c r="B4493" s="2" t="s">
        <v>13847</v>
      </c>
    </row>
    <row r="4494" spans="1:2" x14ac:dyDescent="0.25">
      <c r="A4494" s="2" t="s">
        <v>13848</v>
      </c>
      <c r="B4494" s="2" t="s">
        <v>13849</v>
      </c>
    </row>
    <row r="4495" spans="1:2" x14ac:dyDescent="0.25">
      <c r="A4495" s="2" t="s">
        <v>13850</v>
      </c>
      <c r="B4495" s="2" t="s">
        <v>13851</v>
      </c>
    </row>
    <row r="4496" spans="1:2" x14ac:dyDescent="0.25">
      <c r="A4496" s="2" t="s">
        <v>13852</v>
      </c>
      <c r="B4496" s="2" t="s">
        <v>13711</v>
      </c>
    </row>
    <row r="4497" spans="1:2" x14ac:dyDescent="0.25">
      <c r="A4497" s="2" t="s">
        <v>13853</v>
      </c>
      <c r="B4497" s="2" t="s">
        <v>13854</v>
      </c>
    </row>
    <row r="4498" spans="1:2" x14ac:dyDescent="0.25">
      <c r="A4498" s="2" t="s">
        <v>13855</v>
      </c>
      <c r="B4498" s="2" t="s">
        <v>13856</v>
      </c>
    </row>
    <row r="4499" spans="1:2" x14ac:dyDescent="0.25">
      <c r="A4499" s="2" t="s">
        <v>13857</v>
      </c>
      <c r="B4499" s="2" t="s">
        <v>13858</v>
      </c>
    </row>
    <row r="4500" spans="1:2" x14ac:dyDescent="0.25">
      <c r="A4500" s="2" t="s">
        <v>13859</v>
      </c>
      <c r="B4500" s="2" t="s">
        <v>13860</v>
      </c>
    </row>
    <row r="4501" spans="1:2" x14ac:dyDescent="0.25">
      <c r="A4501" s="2" t="s">
        <v>13861</v>
      </c>
      <c r="B4501" s="2" t="s">
        <v>13862</v>
      </c>
    </row>
    <row r="4502" spans="1:2" x14ac:dyDescent="0.25">
      <c r="A4502" s="2" t="s">
        <v>13863</v>
      </c>
      <c r="B4502" s="2" t="s">
        <v>13864</v>
      </c>
    </row>
    <row r="4503" spans="1:2" x14ac:dyDescent="0.25">
      <c r="A4503" s="2" t="s">
        <v>13865</v>
      </c>
      <c r="B4503" s="2" t="s">
        <v>13866</v>
      </c>
    </row>
    <row r="4504" spans="1:2" x14ac:dyDescent="0.25">
      <c r="A4504" s="2" t="s">
        <v>13867</v>
      </c>
      <c r="B4504" s="2" t="s">
        <v>13868</v>
      </c>
    </row>
    <row r="4505" spans="1:2" x14ac:dyDescent="0.25">
      <c r="A4505" s="2" t="s">
        <v>13869</v>
      </c>
    </row>
    <row r="4506" spans="1:2" x14ac:dyDescent="0.25">
      <c r="A4506" s="2" t="s">
        <v>13870</v>
      </c>
      <c r="B4506" s="2" t="s">
        <v>13871</v>
      </c>
    </row>
    <row r="4507" spans="1:2" x14ac:dyDescent="0.25">
      <c r="A4507" s="2" t="s">
        <v>13872</v>
      </c>
      <c r="B4507" s="2" t="s">
        <v>13729</v>
      </c>
    </row>
    <row r="4508" spans="1:2" x14ac:dyDescent="0.25">
      <c r="A4508" s="2" t="s">
        <v>13873</v>
      </c>
      <c r="B4508" s="2" t="s">
        <v>13873</v>
      </c>
    </row>
    <row r="4509" spans="1:2" x14ac:dyDescent="0.25">
      <c r="A4509" s="2" t="s">
        <v>13874</v>
      </c>
      <c r="B4509" s="2" t="s">
        <v>13875</v>
      </c>
    </row>
    <row r="4510" spans="1:2" x14ac:dyDescent="0.25">
      <c r="A4510" s="2" t="s">
        <v>13876</v>
      </c>
      <c r="B4510" s="2" t="s">
        <v>13877</v>
      </c>
    </row>
    <row r="4511" spans="1:2" x14ac:dyDescent="0.25">
      <c r="A4511" s="2" t="s">
        <v>13878</v>
      </c>
      <c r="B4511" s="2" t="s">
        <v>13879</v>
      </c>
    </row>
    <row r="4512" spans="1:2" x14ac:dyDescent="0.25">
      <c r="A4512" s="2" t="s">
        <v>13880</v>
      </c>
      <c r="B4512" s="2" t="s">
        <v>13881</v>
      </c>
    </row>
    <row r="4513" spans="1:2" x14ac:dyDescent="0.25">
      <c r="A4513" s="2" t="s">
        <v>13882</v>
      </c>
      <c r="B4513" s="2" t="s">
        <v>13883</v>
      </c>
    </row>
    <row r="4514" spans="1:2" x14ac:dyDescent="0.25">
      <c r="A4514" s="2" t="s">
        <v>13884</v>
      </c>
      <c r="B4514" s="2" t="s">
        <v>13885</v>
      </c>
    </row>
    <row r="4515" spans="1:2" x14ac:dyDescent="0.25">
      <c r="A4515" s="2" t="s">
        <v>13886</v>
      </c>
      <c r="B4515" s="2" t="s">
        <v>13886</v>
      </c>
    </row>
    <row r="4516" spans="1:2" x14ac:dyDescent="0.25">
      <c r="A4516" s="2" t="s">
        <v>13887</v>
      </c>
      <c r="B4516" s="2" t="s">
        <v>13888</v>
      </c>
    </row>
    <row r="4517" spans="1:2" x14ac:dyDescent="0.25">
      <c r="A4517" s="2" t="s">
        <v>13889</v>
      </c>
      <c r="B4517" s="2" t="s">
        <v>13890</v>
      </c>
    </row>
    <row r="4518" spans="1:2" x14ac:dyDescent="0.25">
      <c r="A4518" s="2" t="s">
        <v>13891</v>
      </c>
      <c r="B4518" s="2" t="s">
        <v>13892</v>
      </c>
    </row>
    <row r="4519" spans="1:2" x14ac:dyDescent="0.25">
      <c r="A4519" s="2" t="s">
        <v>13893</v>
      </c>
      <c r="B4519" s="2" t="s">
        <v>13894</v>
      </c>
    </row>
    <row r="4520" spans="1:2" x14ac:dyDescent="0.25">
      <c r="A4520" s="2" t="s">
        <v>13895</v>
      </c>
      <c r="B4520" s="2" t="s">
        <v>13896</v>
      </c>
    </row>
    <row r="4521" spans="1:2" x14ac:dyDescent="0.25">
      <c r="A4521" s="2" t="s">
        <v>13897</v>
      </c>
      <c r="B4521" s="2" t="s">
        <v>13898</v>
      </c>
    </row>
    <row r="4522" spans="1:2" x14ac:dyDescent="0.25">
      <c r="A4522" s="2" t="s">
        <v>13899</v>
      </c>
      <c r="B4522" s="2" t="s">
        <v>13874</v>
      </c>
    </row>
    <row r="4523" spans="1:2" x14ac:dyDescent="0.25">
      <c r="A4523" s="2" t="s">
        <v>13900</v>
      </c>
      <c r="B4523" s="2" t="s">
        <v>13901</v>
      </c>
    </row>
    <row r="4524" spans="1:2" x14ac:dyDescent="0.25">
      <c r="A4524" s="2" t="s">
        <v>11076</v>
      </c>
      <c r="B4524" s="2" t="s">
        <v>13902</v>
      </c>
    </row>
    <row r="4525" spans="1:2" x14ac:dyDescent="0.25">
      <c r="A4525" s="2" t="s">
        <v>13903</v>
      </c>
      <c r="B4525" s="2" t="s">
        <v>13904</v>
      </c>
    </row>
    <row r="4526" spans="1:2" x14ac:dyDescent="0.25">
      <c r="A4526" s="2" t="s">
        <v>13905</v>
      </c>
      <c r="B4526" s="2" t="s">
        <v>13906</v>
      </c>
    </row>
    <row r="4527" spans="1:2" x14ac:dyDescent="0.25">
      <c r="A4527" s="2" t="s">
        <v>13907</v>
      </c>
      <c r="B4527" s="2" t="s">
        <v>13908</v>
      </c>
    </row>
    <row r="4528" spans="1:2" x14ac:dyDescent="0.25">
      <c r="A4528" s="2" t="s">
        <v>13909</v>
      </c>
      <c r="B4528" s="2" t="s">
        <v>13910</v>
      </c>
    </row>
    <row r="4529" spans="1:2" x14ac:dyDescent="0.25">
      <c r="A4529" s="2" t="s">
        <v>13911</v>
      </c>
      <c r="B4529" s="2" t="s">
        <v>13912</v>
      </c>
    </row>
    <row r="4530" spans="1:2" x14ac:dyDescent="0.25">
      <c r="A4530" s="2" t="s">
        <v>13913</v>
      </c>
      <c r="B4530" s="2" t="s">
        <v>13914</v>
      </c>
    </row>
    <row r="4531" spans="1:2" x14ac:dyDescent="0.25">
      <c r="A4531" s="2" t="s">
        <v>13915</v>
      </c>
      <c r="B4531" s="2" t="s">
        <v>13916</v>
      </c>
    </row>
    <row r="4532" spans="1:2" x14ac:dyDescent="0.25">
      <c r="A4532" s="2" t="s">
        <v>13917</v>
      </c>
      <c r="B4532" s="2" t="s">
        <v>13918</v>
      </c>
    </row>
    <row r="4533" spans="1:2" x14ac:dyDescent="0.25">
      <c r="A4533" s="2" t="s">
        <v>13919</v>
      </c>
      <c r="B4533" s="2" t="s">
        <v>13919</v>
      </c>
    </row>
    <row r="4534" spans="1:2" x14ac:dyDescent="0.25">
      <c r="A4534" s="2" t="s">
        <v>13920</v>
      </c>
      <c r="B4534" s="2" t="s">
        <v>13921</v>
      </c>
    </row>
    <row r="4535" spans="1:2" x14ac:dyDescent="0.25">
      <c r="A4535" s="2" t="s">
        <v>13922</v>
      </c>
      <c r="B4535" s="2" t="s">
        <v>13923</v>
      </c>
    </row>
    <row r="4536" spans="1:2" x14ac:dyDescent="0.25">
      <c r="A4536" s="2" t="s">
        <v>13924</v>
      </c>
      <c r="B4536" s="2" t="s">
        <v>13925</v>
      </c>
    </row>
    <row r="4537" spans="1:2" x14ac:dyDescent="0.25">
      <c r="A4537" s="2" t="s">
        <v>13926</v>
      </c>
      <c r="B4537" s="2" t="s">
        <v>13927</v>
      </c>
    </row>
    <row r="4538" spans="1:2" x14ac:dyDescent="0.25">
      <c r="A4538" s="2" t="s">
        <v>13928</v>
      </c>
      <c r="B4538" s="2" t="s">
        <v>13929</v>
      </c>
    </row>
    <row r="4539" spans="1:2" x14ac:dyDescent="0.25">
      <c r="A4539" s="2" t="s">
        <v>13930</v>
      </c>
      <c r="B4539" s="2" t="s">
        <v>13930</v>
      </c>
    </row>
    <row r="4540" spans="1:2" x14ac:dyDescent="0.25">
      <c r="A4540" s="2" t="s">
        <v>13931</v>
      </c>
      <c r="B4540" s="2" t="s">
        <v>13931</v>
      </c>
    </row>
    <row r="4541" spans="1:2" x14ac:dyDescent="0.25">
      <c r="A4541" s="2" t="s">
        <v>13932</v>
      </c>
      <c r="B4541" s="2" t="s">
        <v>13932</v>
      </c>
    </row>
    <row r="4542" spans="1:2" x14ac:dyDescent="0.25">
      <c r="A4542" s="2" t="s">
        <v>13933</v>
      </c>
      <c r="B4542" s="2" t="s">
        <v>13934</v>
      </c>
    </row>
    <row r="4543" spans="1:2" x14ac:dyDescent="0.25">
      <c r="A4543" s="2" t="s">
        <v>13935</v>
      </c>
      <c r="B4543" s="2" t="s">
        <v>13936</v>
      </c>
    </row>
    <row r="4544" spans="1:2" x14ac:dyDescent="0.25">
      <c r="A4544" s="2" t="s">
        <v>13937</v>
      </c>
      <c r="B4544" s="2" t="s">
        <v>13938</v>
      </c>
    </row>
    <row r="4545" spans="1:2" x14ac:dyDescent="0.25">
      <c r="A4545" s="2" t="s">
        <v>13939</v>
      </c>
      <c r="B4545" s="2" t="s">
        <v>13940</v>
      </c>
    </row>
    <row r="4546" spans="1:2" x14ac:dyDescent="0.25">
      <c r="A4546" s="2" t="s">
        <v>13941</v>
      </c>
      <c r="B4546" s="2" t="s">
        <v>13942</v>
      </c>
    </row>
    <row r="4547" spans="1:2" x14ac:dyDescent="0.25">
      <c r="A4547" s="2" t="s">
        <v>13943</v>
      </c>
      <c r="B4547" s="2" t="s">
        <v>13944</v>
      </c>
    </row>
    <row r="4548" spans="1:2" x14ac:dyDescent="0.25">
      <c r="A4548" s="2" t="s">
        <v>13945</v>
      </c>
      <c r="B4548" s="2" t="s">
        <v>13946</v>
      </c>
    </row>
    <row r="4549" spans="1:2" x14ac:dyDescent="0.25">
      <c r="A4549" s="2" t="s">
        <v>13947</v>
      </c>
    </row>
    <row r="4550" spans="1:2" x14ac:dyDescent="0.25">
      <c r="A4550" s="2" t="s">
        <v>13948</v>
      </c>
      <c r="B4550" s="2" t="s">
        <v>13949</v>
      </c>
    </row>
    <row r="4551" spans="1:2" x14ac:dyDescent="0.25">
      <c r="A4551" s="2" t="s">
        <v>13950</v>
      </c>
      <c r="B4551" s="2" t="s">
        <v>13951</v>
      </c>
    </row>
    <row r="4552" spans="1:2" x14ac:dyDescent="0.25">
      <c r="A4552" s="2" t="s">
        <v>13952</v>
      </c>
      <c r="B4552" s="2" t="s">
        <v>13953</v>
      </c>
    </row>
    <row r="4553" spans="1:2" x14ac:dyDescent="0.25">
      <c r="A4553" s="2" t="s">
        <v>13954</v>
      </c>
      <c r="B4553" s="2" t="s">
        <v>13955</v>
      </c>
    </row>
    <row r="4554" spans="1:2" x14ac:dyDescent="0.25">
      <c r="A4554" s="2" t="s">
        <v>13956</v>
      </c>
      <c r="B4554" s="2" t="s">
        <v>13957</v>
      </c>
    </row>
    <row r="4555" spans="1:2" x14ac:dyDescent="0.25">
      <c r="A4555" s="2" t="s">
        <v>13958</v>
      </c>
    </row>
    <row r="4556" spans="1:2" x14ac:dyDescent="0.25">
      <c r="A4556" s="2" t="s">
        <v>13959</v>
      </c>
    </row>
    <row r="4557" spans="1:2" x14ac:dyDescent="0.25">
      <c r="A4557" s="2" t="s">
        <v>13960</v>
      </c>
      <c r="B4557" s="2" t="s">
        <v>13961</v>
      </c>
    </row>
    <row r="4558" spans="1:2" x14ac:dyDescent="0.25">
      <c r="A4558" s="2" t="s">
        <v>13962</v>
      </c>
    </row>
  </sheetData>
  <autoFilter ref="A1:B4032">
    <sortState ref="A2:C4032">
      <sortCondition ref="B1:B4032"/>
    </sortState>
  </autoFilter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Listado</vt:lpstr>
      <vt:lpstr>Variables</vt:lpstr>
      <vt:lpstr>Con Color</vt:lpstr>
      <vt:lpstr>Simples</vt:lpstr>
      <vt:lpstr>Constantes</vt:lpstr>
      <vt:lpstr>Producteca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2024-04-17T16:02:55Z</cp:lastPrinted>
  <dcterms:created xsi:type="dcterms:W3CDTF">2022-07-05T20:18:32Z</dcterms:created>
  <dcterms:modified xsi:type="dcterms:W3CDTF">2024-05-10T20:59:27Z</dcterms:modified>
</cp:coreProperties>
</file>