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61" i="2" l="1"/>
  <c r="E61" i="2" s="1"/>
  <c r="C62" i="2"/>
  <c r="E62" i="2"/>
  <c r="C63" i="2"/>
  <c r="E63" i="2"/>
  <c r="C182" i="3"/>
  <c r="E182" i="3"/>
  <c r="C60" i="2" l="1"/>
  <c r="E60" i="2"/>
  <c r="C59" i="2" l="1"/>
  <c r="E59" i="2" s="1"/>
  <c r="C58" i="2"/>
  <c r="E58" i="2" s="1"/>
  <c r="C57" i="2"/>
  <c r="E57" i="2" s="1"/>
  <c r="C181" i="3" l="1"/>
  <c r="E181" i="3" s="1"/>
  <c r="C180" i="3"/>
  <c r="E180" i="3" s="1"/>
  <c r="C179" i="3"/>
  <c r="E179" i="3" s="1"/>
  <c r="C55" i="2"/>
  <c r="E55" i="2"/>
  <c r="C56" i="2"/>
  <c r="E56" i="2" s="1"/>
  <c r="C53" i="2"/>
  <c r="E53" i="2" s="1"/>
  <c r="E54" i="2"/>
  <c r="C52" i="2" l="1"/>
  <c r="E52" i="2" s="1"/>
  <c r="C51" i="2" l="1"/>
  <c r="E51" i="2" s="1"/>
  <c r="C48" i="4"/>
  <c r="E48" i="4" s="1"/>
  <c r="C49" i="4"/>
  <c r="E49" i="4" s="1"/>
  <c r="E178" i="3" l="1"/>
  <c r="E177" i="3"/>
  <c r="C177" i="3"/>
  <c r="E174" i="3"/>
  <c r="E175" i="3"/>
  <c r="E176" i="3"/>
  <c r="C173" i="3"/>
  <c r="E173" i="3" s="1"/>
  <c r="C50" i="2" l="1"/>
  <c r="E50" i="2" s="1"/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C32" i="2"/>
  <c r="E32" i="2" s="1"/>
  <c r="C42" i="4"/>
  <c r="E42" i="4" s="1"/>
  <c r="C43" i="4"/>
  <c r="E43" i="4" s="1"/>
  <c r="C44" i="4"/>
  <c r="E44" i="4" s="1"/>
  <c r="C39" i="4" l="1"/>
  <c r="E39" i="4" s="1"/>
  <c r="C40" i="4"/>
  <c r="E40" i="4" s="1"/>
  <c r="C41" i="4"/>
  <c r="E41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<sst xmlns="http://schemas.openxmlformats.org/spreadsheetml/2006/main" count="23298" uniqueCount="13109">
  <si>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</si>
  <si>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</si>
  <si>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</si>
  <si>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</si>
  <si>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</si>
  <si>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</si>
  <si>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</si>
  <si>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</si>
  <si>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</si>
  <si>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</si>
  <si>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</si>
  <si>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</si>
  <si>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</si>
  <si>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</si>
  <si>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</si>
  <si>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</si>
  <si>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</si>
  <si>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</si>
  <si>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</si>
  <si>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</si>
  <si>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</si>
  <si>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</si>
  <si>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</si>
  <si>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</si>
  <si>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</si>
  <si>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</si>
  <si>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</si>
  <si>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</si>
  <si>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</si>
  <si>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</si>
  <si>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</si>
  <si>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</si>
  <si>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</si>
  <si>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</si>
  <si>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</si>
  <si>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</si>
  <si>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</si>
  <si>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</si>
  <si>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</si>
  <si>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</si>
  <si>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</si>
  <si>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</si>
  <si>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</si>
  <si>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</si>
  <si>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</si>
  <si>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</si>
  <si>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</si>
  <si>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</si>
  <si>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</si>
  <si>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</si>
  <si>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</si>
  <si>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</si>
  <si>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</si>
  <si>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</si>
  <si>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</si>
  <si>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</si>
  <si>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</si>
  <si>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</si>
  <si>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</si>
  <si>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</si>
  <si>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</si>
  <si>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</si>
  <si>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</si>
  <si>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</si>
  <si>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</si>
  <si>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</si>
  <si>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</si>
  <si>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</si>
  <si>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</si>
  <si>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</si>
  <si>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</si>
  <si>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</si>
  <si>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</si>
  <si>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</si>
  <si>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</si>
  <si>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</si>
  <si>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</si>
  <si>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</si>
  <si>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</si>
  <si>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</si>
  <si>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</si>
  <si>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</si>
  <si>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</si>
  <si>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</si>
  <si>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</si>
  <si>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</si>
  <si>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</si>
  <si>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</si>
  <si>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</si>
  <si>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</si>
  <si>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</si>
  <si>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</si>
  <si>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</si>
  <si>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</si>
  <si>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</si>
  <si>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</si>
  <si>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</si>
  <si>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</si>
  <si>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</si>
  <si>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</si>
  <si>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</si>
  <si>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</si>
  <si>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</si>
  <si>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</si>
  <si>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</si>
  <si>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</si>
  <si>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</si>
  <si>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</si>
  <si>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</si>
  <si>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</si>
  <si>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</si>
  <si>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</si>
  <si>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</si>
  <si>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</si>
  <si>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</si>
  <si>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</si>
  <si>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</si>
  <si>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</si>
  <si>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</si>
  <si>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</si>
  <si>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</si>
  <si>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</si>
  <si>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</si>
  <si>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</si>
  <si>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</si>
  <si>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</si>
  <si>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</si>
  <si>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</si>
  <si>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</si>
  <si>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</si>
  <si>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</si>
  <si>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</si>
  <si>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</si>
  <si>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</si>
  <si>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</si>
  <si>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</si>
  <si>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</si>
  <si>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</si>
  <si>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</si>
  <si>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</si>
  <si>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</si>
  <si>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</si>
  <si>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</si>
  <si>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</si>
  <si>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</si>
  <si>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</si>
  <si>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</si>
  <si>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</si>
  <si>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</si>
  <si>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</si>
  <si>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</si>
  <si>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</si>
  <si>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</si>
  <si>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</si>
  <si>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</si>
  <si>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</si>
  <si>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</si>
  <si>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</si>
  <si>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</si>
  <si>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</si>
  <si>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</si>
  <si>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</si>
  <si>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</si>
  <si>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</si>
  <si>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</si>
  <si>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</si>
  <si>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</si>
  <si>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</si>
  <si>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</si>
  <si>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</si>
  <si>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</si>
  <si>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</si>
  <si>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</si>
  <si>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</si>
  <si>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</si>
  <si>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</si>
  <si>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</si>
  <si>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</si>
  <si>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</si>
  <si>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</si>
  <si>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</si>
  <si>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</si>
  <si>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</si>
  <si>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</si>
  <si>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</si>
  <si>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</si>
  <si>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</si>
  <si>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</si>
  <si>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</si>
  <si>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</si>
  <si>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</si>
  <si>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</si>
  <si>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</si>
  <si>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</si>
  <si>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</si>
  <si>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</si>
  <si>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</si>
  <si>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</si>
  <si>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</si>
  <si>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</si>
  <si>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</si>
  <si>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</si>
  <si>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</si>
  <si>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</si>
  <si>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</si>
  <si>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</si>
  <si>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</si>
  <si>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</si>
  <si>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</si>
  <si>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</si>
  <si>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</si>
  <si>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</si>
  <si>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</si>
  <si>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</si>
  <si>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</si>
  <si>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</si>
  <si>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</si>
  <si>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</si>
  <si>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</si>
  <si>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</si>
  <si>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</si>
  <si>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</si>
  <si>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</si>
  <si>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</si>
  <si>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</si>
  <si>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</si>
  <si>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</si>
  <si>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</si>
  <si>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</si>
  <si>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</si>
  <si>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</si>
  <si>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</si>
  <si>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</si>
  <si>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</si>
  <si>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</si>
  <si>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</si>
  <si>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</si>
  <si>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</si>
  <si>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</si>
  <si>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</si>
  <si>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</si>
  <si>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</si>
  <si>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</si>
  <si>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</si>
  <si>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</si>
  <si>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</si>
  <si>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</si>
  <si>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</si>
  <si>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</si>
  <si>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</si>
  <si>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</si>
  <si>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</si>
  <si>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</si>
  <si>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</si>
  <si>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</si>
  <si>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</si>
  <si>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</si>
  <si>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</si>
  <si>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</si>
  <si>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</si>
  <si>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</si>
  <si>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</si>
  <si>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</si>
  <si>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</si>
  <si>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</si>
  <si>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</si>
  <si>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</si>
  <si>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</si>
  <si>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</si>
  <si>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</si>
  <si>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</si>
  <si>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</si>
  <si>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</si>
  <si>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</si>
  <si>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</si>
  <si>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</si>
  <si>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</si>
  <si>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</si>
  <si>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</si>
  <si>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</si>
  <si>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</si>
  <si>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</si>
  <si>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</si>
  <si>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</si>
  <si>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</si>
  <si>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</si>
  <si>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</si>
  <si>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</si>
  <si>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</si>
  <si>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</si>
  <si>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</si>
  <si>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</si>
  <si>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</si>
  <si>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</si>
  <si>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</si>
  <si>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</si>
  <si>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</si>
  <si>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</si>
  <si>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</si>
  <si>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</si>
  <si>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</si>
  <si>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</si>
  <si>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</si>
  <si>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</si>
  <si>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</si>
  <si>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</si>
  <si>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</si>
  <si>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</si>
  <si>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</si>
  <si>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</si>
  <si>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</si>
  <si>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</si>
  <si>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</si>
  <si>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</si>
  <si>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</si>
  <si>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</si>
  <si>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</si>
  <si>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</si>
  <si>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</si>
  <si>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</si>
  <si>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</si>
  <si>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</si>
  <si>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</si>
  <si>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</si>
  <si>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</si>
  <si>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</si>
  <si>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</si>
  <si>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</si>
  <si>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</si>
  <si>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</si>
  <si>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</si>
  <si>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</si>
  <si>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</si>
  <si>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</si>
  <si>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</si>
  <si>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</si>
  <si>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</si>
  <si>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</si>
  <si>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</si>
  <si>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</si>
  <si>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</si>
  <si>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</si>
  <si>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</si>
  <si>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</si>
  <si>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</si>
  <si>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</si>
  <si>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</si>
  <si>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</si>
  <si>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</si>
  <si>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</si>
  <si>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</si>
  <si>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</si>
  <si>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</si>
  <si>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</si>
  <si>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</si>
  <si>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</si>
  <si>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</si>
  <si>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</si>
  <si>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</si>
  <si>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</si>
  <si>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</si>
  <si>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</si>
  <si>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</si>
  <si>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</si>
  <si>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</si>
  <si>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</si>
  <si>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</si>
  <si>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</si>
  <si>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</si>
  <si>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</si>
  <si>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</si>
  <si>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</si>
  <si>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</si>
  <si>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</si>
  <si>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</si>
  <si>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</si>
  <si>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</si>
  <si>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</si>
  <si>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</si>
  <si>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</si>
  <si>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</si>
  <si>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</si>
  <si>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</si>
  <si>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</si>
  <si>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</si>
  <si>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</si>
  <si>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</si>
  <si>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</si>
  <si>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</si>
  <si>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</si>
  <si>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</si>
  <si>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</si>
  <si>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</si>
  <si>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</si>
  <si>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</si>
  <si>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</si>
  <si>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</si>
  <si>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</si>
  <si>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</si>
  <si>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</si>
  <si>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</si>
  <si>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</si>
  <si>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</si>
  <si>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</si>
  <si>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</si>
  <si>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</si>
  <si>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</si>
  <si>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</si>
  <si>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</si>
  <si>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</si>
  <si>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</si>
  <si>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</si>
  <si>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</si>
  <si>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</si>
  <si>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</si>
  <si>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</si>
  <si>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</si>
  <si>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</si>
  <si>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</si>
  <si>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</si>
  <si>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</si>
  <si>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</si>
  <si>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</si>
  <si>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</si>
  <si>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</si>
  <si>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</si>
  <si>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</si>
  <si>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</si>
  <si>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</si>
  <si>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</si>
  <si>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</si>
  <si>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</si>
  <si>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</si>
  <si>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</si>
  <si>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</si>
  <si>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</si>
  <si>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</si>
  <si>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</si>
  <si>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</si>
  <si>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</si>
  <si>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</si>
  <si>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</si>
  <si>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</si>
  <si>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</si>
  <si>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</si>
  <si>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</si>
  <si>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</si>
  <si>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</si>
  <si>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</si>
  <si>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</si>
  <si>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</si>
  <si>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</si>
  <si>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</si>
  <si>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</si>
  <si>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</si>
  <si>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</si>
  <si>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</si>
  <si>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</si>
  <si>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</si>
  <si>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</si>
  <si>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</si>
  <si>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</si>
  <si>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</si>
  <si>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</si>
  <si>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</si>
  <si>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</si>
  <si>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</si>
  <si>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</si>
  <si>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</si>
  <si>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</si>
  <si>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</si>
  <si>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</si>
  <si>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</si>
  <si>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</si>
  <si>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</si>
  <si>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</si>
  <si>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</si>
  <si>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</si>
  <si>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</si>
  <si>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</si>
  <si>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</si>
  <si>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</si>
  <si>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</si>
  <si>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</si>
  <si>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</si>
  <si>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</si>
  <si>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</si>
  <si>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</si>
  <si>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</si>
  <si>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</si>
  <si>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</si>
  <si>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</si>
  <si>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</si>
  <si>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</si>
  <si>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</si>
  <si>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</si>
  <si>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</si>
  <si>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</si>
  <si>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</si>
  <si>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</si>
  <si>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</si>
  <si>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</si>
  <si>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</si>
  <si>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</si>
  <si>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</si>
  <si>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</si>
  <si>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</si>
  <si>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</si>
  <si>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</si>
  <si>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</si>
  <si>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</si>
  <si>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</si>
  <si>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</si>
  <si>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</si>
  <si>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</si>
  <si>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</si>
  <si>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</si>
  <si>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</si>
  <si>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</si>
  <si>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</si>
  <si>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</si>
  <si>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</si>
  <si>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</si>
  <si>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</si>
  <si>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</si>
  <si>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</si>
  <si>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</si>
  <si>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</si>
  <si>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</si>
  <si>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</si>
  <si>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</si>
  <si>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</si>
  <si>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</si>
  <si>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</si>
  <si>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</si>
  <si>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</si>
  <si>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</si>
  <si>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</si>
  <si>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</si>
  <si>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</si>
  <si>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</si>
  <si>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</si>
  <si>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</si>
  <si>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</si>
  <si>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</si>
  <si>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</si>
  <si>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</si>
  <si>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</si>
  <si>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</si>
  <si>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</si>
  <si>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</si>
  <si>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</si>
  <si>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</si>
  <si>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</si>
  <si>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</si>
  <si>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</si>
  <si>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</si>
  <si>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</si>
  <si>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</si>
  <si>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</si>
  <si>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</si>
  <si>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</si>
  <si>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</si>
  <si>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</si>
  <si>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</si>
  <si>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</si>
  <si>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</si>
  <si>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</si>
  <si>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</si>
  <si>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</si>
  <si>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</si>
  <si>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</si>
  <si>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</si>
  <si>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</si>
  <si>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</si>
  <si>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</si>
  <si>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</si>
  <si>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</si>
  <si>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</si>
  <si>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</si>
  <si>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</si>
  <si>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</si>
  <si>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</si>
  <si>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</si>
  <si>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</si>
  <si>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</si>
  <si>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</si>
  <si>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</si>
  <si>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</si>
  <si>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</si>
  <si>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</si>
  <si>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</si>
  <si>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</si>
  <si>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</si>
  <si>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</si>
  <si>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</si>
  <si>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</si>
  <si>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</si>
  <si>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</si>
  <si>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</si>
  <si>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</si>
  <si>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</si>
  <si>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</si>
  <si>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</si>
  <si>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</si>
  <si>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</si>
  <si>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</si>
  <si>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</si>
  <si>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</si>
  <si>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</si>
  <si>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</si>
  <si>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</si>
  <si>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</si>
  <si>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</si>
  <si>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</si>
  <si>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</si>
  <si>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</si>
  <si>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</si>
  <si>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</si>
  <si>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</si>
  <si>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</si>
  <si>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</si>
  <si>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</si>
  <si>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</si>
  <si>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</si>
  <si>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</si>
  <si>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</si>
  <si>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</si>
  <si>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</si>
  <si>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</si>
  <si>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</si>
  <si>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</si>
  <si>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</si>
  <si>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</si>
  <si>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</si>
  <si>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</si>
  <si>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</si>
  <si>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</si>
  <si>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</si>
  <si>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</si>
  <si>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</si>
  <si>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</si>
  <si>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</si>
  <si>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</si>
  <si>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</si>
  <si>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</si>
  <si>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</si>
  <si>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</si>
  <si>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</si>
  <si>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</si>
  <si>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</si>
  <si>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</si>
  <si>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</si>
  <si>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</si>
  <si>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</si>
  <si>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</si>
  <si>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</si>
  <si>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</si>
  <si>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</si>
  <si>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</si>
  <si>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</si>
  <si>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</si>
  <si>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</si>
  <si>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</si>
  <si>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</si>
  <si>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</si>
  <si>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</si>
  <si>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</si>
  <si>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</si>
  <si>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</si>
  <si>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</si>
  <si>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</si>
  <si>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</si>
  <si>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</si>
  <si>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</si>
  <si>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</si>
  <si>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</si>
  <si>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</si>
  <si>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</si>
  <si>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</si>
  <si>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</si>
  <si>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</si>
  <si>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</si>
  <si>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</si>
  <si>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</si>
  <si>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</si>
  <si>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</si>
  <si>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</si>
  <si>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</si>
  <si>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</si>
  <si>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</si>
  <si>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</si>
  <si>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</si>
  <si>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</si>
  <si>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</si>
  <si>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</si>
  <si>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</si>
  <si>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</si>
  <si>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</si>
  <si>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</si>
  <si>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</si>
  <si>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</si>
  <si>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</si>
  <si>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</si>
  <si>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</si>
  <si>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</si>
  <si>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</si>
  <si>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</si>
  <si>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</si>
  <si>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</si>
  <si>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</si>
  <si>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</si>
  <si>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</si>
  <si>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</si>
  <si>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</si>
  <si>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</si>
  <si>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</si>
  <si>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</si>
  <si>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</si>
  <si>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</si>
  <si>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</si>
  <si>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</si>
  <si>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</si>
  <si>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</si>
  <si>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</si>
  <si>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</si>
  <si>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</si>
  <si>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</si>
  <si>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</si>
  <si>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</si>
  <si>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</si>
  <si>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</si>
  <si>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</si>
  <si>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</si>
  <si>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</si>
  <si>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</si>
  <si>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</si>
  <si>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</si>
  <si>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</si>
  <si>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</si>
  <si>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</si>
  <si>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</si>
  <si>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</si>
  <si>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</si>
  <si>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</si>
  <si>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</si>
  <si>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</si>
  <si>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</si>
  <si>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</si>
  <si>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</si>
  <si>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</si>
  <si>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</si>
  <si>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</si>
  <si>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</si>
  <si>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</si>
  <si>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</si>
  <si>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</si>
  <si>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</si>
  <si>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</si>
  <si>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</si>
  <si>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</si>
  <si>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</si>
  <si>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</si>
  <si>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</si>
  <si>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</si>
  <si>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</si>
  <si>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</si>
  <si>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</si>
  <si>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</si>
  <si>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</si>
  <si>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</si>
  <si>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</si>
  <si>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</si>
  <si>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</si>
  <si>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</si>
  <si>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</si>
  <si>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</si>
  <si>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</si>
  <si>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</si>
  <si>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</si>
  <si>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</si>
  <si>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</si>
  <si>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</si>
  <si>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</si>
  <si>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</si>
  <si>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</si>
  <si>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</si>
  <si>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</si>
  <si>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</si>
  <si>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</si>
  <si>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</si>
  <si>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</si>
  <si>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</si>
  <si>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</si>
  <si>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</si>
  <si>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</si>
  <si>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</si>
  <si>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</si>
  <si>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</si>
  <si>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</si>
  <si>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</si>
  <si>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</si>
  <si>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</si>
  <si>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</si>
  <si>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</si>
  <si>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</si>
  <si>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</si>
  <si>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</si>
  <si>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</si>
  <si>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</si>
  <si>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</si>
  <si>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</si>
  <si>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</si>
  <si>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</si>
  <si>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</si>
  <si>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</si>
  <si>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</si>
  <si>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</si>
  <si>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</si>
  <si>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</si>
  <si>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</si>
  <si>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</si>
  <si>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</si>
  <si>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</si>
  <si>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</si>
  <si>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</si>
  <si>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</si>
  <si>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</si>
  <si>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</si>
  <si>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</si>
  <si>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</si>
  <si>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</si>
  <si>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</si>
  <si>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</si>
  <si>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</si>
  <si>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</si>
  <si>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</si>
  <si>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</si>
  <si>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</si>
  <si>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</si>
  <si>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</si>
  <si>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</si>
  <si>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</si>
  <si>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</si>
  <si>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</si>
  <si>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</si>
  <si>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</si>
  <si>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</si>
  <si>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</si>
  <si>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</si>
  <si>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</si>
  <si>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</si>
  <si>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</si>
  <si>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</si>
  <si>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</si>
  <si>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</si>
  <si>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</si>
  <si>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</si>
  <si>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</si>
  <si>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</si>
  <si>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</si>
  <si>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</si>
  <si>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</si>
  <si>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</si>
  <si>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</si>
  <si>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</si>
  <si>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</si>
  <si>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</si>
  <si>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</si>
  <si>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</si>
  <si>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</si>
  <si>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</si>
  <si>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</si>
  <si>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</si>
  <si>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</si>
  <si>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</si>
  <si>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</si>
  <si>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</si>
  <si>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</si>
  <si>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</si>
  <si>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</si>
  <si>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</si>
  <si>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</si>
  <si>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</si>
  <si>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</si>
  <si>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</si>
  <si>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</si>
  <si>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</si>
  <si>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</si>
  <si>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</si>
  <si>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</si>
  <si>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</si>
  <si>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</si>
  <si>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</si>
  <si>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</si>
  <si>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</si>
  <si>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</si>
  <si>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</si>
  <si>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</si>
  <si>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</si>
  <si>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</si>
  <si>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</si>
  <si>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</si>
  <si>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</si>
  <si>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</si>
  <si>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</si>
  <si>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</si>
  <si>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</si>
  <si>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</si>
  <si>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</si>
  <si>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</si>
  <si>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</si>
  <si>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</si>
  <si>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</si>
  <si>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</si>
  <si>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</si>
  <si>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</si>
  <si>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</si>
  <si>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</si>
  <si>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</si>
  <si>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</si>
  <si>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</si>
  <si>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</si>
  <si>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</si>
  <si>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</si>
  <si>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</si>
  <si>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</si>
  <si>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</si>
  <si>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</si>
  <si>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</si>
  <si>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</si>
  <si>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</si>
  <si>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</si>
  <si>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</si>
  <si>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</si>
  <si>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</si>
  <si>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</si>
  <si>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</si>
  <si>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</si>
  <si>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</si>
  <si>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</si>
  <si>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</si>
  <si>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</si>
  <si>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</si>
  <si>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</si>
  <si>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</si>
  <si>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</si>
  <si>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</si>
  <si>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</si>
  <si>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</si>
  <si>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</si>
  <si>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</si>
  <si>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</si>
  <si>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</si>
  <si>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</si>
  <si>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</si>
  <si>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</si>
  <si>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</si>
  <si>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</si>
  <si>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</si>
  <si>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</si>
  <si>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</si>
  <si>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</si>
  <si>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</si>
  <si>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</si>
  <si>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</si>
  <si>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</si>
  <si>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</si>
  <si>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</si>
  <si>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</si>
  <si>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</si>
  <si>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</si>
  <si>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</si>
  <si>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</si>
  <si>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</si>
  <si>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</si>
  <si>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</si>
  <si>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</si>
  <si>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</si>
  <si>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</si>
  <si>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</si>
  <si>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</si>
  <si>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</si>
  <si>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</si>
  <si>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</si>
  <si>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</si>
  <si>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</si>
  <si>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</si>
  <si>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</si>
  <si>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</si>
  <si>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</si>
  <si>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</si>
  <si>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</si>
  <si>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</si>
  <si>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</si>
  <si>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</si>
  <si>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</si>
  <si>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</si>
  <si>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</si>
  <si>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</si>
  <si>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</si>
  <si>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</si>
  <si>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</si>
  <si>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</si>
  <si>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</si>
  <si>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</si>
  <si>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</si>
  <si>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</si>
  <si>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</si>
  <si>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</si>
  <si>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</si>
  <si>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</si>
  <si>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</si>
  <si>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</si>
  <si>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</si>
  <si>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</si>
  <si>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</si>
  <si>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</si>
  <si>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</si>
  <si>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</si>
  <si>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</si>
  <si>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</si>
  <si>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</si>
  <si>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</si>
  <si>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</si>
  <si>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</si>
  <si>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</si>
  <si>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</si>
  <si>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</si>
  <si>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</si>
  <si>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</si>
  <si>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</si>
  <si>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</si>
  <si>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</si>
  <si>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</si>
  <si>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</si>
  <si>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</si>
  <si>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</si>
  <si>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</si>
  <si>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</si>
  <si>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</si>
  <si>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</si>
  <si>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</si>
  <si>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</si>
  <si>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</si>
  <si>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</si>
  <si>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</si>
  <si>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</si>
  <si>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</si>
  <si>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</si>
  <si>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</si>
  <si>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</si>
  <si>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</si>
  <si>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</si>
  <si>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</si>
  <si>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</si>
  <si>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</si>
  <si>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</si>
  <si>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</si>
  <si>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</si>
  <si>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</si>
  <si>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</si>
  <si>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</si>
  <si>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</si>
  <si>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</si>
  <si>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</si>
  <si>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</si>
  <si>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</si>
  <si>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</si>
  <si>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</si>
  <si>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</si>
  <si>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</si>
  <si>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</si>
  <si>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</si>
  <si>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</si>
  <si>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</si>
  <si>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</si>
  <si>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</si>
  <si>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</si>
  <si>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</si>
  <si>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</si>
  <si>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</si>
  <si>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</si>
  <si>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</si>
  <si>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</si>
  <si>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</si>
  <si>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</si>
  <si>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</si>
  <si>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</si>
  <si>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</si>
  <si>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</si>
  <si>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</si>
  <si>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</si>
  <si>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</si>
  <si>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</si>
  <si>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</si>
  <si>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</si>
  <si>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</si>
  <si>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</si>
  <si>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</si>
  <si>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</si>
  <si>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</si>
  <si>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</si>
  <si>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</si>
  <si>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</si>
  <si>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</si>
  <si>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</si>
  <si>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</si>
  <si>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</si>
  <si>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</si>
  <si>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</si>
  <si>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</si>
  <si>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</si>
  <si>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</si>
  <si>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</si>
  <si>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</si>
  <si>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</si>
  <si>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</si>
  <si>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</si>
  <si>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</si>
  <si>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</si>
  <si>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</si>
  <si>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</si>
  <si>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</si>
  <si>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</si>
  <si>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</si>
  <si>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</si>
  <si>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</si>
  <si>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</si>
  <si>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</si>
  <si>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</si>
  <si>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</si>
  <si>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</si>
  <si>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</si>
  <si>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</si>
  <si>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</si>
  <si>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</si>
  <si>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</si>
  <si>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</si>
  <si>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</si>
  <si>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</si>
  <si>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</si>
  <si>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</si>
  <si>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</si>
  <si>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</si>
  <si>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</si>
  <si>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</si>
  <si>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</si>
  <si>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</si>
  <si>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</si>
  <si>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</si>
  <si>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</si>
  <si>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</si>
  <si>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</si>
  <si>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</si>
  <si>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</si>
  <si>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</si>
  <si>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</si>
  <si>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</si>
  <si>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</si>
  <si>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</si>
  <si>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</si>
  <si>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</si>
  <si>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</si>
  <si>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</si>
  <si>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</si>
  <si>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</si>
  <si>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</si>
  <si>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</si>
  <si>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</si>
  <si>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</si>
  <si>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</si>
  <si>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</si>
  <si>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</si>
  <si>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</si>
  <si>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</si>
  <si>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</si>
  <si>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</si>
  <si>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</si>
  <si>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</si>
  <si>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</si>
  <si>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</si>
  <si>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</si>
  <si>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</si>
  <si>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</si>
  <si>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</si>
  <si>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</si>
  <si>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</si>
  <si>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</si>
  <si>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</si>
  <si>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</si>
  <si>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</si>
  <si>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</si>
  <si>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</si>
  <si>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</si>
  <si>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</si>
  <si>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</si>
  <si>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</si>
  <si>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</si>
  <si>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</si>
  <si>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</si>
  <si>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</si>
  <si>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</si>
  <si>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</si>
  <si>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</si>
  <si>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</si>
  <si>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</si>
  <si>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</si>
  <si>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</si>
  <si>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</si>
  <si>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</si>
  <si>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</si>
  <si>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</si>
  <si>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</si>
  <si>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</si>
  <si>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</si>
  <si>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</si>
  <si>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</si>
  <si>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</si>
  <si>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</si>
  <si>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</si>
  <si>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</si>
  <si>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</si>
  <si>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</si>
  <si>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</si>
  <si>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</si>
  <si>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</si>
  <si>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</si>
  <si>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</si>
  <si>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</si>
  <si>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</si>
  <si>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</si>
  <si>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</si>
  <si>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</si>
  <si>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</si>
  <si>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</si>
  <si>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</si>
  <si>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</si>
  <si>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</si>
  <si>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</si>
  <si>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</si>
  <si>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</si>
  <si>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</si>
  <si>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</si>
  <si>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</si>
  <si>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</si>
  <si>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</si>
  <si>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</si>
  <si>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</si>
  <si>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</si>
  <si>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</si>
  <si>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</si>
  <si>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</si>
  <si>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</si>
  <si>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</si>
  <si>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</si>
  <si>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</si>
  <si>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</si>
  <si>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</si>
  <si>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</si>
  <si>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</si>
  <si>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</si>
  <si>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</si>
  <si>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</si>
  <si>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</si>
  <si>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</si>
  <si>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</si>
  <si>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</si>
  <si>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</si>
  <si>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</si>
  <si>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</si>
  <si>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</si>
  <si>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</si>
  <si>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</si>
  <si>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</si>
  <si>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</si>
  <si>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</si>
  <si>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</si>
  <si>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</si>
  <si>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</si>
  <si>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</si>
  <si>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</si>
  <si>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</si>
  <si>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</si>
  <si>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</si>
  <si>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</si>
  <si>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</si>
  <si>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</si>
  <si>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</si>
  <si>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</si>
  <si>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</si>
  <si>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</si>
  <si>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</si>
  <si>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</si>
  <si>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</si>
  <si>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</si>
  <si>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</si>
  <si>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</si>
  <si>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</si>
  <si>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</si>
  <si>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</si>
  <si>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</si>
  <si>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</si>
  <si>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</si>
  <si>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</si>
  <si>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</si>
  <si>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</si>
  <si>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</si>
  <si>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</si>
  <si>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</si>
  <si>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</si>
  <si>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</si>
  <si>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</si>
  <si>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</si>
  <si>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</si>
  <si>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</si>
  <si>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</si>
  <si>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</si>
  <si>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</si>
  <si>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</si>
  <si>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</si>
  <si>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</si>
  <si>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</si>
  <si>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</si>
  <si>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</si>
  <si>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</si>
  <si>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</si>
  <si>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</si>
  <si>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</si>
  <si>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</si>
  <si>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</si>
  <si>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</si>
  <si>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</si>
  <si>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</si>
  <si>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</si>
  <si>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</si>
  <si>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</si>
  <si>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</si>
  <si>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</si>
  <si>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</si>
  <si>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</si>
  <si>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</si>
  <si>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</si>
  <si>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</si>
  <si>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</si>
  <si>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</si>
  <si>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</si>
  <si>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</si>
  <si>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</si>
  <si>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</si>
  <si>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</si>
  <si>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</si>
  <si>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</si>
  <si>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</si>
  <si>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</si>
  <si>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</si>
  <si>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</si>
  <si>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</si>
  <si>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</si>
  <si>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</si>
  <si>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</si>
  <si>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</si>
  <si>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</si>
  <si>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</si>
  <si>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</si>
  <si>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</si>
  <si>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</si>
  <si>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</si>
  <si>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</si>
  <si>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</si>
  <si>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</si>
  <si>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</si>
  <si>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</si>
  <si>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</si>
  <si>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</si>
  <si>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</si>
  <si>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</si>
  <si>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</si>
  <si>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</si>
  <si>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</si>
  <si>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</si>
  <si>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</si>
  <si>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</si>
  <si>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</si>
  <si>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</si>
  <si>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</si>
  <si>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</si>
  <si>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</si>
  <si>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</si>
  <si>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</si>
  <si>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</si>
  <si>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</si>
  <si>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</si>
  <si>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</si>
  <si>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</si>
  <si>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</si>
  <si>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</si>
  <si>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</si>
  <si>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</si>
  <si>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</si>
  <si>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</si>
  <si>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</si>
  <si>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</si>
  <si>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</si>
  <si>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</si>
  <si>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</si>
  <si>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</si>
  <si>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</si>
  <si>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</si>
  <si>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</si>
  <si>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</si>
  <si>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</si>
  <si>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</si>
  <si>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</si>
  <si>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</si>
  <si>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</si>
  <si>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</si>
  <si>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</si>
  <si>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</si>
  <si>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</si>
  <si>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</si>
  <si>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</si>
  <si>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</si>
  <si>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</si>
  <si>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</si>
  <si>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</si>
  <si>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</si>
  <si>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</si>
  <si>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</si>
  <si>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</si>
  <si>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</si>
  <si>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</si>
  <si>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</si>
  <si>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</si>
  <si>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</si>
  <si>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</si>
  <si>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</si>
  <si>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</si>
  <si>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</si>
  <si>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</si>
  <si>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</si>
  <si>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</si>
  <si>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</si>
  <si>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</si>
  <si>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</si>
  <si>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</si>
  <si>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</si>
  <si>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</si>
  <si>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</si>
  <si>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</si>
  <si>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</si>
  <si>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</si>
  <si>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</si>
  <si>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</si>
  <si>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</si>
  <si>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</si>
  <si>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</si>
  <si>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</si>
  <si>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</si>
  <si>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</si>
  <si>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</si>
  <si>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</si>
  <si>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</si>
  <si>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</si>
  <si>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</si>
  <si>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</si>
  <si>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</si>
  <si>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</si>
  <si>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</si>
  <si>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</si>
  <si>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</si>
  <si>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</si>
  <si>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</si>
  <si>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</si>
  <si>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</si>
  <si>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</si>
  <si>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</si>
  <si>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</si>
  <si>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</si>
  <si>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</si>
  <si>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</si>
  <si>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</si>
  <si>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</si>
  <si>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</si>
  <si>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</si>
  <si>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</si>
  <si>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</si>
  <si>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</si>
  <si>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</si>
  <si>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</si>
  <si>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</si>
  <si>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</si>
  <si>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</si>
  <si>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</si>
  <si>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</si>
  <si>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</si>
  <si>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</si>
  <si>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</si>
  <si>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</si>
  <si>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</si>
  <si>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</si>
  <si>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</si>
  <si>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</si>
  <si>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</si>
  <si>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</si>
  <si>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</si>
  <si>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</si>
  <si>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</si>
  <si>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</si>
  <si>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</si>
  <si>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</si>
  <si>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</si>
  <si>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</si>
  <si>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</si>
  <si>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</si>
  <si>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</si>
  <si>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</si>
  <si>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</si>
  <si>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</si>
  <si>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</si>
  <si>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</si>
  <si>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</si>
  <si>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</si>
  <si>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</si>
  <si>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</si>
  <si>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</si>
  <si>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</si>
  <si>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</si>
  <si>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</si>
  <si>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</si>
  <si>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</si>
  <si>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</si>
  <si>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</si>
  <si>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</si>
  <si>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</si>
  <si>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</si>
  <si>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</si>
  <si>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</si>
  <si>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</si>
  <si>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</si>
  <si>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</si>
  <si>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</si>
  <si>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</si>
  <si>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</si>
  <si>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</si>
  <si>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</si>
  <si>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</si>
  <si>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</si>
  <si>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</si>
  <si>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</si>
  <si>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</si>
  <si>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</si>
  <si>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</si>
  <si>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</si>
  <si>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</si>
  <si>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</si>
  <si>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</si>
  <si>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</si>
  <si>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</si>
  <si>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</si>
  <si>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</si>
  <si>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</si>
  <si>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</si>
  <si>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</si>
  <si>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</si>
  <si>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</si>
  <si>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</si>
  <si>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</si>
  <si>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</si>
  <si>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</si>
  <si>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</si>
  <si>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</si>
  <si>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</si>
  <si>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</si>
  <si>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</si>
  <si>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</si>
  <si>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</si>
  <si>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</si>
  <si>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</si>
  <si>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</si>
  <si>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</si>
  <si>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</si>
  <si>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</si>
  <si>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</si>
  <si>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</si>
  <si>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</si>
  <si>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</si>
  <si>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</si>
  <si>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</si>
  <si>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</si>
  <si>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</si>
  <si>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</si>
  <si>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</si>
  <si>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</si>
  <si>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</si>
  <si>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</si>
  <si>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</si>
  <si>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</si>
  <si>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</si>
  <si>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</si>
  <si>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</si>
  <si>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</si>
  <si>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</si>
  <si>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</si>
  <si>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</si>
  <si>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</si>
  <si>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</si>
  <si>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</si>
  <si>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</si>
  <si>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</si>
  <si>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</si>
  <si>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</si>
  <si>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</si>
  <si>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</si>
  <si>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</si>
  <si>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</si>
  <si>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</si>
  <si>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</si>
  <si>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</si>
  <si>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</si>
  <si>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</si>
  <si>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</si>
  <si>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</si>
  <si>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</si>
  <si>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</si>
  <si>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</si>
  <si>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</si>
  <si>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</si>
  <si>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</si>
  <si>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</si>
  <si>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</si>
  <si>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</si>
  <si>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</si>
  <si>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</si>
  <si>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</si>
  <si>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</si>
  <si>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</si>
  <si>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</si>
  <si>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</si>
  <si>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</si>
  <si>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</si>
  <si>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</si>
  <si>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</si>
  <si>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</si>
  <si>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</si>
  <si>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</si>
  <si>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</si>
  <si>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</si>
  <si>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</si>
  <si>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</si>
  <si>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</si>
  <si>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</si>
  <si>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</si>
  <si>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</si>
  <si>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</si>
  <si>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</si>
  <si>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</si>
  <si>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</si>
  <si>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</si>
  <si>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</si>
  <si>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</si>
  <si>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</si>
  <si>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</si>
  <si>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</si>
  <si>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</si>
  <si>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</si>
  <si>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</si>
  <si>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</si>
  <si>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</si>
  <si>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</si>
  <si>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</si>
  <si>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</si>
  <si>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</si>
  <si>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</si>
  <si>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</si>
  <si>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</si>
  <si>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</si>
  <si>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</si>
  <si>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</si>
  <si>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</si>
  <si>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</si>
  <si>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</si>
  <si>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</si>
  <si>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</si>
  <si>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</si>
  <si>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</si>
  <si>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</si>
  <si>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</si>
  <si>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</si>
  <si>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</si>
  <si>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</si>
  <si>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</si>
  <si>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</si>
  <si>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</si>
  <si>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</si>
  <si>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</si>
  <si>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</si>
  <si>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</si>
  <si>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</si>
  <si>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</si>
  <si>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</si>
  <si>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</si>
  <si>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</si>
  <si>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</si>
  <si>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</si>
  <si>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</si>
  <si>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</si>
  <si>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</si>
  <si>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</si>
  <si>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</si>
  <si>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</si>
  <si>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</si>
  <si>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</si>
  <si>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</si>
  <si>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</si>
  <si>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</si>
  <si>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</si>
  <si>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</si>
  <si>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</si>
  <si>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</si>
  <si>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</si>
  <si>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</si>
  <si>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</si>
  <si>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</si>
  <si>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</si>
  <si>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</si>
  <si>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</si>
  <si>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</si>
  <si>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</si>
  <si>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</si>
  <si>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</si>
  <si>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</si>
  <si>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</si>
  <si>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</si>
  <si>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</si>
  <si>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</si>
  <si>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</si>
  <si>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</si>
  <si>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</si>
  <si>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</si>
  <si>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</si>
  <si>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</si>
  <si>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</si>
  <si>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</si>
  <si>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</si>
  <si>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</si>
  <si>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</si>
  <si>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</si>
  <si>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</si>
  <si>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</si>
  <si>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</si>
  <si>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</si>
  <si>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</si>
  <si>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</si>
  <si>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</si>
  <si>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</si>
  <si>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</si>
  <si>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</si>
  <si>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</si>
  <si>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</si>
  <si>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</si>
  <si>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</si>
  <si>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</si>
  <si>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</si>
  <si>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</si>
  <si>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</si>
  <si>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</si>
  <si>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</si>
  <si>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</si>
  <si>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</si>
  <si>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</si>
  <si>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</si>
  <si>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</si>
  <si>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</si>
  <si>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</si>
  <si>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</si>
  <si>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</si>
  <si>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</si>
  <si>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</si>
  <si>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</si>
  <si>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</si>
  <si>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</si>
  <si>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</si>
  <si>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</si>
  <si>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</si>
  <si>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</si>
  <si>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</si>
  <si>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</si>
  <si>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</si>
  <si>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</si>
  <si>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</si>
  <si>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</si>
  <si>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</si>
  <si>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</si>
  <si>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</si>
  <si>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</si>
  <si>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</si>
  <si>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</si>
  <si>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</si>
  <si>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</si>
  <si>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</si>
  <si>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</si>
  <si>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</si>
  <si>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</si>
  <si>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</si>
  <si>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</si>
  <si>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</si>
  <si>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</si>
  <si>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</si>
  <si>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</si>
  <si>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</si>
  <si>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</si>
  <si>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</si>
  <si>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</si>
  <si>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</si>
  <si>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</si>
  <si>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</si>
  <si>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</si>
  <si>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</si>
  <si>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</si>
  <si>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</si>
  <si>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</si>
  <si>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</si>
  <si>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</si>
  <si>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</si>
  <si>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</si>
  <si>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</si>
  <si>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</si>
  <si>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</si>
  <si>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</si>
  <si>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</si>
  <si>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</si>
  <si>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</si>
  <si>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</si>
  <si>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</si>
  <si>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</si>
  <si>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</si>
  <si>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</si>
  <si>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</si>
  <si>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</si>
  <si>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</si>
  <si>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</si>
  <si>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</si>
  <si>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</si>
  <si>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</si>
  <si>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</si>
  <si>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</si>
  <si>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</si>
  <si>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</si>
  <si>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</si>
  <si>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</si>
  <si>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</si>
  <si>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</si>
  <si>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</si>
  <si>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</si>
  <si>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</si>
  <si>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</si>
  <si>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</si>
  <si>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</si>
  <si>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</si>
  <si>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</si>
  <si>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</si>
  <si>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</si>
  <si>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</si>
  <si>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</si>
  <si>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</si>
  <si>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</si>
  <si>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</si>
  <si>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</si>
  <si>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</si>
  <si>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</si>
  <si>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</si>
  <si>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</si>
  <si>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</si>
  <si>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</si>
  <si>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</si>
  <si>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</si>
  <si>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</si>
  <si>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</si>
  <si>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</si>
  <si>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</si>
  <si>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</si>
  <si>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</si>
  <si>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</si>
  <si>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</si>
  <si>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</si>
  <si>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</si>
  <si>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</si>
  <si>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</si>
  <si>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</si>
  <si>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</si>
  <si>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</si>
  <si>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</si>
  <si>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</si>
  <si>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</si>
  <si>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</si>
  <si>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</si>
  <si>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</si>
  <si>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</si>
  <si>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</si>
  <si>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</si>
  <si>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</si>
  <si>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</si>
  <si>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</si>
  <si>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</si>
  <si>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</si>
  <si>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</si>
  <si>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</si>
  <si>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</si>
  <si>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</si>
  <si>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</si>
  <si>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</si>
  <si>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</si>
  <si>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</si>
  <si>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</si>
  <si>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</si>
  <si>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</si>
  <si>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</si>
  <si>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</si>
  <si>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</si>
  <si>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</si>
  <si>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</si>
  <si>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</si>
  <si>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</si>
  <si>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</si>
  <si>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</si>
  <si>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</si>
  <si>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</si>
  <si>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</si>
  <si>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</si>
  <si>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</si>
  <si>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</si>
  <si>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</si>
  <si>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</si>
  <si>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</si>
  <si>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</si>
  <si>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</si>
  <si>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</si>
  <si>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</si>
  <si>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</si>
  <si>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</si>
  <si>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</si>
  <si>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</si>
  <si>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</si>
  <si>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</si>
  <si>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</si>
  <si>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</si>
  <si>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</si>
  <si>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</si>
  <si>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</si>
  <si>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</si>
  <si>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</si>
  <si>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</si>
  <si>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</si>
  <si>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</si>
  <si>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</si>
  <si>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</si>
  <si>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</si>
  <si>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</si>
  <si>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</si>
  <si>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</si>
  <si>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</si>
  <si>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</si>
  <si>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</si>
  <si>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</si>
  <si>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</si>
  <si>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</si>
  <si>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</si>
  <si>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</si>
  <si>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</si>
  <si>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</si>
  <si>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</si>
  <si>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</si>
  <si>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</si>
  <si>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</si>
  <si>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</si>
  <si>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</si>
  <si>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</si>
  <si>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</si>
  <si>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</si>
  <si>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</si>
  <si>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</si>
  <si>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</si>
  <si>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</si>
  <si>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</si>
  <si>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</si>
  <si>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</si>
  <si>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</si>
  <si>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</si>
  <si>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</si>
  <si>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</si>
  <si>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</si>
  <si>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</si>
  <si>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</si>
  <si>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</si>
  <si>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</si>
  <si>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</si>
  <si>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</si>
  <si>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</si>
  <si>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</si>
  <si>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</si>
  <si>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</si>
  <si>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</si>
  <si>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</si>
  <si>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</si>
  <si>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</si>
  <si>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</si>
  <si>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</si>
  <si>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</si>
  <si>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</si>
  <si>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</si>
  <si>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</si>
  <si>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</si>
  <si>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</si>
  <si>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</si>
  <si>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</si>
  <si>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</si>
  <si>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</si>
  <si>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</si>
  <si>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</si>
  <si>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</si>
  <si>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</si>
  <si>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</si>
  <si>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</si>
  <si>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</si>
  <si>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</si>
  <si>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</si>
  <si>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</si>
  <si>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</si>
  <si>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</si>
  <si>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</si>
  <si>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</si>
  <si>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</si>
  <si>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</si>
  <si>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</si>
  <si>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</si>
  <si>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</si>
  <si>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</si>
  <si>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</si>
  <si>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</si>
  <si>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</si>
  <si>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</si>
  <si>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</si>
  <si>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</si>
  <si>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</si>
  <si>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</si>
  <si>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</si>
  <si>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</si>
  <si>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</si>
  <si>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</si>
  <si>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</si>
  <si>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</si>
  <si>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</si>
  <si>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</si>
  <si>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</si>
  <si>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</si>
  <si>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</si>
  <si>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</si>
  <si>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</si>
  <si>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</si>
  <si>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</si>
  <si>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</si>
  <si>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</si>
  <si>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</si>
  <si>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</si>
  <si>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</si>
  <si>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</si>
  <si>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</si>
  <si>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</si>
  <si>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</si>
  <si>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</si>
  <si>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</si>
  <si>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</si>
  <si>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</si>
  <si>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</si>
  <si>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</si>
  <si>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</si>
  <si>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</si>
  <si>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</si>
  <si>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</si>
  <si>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</si>
  <si>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</si>
  <si>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</si>
  <si>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</si>
  <si>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</si>
  <si>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</si>
  <si>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</si>
  <si>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</si>
  <si>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</si>
  <si>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</si>
  <si>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</si>
  <si>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</si>
  <si>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</si>
  <si>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</si>
  <si>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</si>
  <si>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</si>
  <si>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</si>
  <si>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</si>
  <si>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</si>
  <si>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</si>
  <si>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</si>
  <si>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</si>
  <si>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</si>
  <si>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</si>
  <si>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</si>
  <si>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</si>
  <si>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</si>
  <si>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</si>
  <si>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</si>
  <si>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</si>
  <si>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</si>
  <si>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</si>
  <si>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</si>
  <si>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</si>
  <si>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</si>
  <si>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</si>
  <si>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</si>
  <si>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</si>
  <si>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</si>
  <si>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</si>
  <si>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</si>
  <si>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</si>
  <si>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</si>
  <si>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</si>
  <si>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</si>
  <si>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</si>
  <si>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</si>
  <si>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</si>
  <si>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</si>
  <si>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</si>
  <si>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</si>
  <si>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</si>
  <si>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</si>
  <si>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</si>
  <si>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</si>
  <si>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</si>
  <si>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</si>
  <si>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</si>
  <si>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</si>
  <si>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</si>
  <si>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</si>
  <si>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</si>
  <si>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</si>
  <si>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</si>
  <si>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</si>
  <si>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</si>
  <si>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</si>
  <si>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</si>
  <si>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</si>
  <si>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</si>
  <si>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</si>
  <si>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</si>
  <si>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</si>
  <si>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</si>
  <si>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</si>
  <si>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</si>
  <si>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</si>
  <si>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</si>
  <si>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</si>
  <si>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</si>
  <si>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</si>
  <si>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</si>
  <si>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</si>
  <si>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</si>
  <si>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</si>
  <si>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</si>
  <si>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</si>
  <si>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</si>
  <si>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</si>
  <si>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</si>
  <si>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</si>
  <si>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</si>
  <si>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</si>
  <si>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</si>
  <si>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</si>
  <si>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</si>
  <si>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</si>
  <si>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</si>
  <si>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</si>
  <si>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</si>
  <si>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</si>
  <si>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</si>
  <si>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</si>
  <si>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</si>
  <si>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</si>
  <si>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</si>
  <si>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</si>
  <si>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</si>
  <si>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</si>
  <si>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</si>
  <si>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</si>
  <si>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</si>
  <si>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</si>
  <si>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</si>
  <si>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</si>
  <si>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</si>
  <si>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</si>
  <si>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</si>
  <si>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</si>
  <si>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</si>
  <si>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</si>
  <si>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</si>
  <si>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</si>
  <si>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</si>
  <si>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</si>
  <si>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</si>
  <si>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</si>
  <si>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</si>
  <si>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</si>
  <si>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</si>
  <si>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</si>
  <si>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</si>
  <si>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</si>
  <si>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</si>
  <si>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</si>
  <si>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</si>
  <si>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</si>
  <si>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</si>
  <si>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</si>
  <si>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</si>
  <si>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</si>
  <si>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</si>
  <si>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</si>
  <si>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</si>
  <si>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</si>
  <si>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</si>
  <si>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</si>
  <si>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</si>
  <si>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</si>
  <si>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</si>
  <si>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</si>
  <si>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</si>
  <si>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</si>
  <si>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</si>
  <si>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</si>
  <si>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</si>
  <si>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</si>
  <si>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</si>
  <si>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</si>
  <si>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</si>
  <si>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</si>
  <si>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</si>
  <si>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</si>
  <si>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</si>
  <si>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</si>
  <si>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</si>
  <si>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</si>
  <si>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</si>
  <si>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</si>
  <si>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</si>
  <si>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</si>
  <si>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</si>
  <si>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</si>
  <si>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</si>
  <si>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</si>
  <si>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</si>
  <si>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</si>
  <si>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</si>
  <si>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</si>
  <si>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</si>
  <si>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</si>
  <si>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</si>
  <si>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</si>
  <si>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</si>
  <si>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</si>
  <si>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</si>
  <si>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</si>
  <si>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</si>
  <si>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</si>
  <si>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</si>
  <si>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</si>
  <si>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</si>
  <si>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</si>
  <si>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</si>
  <si>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</si>
  <si>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</si>
  <si>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</si>
  <si>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</si>
  <si>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</si>
  <si>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</si>
  <si>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</si>
  <si>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</si>
  <si>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</si>
  <si>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</si>
  <si>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</si>
  <si>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</si>
  <si>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</si>
  <si>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</si>
  <si>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</si>
  <si>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</si>
  <si>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</si>
  <si>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</si>
  <si>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</si>
  <si>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</si>
  <si>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</si>
  <si>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</si>
  <si>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</si>
  <si>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</si>
  <si>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</si>
  <si>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</si>
  <si>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</si>
  <si>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</si>
  <si>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</si>
  <si>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</si>
  <si>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</si>
  <si>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</si>
  <si>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</si>
  <si>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</si>
  <si>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</si>
  <si>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</si>
  <si>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</si>
  <si>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</si>
  <si>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</si>
  <si>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</si>
  <si>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</si>
  <si>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</si>
  <si>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</si>
  <si>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</si>
  <si>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</si>
  <si>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</si>
  <si>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</si>
  <si>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</si>
  <si>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</si>
  <si>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</si>
  <si>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</si>
  <si>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</si>
  <si>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</si>
  <si>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</si>
  <si>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</si>
  <si>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</si>
  <si>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</si>
  <si>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</si>
  <si>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</si>
  <si>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</si>
  <si>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</si>
  <si>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</si>
  <si>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</si>
  <si>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</si>
  <si>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</si>
  <si>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</si>
  <si>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</si>
  <si>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</si>
  <si>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</si>
  <si>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</si>
  <si>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</si>
  <si>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</si>
  <si>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</si>
  <si>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</si>
  <si>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</si>
  <si>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</si>
  <si>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</si>
  <si>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</si>
  <si>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</si>
  <si>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</si>
  <si>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</si>
  <si>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</si>
  <si>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</si>
  <si>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</si>
  <si>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</si>
  <si>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</si>
  <si>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</si>
  <si>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</si>
  <si>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</si>
  <si>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</si>
  <si>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</si>
  <si>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</si>
  <si>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</si>
  <si>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</si>
  <si>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</si>
  <si>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</si>
  <si>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</si>
  <si>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</si>
  <si>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</si>
  <si>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</si>
  <si>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</si>
  <si>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</si>
  <si>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</si>
  <si>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</si>
  <si>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</si>
  <si>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</si>
  <si>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</si>
  <si>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</si>
  <si>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</si>
  <si>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</si>
  <si>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</si>
  <si>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</si>
  <si>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</si>
  <si>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</si>
  <si>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</si>
  <si>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</si>
  <si>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</si>
  <si>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</si>
  <si>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</si>
  <si>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</si>
  <si>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</si>
  <si>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</si>
  <si>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</si>
  <si>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</si>
  <si>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</si>
  <si>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</si>
  <si>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</si>
  <si>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</si>
  <si>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</si>
  <si>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</si>
  <si>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</si>
  <si>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</si>
  <si>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</si>
  <si>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</si>
  <si>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</si>
  <si>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</si>
  <si>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</si>
  <si>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</si>
  <si>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</si>
  <si>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</si>
  <si>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</si>
  <si>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</si>
  <si>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</si>
  <si>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</si>
  <si>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</si>
  <si>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</si>
  <si>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</si>
  <si>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</si>
  <si>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</si>
  <si>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</si>
  <si>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</si>
  <si>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</si>
  <si>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</si>
  <si>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</si>
  <si>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</si>
  <si>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</si>
  <si>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</si>
  <si>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</si>
  <si>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</si>
  <si>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</si>
  <si>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</si>
  <si>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</si>
  <si>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</si>
  <si>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</si>
  <si>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</si>
  <si>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</si>
  <si>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</si>
  <si>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</si>
  <si>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</si>
  <si>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</si>
  <si>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</si>
  <si>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</si>
  <si>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</si>
  <si>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</si>
  <si>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</si>
  <si>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</si>
  <si>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</si>
  <si>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</si>
  <si>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</si>
  <si>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</si>
  <si>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</si>
  <si>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</si>
  <si>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</si>
  <si>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</si>
  <si>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</si>
  <si>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</si>
  <si>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</si>
  <si>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</si>
  <si>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</si>
  <si>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</si>
  <si>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</si>
  <si>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</si>
  <si>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</si>
  <si>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</si>
  <si>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</si>
  <si>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</si>
  <si>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</si>
  <si>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</si>
  <si>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</si>
  <si>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</si>
  <si>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</si>
  <si>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</si>
  <si>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</si>
  <si>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</si>
  <si>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</si>
  <si>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</si>
  <si>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</si>
  <si>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</si>
  <si>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</si>
  <si>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</si>
  <si>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</si>
  <si>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</si>
  <si>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</si>
  <si>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</si>
  <si>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</si>
  <si>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</si>
  <si>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</si>
  <si>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</si>
  <si>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</si>
  <si>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</si>
  <si>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</si>
  <si>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</si>
  <si>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</si>
  <si>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</si>
  <si>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</si>
  <si>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</si>
  <si>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</si>
  <si>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</si>
  <si>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</si>
  <si>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</si>
  <si>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</si>
  <si>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</si>
  <si>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</si>
  <si>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</si>
  <si>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</si>
  <si>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</si>
  <si>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</si>
  <si>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</si>
  <si>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</si>
  <si>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</si>
  <si>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</si>
  <si>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</si>
  <si>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</si>
  <si>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</si>
  <si>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</si>
  <si>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</si>
  <si>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</si>
  <si>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</si>
  <si>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</si>
  <si>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</si>
  <si>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</si>
  <si>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</si>
  <si>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</si>
  <si>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</si>
  <si>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</si>
  <si>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</si>
  <si>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</si>
  <si>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</si>
  <si>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</si>
  <si>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</si>
  <si>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</si>
  <si>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</si>
  <si>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</si>
  <si>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</si>
  <si>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</si>
  <si>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</si>
  <si>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</si>
  <si>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</si>
  <si>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</si>
  <si>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</si>
  <si>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</si>
  <si>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</si>
  <si>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</si>
  <si>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</si>
  <si>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</si>
  <si>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</si>
  <si>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</si>
  <si>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</si>
  <si>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</si>
  <si>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</si>
  <si>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</si>
  <si>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</si>
  <si>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</si>
  <si>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</si>
  <si>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</si>
  <si>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</si>
  <si>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</si>
  <si>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</si>
  <si>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</si>
  <si>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</si>
  <si>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</si>
  <si>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</si>
  <si>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</si>
  <si>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</si>
  <si>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</si>
  <si>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</si>
  <si>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</si>
  <si>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</si>
  <si>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</si>
  <si>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</si>
  <si>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</si>
  <si>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</si>
  <si>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</si>
  <si>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</si>
  <si>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</si>
  <si>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</si>
  <si>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</si>
  <si>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</si>
  <si>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</si>
  <si>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</si>
  <si>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</si>
  <si>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</si>
  <si>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</si>
  <si>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</si>
  <si>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</si>
  <si>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</si>
  <si>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</si>
  <si>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</si>
  <si>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</si>
  <si>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</si>
  <si>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</si>
  <si>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</si>
  <si>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</si>
  <si>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</si>
  <si>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</si>
  <si>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</si>
  <si>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</si>
  <si>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</si>
  <si>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</si>
  <si>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</si>
  <si>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</si>
  <si>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</si>
  <si>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</si>
  <si>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</si>
  <si>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</si>
  <si>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</si>
  <si>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</si>
  <si>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</si>
  <si>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</si>
  <si>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</si>
  <si>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</si>
  <si>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</si>
  <si>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</si>
  <si>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</si>
  <si>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</si>
  <si>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</si>
  <si>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</si>
  <si>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</si>
  <si>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</si>
  <si>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</si>
  <si>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</si>
  <si>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</si>
  <si>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</si>
  <si>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</si>
  <si>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</si>
  <si>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</si>
  <si>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</si>
  <si>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</si>
  <si>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</si>
  <si>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</si>
  <si>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</si>
  <si>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</si>
  <si>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</si>
  <si>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</si>
  <si>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</si>
  <si>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</si>
  <si>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</si>
  <si>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</si>
  <si>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</si>
  <si>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</si>
  <si>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</si>
  <si>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</si>
  <si>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</si>
  <si>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</si>
  <si>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</si>
  <si>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</si>
  <si>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</si>
  <si>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</si>
  <si>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</si>
  <si>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</si>
  <si>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</si>
  <si>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</si>
  <si>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</si>
  <si>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</si>
  <si>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</si>
  <si>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</si>
  <si>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</si>
  <si>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</si>
  <si>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</si>
  <si>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</si>
  <si>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</si>
  <si>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</si>
  <si>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</si>
  <si>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</si>
  <si>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</si>
  <si>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</si>
  <si>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</si>
  <si>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</si>
  <si>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</si>
  <si>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</si>
  <si>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</si>
  <si>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</si>
  <si>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</si>
  <si>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</si>
  <si>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</si>
  <si>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</si>
  <si>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</si>
  <si>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</si>
  <si>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</si>
  <si>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</si>
  <si>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</si>
  <si>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</si>
  <si>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</si>
  <si>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</si>
  <si>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</si>
  <si>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</si>
  <si>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</si>
  <si>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</si>
  <si>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</si>
  <si>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</si>
  <si>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</si>
  <si>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</si>
  <si>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</si>
  <si>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</si>
  <si>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</si>
  <si>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</si>
  <si>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</si>
  <si>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</si>
  <si>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</si>
  <si>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</si>
  <si>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</si>
  <si>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</si>
  <si>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</si>
  <si>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</si>
  <si>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</si>
  <si>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</si>
  <si>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</si>
  <si>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</si>
  <si>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</si>
  <si>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</si>
  <si>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</si>
  <si>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</si>
  <si>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</si>
  <si>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</si>
  <si>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</si>
  <si>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</si>
  <si>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</si>
  <si>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</si>
  <si>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</si>
  <si>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</si>
  <si>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</si>
  <si>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</si>
  <si>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</si>
  <si>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</si>
  <si>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</si>
  <si>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</si>
  <si>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</si>
  <si>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</si>
  <si>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</si>
  <si>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</si>
  <si>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</si>
  <si>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</si>
  <si>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</si>
  <si>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</si>
  <si>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</si>
  <si>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</si>
  <si>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</si>
  <si>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</si>
  <si>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</si>
  <si>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</si>
  <si>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</si>
  <si>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</si>
  <si>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</si>
  <si>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</si>
  <si>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</si>
  <si>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</si>
  <si>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</si>
  <si>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</si>
  <si>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</si>
  <si>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</si>
  <si>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</si>
  <si>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</si>
  <si>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</si>
  <si>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</si>
  <si>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</si>
  <si>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</si>
  <si>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</si>
  <si>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</si>
  <si>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</si>
  <si>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</si>
  <si>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</si>
  <si>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</si>
  <si>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</si>
  <si>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</si>
  <si>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</si>
  <si>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</si>
  <si>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</si>
  <si>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</si>
  <si>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</si>
  <si>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</si>
  <si>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</si>
  <si>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</si>
  <si>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</si>
  <si>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</si>
  <si>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</si>
  <si>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</si>
  <si>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</si>
  <si>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</si>
  <si>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</si>
  <si>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</si>
  <si>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</si>
  <si>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</si>
  <si>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</si>
  <si>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</si>
  <si>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</si>
  <si>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</si>
  <si>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</si>
  <si>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</si>
  <si>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</si>
  <si>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</si>
  <si>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</si>
  <si>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</si>
  <si>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</si>
  <si>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</si>
  <si>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</si>
  <si>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</si>
  <si>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</si>
  <si>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</si>
  <si>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</si>
  <si>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</si>
  <si>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</si>
  <si>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</si>
  <si>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</si>
  <si>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</si>
  <si>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</si>
  <si>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</si>
  <si>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</si>
  <si>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</si>
  <si>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</si>
  <si>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</si>
  <si>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</si>
  <si>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</si>
  <si>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</si>
  <si>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</si>
  <si>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</si>
  <si>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</si>
  <si>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</si>
  <si>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</si>
  <si>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</si>
  <si>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</si>
  <si>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</si>
  <si>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</si>
  <si>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</si>
  <si>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</si>
  <si>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</si>
  <si>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</si>
  <si>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</si>
  <si>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</si>
  <si>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</si>
  <si>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</si>
  <si>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</si>
  <si>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</si>
  <si>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</si>
  <si>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</si>
  <si>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</si>
  <si>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</si>
  <si>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</si>
  <si>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</si>
  <si>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</si>
  <si>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</si>
  <si>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</si>
  <si>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</si>
  <si>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</si>
  <si>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</si>
  <si>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</si>
  <si>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</si>
  <si>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</si>
  <si>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</si>
  <si>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</si>
  <si>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</si>
  <si>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</si>
  <si>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</si>
  <si>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</si>
  <si>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</si>
  <si>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</si>
  <si>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</si>
  <si>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</si>
  <si>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</si>
  <si>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</si>
  <si>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</si>
  <si>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</si>
  <si>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</si>
  <si>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</si>
  <si>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</si>
  <si>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</si>
  <si>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</si>
  <si>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</si>
  <si>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</si>
  <si>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</si>
  <si>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</si>
  <si>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</si>
  <si>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</si>
  <si>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</si>
  <si>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</si>
  <si>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</si>
  <si>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</si>
  <si>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</si>
  <si>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</si>
  <si>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</si>
  <si>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</si>
  <si>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</si>
  <si>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</si>
  <si>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</si>
  <si>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</si>
  <si>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</si>
  <si>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</si>
  <si>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</si>
  <si>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</si>
  <si>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</si>
  <si>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</si>
  <si>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</si>
  <si>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</si>
  <si>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</si>
  <si>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</si>
  <si>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</si>
  <si>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</si>
  <si>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</si>
  <si>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</si>
  <si>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</si>
  <si>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</si>
  <si>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</si>
  <si>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</si>
  <si>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</si>
  <si>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</si>
  <si>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</si>
  <si>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</si>
  <si>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</si>
  <si>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</si>
  <si>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</si>
  <si>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</si>
  <si>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</si>
  <si>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</si>
  <si>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</si>
  <si>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</si>
  <si>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</si>
  <si>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</si>
  <si>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</si>
  <si>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</si>
  <si>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</si>
  <si>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</si>
  <si>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</si>
  <si>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</si>
  <si>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</si>
  <si>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</si>
  <si>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</si>
  <si>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</si>
  <si>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</si>
  <si>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</si>
  <si>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</si>
  <si>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</si>
  <si>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</si>
  <si>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</si>
  <si>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</si>
  <si>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</si>
  <si>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</si>
  <si>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</si>
  <si>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</si>
  <si>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</si>
  <si>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</si>
  <si>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</si>
  <si>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</si>
  <si>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</si>
  <si>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</si>
  <si>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</si>
  <si>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</si>
  <si>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</si>
  <si>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</si>
  <si>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</si>
  <si>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</si>
  <si>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</si>
  <si>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</si>
  <si>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</si>
  <si>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</si>
  <si>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</si>
  <si>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</si>
  <si>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</si>
  <si>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</si>
  <si>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</si>
  <si>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</si>
  <si>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</si>
  <si>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</si>
  <si>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</si>
  <si>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</si>
  <si>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</si>
  <si>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</si>
  <si>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</si>
  <si>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</si>
  <si>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</si>
  <si>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</si>
  <si>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</si>
  <si>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</si>
  <si>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</si>
  <si>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</si>
  <si>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</si>
  <si>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</si>
  <si>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</si>
  <si>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</si>
  <si>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</si>
  <si>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</si>
  <si>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</si>
  <si>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</si>
  <si>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</si>
  <si>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</si>
  <si>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</si>
  <si>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</si>
  <si>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</si>
  <si>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</si>
  <si>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</si>
  <si>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</si>
  <si>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</si>
  <si>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</si>
  <si>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</si>
  <si>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</si>
  <si>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</si>
  <si>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</si>
  <si>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</si>
  <si>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</si>
  <si>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</si>
  <si>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</si>
  <si>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</si>
  <si>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</si>
  <si>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</si>
  <si>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</si>
  <si>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</si>
  <si>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</si>
  <si>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</si>
  <si>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</si>
  <si>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</si>
  <si>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</si>
  <si>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</si>
  <si>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</si>
  <si>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</si>
  <si>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</si>
  <si>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</si>
  <si>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</si>
  <si>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</si>
  <si>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</si>
  <si>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</si>
  <si>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</si>
  <si>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</si>
  <si>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</si>
  <si>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</si>
  <si>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</si>
  <si>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</si>
  <si>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</si>
  <si>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</si>
  <si>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</si>
  <si>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</si>
  <si>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</si>
  <si>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</si>
  <si>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</si>
  <si>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</si>
  <si>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</si>
  <si>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</si>
  <si>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</si>
  <si>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</si>
  <si>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</si>
  <si>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</si>
  <si>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</si>
  <si>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</si>
  <si>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</si>
  <si>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</si>
  <si>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</si>
  <si>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</si>
  <si>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</si>
  <si>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</si>
  <si>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</si>
  <si>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</si>
  <si>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</si>
  <si>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</si>
  <si>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</si>
  <si>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</si>
  <si>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</si>
  <si>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</si>
  <si>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</si>
  <si>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</si>
  <si>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</si>
  <si>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</si>
  <si>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</si>
  <si>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</si>
  <si>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</si>
  <si>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</si>
  <si>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</si>
  <si>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</si>
  <si>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</si>
  <si>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</si>
  <si>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</si>
  <si>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</si>
  <si>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</si>
  <si>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</si>
  <si>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</si>
  <si>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</si>
  <si>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</si>
  <si>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</si>
  <si>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</si>
  <si>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</si>
  <si>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</si>
  <si>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</si>
  <si>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</si>
  <si>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</si>
  <si>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</si>
  <si>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</si>
  <si>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</si>
  <si>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</si>
  <si>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</si>
  <si>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</si>
  <si>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</si>
  <si>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</si>
  <si>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</si>
  <si>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</si>
  <si>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</si>
  <si>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</si>
  <si>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</si>
  <si>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</si>
  <si>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</si>
  <si>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</si>
  <si>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</si>
  <si>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</si>
  <si>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</si>
  <si>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</si>
  <si>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</si>
  <si>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</si>
  <si>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</si>
  <si>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</si>
  <si>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</si>
  <si>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</si>
  <si>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</si>
  <si>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</si>
  <si>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</si>
  <si>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</si>
  <si>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</si>
  <si>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</si>
  <si>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</si>
  <si>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</si>
  <si>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</si>
  <si>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</si>
  <si>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</si>
  <si>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</si>
  <si>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</si>
  <si>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</si>
  <si>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</si>
  <si>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</si>
  <si>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</si>
  <si>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</si>
  <si>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</si>
  <si>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</si>
  <si>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</si>
  <si>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</si>
  <si>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</si>
  <si>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</si>
  <si>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</si>
  <si>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</si>
  <si>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</si>
  <si>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</si>
  <si>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</si>
  <si>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</si>
  <si>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</si>
  <si>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</si>
  <si>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</si>
  <si>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</si>
  <si>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</si>
  <si>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</si>
  <si>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</si>
  <si>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</si>
  <si>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</si>
  <si>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</si>
  <si>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</si>
  <si>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</si>
  <si>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</si>
  <si>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</si>
  <si>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</si>
  <si>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</si>
  <si>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</si>
  <si>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</si>
  <si>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</si>
  <si>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</si>
  <si>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</si>
  <si>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</si>
  <si>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</si>
  <si>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</si>
  <si>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</si>
  <si>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</si>
  <si>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</si>
  <si>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</si>
  <si>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</si>
  <si>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</si>
  <si>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</si>
  <si>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</si>
  <si>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</si>
  <si>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</si>
  <si>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</si>
  <si>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</si>
  <si>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</si>
  <si>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</si>
  <si>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</si>
  <si>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</si>
  <si>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</si>
  <si>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</si>
  <si>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</si>
  <si>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</si>
  <si>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</si>
  <si>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</si>
  <si>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</si>
  <si>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</si>
  <si>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</si>
  <si>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</si>
  <si>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</si>
  <si>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</si>
  <si>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</si>
  <si>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</si>
  <si>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</si>
  <si>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</si>
  <si>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</si>
  <si>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</si>
  <si>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</si>
  <si>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</si>
  <si>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</si>
  <si>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</si>
  <si>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</si>
  <si>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</si>
  <si>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</si>
  <si>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</si>
  <si>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</si>
  <si>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</si>
  <si>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</si>
  <si>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</si>
  <si>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</si>
  <si>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</si>
  <si>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</si>
  <si>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</si>
  <si>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</si>
  <si>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</si>
  <si>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</si>
  <si>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</si>
  <si>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</si>
  <si>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</si>
  <si>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</si>
  <si>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</si>
  <si>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</si>
  <si>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</si>
  <si>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</si>
  <si>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</si>
  <si>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</si>
  <si>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</si>
  <si>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</si>
  <si>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</si>
  <si>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</si>
  <si>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</si>
  <si>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</si>
  <si>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</si>
  <si>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</si>
  <si>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</si>
  <si>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</si>
  <si>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</si>
  <si>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</si>
  <si>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</si>
  <si>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</si>
  <si>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</si>
  <si>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</si>
  <si>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</si>
  <si>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</si>
  <si>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</si>
  <si>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</si>
  <si>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</si>
  <si>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</si>
  <si>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</si>
  <si>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</si>
  <si>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</si>
  <si>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</si>
  <si>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</si>
  <si>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</si>
  <si>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</si>
  <si>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</si>
  <si>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</si>
  <si>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</si>
  <si>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</si>
  <si>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</si>
  <si>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</si>
  <si>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</si>
  <si>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</si>
  <si>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</si>
  <si>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</si>
  <si>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</si>
  <si>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</si>
  <si>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</si>
  <si>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</si>
  <si>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</si>
  <si>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</si>
  <si>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</si>
  <si>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</si>
  <si>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</si>
  <si>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</si>
  <si>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</si>
  <si>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</si>
  <si>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</si>
  <si>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</si>
  <si>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</si>
  <si>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</si>
  <si>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</si>
  <si>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</si>
  <si>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</si>
  <si>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</si>
  <si>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</si>
  <si>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</si>
  <si>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</si>
  <si>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</si>
  <si>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</si>
  <si>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</si>
  <si>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</si>
  <si>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</si>
  <si>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</si>
  <si>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</si>
  <si>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</si>
  <si>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</si>
  <si>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</si>
  <si>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</si>
  <si>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</si>
  <si>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</si>
  <si>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</si>
  <si>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</si>
  <si>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</si>
  <si>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</si>
  <si>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</si>
  <si>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</si>
  <si>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</si>
  <si>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</si>
  <si>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</si>
  <si>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</si>
  <si>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</si>
  <si>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</si>
  <si>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</si>
  <si>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</si>
  <si>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</si>
  <si>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</si>
  <si>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</si>
  <si>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</si>
  <si>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</si>
  <si>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</si>
  <si>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</si>
  <si>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</si>
  <si>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</si>
  <si>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</si>
  <si>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</si>
  <si>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</si>
  <si>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</si>
  <si>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</si>
  <si>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</si>
  <si>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</si>
  <si>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</si>
  <si>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</si>
  <si>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</si>
  <si>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</si>
  <si>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</si>
  <si>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</si>
  <si>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</si>
  <si>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</si>
  <si>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</si>
  <si>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</si>
  <si>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</si>
  <si>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</si>
  <si>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</si>
  <si>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</si>
  <si>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</si>
  <si>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</si>
  <si>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</si>
  <si>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</si>
  <si>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</si>
  <si>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</si>
  <si>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</si>
  <si>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</si>
  <si>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</si>
  <si>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</si>
  <si>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</si>
  <si>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</si>
  <si>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</si>
  <si>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</si>
  <si>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</si>
  <si>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</si>
  <si>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</si>
  <si>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</si>
  <si>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</si>
  <si>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</si>
  <si>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</si>
  <si>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</si>
  <si>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</si>
  <si>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</si>
  <si>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</si>
  <si>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</si>
  <si>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</si>
  <si>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</si>
  <si>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</si>
  <si>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</si>
  <si>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</si>
  <si>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</si>
  <si>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</si>
  <si>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</si>
  <si>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</si>
  <si>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</si>
  <si>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</si>
  <si>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</si>
  <si>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</si>
  <si>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</si>
  <si>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</si>
  <si>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</si>
  <si>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</si>
  <si>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</si>
  <si>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</si>
  <si>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</si>
  <si>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</si>
  <si>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</si>
  <si>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</si>
  <si>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</si>
  <si>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</si>
  <si>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</si>
  <si>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</si>
  <si>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</si>
  <si>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</si>
  <si>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</si>
  <si>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</si>
  <si>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</si>
  <si>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</si>
  <si>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</si>
  <si>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</si>
  <si>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</si>
  <si>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</si>
  <si>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</si>
  <si>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</si>
  <si>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</si>
  <si>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</si>
  <si>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</si>
  <si>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</si>
  <si>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</si>
  <si>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</si>
  <si>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</si>
  <si>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</si>
  <si>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</si>
  <si>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</si>
  <si>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</si>
  <si>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</si>
  <si>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</si>
  <si>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</si>
  <si>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</si>
  <si>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</si>
  <si>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</si>
  <si>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</si>
  <si>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</si>
  <si>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</si>
  <si>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</si>
  <si>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</si>
  <si>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</si>
  <si>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</si>
  <si>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</si>
  <si>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</si>
  <si>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</si>
  <si>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</si>
  <si>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</si>
  <si>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</si>
  <si>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</si>
  <si>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</si>
  <si>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</si>
  <si>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</si>
  <si>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</si>
  <si>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</si>
  <si>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</si>
  <si>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</si>
  <si>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</si>
  <si>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</si>
  <si>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</si>
  <si>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</si>
  <si>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</si>
  <si>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</si>
  <si>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</si>
  <si>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</si>
  <si>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</si>
  <si>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</si>
  <si>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</si>
  <si>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</si>
  <si>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</si>
  <si>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</si>
  <si>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</si>
  <si>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</si>
  <si>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</si>
  <si>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</si>
  <si>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</si>
  <si>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</si>
  <si>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</si>
  <si>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</si>
  <si>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</si>
  <si>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</si>
  <si>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</si>
  <si>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</si>
  <si>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</si>
  <si>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</si>
  <si>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</si>
  <si>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</si>
  <si>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</si>
  <si>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</si>
  <si>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</si>
  <si>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</si>
  <si>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</si>
  <si>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</si>
  <si>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</si>
  <si>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</si>
  <si>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</si>
  <si>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</si>
  <si>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</si>
  <si>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</si>
  <si>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</si>
  <si>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</si>
  <si>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</si>
  <si>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</si>
  <si>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</si>
  <si>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</si>
  <si>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</si>
  <si>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</si>
  <si>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</si>
  <si>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</si>
  <si>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</si>
  <si>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</si>
  <si>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</si>
  <si>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</si>
  <si>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</si>
  <si>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</si>
  <si>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</si>
  <si>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</si>
  <si>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</si>
  <si>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</si>
  <si>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</si>
  <si>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</si>
  <si>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</si>
  <si>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</si>
  <si>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</si>
  <si>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</si>
  <si>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</si>
  <si>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</si>
  <si>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</si>
  <si>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</si>
  <si>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</si>
  <si>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</si>
  <si>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</si>
  <si>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</si>
  <si>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</si>
  <si>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</si>
  <si>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</si>
  <si>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</si>
  <si>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</si>
  <si>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</si>
  <si>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</si>
  <si>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</si>
  <si>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</si>
  <si>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</si>
  <si>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</si>
  <si>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</si>
  <si>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</si>
  <si>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</si>
  <si>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</si>
  <si>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</si>
  <si>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</si>
  <si>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</si>
  <si>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</si>
  <si>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</si>
  <si>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</si>
  <si>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</si>
  <si>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</si>
  <si>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</si>
  <si>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</si>
  <si>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</si>
  <si>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</si>
  <si>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</si>
  <si>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</si>
  <si>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</si>
  <si>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</si>
  <si>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</si>
  <si>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</si>
  <si>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</si>
  <si>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</si>
  <si>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</si>
  <si>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</si>
  <si>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</si>
  <si>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</si>
  <si>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</si>
  <si>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</si>
  <si>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</si>
  <si>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</si>
  <si>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</si>
  <si>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</si>
  <si>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</si>
  <si>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</si>
  <si>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</si>
  <si>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</si>
  <si>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</si>
  <si>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</si>
  <si>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</si>
  <si>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</si>
  <si>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</si>
  <si>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</si>
  <si>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</si>
  <si>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</si>
  <si>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</si>
  <si>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</si>
  <si>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</si>
  <si>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</si>
  <si>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</si>
  <si>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</si>
  <si>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</si>
  <si>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</si>
  <si>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</si>
  <si>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</si>
  <si>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</si>
  <si>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</si>
  <si>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</si>
  <si>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</si>
  <si>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</si>
  <si>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</si>
  <si>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</si>
  <si>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</si>
  <si>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</si>
  <si>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</si>
  <si>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</si>
  <si>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</si>
  <si>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</si>
  <si>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</si>
  <si>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</si>
  <si>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</si>
  <si>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</si>
  <si>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</si>
  <si>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</si>
  <si>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</si>
  <si>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</si>
  <si>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</si>
  <si>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</si>
  <si>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</si>
  <si>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</si>
  <si>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</si>
  <si>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</si>
  <si>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</si>
  <si>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</si>
  <si>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</si>
  <si>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</si>
  <si>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</si>
  <si>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</si>
  <si>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</si>
  <si>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</si>
  <si>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</si>
  <si>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</si>
  <si>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</si>
  <si>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</si>
  <si>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</si>
  <si>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</si>
  <si>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</si>
  <si>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</si>
  <si>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</si>
  <si>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</si>
  <si>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</si>
  <si>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</si>
  <si>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</si>
  <si>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</si>
  <si>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</si>
  <si>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</si>
  <si>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</si>
  <si>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</si>
  <si>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</si>
  <si>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</si>
  <si>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</si>
  <si>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</si>
  <si>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</si>
  <si>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</si>
  <si>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</si>
  <si>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</si>
  <si>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</si>
  <si>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</si>
  <si>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</si>
  <si>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</si>
  <si>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</si>
  <si>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</si>
  <si>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</si>
  <si>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</si>
  <si>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</si>
  <si>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</si>
  <si>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</si>
  <si>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</si>
  <si>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</si>
  <si>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</si>
  <si>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</si>
  <si>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</si>
  <si>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</si>
  <si>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</si>
  <si>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</si>
  <si>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</si>
  <si>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</si>
  <si>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</si>
  <si>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</si>
  <si>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</si>
  <si>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</si>
  <si>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</si>
  <si>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</si>
  <si>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</si>
  <si>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</si>
  <si>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</si>
  <si>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</si>
  <si>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</si>
  <si>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</si>
  <si>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</si>
  <si>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</si>
  <si>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</si>
  <si>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</si>
  <si>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</si>
  <si>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</si>
  <si>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</si>
  <si>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</si>
  <si>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</si>
  <si>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</si>
  <si>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</si>
  <si>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</si>
  <si>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</si>
  <si>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</si>
  <si>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</si>
  <si>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</si>
  <si>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</si>
  <si>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</si>
  <si>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</si>
  <si>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</si>
  <si>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</si>
  <si>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</si>
  <si>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</si>
  <si>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</si>
  <si>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</si>
  <si>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</si>
  <si>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</si>
  <si>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</si>
  <si>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</si>
  <si>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</si>
  <si>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</si>
  <si>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</si>
  <si>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</si>
  <si>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</si>
  <si>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</si>
  <si>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</si>
  <si>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</si>
  <si>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</si>
  <si>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</si>
  <si>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</si>
  <si>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</si>
  <si>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</si>
  <si>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</si>
  <si>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</si>
  <si>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</si>
  <si>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</si>
  <si>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</si>
  <si>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</si>
  <si>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</si>
  <si>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</si>
  <si>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</si>
  <si>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</si>
  <si>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</si>
  <si>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</si>
  <si>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</si>
  <si>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</si>
  <si>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</si>
  <si>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</si>
  <si>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</si>
  <si>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</si>
  <si>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</si>
  <si>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</si>
  <si>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</si>
  <si>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</si>
  <si>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</si>
  <si>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</si>
  <si>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</si>
  <si>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</si>
  <si>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</si>
  <si>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</si>
  <si>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</si>
  <si>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</si>
  <si>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</si>
  <si>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</si>
  <si>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</si>
  <si>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</si>
  <si>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</si>
  <si>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</si>
  <si>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</si>
  <si>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</si>
  <si>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</si>
  <si>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</si>
  <si>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</si>
  <si>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</si>
  <si>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</si>
  <si>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</si>
  <si>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</si>
  <si>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</si>
  <si>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</si>
  <si>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</si>
  <si>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</si>
  <si>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</si>
  <si>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</si>
  <si>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</si>
  <si>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</si>
  <si>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</si>
  <si>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</si>
  <si>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</si>
  <si>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</si>
  <si>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</si>
  <si>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</si>
  <si>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</si>
  <si>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</si>
  <si>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</si>
  <si>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</si>
  <si>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</si>
  <si>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</si>
  <si>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</si>
  <si>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</si>
  <si>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</si>
  <si>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</si>
  <si>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</si>
  <si>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</si>
  <si>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</si>
  <si>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</si>
  <si>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</si>
  <si>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</si>
  <si>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</si>
  <si>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</si>
  <si>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</si>
  <si>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</si>
  <si>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</si>
  <si>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</si>
  <si>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</si>
  <si>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</si>
  <si>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</si>
  <si>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</si>
  <si>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</si>
  <si>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</si>
  <si>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</si>
  <si>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</si>
  <si>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</si>
  <si>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</si>
  <si>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</si>
  <si>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</si>
  <si>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</si>
  <si>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</si>
  <si>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</si>
  <si>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</si>
  <si>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</si>
  <si>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</si>
  <si>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</si>
  <si>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</si>
  <si>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</si>
  <si>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</si>
  <si>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</si>
  <si>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</si>
  <si>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</si>
  <si>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</si>
  <si>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</si>
  <si>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</si>
  <si>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</si>
  <si>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</si>
  <si>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</si>
  <si>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</si>
  <si>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</si>
  <si>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</si>
  <si>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</si>
  <si>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</si>
  <si>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</si>
  <si>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</si>
  <si>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</si>
  <si>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</si>
  <si>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</si>
  <si>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</si>
  <si>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</si>
  <si>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</si>
  <si>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</si>
  <si>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</si>
  <si>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</si>
  <si>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</si>
  <si>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</si>
  <si>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</si>
  <si>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</si>
  <si>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</si>
  <si>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</si>
  <si>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</si>
  <si>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</si>
  <si>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</si>
  <si>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</si>
  <si>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</si>
  <si>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</si>
  <si>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</si>
  <si>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</si>
  <si>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</si>
  <si>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</si>
  <si>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</si>
  <si>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</si>
  <si>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</si>
  <si>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</si>
  <si>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</si>
  <si>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</si>
  <si>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</si>
  <si>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</si>
  <si>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</si>
  <si>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</si>
  <si>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</si>
  <si>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</si>
  <si>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</si>
  <si>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</si>
  <si>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</si>
  <si>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</si>
  <si>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</si>
  <si>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</si>
  <si>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</si>
  <si>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</si>
  <si>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</si>
  <si>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</si>
  <si>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</si>
  <si>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</si>
  <si>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</si>
  <si>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</si>
  <si>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</si>
  <si>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</si>
  <si>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</si>
  <si>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</si>
  <si>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</si>
  <si>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</si>
  <si>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</si>
  <si>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</si>
  <si>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</si>
  <si>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</si>
  <si>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</si>
  <si>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</si>
  <si>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</si>
  <si>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</si>
  <si>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</si>
  <si>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</si>
  <si>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</si>
  <si>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</si>
  <si>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</si>
  <si>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</si>
  <si>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</si>
  <si>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</si>
  <si>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</si>
  <si>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</si>
  <si>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</si>
  <si>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</si>
  <si>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</si>
  <si>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</si>
  <si>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</si>
  <si>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</si>
  <si>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</si>
  <si>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</si>
  <si>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</si>
  <si>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</si>
  <si>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</si>
  <si>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</si>
  <si>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</si>
  <si>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</si>
  <si>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</si>
  <si>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</si>
  <si>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</si>
  <si>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</si>
  <si>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</si>
  <si>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</si>
  <si>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</si>
  <si>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</si>
  <si>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</si>
  <si>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</si>
  <si>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</si>
  <si>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</si>
  <si>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</si>
  <si>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</si>
  <si>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</si>
  <si>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</si>
  <si>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</si>
  <si>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</si>
  <si>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</si>
  <si>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</si>
  <si>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</si>
  <si>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</si>
  <si>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</si>
  <si>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</si>
  <si>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</si>
  <si>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</si>
  <si>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</si>
  <si>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</si>
  <si>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</si>
  <si>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</si>
  <si>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</si>
  <si>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</si>
  <si>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</si>
  <si>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</si>
  <si>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</si>
  <si>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</si>
  <si>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</si>
  <si>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</si>
  <si>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</si>
  <si>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</si>
  <si>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</si>
  <si>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</si>
  <si>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</si>
  <si>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</si>
  <si>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</si>
  <si>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</si>
  <si>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</si>
  <si>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</si>
  <si>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</si>
  <si>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</si>
  <si>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</si>
  <si>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</si>
  <si>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</si>
  <si>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</si>
  <si>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</si>
  <si>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</si>
  <si>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</si>
  <si>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</si>
  <si>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</si>
  <si>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</si>
  <si>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</si>
  <si>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</si>
  <si>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</si>
  <si>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</si>
  <si>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</si>
  <si>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</si>
  <si>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</si>
  <si>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</si>
  <si>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</si>
  <si>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</si>
  <si>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</si>
  <si>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</si>
  <si>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</si>
  <si>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</si>
  <si>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</si>
  <si>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</si>
  <si>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</si>
  <si>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</si>
  <si>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</si>
  <si>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</si>
  <si>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</si>
  <si>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</si>
  <si>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</si>
  <si>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</si>
  <si>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</si>
  <si>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</si>
  <si>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</si>
  <si>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</si>
  <si>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</si>
  <si>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</si>
  <si>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</si>
  <si>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</si>
  <si>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</si>
  <si>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</si>
  <si>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</si>
  <si>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</si>
  <si>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</si>
  <si>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</si>
  <si>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</si>
  <si>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</si>
  <si>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</si>
  <si>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</si>
  <si>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</si>
  <si>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</si>
  <si>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</si>
  <si>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</si>
  <si>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</si>
  <si>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</si>
  <si>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</si>
  <si>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</si>
  <si>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</si>
  <si>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</si>
  <si>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</si>
  <si>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</si>
  <si>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</si>
  <si>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</si>
  <si>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</si>
  <si>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</si>
  <si>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</si>
  <si>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</si>
  <si>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</si>
  <si>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</si>
  <si>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</si>
  <si>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</si>
  <si>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</si>
  <si>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</si>
  <si>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</si>
  <si>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</si>
  <si>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</si>
  <si>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</si>
  <si>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</si>
  <si>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</si>
  <si>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</si>
  <si>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</si>
  <si>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</si>
  <si>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</si>
  <si>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</si>
  <si>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</si>
  <si>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</si>
  <si>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</si>
  <si>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</si>
  <si>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</si>
  <si>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</si>
  <si>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</si>
  <si>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</si>
  <si>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</si>
  <si>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</si>
  <si>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</si>
  <si>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</si>
  <si>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</si>
  <si>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</si>
  <si>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</si>
  <si>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</si>
  <si>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</si>
  <si>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</si>
  <si>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</si>
  <si>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</si>
  <si>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</si>
  <si>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</si>
  <si>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</si>
  <si>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</si>
  <si>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</si>
  <si>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</si>
  <si>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</si>
  <si>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</si>
  <si>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</si>
  <si>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</si>
  <si>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</si>
  <si>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</si>
  <si>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</si>
  <si>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</si>
  <si>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</si>
  <si>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</si>
  <si>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</si>
  <si>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</si>
  <si>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</si>
  <si>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</si>
  <si>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</si>
  <si>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</si>
  <si>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</si>
  <si>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</si>
  <si>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</si>
  <si>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</si>
  <si>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</si>
  <si>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</si>
  <si>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</si>
  <si>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</si>
  <si>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</si>
  <si>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</si>
  <si>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</si>
  <si>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</si>
  <si>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</si>
  <si>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</si>
  <si>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</si>
  <si>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</si>
  <si>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</si>
  <si>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</si>
  <si>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</si>
  <si>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</si>
  <si>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</si>
  <si>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</si>
  <si>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</si>
  <si>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</si>
  <si>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</si>
  <si>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</si>
  <si>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</si>
  <si>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</si>
  <si>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</si>
  <si>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</si>
  <si>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</si>
  <si>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</si>
  <si>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</si>
  <si>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</si>
  <si>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</si>
  <si>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</si>
  <si>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</si>
  <si>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</si>
  <si>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</si>
  <si>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</si>
  <si>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</si>
  <si>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</si>
  <si>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</si>
  <si>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</si>
  <si>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</si>
  <si>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</si>
  <si>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</si>
  <si>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</si>
  <si>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</si>
  <si>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</si>
  <si>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</si>
  <si>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</si>
  <si>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</si>
  <si>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</si>
  <si>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</si>
  <si>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</si>
  <si>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</si>
  <si>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</si>
  <si>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</si>
  <si>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</si>
  <si>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</si>
  <si>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</si>
  <si>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</si>
  <si>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</si>
  <si>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</si>
  <si>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</si>
  <si>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</si>
  <si>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</si>
  <si>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</si>
  <si>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</si>
  <si>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</si>
  <si>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</si>
  <si>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</si>
  <si>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</si>
  <si>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</si>
  <si>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</si>
  <si>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</si>
  <si>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</si>
  <si>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</si>
  <si>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</si>
  <si>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</si>
  <si>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</si>
  <si>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</si>
  <si>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</si>
  <si>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</si>
  <si>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</si>
  <si>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</si>
  <si>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</si>
  <si>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</si>
  <si>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</si>
  <si>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</si>
  <si>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</si>
  <si>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</si>
  <si>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</si>
  <si>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</si>
  <si>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</si>
  <si>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</si>
  <si>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</si>
  <si>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</si>
  <si>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</si>
  <si>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</si>
  <si>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</si>
  <si>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</si>
  <si>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</si>
  <si>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</si>
  <si>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</si>
  <si>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</si>
  <si>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</si>
  <si>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</si>
  <si>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</si>
  <si>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</si>
  <si>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</si>
  <si>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</si>
  <si>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</si>
  <si>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</si>
  <si>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</si>
  <si>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</si>
  <si>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</si>
  <si>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</si>
  <si>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</si>
  <si>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</si>
  <si>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</si>
  <si>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</si>
  <si>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</si>
  <si>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</si>
  <si>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</si>
  <si>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</si>
  <si>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</si>
  <si>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</si>
  <si>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</si>
  <si>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</si>
  <si>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</si>
  <si>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</si>
  <si>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</si>
  <si>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</si>
  <si>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</si>
  <si>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</si>
  <si>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</si>
  <si>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</si>
  <si>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</si>
  <si>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</si>
  <si>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</si>
  <si>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</si>
  <si>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</si>
  <si>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</si>
  <si>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</si>
  <si>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</si>
  <si>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</si>
  <si>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</si>
  <si>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</si>
  <si>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</si>
  <si>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</si>
  <si>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</si>
  <si>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</si>
  <si>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</si>
  <si>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</si>
  <si>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</si>
  <si>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</si>
  <si>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</si>
  <si>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</si>
  <si>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</si>
  <si>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</si>
  <si>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</si>
  <si>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</si>
  <si>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</si>
  <si>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</si>
  <si>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</si>
  <si>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</si>
  <si>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</si>
  <si>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</si>
  <si>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</si>
  <si>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</si>
  <si>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</si>
  <si>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</si>
  <si>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</si>
  <si>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</si>
  <si>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</si>
  <si>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</si>
  <si>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</si>
  <si>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</si>
  <si>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</si>
  <si>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</si>
  <si>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</si>
  <si>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</si>
  <si>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</si>
  <si>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</si>
  <si>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</si>
  <si>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</si>
  <si>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</si>
  <si>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</si>
  <si>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</si>
  <si>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</si>
  <si>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</si>
  <si>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</si>
  <si>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</si>
  <si>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</si>
  <si>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</si>
  <si>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</si>
  <si>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</si>
  <si>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</si>
  <si>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</si>
  <si>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</si>
  <si>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</si>
  <si>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</si>
  <si>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</si>
  <si>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</si>
  <si>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</si>
  <si>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</si>
  <si>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</si>
  <si>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</si>
  <si>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</si>
  <si>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</si>
  <si>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</si>
  <si>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</si>
  <si>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</si>
  <si>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</si>
  <si>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</si>
  <si>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</si>
  <si>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</si>
  <si>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</si>
  <si>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</si>
  <si>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</si>
  <si>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</si>
  <si>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</si>
  <si>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</si>
  <si>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</si>
  <si>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</si>
  <si>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</si>
  <si>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</si>
  <si>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</si>
  <si>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</si>
  <si>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</si>
  <si>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</si>
  <si>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</si>
  <si>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</si>
  <si>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</si>
  <si>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</si>
  <si>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</si>
  <si>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</si>
  <si>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</si>
  <si>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</si>
  <si>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</si>
  <si>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</si>
  <si>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</si>
  <si>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</si>
  <si>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</si>
  <si>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</si>
  <si>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</si>
  <si>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</si>
  <si>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</si>
  <si>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</si>
  <si>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</si>
  <si>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</si>
  <si>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</si>
  <si>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</si>
  <si>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</si>
  <si>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</si>
  <si>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</si>
  <si>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</si>
  <si>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</si>
  <si>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</si>
  <si>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</si>
  <si>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</si>
  <si>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</si>
  <si>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</si>
  <si>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</si>
  <si>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</si>
  <si>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</si>
  <si>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</si>
  <si>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</si>
  <si>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</si>
  <si>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</si>
  <si>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</si>
  <si>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</si>
  <si>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</si>
  <si>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</si>
  <si>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</si>
  <si>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</si>
  <si>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</si>
  <si>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</si>
  <si>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</si>
  <si>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</si>
  <si>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</si>
  <si>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</si>
  <si>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</si>
  <si>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</si>
  <si>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</si>
  <si>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</si>
  <si>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</si>
  <si>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</si>
  <si>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</si>
  <si>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</si>
  <si>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</si>
  <si>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</si>
  <si>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</si>
  <si>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</si>
  <si>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</si>
  <si>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</si>
  <si>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</si>
  <si>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</si>
  <si>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</si>
  <si>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</si>
  <si>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</si>
  <si>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</si>
  <si>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</si>
  <si>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</si>
  <si>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</si>
  <si>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</si>
  <si>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</si>
  <si>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</si>
  <si>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</si>
  <si>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</si>
  <si>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</si>
  <si>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</si>
  <si>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</si>
  <si>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</si>
  <si>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</si>
  <si>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</si>
  <si>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</si>
  <si>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</si>
  <si>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</si>
  <si>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</si>
  <si>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</si>
  <si>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</si>
  <si>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</si>
  <si>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</si>
  <si>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</si>
  <si>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</si>
  <si>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</si>
  <si>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</si>
  <si>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</si>
  <si>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</si>
  <si>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</si>
  <si>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</si>
  <si>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</si>
  <si>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</si>
  <si>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</si>
  <si>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</si>
  <si>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</si>
  <si>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</si>
  <si>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</si>
  <si>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</si>
  <si>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</si>
  <si>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</si>
  <si>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</si>
  <si>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</si>
  <si>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</si>
  <si>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</si>
  <si>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</si>
  <si>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</si>
  <si>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</si>
  <si>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</si>
  <si>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</si>
  <si>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</si>
  <si>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</si>
  <si>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</si>
  <si>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</si>
  <si>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</si>
  <si>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</si>
  <si>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</si>
  <si>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</si>
  <si>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</si>
  <si>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</si>
  <si>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</si>
  <si>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</si>
  <si>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</si>
  <si>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</si>
  <si>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</si>
  <si>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</si>
  <si>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</si>
  <si>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</si>
  <si>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</si>
  <si>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</si>
  <si>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</si>
  <si>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</si>
  <si>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</si>
  <si>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</si>
  <si>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</si>
  <si>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</si>
  <si>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</si>
  <si>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</si>
  <si>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</si>
  <si>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</si>
  <si>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</si>
  <si>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</si>
  <si>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</si>
  <si>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</si>
  <si>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</si>
  <si>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</si>
  <si>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</si>
  <si>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</si>
  <si>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</si>
  <si>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</si>
  <si>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</si>
  <si>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</si>
  <si>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</si>
  <si>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</si>
  <si>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</si>
  <si>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</si>
  <si>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</si>
  <si>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</si>
  <si>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</si>
  <si>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</si>
  <si>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</si>
  <si>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</si>
  <si>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</si>
  <si>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</si>
  <si>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</si>
  <si>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</si>
  <si>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</si>
  <si>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</si>
  <si>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</si>
  <si>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</si>
  <si>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</si>
  <si>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</si>
  <si>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</si>
  <si>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</si>
  <si>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</si>
  <si>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</si>
  <si>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</si>
  <si>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</si>
  <si>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</si>
  <si>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</si>
  <si>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</si>
  <si>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</si>
  <si>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</si>
  <si>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</si>
  <si>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</si>
  <si>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</si>
  <si>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</si>
  <si>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</si>
  <si>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</si>
  <si>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</si>
  <si>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</si>
  <si>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</si>
  <si>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</si>
  <si>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</si>
  <si>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</si>
  <si>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</si>
  <si>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</si>
  <si>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</si>
  <si>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</si>
  <si>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</si>
  <si>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</si>
  <si>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</si>
  <si>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</si>
  <si>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</si>
  <si>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</si>
  <si>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</si>
  <si>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</si>
  <si>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</si>
  <si>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</si>
  <si>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</si>
  <si>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</si>
  <si>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</si>
  <si>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</si>
  <si>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</si>
  <si>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</si>
  <si>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</si>
  <si>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</si>
  <si>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</si>
  <si>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</si>
  <si>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</si>
  <si>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</si>
  <si>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</si>
  <si>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</si>
  <si>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</si>
  <si>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</si>
  <si>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</si>
  <si>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</si>
  <si>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</si>
  <si>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</si>
  <si>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</si>
  <si>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</si>
  <si>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</si>
  <si>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</si>
  <si>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</si>
  <si>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</si>
  <si>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</si>
  <si>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</si>
  <si>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</si>
  <si>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</si>
  <si>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</si>
  <si>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</si>
  <si>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</si>
  <si>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</si>
  <si>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</si>
  <si>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</si>
  <si>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</si>
  <si>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</si>
  <si>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</si>
  <si>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</si>
  <si>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</si>
  <si>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</si>
  <si>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</si>
  <si>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</si>
  <si>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</si>
  <si>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</si>
  <si>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</si>
  <si>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</si>
  <si>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</si>
  <si>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</si>
  <si>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</si>
  <si>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</si>
  <si>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</si>
  <si>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</si>
  <si>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</si>
  <si>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</si>
  <si>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</si>
  <si>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</si>
  <si>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</si>
  <si>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</si>
  <si>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</si>
  <si>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</si>
  <si>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</si>
  <si>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</si>
  <si>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</si>
  <si>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</si>
  <si>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</si>
  <si>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</si>
  <si>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</si>
  <si>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</si>
  <si>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</si>
  <si>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</si>
  <si>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</si>
  <si>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</si>
  <si>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</si>
  <si>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</si>
  <si>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</si>
  <si>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</si>
  <si>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</si>
  <si>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</si>
  <si>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</si>
  <si>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</si>
  <si>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</si>
  <si>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</si>
  <si>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</si>
  <si>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</si>
  <si>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</si>
  <si>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</si>
  <si>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</si>
  <si>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</si>
  <si>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</si>
  <si>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</si>
  <si>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</si>
  <si>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</si>
  <si>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</si>
  <si>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</si>
  <si>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</si>
  <si>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</si>
  <si>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</si>
  <si>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</si>
  <si>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</si>
  <si>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</si>
  <si>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</si>
  <si>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</si>
  <si>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</si>
  <si>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</si>
  <si>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</si>
  <si>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</si>
  <si>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</si>
  <si>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</si>
  <si>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</si>
  <si>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</si>
  <si>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</si>
  <si>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</si>
  <si>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</si>
  <si>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</si>
  <si>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</si>
  <si>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</si>
  <si>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</si>
  <si>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</si>
  <si>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</si>
  <si>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</si>
  <si>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</si>
  <si>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</si>
  <si>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</si>
  <si>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</si>
  <si>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</si>
  <si>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</si>
  <si>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</si>
  <si>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</si>
  <si>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</si>
  <si>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</si>
  <si>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</si>
  <si>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</si>
  <si>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</si>
  <si>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</si>
  <si>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</si>
  <si>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</si>
  <si>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</si>
  <si>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</si>
  <si>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</si>
  <si>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</si>
  <si>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</si>
  <si>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</si>
  <si>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</si>
  <si>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</si>
  <si>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</si>
  <si>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</si>
  <si>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</si>
  <si>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</si>
  <si>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</si>
  <si>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</si>
  <si>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</si>
  <si>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</si>
  <si>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</si>
  <si>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</si>
  <si>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</si>
  <si>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</si>
  <si>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</si>
  <si>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</si>
  <si>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</si>
  <si>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</si>
  <si>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</si>
  <si>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</si>
  <si>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</si>
  <si>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</si>
  <si>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</si>
  <si>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</si>
  <si>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</si>
  <si>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</si>
  <si>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</si>
  <si>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</si>
  <si>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</si>
  <si>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</si>
  <si>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</si>
  <si>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</si>
  <si>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</si>
  <si>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</si>
  <si>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</si>
  <si>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</si>
  <si>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</si>
  <si>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</si>
  <si>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</si>
  <si>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</si>
  <si>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</si>
  <si>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</si>
  <si>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</si>
  <si>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</si>
  <si>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</si>
  <si>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</si>
  <si>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</si>
  <si>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</si>
  <si>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</si>
  <si>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</si>
  <si>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</si>
  <si>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</si>
  <si>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</si>
  <si>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</si>
  <si>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</si>
  <si>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</si>
  <si>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</si>
  <si>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</si>
  <si>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</si>
  <si>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</si>
  <si>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</si>
  <si>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</si>
  <si>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</si>
  <si>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</si>
  <si>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</si>
  <si>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</si>
  <si>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</si>
  <si>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</si>
  <si>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</si>
  <si>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</si>
  <si>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</si>
  <si>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</si>
  <si>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</si>
  <si>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</si>
  <si>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</si>
  <si>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</si>
  <si>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</si>
  <si>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</si>
  <si>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</si>
  <si>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</si>
  <si>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</si>
  <si>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</si>
  <si>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</si>
  <si>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</si>
  <si>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</si>
  <si>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</si>
  <si>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</si>
  <si>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</si>
  <si>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</si>
  <si>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</si>
  <si>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</si>
  <si>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</si>
  <si>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</si>
  <si>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</si>
  <si>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</si>
  <si>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</si>
  <si>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</si>
  <si>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</si>
  <si>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</si>
  <si>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</si>
  <si>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</si>
  <si>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</si>
  <si>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</si>
  <si>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</si>
  <si>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</si>
  <si>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</si>
  <si>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</si>
  <si>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</si>
  <si>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</si>
  <si>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</si>
  <si>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</si>
  <si>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</si>
  <si>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</si>
  <si>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</si>
  <si>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</si>
  <si>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</si>
  <si>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</si>
  <si>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</si>
  <si>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</si>
  <si>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</si>
  <si>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</si>
  <si>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</si>
  <si>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</si>
  <si>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</si>
  <si>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</si>
  <si>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</si>
  <si>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</si>
  <si>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</si>
  <si>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</si>
  <si>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</si>
  <si>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</si>
  <si>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</si>
  <si>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</si>
  <si>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</si>
  <si>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</si>
  <si>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</si>
  <si>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</si>
  <si>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</si>
  <si>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</si>
  <si>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</si>
  <si>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</si>
  <si>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</si>
  <si>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</si>
  <si>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</si>
  <si>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</si>
  <si>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</si>
  <si>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</si>
  <si>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</si>
  <si>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</si>
  <si>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</si>
  <si>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</si>
  <si>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</si>
  <si>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</si>
  <si>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</si>
  <si>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</si>
  <si>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</si>
  <si>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</si>
  <si>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</si>
  <si>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</si>
  <si>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</si>
  <si>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</si>
  <si>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</si>
  <si>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</si>
  <si>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</si>
  <si>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</si>
  <si>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</si>
  <si>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</si>
  <si>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</si>
  <si>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</si>
  <si>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</si>
  <si>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</si>
  <si>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</si>
  <si>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</si>
  <si>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</si>
  <si>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</si>
  <si>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</si>
  <si>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</si>
  <si>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</si>
  <si>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</si>
  <si>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</si>
  <si>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</si>
  <si>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</si>
  <si>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</si>
  <si>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</si>
  <si>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</si>
  <si>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</si>
  <si>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</si>
  <si>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</si>
  <si>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</si>
  <si>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</si>
  <si>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</si>
  <si>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</si>
  <si>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</si>
  <si>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</si>
  <si>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</si>
  <si>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</si>
  <si>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</si>
  <si>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</si>
  <si>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</si>
  <si>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</si>
  <si>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</si>
  <si>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</si>
  <si>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</si>
  <si>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</si>
  <si>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</si>
  <si>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</si>
  <si>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</si>
  <si>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</si>
  <si>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</si>
  <si>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</si>
  <si>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</si>
  <si>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</si>
  <si>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</si>
  <si>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</si>
  <si>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</si>
  <si>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</si>
  <si>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</si>
  <si>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</si>
  <si>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</si>
  <si>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</si>
  <si>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</si>
  <si>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</si>
  <si>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</si>
  <si>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</si>
  <si>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</si>
  <si>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</si>
  <si>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</si>
  <si>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</si>
  <si>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</si>
  <si>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</si>
  <si>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</si>
  <si>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</si>
  <si>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</si>
  <si>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</si>
  <si>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</si>
  <si>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</si>
  <si>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</si>
  <si>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</si>
  <si>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</si>
  <si>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</si>
  <si>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</si>
  <si>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</si>
  <si>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</si>
  <si>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</si>
  <si>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</si>
  <si>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</si>
  <si>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</si>
  <si>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</si>
  <si>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</si>
  <si>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</si>
  <si>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</si>
  <si>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</si>
  <si>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</si>
  <si>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</si>
  <si>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</si>
  <si>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</si>
  <si>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</si>
  <si>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</si>
  <si>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</si>
  <si>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</si>
  <si>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</si>
  <si>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</si>
  <si>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</si>
  <si>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</si>
  <si>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</si>
  <si>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</si>
  <si>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</si>
  <si>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</si>
  <si>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</si>
  <si>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</si>
  <si>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</si>
  <si>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</si>
  <si>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</si>
  <si>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</si>
  <si>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</si>
  <si>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</si>
  <si>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</si>
  <si>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</si>
  <si>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</si>
  <si>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</si>
  <si>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</si>
  <si>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</si>
  <si>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</si>
  <si>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</si>
  <si>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</si>
  <si>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</si>
  <si>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</si>
  <si>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</si>
  <si>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</si>
  <si>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</si>
  <si>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</si>
  <si>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</si>
  <si>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</si>
  <si>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</si>
  <si>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</si>
  <si>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</si>
  <si>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</si>
  <si>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</si>
  <si>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</si>
  <si>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</si>
  <si>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</si>
  <si>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</si>
  <si>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</si>
  <si>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</si>
  <si>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</si>
  <si>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</si>
  <si>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</si>
  <si>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</si>
  <si>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</si>
  <si>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</si>
  <si>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</si>
  <si>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</si>
  <si>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</si>
  <si>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</si>
  <si>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</si>
  <si>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</si>
  <si>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</si>
  <si>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</si>
  <si>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</si>
  <si>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</si>
  <si>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</si>
  <si>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</si>
  <si>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</si>
  <si>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</si>
  <si>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</si>
  <si>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</si>
  <si>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</si>
  <si>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</si>
  <si>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</si>
  <si>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</si>
  <si>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</si>
  <si>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</si>
  <si>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</si>
  <si>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</si>
  <si>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</si>
  <si>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</si>
  <si>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</si>
  <si>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</si>
  <si>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</si>
  <si>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</si>
  <si>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</si>
  <si>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</si>
  <si>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</si>
  <si>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</si>
  <si>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</si>
  <si>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</si>
  <si>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</si>
  <si>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</si>
  <si>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</si>
  <si>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</si>
  <si>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</si>
  <si>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</si>
  <si>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</si>
  <si>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</si>
  <si>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</si>
  <si>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</si>
  <si>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</si>
  <si>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</si>
  <si>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</si>
  <si>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</si>
  <si>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</si>
  <si>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</si>
  <si>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</si>
  <si>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</si>
  <si>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</si>
  <si>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</si>
  <si>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</si>
  <si>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</si>
  <si>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</si>
  <si>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</si>
  <si>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</si>
  <si>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</si>
  <si>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</si>
  <si>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</si>
  <si>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</si>
  <si>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</si>
  <si>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</si>
  <si>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</si>
  <si>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</si>
  <si>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</si>
  <si>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</si>
  <si>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</si>
  <si>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</si>
  <si>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</si>
  <si>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</si>
  <si>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</si>
  <si>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</si>
  <si>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</si>
  <si>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</si>
  <si>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</si>
  <si>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</si>
  <si>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</si>
  <si>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</si>
  <si>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</si>
  <si>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</si>
  <si>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</si>
  <si>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</si>
  <si>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</si>
  <si>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</si>
  <si>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</si>
  <si>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</si>
  <si>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</si>
  <si>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</si>
  <si>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</si>
  <si>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</si>
  <si>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</si>
  <si>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</si>
  <si>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</si>
  <si>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</si>
  <si>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</si>
  <si>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</si>
  <si>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</si>
  <si>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</si>
  <si>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</si>
  <si>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</si>
  <si>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</si>
  <si>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</si>
  <si>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</si>
  <si>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</si>
  <si>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</si>
  <si>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</si>
  <si>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</si>
  <si>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</si>
  <si>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</si>
  <si>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</si>
  <si>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</si>
  <si>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</si>
  <si>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</si>
  <si>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</si>
  <si>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</si>
  <si>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</si>
  <si>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</si>
  <si>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</si>
  <si>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</si>
  <si>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</si>
  <si>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</si>
  <si>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</si>
  <si>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</si>
  <si>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</si>
  <si>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</si>
  <si>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</si>
  <si>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</si>
  <si>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</si>
  <si>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</si>
  <si>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</si>
  <si>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</si>
  <si>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</si>
  <si>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</si>
  <si>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</si>
  <si>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</si>
  <si>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</si>
  <si>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</si>
  <si>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</si>
  <si>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</si>
  <si>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</si>
  <si>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</si>
  <si>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</si>
  <si>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</si>
  <si>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</si>
  <si>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</si>
  <si>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</si>
  <si>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</si>
  <si>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</si>
  <si>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</si>
  <si>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</si>
  <si>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</si>
  <si>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</si>
  <si>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</si>
  <si>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</si>
  <si>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</si>
  <si>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</si>
  <si>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</si>
  <si>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</si>
  <si>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</si>
  <si>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</si>
  <si>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</si>
  <si>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</si>
  <si>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</si>
  <si>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</si>
  <si>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</si>
  <si>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</si>
  <si>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</si>
  <si>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</si>
  <si>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</si>
  <si>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</si>
  <si>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</si>
  <si>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</si>
  <si>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</si>
  <si>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</si>
  <si>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</si>
  <si>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</si>
  <si>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</si>
  <si>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</si>
  <si>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</si>
  <si>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</si>
  <si>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</si>
  <si>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</si>
  <si>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</si>
  <si>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</si>
  <si>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</si>
  <si>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</si>
  <si>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</si>
  <si>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</si>
  <si>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</si>
  <si>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</si>
  <si>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</si>
  <si>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</si>
  <si>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</si>
  <si>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</si>
  <si>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</si>
  <si>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</si>
  <si>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</si>
  <si>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</si>
  <si>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</si>
  <si>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</si>
  <si>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</si>
  <si>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</si>
  <si>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</si>
  <si>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</si>
  <si>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</si>
  <si>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</si>
  <si>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</si>
  <si>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</si>
  <si>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</si>
  <si>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</si>
  <si>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</si>
  <si>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</si>
  <si>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</si>
  <si>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</si>
  <si>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</si>
  <si>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</si>
  <si>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</si>
  <si>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</si>
  <si>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</si>
  <si>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</si>
  <si>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</si>
  <si>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</si>
  <si>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</si>
  <si>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</si>
  <si>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</si>
  <si>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</si>
  <si>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</si>
  <si>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</si>
  <si>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</si>
  <si>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</si>
  <si>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</si>
  <si>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</si>
  <si>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</si>
  <si>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</si>
  <si>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</si>
  <si>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</si>
  <si>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</si>
  <si>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</si>
  <si>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</si>
  <si>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</si>
  <si>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</si>
  <si>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</si>
  <si>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</si>
  <si>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</si>
  <si>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</si>
  <si>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</si>
  <si>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</si>
  <si>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</si>
  <si>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</si>
  <si>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</si>
  <si>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</si>
  <si>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</si>
  <si>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</si>
  <si>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</si>
  <si>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</si>
  <si>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</si>
  <si>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</si>
  <si>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</si>
  <si>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</si>
  <si>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</si>
  <si>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</si>
  <si>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</si>
  <si>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</si>
  <si>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</si>
  <si>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</si>
  <si>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</si>
  <si>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</si>
  <si>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</si>
  <si>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</si>
  <si>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</si>
  <si>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</si>
  <si>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</si>
  <si>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</si>
  <si>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</si>
  <si>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</si>
  <si>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</si>
  <si>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</si>
  <si>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</si>
  <si>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</si>
  <si>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</si>
  <si>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</si>
  <si>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</si>
  <si>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</si>
  <si>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</si>
  <si>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</si>
  <si>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</si>
  <si>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</si>
  <si>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</si>
  <si>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</si>
  <si>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</si>
  <si>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</si>
  <si>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</si>
  <si>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</si>
  <si>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</si>
  <si>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</si>
  <si>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</si>
  <si>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</si>
  <si>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</si>
  <si>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</si>
  <si>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</si>
  <si>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</si>
  <si>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</si>
  <si>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</si>
  <si>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</si>
  <si>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</si>
  <si>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</si>
  <si>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</si>
  <si>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</si>
  <si>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</si>
  <si>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</si>
  <si>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</si>
  <si>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</si>
  <si>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</si>
  <si>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</si>
  <si>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</si>
  <si>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</si>
  <si>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</si>
  <si>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</si>
  <si>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</si>
  <si>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</si>
  <si>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</si>
  <si>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</si>
  <si>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</si>
  <si>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</si>
  <si>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</si>
  <si>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</si>
  <si>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</si>
  <si>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</si>
  <si>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</si>
  <si>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</si>
  <si>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</si>
  <si>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</si>
  <si>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</si>
  <si>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</si>
  <si>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</si>
  <si>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</si>
  <si>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</si>
  <si>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</si>
  <si>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</si>
  <si>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</si>
  <si>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</si>
  <si>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</si>
  <si>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</si>
  <si>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</si>
  <si>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</si>
  <si>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</si>
  <si>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</si>
  <si>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</si>
  <si>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</si>
  <si>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</si>
  <si>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</si>
  <si>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</si>
  <si>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</si>
  <si>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</si>
  <si>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</si>
  <si>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</si>
  <si>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</si>
  <si>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</si>
  <si>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</si>
  <si>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</si>
  <si>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</si>
  <si>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</si>
  <si>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</si>
  <si>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</si>
  <si>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</si>
  <si>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</si>
  <si>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</si>
  <si>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</si>
  <si>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</si>
  <si>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</si>
  <si>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</si>
  <si>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</si>
  <si>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</si>
  <si>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</si>
  <si>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</si>
  <si>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</si>
  <si>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</si>
  <si>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</si>
  <si>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</si>
  <si>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</si>
  <si>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</si>
  <si>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</si>
  <si>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</si>
  <si>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</si>
  <si>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</si>
  <si>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</si>
  <si>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</si>
  <si>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</si>
  <si>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</si>
  <si>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</si>
  <si>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</si>
  <si>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</si>
  <si>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</si>
  <si>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</si>
  <si>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</si>
  <si>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</si>
  <si>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</si>
  <si>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</si>
  <si>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</si>
  <si>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</si>
  <si>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</si>
  <si>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</si>
  <si>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</si>
  <si>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</si>
  <si>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</si>
  <si>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</si>
  <si>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</si>
  <si>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</si>
  <si>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</si>
  <si>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</si>
  <si>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</si>
  <si>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</si>
  <si>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</si>
  <si>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</si>
  <si>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</si>
  <si>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</si>
  <si>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</si>
  <si>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</si>
  <si>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</si>
  <si>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</si>
  <si>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</si>
  <si>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</si>
  <si>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</si>
  <si>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</si>
  <si>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</si>
  <si>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</si>
  <si>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</si>
  <si>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</si>
  <si>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</si>
  <si>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</si>
  <si>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</si>
  <si>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</si>
  <si>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</si>
  <si>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</si>
  <si>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</si>
  <si>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</si>
  <si>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</si>
  <si>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</si>
  <si>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</si>
  <si>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</si>
  <si>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</si>
  <si>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</si>
  <si>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</si>
  <si>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</si>
  <si>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</si>
  <si>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</si>
  <si>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</si>
  <si>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</si>
  <si>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</si>
  <si>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</si>
  <si>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</si>
  <si>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</si>
  <si>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</si>
  <si>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</si>
  <si>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</si>
  <si>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</si>
  <si>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</si>
  <si>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</si>
  <si>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</si>
  <si>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</si>
  <si>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</si>
  <si>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</si>
  <si>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</si>
  <si>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</si>
  <si>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</si>
  <si>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</si>
  <si>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</si>
  <si>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</si>
  <si>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</si>
  <si>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</si>
  <si>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</si>
  <si>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</si>
  <si>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</si>
  <si>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</si>
  <si>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</si>
  <si>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</si>
  <si>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</si>
  <si>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</si>
  <si>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</si>
  <si>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</si>
  <si>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</si>
  <si>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</si>
  <si>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</si>
  <si>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</si>
  <si>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</si>
  <si>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</si>
  <si>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</si>
  <si>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</si>
  <si>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</si>
  <si>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</si>
  <si>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</si>
  <si>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</si>
  <si>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</si>
  <si>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</si>
  <si>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</si>
  <si>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</si>
  <si>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</si>
  <si>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</si>
  <si>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</si>
  <si>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</si>
  <si>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</si>
  <si>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</si>
  <si>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</si>
  <si>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</si>
  <si>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</si>
  <si>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</si>
  <si>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</si>
  <si>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</si>
  <si>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</si>
  <si>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</si>
  <si>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</si>
  <si>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</si>
  <si>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</si>
  <si>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</si>
  <si>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</si>
  <si>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</si>
  <si>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</si>
  <si>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</si>
  <si>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</si>
  <si>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</si>
  <si>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</si>
  <si>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</si>
  <si>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</si>
  <si>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</si>
  <si>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</si>
  <si>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</si>
  <si>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</si>
  <si>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</si>
  <si>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</si>
  <si>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</si>
  <si>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</si>
  <si>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</si>
  <si>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</si>
  <si>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</si>
  <si>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</si>
  <si>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</si>
  <si>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</si>
  <si>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</si>
  <si>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</si>
  <si>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</si>
  <si>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</si>
  <si>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</si>
  <si>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</si>
  <si>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</si>
  <si>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</si>
  <si>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</si>
  <si>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</si>
  <si>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</si>
  <si>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</si>
  <si>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</si>
  <si>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</si>
  <si>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</si>
  <si>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</si>
  <si>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</si>
  <si>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</si>
  <si>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</si>
  <si>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</si>
  <si>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</si>
  <si>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</si>
  <si>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</si>
  <si>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</si>
  <si>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</si>
  <si>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</si>
  <si>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</si>
  <si>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</si>
  <si>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</si>
  <si>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</si>
  <si>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</si>
  <si>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</si>
  <si>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</si>
  <si>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</si>
  <si>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</si>
  <si>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</si>
  <si>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</si>
  <si>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</si>
  <si>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</si>
  <si>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</si>
  <si>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</si>
  <si>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</si>
  <si>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</si>
  <si>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</si>
  <si>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</si>
  <si>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</si>
  <si>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</si>
  <si>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</si>
  <si>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</si>
  <si>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</si>
  <si>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</si>
  <si>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</si>
  <si>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</si>
  <si>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</si>
  <si>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</si>
  <si>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</si>
  <si>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</si>
  <si>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</si>
  <si>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</si>
  <si>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</si>
  <si>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</si>
  <si>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</si>
  <si>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</si>
  <si>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</si>
  <si>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</si>
  <si>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</si>
  <si>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</si>
  <si>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</si>
  <si>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</si>
  <si>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</si>
  <si>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</si>
  <si>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</si>
  <si>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</si>
  <si>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</si>
  <si>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</si>
  <si>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</si>
  <si>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</si>
  <si>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</si>
  <si>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</si>
  <si>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</si>
  <si>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</si>
  <si>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</si>
  <si>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</si>
  <si>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</si>
  <si>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</si>
  <si>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</si>
  <si>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</si>
  <si>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</si>
  <si>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</si>
  <si>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</si>
  <si>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</si>
  <si>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</si>
  <si>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</si>
  <si>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</si>
  <si>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</si>
  <si>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</si>
  <si>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</si>
  <si>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</si>
  <si>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</si>
  <si>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</si>
  <si>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</si>
  <si>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</si>
  <si>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</si>
  <si>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</si>
  <si>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</si>
  <si>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</si>
  <si>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</si>
  <si>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</si>
  <si>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</si>
  <si>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</si>
  <si>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</si>
  <si>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</si>
  <si>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</si>
  <si>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</si>
  <si>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</si>
  <si>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</si>
  <si>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</si>
  <si>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</si>
  <si>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</si>
  <si>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</si>
  <si>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</si>
  <si>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</si>
  <si>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</si>
  <si>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</si>
  <si>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</si>
  <si>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</si>
  <si>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</si>
  <si>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</si>
  <si>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</si>
  <si>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</si>
  <si>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</si>
  <si>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</si>
  <si>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</si>
  <si>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</si>
  <si>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</si>
  <si>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</si>
  <si>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</si>
  <si>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</si>
  <si>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</si>
  <si>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</si>
  <si>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</si>
  <si>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</si>
  <si>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</si>
  <si>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</si>
  <si>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</si>
  <si>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</si>
  <si>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</si>
  <si>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</si>
  <si>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</si>
  <si>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</si>
  <si>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</si>
  <si>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</si>
  <si>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</si>
  <si>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</si>
  <si>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</si>
  <si>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</si>
  <si>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</si>
  <si>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</si>
  <si>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</si>
  <si>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</si>
  <si>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</si>
  <si>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</si>
  <si>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</si>
  <si>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</si>
  <si>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</si>
  <si>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</si>
  <si>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</si>
  <si>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</si>
  <si>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</si>
  <si>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</si>
  <si>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</si>
  <si>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</si>
  <si>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</si>
  <si>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</si>
  <si>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</si>
  <si>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</si>
  <si>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</si>
  <si>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</si>
  <si>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</si>
  <si>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</si>
  <si>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</si>
  <si>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</si>
  <si>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</si>
  <si>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</si>
  <si>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</si>
  <si>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</si>
  <si>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</si>
  <si>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</si>
  <si>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</si>
  <si>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</si>
  <si>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</si>
  <si>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</si>
  <si>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</si>
  <si>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</si>
  <si>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</si>
  <si>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</si>
  <si>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</si>
  <si>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</si>
  <si>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</si>
  <si>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</si>
  <si>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</si>
  <si>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</si>
  <si>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</si>
  <si>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</si>
  <si>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</si>
  <si>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</si>
  <si>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</si>
  <si>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</si>
  <si>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</si>
  <si>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</si>
  <si>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</si>
  <si>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</si>
  <si>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</si>
  <si>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</si>
  <si>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</si>
  <si>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</si>
  <si>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</si>
  <si>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</si>
  <si>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</si>
  <si>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</si>
  <si>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</si>
  <si>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</si>
  <si>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</si>
  <si>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</si>
  <si>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</si>
  <si>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</si>
  <si>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</si>
  <si>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</si>
  <si>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</si>
  <si>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</si>
  <si>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</si>
  <si>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</si>
  <si>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</si>
  <si>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</si>
  <si>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</si>
  <si>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</si>
  <si>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</si>
  <si>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</si>
  <si>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</si>
  <si>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</si>
  <si>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</si>
  <si>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</si>
  <si>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</si>
  <si>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</si>
  <si>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</si>
  <si>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</si>
  <si>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</si>
  <si>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</si>
  <si>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</si>
  <si>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</si>
  <si>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</si>
  <si>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</si>
  <si>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</si>
  <si>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</si>
  <si>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</si>
  <si>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</si>
  <si>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</si>
  <si>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</si>
  <si>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</si>
  <si>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</si>
  <si>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</si>
  <si>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</si>
  <si>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</si>
  <si>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</si>
  <si>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</si>
  <si>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</si>
  <si>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</si>
  <si>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</si>
  <si>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</si>
  <si>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</si>
  <si>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</si>
  <si>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</si>
  <si>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</si>
  <si>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</si>
  <si>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</si>
  <si>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</si>
  <si>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</si>
  <si>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</si>
  <si>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</si>
  <si>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</si>
  <si>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</si>
  <si>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</si>
  <si>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</si>
  <si>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</si>
  <si>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</si>
  <si>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</si>
  <si>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</si>
  <si>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</si>
  <si>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</si>
  <si>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</si>
  <si>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</si>
  <si>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</si>
  <si>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</si>
  <si>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</si>
  <si>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</si>
  <si>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</si>
  <si>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</si>
  <si>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</si>
  <si>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</si>
  <si>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</si>
  <si>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</si>
  <si>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</si>
  <si>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</si>
  <si>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</si>
  <si>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</si>
  <si>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</si>
  <si>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</si>
  <si>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</si>
  <si>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</si>
  <si>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</si>
  <si>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</si>
  <si>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</si>
  <si>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</si>
  <si>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</si>
  <si>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</si>
  <si>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</si>
  <si>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</si>
  <si>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</si>
  <si>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</si>
  <si>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</si>
  <si>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</si>
  <si>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</si>
  <si>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</si>
  <si>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</si>
  <si>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</si>
  <si>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</si>
  <si>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</si>
  <si>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</si>
  <si>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</si>
  <si>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</si>
  <si>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</si>
  <si>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</si>
  <si>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</si>
  <si>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</si>
  <si>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</si>
  <si>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</si>
  <si>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</si>
  <si>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</si>
  <si>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</si>
  <si>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</si>
  <si>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</si>
  <si>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</si>
  <si>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</si>
  <si>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</si>
  <si>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</si>
  <si>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</si>
  <si>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</si>
  <si>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</si>
  <si>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</si>
  <si>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</si>
  <si>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</si>
  <si>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</si>
  <si>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</si>
  <si>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</si>
  <si>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</si>
  <si>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</si>
  <si>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</si>
  <si>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</si>
  <si>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</si>
  <si>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</si>
  <si>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</si>
  <si>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</si>
  <si>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</si>
  <si>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</si>
  <si>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</si>
  <si>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</si>
  <si>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</si>
  <si>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</si>
  <si>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</si>
  <si>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</si>
  <si>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</si>
  <si>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</si>
  <si>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</si>
  <si>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</si>
  <si>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</si>
  <si>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</si>
  <si>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</si>
  <si>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</si>
  <si>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</si>
  <si>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</si>
  <si>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</si>
  <si>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</si>
  <si>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</si>
  <si>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</si>
  <si>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</si>
  <si>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</si>
  <si>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</si>
  <si>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</si>
  <si>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</si>
  <si>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</si>
  <si>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</si>
  <si>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</si>
  <si>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</si>
  <si>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</si>
  <si>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</si>
  <si>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</si>
  <si>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</si>
  <si>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</si>
  <si>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</si>
  <si>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</si>
  <si>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</si>
  <si>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</si>
  <si>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</si>
  <si>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</si>
  <si>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</si>
  <si>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</si>
  <si>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</si>
  <si>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</si>
  <si>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</si>
  <si>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</si>
  <si>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</si>
  <si>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</si>
  <si>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</si>
  <si>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</si>
  <si>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</si>
  <si>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</si>
  <si>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</si>
  <si>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</si>
  <si>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</si>
  <si>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</si>
  <si>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</si>
  <si>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</si>
  <si>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</si>
  <si>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</si>
  <si>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</si>
  <si>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</si>
  <si>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</si>
  <si>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</si>
  <si>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</si>
  <si>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</si>
  <si>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</si>
  <si>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</si>
  <si>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</si>
  <si>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</si>
  <si>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</si>
  <si>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</si>
  <si>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</si>
  <si>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</si>
  <si>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</si>
  <si>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</si>
  <si>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</si>
  <si>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</si>
  <si>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</si>
  <si>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</si>
  <si>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</si>
  <si>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</si>
  <si>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</si>
  <si>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</si>
  <si>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</si>
  <si>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</si>
  <si>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</si>
  <si>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</si>
  <si>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</si>
  <si>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</si>
  <si>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</si>
  <si>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</si>
  <si>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</si>
  <si>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</si>
  <si>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</si>
  <si>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</si>
  <si>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</si>
  <si>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</si>
  <si>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</si>
  <si>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</si>
  <si>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</si>
  <si>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</si>
  <si>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</si>
  <si>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</si>
  <si>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</si>
  <si>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</si>
  <si>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</si>
  <si>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</si>
  <si>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</si>
  <si>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</si>
  <si>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</si>
  <si>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</si>
  <si>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</si>
  <si>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</si>
  <si>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</si>
  <si>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</si>
  <si>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</si>
  <si>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</si>
  <si>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</si>
  <si>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</si>
  <si>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</si>
  <si>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</si>
  <si>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</si>
  <si>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</si>
  <si>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</si>
  <si>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</si>
  <si>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</si>
  <si>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</si>
  <si>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</si>
  <si>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</si>
  <si>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</si>
  <si>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</si>
  <si>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</si>
  <si>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</si>
  <si>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</si>
  <si>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</si>
  <si>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</si>
  <si>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</si>
  <si>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</si>
  <si>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</si>
  <si>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</si>
  <si>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</si>
  <si>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</si>
  <si>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</si>
  <si>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</si>
  <si>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</si>
  <si>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</si>
  <si>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</si>
  <si>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</si>
  <si>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</si>
  <si>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</si>
  <si>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</si>
  <si>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</si>
  <si>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</si>
  <si>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</si>
  <si>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</si>
  <si>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</si>
  <si>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</si>
  <si>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</si>
  <si>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</si>
  <si>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</si>
  <si>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</si>
  <si>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</si>
  <si>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</si>
  <si>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</si>
  <si>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</si>
  <si>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</si>
  <si>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</si>
  <si>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</si>
  <si>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</si>
  <si>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</si>
  <si>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</si>
  <si>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</si>
  <si>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</si>
  <si>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</si>
  <si>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</si>
  <si>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</si>
  <si>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</si>
  <si>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</si>
  <si>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</si>
  <si>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</si>
  <si>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</si>
  <si>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</si>
  <si>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</si>
  <si>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</si>
  <si>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</si>
  <si>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</si>
  <si>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</si>
  <si>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</si>
  <si>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</si>
  <si>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</si>
  <si>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</si>
  <si>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</si>
  <si>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</si>
  <si>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</si>
  <si>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</si>
  <si>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</si>
  <si>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</si>
  <si>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</si>
  <si>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</si>
  <si>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</si>
  <si>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</si>
  <si>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</si>
  <si>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</si>
  <si>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</si>
  <si>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</si>
  <si>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</si>
  <si>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</si>
  <si>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</si>
  <si>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</si>
  <si>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</si>
  <si>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</si>
  <si>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</si>
  <si>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</si>
  <si>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</si>
  <si>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</si>
  <si>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</si>
  <si>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</si>
  <si>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</si>
  <si>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</si>
  <si>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</si>
  <si>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</si>
  <si>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</si>
  <si>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</si>
  <si>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</si>
  <si>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</si>
  <si>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</si>
  <si>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</si>
  <si>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</si>
  <si>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</si>
  <si>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</si>
  <si>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</si>
  <si>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</si>
  <si>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</si>
  <si>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</si>
  <si>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</si>
  <si>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</si>
  <si>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</si>
  <si>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</si>
  <si>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</si>
  <si>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</si>
  <si>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</si>
  <si>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</si>
  <si>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</si>
  <si>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</si>
  <si>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</si>
  <si>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</si>
  <si>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</si>
  <si>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</si>
  <si>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</si>
  <si>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</si>
  <si>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</si>
  <si>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</si>
  <si>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</si>
  <si>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</si>
  <si>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</si>
  <si>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</si>
  <si>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</si>
  <si>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</si>
  <si>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</si>
  <si>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</si>
  <si>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</si>
  <si>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</si>
  <si>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</si>
  <si>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</si>
  <si>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</si>
  <si>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</si>
  <si>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</si>
  <si>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</si>
  <si>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</si>
  <si>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</si>
  <si>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</si>
  <si>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</si>
  <si>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</si>
  <si>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</si>
  <si>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</si>
  <si>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</si>
  <si>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</si>
  <si>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</si>
  <si>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</si>
  <si>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</si>
  <si>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</si>
  <si>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</si>
  <si>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</si>
  <si>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</si>
  <si>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</si>
  <si>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</si>
  <si>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</si>
  <si>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</si>
  <si>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</si>
  <si>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</si>
  <si>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</si>
  <si>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</si>
  <si>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</si>
  <si>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</si>
  <si>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</si>
  <si>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</si>
  <si>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</si>
  <si>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</si>
  <si>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</si>
  <si>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</si>
  <si>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</si>
  <si>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</si>
  <si>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</si>
  <si>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</si>
  <si>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</si>
  <si>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</si>
  <si>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</si>
  <si>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</si>
  <si>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</si>
  <si>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</si>
  <si>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</si>
  <si>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</si>
  <si>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</si>
  <si>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</si>
  <si>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</si>
  <si>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</si>
  <si>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</si>
  <si>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</si>
  <si>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</si>
  <si>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</si>
  <si>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</si>
  <si>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</si>
  <si>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</si>
  <si>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</si>
  <si>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</si>
  <si>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</si>
  <si>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</si>
  <si>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</si>
  <si>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</si>
  <si>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</si>
  <si>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</si>
  <si>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</si>
  <si>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</si>
  <si>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</si>
  <si>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</si>
  <si>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</si>
  <si>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</si>
  <si>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</si>
  <si>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</si>
  <si>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</si>
  <si>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</si>
  <si>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</si>
  <si>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</si>
  <si>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</si>
  <si>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</si>
  <si>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</si>
  <si>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</si>
  <si>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</si>
  <si>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</si>
  <si>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</si>
  <si>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</si>
  <si>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</si>
  <si>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</si>
  <si>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</si>
  <si>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</si>
  <si>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</si>
  <si>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</si>
  <si>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</si>
  <si>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</si>
  <si>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</si>
  <si>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</si>
  <si>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</si>
  <si>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</si>
  <si>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</si>
  <si>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</si>
  <si>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</si>
  <si>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</si>
  <si>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</si>
  <si>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</si>
  <si>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</si>
  <si>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</si>
  <si>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</si>
  <si>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</si>
  <si>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</si>
  <si>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</si>
  <si>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</si>
  <si>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</si>
  <si>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</si>
  <si>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</si>
  <si>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</si>
  <si>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</si>
  <si>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</si>
  <si>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</si>
  <si>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</si>
  <si>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</si>
  <si>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</si>
  <si>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</si>
  <si>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</si>
  <si>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</si>
  <si>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</si>
  <si>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</si>
  <si>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</si>
  <si>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</si>
  <si>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</si>
  <si>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</si>
  <si>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</si>
  <si>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</si>
  <si>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</si>
  <si>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</si>
  <si>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</si>
  <si>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</si>
  <si>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</si>
  <si>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</si>
  <si>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</si>
  <si>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</si>
  <si>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</si>
  <si>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</si>
  <si>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</si>
  <si>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</si>
  <si>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</si>
  <si>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</si>
  <si>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</si>
  <si>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</si>
  <si>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</si>
  <si>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</si>
  <si>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</si>
  <si>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</si>
  <si>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</si>
  <si>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</si>
  <si>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</si>
  <si>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</si>
  <si>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</si>
  <si>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</si>
  <si>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</si>
  <si>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</si>
  <si>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</si>
  <si>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</si>
  <si>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</si>
  <si>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</si>
  <si>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</si>
  <si>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</si>
  <si>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</si>
  <si>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</si>
  <si>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</si>
  <si>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</si>
  <si>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</si>
  <si>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</si>
  <si>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</si>
  <si>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</si>
  <si>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</si>
  <si>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</si>
  <si>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</si>
  <si>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</si>
  <si>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</si>
  <si>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</si>
  <si>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</si>
  <si>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</si>
  <si>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</si>
  <si>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</si>
  <si>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</si>
  <si>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</si>
  <si>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</si>
  <si>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</si>
  <si>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</si>
  <si>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</si>
  <si>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</si>
  <si>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</si>
  <si>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</si>
  <si>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</si>
  <si>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</si>
  <si>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</si>
  <si>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</si>
  <si>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</si>
  <si>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</si>
  <si>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</si>
  <si>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</si>
  <si>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</si>
  <si>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</si>
  <si>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</si>
  <si>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</si>
  <si>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</si>
  <si>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</si>
  <si>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</si>
  <si>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</si>
  <si>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</si>
  <si>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</si>
  <si>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</si>
  <si>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</si>
  <si>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</si>
  <si>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</si>
  <si>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</si>
  <si>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</si>
  <si>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</si>
  <si>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</si>
  <si>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</si>
  <si>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</si>
  <si>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</si>
  <si>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</si>
  <si>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</si>
  <si>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</si>
  <si>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</si>
  <si>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</si>
  <si>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</si>
  <si>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</si>
  <si>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</si>
  <si>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</si>
  <si>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</si>
  <si>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</si>
  <si>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</si>
  <si>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</si>
  <si>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</si>
  <si>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</si>
  <si>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</si>
  <si>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</si>
  <si>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</si>
  <si>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</si>
  <si>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</si>
  <si>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</si>
  <si>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</si>
  <si>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</si>
  <si>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</si>
  <si>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</si>
  <si>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</si>
  <si>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</si>
  <si>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</si>
  <si>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</si>
  <si>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</si>
  <si>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</si>
  <si>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</si>
  <si>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</si>
  <si>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</si>
  <si>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</si>
  <si>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</si>
  <si>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</si>
  <si>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</si>
  <si>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</si>
  <si>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</si>
  <si>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</si>
  <si>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</si>
  <si>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</si>
  <si>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</si>
  <si>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</si>
  <si>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</si>
  <si>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</si>
  <si>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</si>
  <si>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</si>
  <si>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</si>
  <si>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</si>
  <si>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</si>
  <si>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</si>
  <si>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</si>
  <si>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</si>
  <si>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</si>
  <si>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</si>
  <si>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</si>
  <si>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</si>
  <si>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</si>
  <si>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</si>
  <si>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</si>
  <si>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</si>
  <si>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</si>
  <si>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</si>
  <si>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</si>
  <si>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</si>
  <si>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</si>
  <si>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</si>
  <si>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</si>
  <si>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</si>
  <si>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</si>
  <si>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</si>
  <si>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</si>
  <si>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</si>
  <si>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</si>
  <si>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</si>
  <si>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</si>
  <si>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</si>
  <si>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</si>
  <si>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</si>
  <si>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</si>
  <si>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</si>
  <si>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</si>
  <si>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</si>
  <si>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</si>
  <si>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</si>
  <si>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</si>
  <si>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</si>
  <si>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</si>
  <si>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</si>
  <si>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</si>
  <si>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</si>
  <si>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</si>
  <si>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</si>
  <si>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</si>
  <si>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</si>
  <si>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</si>
  <si>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</si>
  <si>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</si>
  <si>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</si>
  <si>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</si>
  <si>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</si>
  <si>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</si>
  <si>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</si>
  <si>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</si>
  <si>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</si>
  <si>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</si>
  <si>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</si>
  <si>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</si>
  <si>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</si>
  <si>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</si>
  <si>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</si>
  <si>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</si>
  <si>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</si>
  <si>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</si>
  <si>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</si>
  <si>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</si>
  <si>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</si>
  <si>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</si>
  <si>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</si>
  <si>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</si>
  <si>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</si>
  <si>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</si>
  <si>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</si>
  <si>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</si>
  <si>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</si>
  <si>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</si>
  <si>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</si>
  <si>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</si>
  <si>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</si>
  <si>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</si>
  <si>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</si>
  <si>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</si>
  <si>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</si>
  <si>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</si>
  <si>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</si>
  <si>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</si>
  <si>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</si>
  <si>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</si>
  <si>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</si>
  <si>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</si>
  <si>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</si>
  <si>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</si>
  <si>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</si>
  <si>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</si>
  <si>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</si>
  <si>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</si>
  <si>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</si>
  <si>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</si>
  <si>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</si>
  <si>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</si>
  <si>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</si>
  <si>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</si>
  <si>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</si>
  <si>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</si>
  <si>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</si>
  <si>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</si>
  <si>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</si>
  <si>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</si>
  <si>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</si>
  <si>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</si>
  <si>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</si>
  <si>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</si>
  <si>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</si>
  <si>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</si>
  <si>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</si>
  <si>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</si>
  <si>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</si>
  <si>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</si>
  <si>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</si>
  <si>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</si>
  <si>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</si>
  <si>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</si>
  <si>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</si>
  <si>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</si>
  <si>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</si>
  <si>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</si>
  <si>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</si>
  <si>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</si>
  <si>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</si>
  <si>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</si>
  <si>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</si>
  <si>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</si>
  <si>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</si>
  <si>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</si>
  <si>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</si>
  <si>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</si>
  <si>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</si>
  <si>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</si>
  <si>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</si>
  <si>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</si>
  <si>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</si>
  <si>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</si>
  <si>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</si>
  <si>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</si>
  <si>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</si>
  <si>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</si>
  <si>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</si>
  <si>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</si>
  <si>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</si>
  <si>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</si>
  <si>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</si>
  <si>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</si>
  <si>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</si>
  <si>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</si>
  <si>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</si>
  <si>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</si>
  <si>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</si>
  <si>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</si>
  <si>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</si>
  <si>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</si>
  <si>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</si>
  <si>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</si>
  <si>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</si>
  <si>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</si>
  <si>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</si>
  <si>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</si>
  <si>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</si>
  <si>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</si>
  <si>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</si>
  <si>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</si>
  <si>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</si>
  <si>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</si>
  <si>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</si>
  <si>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</si>
  <si>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</si>
  <si>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</si>
  <si>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</si>
  <si>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</si>
  <si>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</si>
  <si>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</si>
  <si>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</si>
  <si>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</si>
  <si>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</si>
  <si>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</si>
  <si>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</si>
  <si>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</si>
  <si>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</si>
  <si>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</si>
  <si>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</si>
  <si>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</si>
  <si>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</si>
  <si>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</si>
  <si>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</si>
  <si>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</si>
  <si>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</si>
  <si>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</si>
  <si>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</si>
  <si>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</si>
  <si>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</si>
  <si>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</si>
  <si>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</si>
  <si>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</si>
  <si>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</si>
  <si>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</si>
  <si>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</si>
  <si>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</si>
  <si>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</si>
  <si>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</si>
  <si>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</si>
  <si>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</si>
  <si>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</si>
  <si>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</si>
  <si>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</si>
  <si>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</si>
  <si>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</si>
  <si>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</si>
  <si>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</si>
  <si>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</si>
  <si>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</si>
  <si>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</si>
  <si>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</si>
  <si>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</si>
  <si>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</si>
  <si>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</si>
  <si>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</si>
  <si>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</si>
  <si>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</si>
  <si>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</si>
  <si>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</si>
  <si>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</si>
  <si>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</si>
  <si>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</si>
  <si>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</si>
  <si>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</si>
  <si>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</si>
  <si>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</si>
  <si>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</si>
  <si>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</si>
  <si>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</si>
  <si>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</si>
  <si>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</si>
  <si>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</si>
  <si>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</si>
  <si>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</si>
  <si>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</si>
  <si>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</si>
  <si>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</si>
  <si>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</si>
  <si>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</si>
  <si>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</si>
  <si>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</si>
  <si>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</si>
  <si>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</si>
  <si>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</si>
  <si>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</si>
  <si>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</si>
  <si>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</si>
  <si>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</si>
  <si>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</si>
  <si>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</si>
  <si>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</si>
  <si>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</si>
  <si>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</si>
  <si>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</si>
  <si>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</si>
  <si>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</si>
  <si>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</si>
  <si>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</si>
  <si>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</si>
  <si>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</si>
  <si>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</si>
  <si>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</si>
  <si>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</si>
  <si>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</si>
  <si>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</si>
  <si>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</si>
  <si>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</si>
  <si>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</si>
  <si>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</si>
  <si>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</si>
  <si>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</si>
  <si>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</si>
  <si>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</si>
  <si>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</si>
  <si>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</si>
  <si>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</si>
  <si>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</si>
  <si>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</si>
  <si>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</si>
  <si>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</si>
  <si>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</si>
  <si>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</si>
  <si>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</si>
  <si>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</si>
  <si>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</si>
  <si>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</si>
  <si>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</si>
  <si>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</si>
  <si>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</si>
  <si>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</si>
  <si>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</si>
  <si>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</si>
  <si>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</si>
  <si>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</si>
  <si>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</si>
  <si>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</si>
  <si>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</si>
  <si>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</si>
  <si>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</si>
  <si>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</si>
  <si>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</si>
  <si>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</si>
  <si>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</si>
  <si>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</si>
  <si>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</si>
  <si>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</si>
  <si>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</si>
  <si>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</si>
  <si>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</si>
  <si>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</si>
  <si>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</si>
  <si>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</si>
  <si>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</si>
  <si>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</si>
  <si>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</si>
  <si>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</si>
  <si>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</si>
  <si>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</si>
  <si>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</si>
  <si>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</si>
  <si>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</si>
  <si>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</si>
  <si>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</si>
  <si>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</si>
  <si>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</si>
  <si>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</si>
  <si>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</si>
  <si>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</si>
  <si>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</si>
  <si>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</si>
  <si>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</si>
  <si>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</si>
  <si>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</si>
  <si>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</si>
  <si>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</si>
  <si>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</si>
  <si>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</si>
  <si>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</si>
  <si>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</si>
  <si>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</si>
  <si>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</si>
  <si>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</si>
  <si>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</si>
  <si>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</si>
  <si>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</si>
  <si>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</si>
  <si>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</si>
  <si>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</si>
  <si>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</si>
  <si>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</si>
  <si>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</si>
  <si>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</si>
  <si>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</si>
  <si>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</si>
  <si>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</si>
  <si>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</si>
  <si>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</si>
  <si>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</si>
  <si>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</si>
  <si>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</si>
  <si>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</si>
  <si>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</si>
  <si>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</si>
  <si>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</si>
  <si>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</si>
  <si>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</si>
  <si>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</si>
  <si>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</si>
  <si>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</si>
  <si>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</si>
  <si>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</si>
  <si>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</si>
  <si>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</si>
  <si>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</si>
  <si>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</si>
  <si>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</si>
  <si>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</si>
  <si>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</si>
  <si>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</si>
  <si>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</si>
  <si>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</si>
  <si>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</si>
  <si>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</si>
  <si>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</si>
  <si>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</si>
  <si>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</si>
  <si>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</si>
  <si>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</si>
  <si>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</si>
  <si>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</si>
  <si>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</si>
  <si>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</si>
  <si>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</si>
  <si>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</si>
  <si>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</si>
  <si>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</si>
  <si>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</si>
  <si>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</si>
  <si>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</si>
  <si>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</si>
  <si>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</si>
  <si>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</si>
  <si>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</si>
  <si>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</si>
  <si>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</si>
  <si>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</si>
  <si>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</si>
  <si>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</si>
  <si>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</si>
  <si>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</si>
  <si>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</si>
  <si>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</si>
  <si>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</si>
  <si>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</si>
  <si>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</si>
  <si>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</si>
  <si>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</si>
  <si>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</si>
  <si>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</si>
  <si>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</si>
  <si>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</si>
  <si>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</si>
  <si>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</si>
  <si>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</si>
  <si>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</si>
  <si>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</si>
  <si>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</si>
  <si>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</si>
  <si>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</si>
  <si>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</si>
  <si>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</si>
  <si>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</si>
  <si>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</si>
  <si>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</si>
  <si>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</si>
  <si>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</si>
  <si>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</si>
  <si>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</si>
  <si>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</si>
  <si>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</si>
  <si>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</si>
  <si>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</si>
  <si>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</si>
  <si>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</si>
  <si>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</si>
  <si>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</si>
  <si>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</si>
  <si>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</si>
  <si>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</si>
  <si>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</si>
  <si>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</si>
  <si>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</si>
  <si>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</si>
  <si>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</si>
  <si>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</si>
  <si>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</si>
  <si>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</si>
  <si>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</si>
  <si>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</si>
  <si>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</si>
  <si>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</si>
  <si>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</si>
  <si>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</si>
  <si>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</si>
  <si>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</si>
  <si>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</si>
  <si>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</si>
  <si>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</si>
  <si>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</si>
  <si>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</si>
  <si>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</si>
  <si>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</si>
  <si>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</si>
  <si>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</si>
  <si>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</si>
  <si>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</si>
  <si>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</si>
  <si>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</si>
  <si>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</si>
  <si>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</si>
  <si>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</si>
  <si>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</si>
  <si>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</si>
  <si>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</si>
  <si>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</si>
  <si>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</si>
  <si>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</si>
  <si>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</si>
  <si>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</si>
  <si>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</si>
  <si>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</si>
  <si>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</si>
  <si>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</si>
  <si>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</si>
  <si>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</si>
  <si>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</si>
  <si>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</si>
  <si>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</si>
  <si>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</si>
  <si>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</si>
  <si>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</si>
  <si>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</si>
  <si>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</si>
  <si>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</si>
  <si>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</si>
  <si>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</si>
  <si>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</si>
  <si>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</si>
  <si>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</si>
  <si>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</si>
  <si>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</si>
  <si>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</si>
  <si>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</si>
  <si>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</si>
  <si>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</si>
  <si>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</si>
  <si>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</si>
  <si>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</si>
  <si>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</si>
  <si>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</si>
  <si>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</si>
  <si>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</si>
  <si>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</si>
  <si>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</si>
  <si>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</si>
  <si>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</si>
  <si>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</si>
  <si>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</si>
  <si>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</si>
  <si>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</si>
  <si>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</si>
  <si>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</si>
  <si>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</si>
  <si>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</si>
  <si>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</si>
  <si>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</si>
  <si>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</si>
  <si>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</si>
  <si>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</si>
  <si>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</si>
  <si>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</si>
  <si>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</si>
  <si>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</si>
  <si>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</si>
  <si>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</si>
  <si>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</si>
  <si>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</si>
  <si>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</si>
  <si>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</si>
  <si>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</si>
  <si>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</si>
  <si>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</si>
  <si>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</si>
  <si>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</si>
  <si>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</si>
  <si>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</si>
  <si>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</si>
  <si>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</si>
  <si>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</si>
  <si>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</si>
  <si>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</si>
  <si>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</si>
  <si>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</si>
  <si>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</si>
  <si>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</si>
  <si>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</si>
  <si>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</si>
  <si>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</si>
  <si>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</si>
  <si>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</si>
  <si>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</si>
  <si>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</si>
  <si>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</si>
  <si>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</si>
  <si>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</si>
  <si>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</si>
  <si>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</si>
  <si>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</si>
  <si>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</si>
  <si>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</si>
  <si>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</si>
  <si>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</si>
  <si>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</si>
  <si>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</si>
  <si>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</si>
  <si>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</si>
  <si>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</si>
  <si>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</si>
  <si>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</si>
  <si>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</si>
  <si>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</si>
  <si>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</si>
  <si>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</si>
  <si>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</si>
  <si>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</si>
  <si>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</si>
  <si>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</si>
  <si>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</si>
  <si>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</si>
  <si>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</si>
  <si>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</si>
  <si>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</si>
  <si>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</si>
  <si>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</si>
  <si>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</si>
  <si>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</si>
  <si>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</si>
  <si>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</si>
  <si>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</si>
  <si>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</si>
  <si>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</si>
  <si>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</si>
  <si>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</si>
  <si>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</si>
  <si>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</si>
  <si>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</si>
  <si>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</si>
  <si>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</si>
  <si>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</si>
  <si>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</si>
  <si>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</si>
  <si>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</si>
  <si>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</si>
  <si>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</si>
  <si>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</si>
  <si>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</si>
  <si>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</si>
  <si>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</si>
  <si>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</si>
  <si>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</si>
  <si>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</si>
  <si>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</si>
  <si>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</si>
  <si>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</si>
  <si>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</si>
  <si>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</si>
  <si>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</si>
  <si>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</si>
  <si>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</si>
  <si>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</si>
  <si>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</si>
  <si>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</si>
  <si>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</si>
  <si>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</si>
  <si>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</si>
  <si>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</si>
  <si>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</si>
  <si>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</si>
  <si>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</si>
  <si>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</si>
  <si>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</si>
  <si>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</si>
  <si>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</si>
  <si>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</si>
  <si>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</si>
  <si>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</si>
  <si>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</si>
  <si>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</si>
  <si>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</si>
  <si>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</si>
  <si>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</si>
  <si>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</si>
  <si>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</si>
  <si>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</si>
  <si>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</si>
  <si>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</si>
  <si>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</si>
  <si>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</si>
  <si>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</si>
  <si>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</si>
  <si>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</si>
  <si>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</si>
  <si>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</si>
  <si>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</si>
  <si>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</si>
  <si>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</si>
  <si>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</si>
  <si>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</si>
  <si>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</si>
  <si>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</si>
  <si>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</si>
  <si>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</si>
  <si>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</si>
  <si>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</si>
  <si>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</si>
  <si>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</si>
  <si>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</si>
  <si>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</si>
  <si>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</si>
  <si>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</si>
  <si>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</si>
  <si>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</si>
  <si>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</si>
  <si>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</si>
  <si>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</si>
  <si>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</si>
  <si>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</si>
  <si>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</si>
  <si>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</si>
  <si>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</si>
  <si>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</si>
  <si>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</si>
  <si>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</si>
  <si>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</si>
  <si>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</si>
  <si>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</si>
  <si>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</si>
  <si>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</si>
  <si>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</si>
  <si>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</si>
  <si>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</si>
  <si>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</si>
  <si>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</si>
  <si>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</si>
  <si>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</si>
  <si>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</si>
  <si>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</si>
  <si>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</si>
  <si>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</si>
  <si>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</si>
  <si>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</si>
  <si>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</si>
  <si>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</si>
  <si>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</si>
  <si>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</si>
  <si>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</si>
  <si>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</si>
  <si>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</si>
  <si>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</si>
  <si>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</si>
  <si>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</si>
  <si>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</si>
  <si>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</si>
  <si>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</si>
  <si>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</si>
  <si>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</si>
  <si>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</si>
  <si>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</si>
  <si>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</si>
  <si>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</si>
  <si>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</si>
  <si>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</si>
  <si>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</si>
  <si>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</si>
  <si>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</si>
  <si>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</si>
  <si>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</si>
  <si>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</si>
  <si>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</si>
  <si>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</si>
  <si>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</si>
  <si>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</si>
  <si>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</si>
  <si>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</si>
  <si>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</si>
  <si>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</si>
  <si>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</si>
  <si>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</si>
  <si>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</si>
  <si>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</si>
  <si>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</si>
  <si>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</si>
  <si>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</si>
  <si>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</si>
  <si>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</si>
  <si>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</si>
  <si>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</si>
  <si>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</si>
  <si>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</si>
  <si>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</si>
  <si>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</si>
  <si>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</si>
  <si>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</si>
  <si>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</si>
  <si>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</si>
  <si>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</si>
  <si>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</si>
  <si>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</si>
  <si>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</si>
  <si>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</si>
  <si>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</si>
  <si>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</si>
  <si>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</si>
  <si>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</si>
  <si>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</si>
  <si>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</si>
  <si>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</si>
  <si>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</si>
  <si>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</si>
  <si>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</si>
  <si>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</si>
  <si>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</si>
  <si>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</si>
  <si>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</si>
  <si>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</si>
  <si>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</si>
  <si>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</si>
  <si>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</si>
  <si>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</si>
  <si>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</si>
  <si>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</si>
  <si>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</si>
  <si>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</si>
  <si>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</si>
  <si>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</si>
  <si>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</si>
  <si>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</si>
  <si>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</si>
  <si>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</si>
  <si>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</si>
  <si>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</si>
  <si>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</si>
  <si>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</si>
  <si>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</si>
  <si>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</si>
  <si>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</si>
  <si>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</si>
  <si>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</si>
  <si>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</si>
  <si>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</si>
  <si>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</si>
  <si>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</si>
  <si>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</si>
  <si>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</si>
  <si>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</si>
  <si>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</si>
  <si>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</si>
  <si>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</si>
  <si>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</si>
  <si>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</si>
  <si>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</si>
  <si>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</si>
  <si>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</si>
  <si>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</si>
  <si>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</si>
  <si>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</si>
  <si>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</si>
  <si>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</si>
  <si>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</si>
  <si>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</si>
  <si>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</si>
  <si>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</si>
  <si>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</si>
  <si>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</si>
  <si>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</si>
  <si>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</si>
  <si>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</si>
  <si>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</si>
  <si>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</si>
  <si>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</si>
  <si>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</si>
  <si>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</si>
  <si>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</si>
  <si>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</si>
  <si>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</si>
  <si>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</si>
  <si>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</si>
  <si>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</si>
  <si>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</si>
  <si>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</si>
  <si>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</si>
  <si>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</si>
  <si>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</si>
  <si>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</si>
  <si>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</si>
  <si>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</si>
  <si>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</si>
  <si>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</si>
  <si>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</si>
  <si>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</si>
  <si>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</si>
  <si>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</si>
  <si>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</si>
  <si>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</si>
  <si>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</si>
  <si>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</si>
  <si>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</si>
  <si>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</si>
  <si>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</si>
  <si>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</si>
  <si>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</si>
  <si>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</si>
  <si>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</si>
  <si>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</si>
  <si>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</si>
  <si>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</si>
  <si>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</si>
  <si>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</si>
  <si>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</si>
  <si>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</si>
  <si>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</si>
  <si>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</si>
  <si>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</si>
  <si>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</si>
  <si>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</si>
  <si>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</si>
  <si>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</si>
  <si>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</si>
  <si>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</si>
  <si>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</si>
  <si>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</si>
  <si>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</si>
  <si>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</si>
  <si>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</si>
  <si>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</si>
  <si>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</si>
  <si>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</si>
  <si>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</si>
  <si>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</si>
  <si>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</si>
  <si>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</si>
  <si>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</si>
  <si>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</si>
  <si>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</si>
  <si>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</si>
  <si>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</si>
  <si>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</si>
  <si>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</si>
  <si>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</si>
  <si>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</si>
  <si>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</si>
  <si>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</si>
  <si>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</si>
  <si>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</si>
  <si>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</si>
  <si>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</si>
  <si>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</si>
  <si>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</si>
  <si>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</si>
  <si>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</si>
  <si>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</si>
  <si>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</si>
  <si>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</si>
  <si>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</si>
  <si>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</si>
  <si>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</si>
  <si>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</si>
  <si>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</si>
  <si>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</si>
  <si>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</si>
  <si>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</si>
  <si>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</si>
  <si>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</si>
  <si>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</si>
  <si>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</si>
  <si>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</si>
  <si>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</si>
  <si>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</si>
  <si>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</si>
  <si>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</si>
  <si>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</si>
  <si>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</si>
  <si>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</si>
  <si>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</si>
  <si>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</si>
  <si>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</si>
  <si>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</si>
  <si>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</si>
  <si>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</si>
  <si>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</si>
  <si>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</si>
  <si>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</si>
  <si>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</si>
  <si>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</si>
  <si>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</si>
  <si>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</si>
  <si>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</si>
  <si>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</si>
  <si>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</si>
  <si>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</si>
  <si>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</si>
  <si>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</si>
  <si>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</si>
  <si>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</si>
  <si>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</si>
  <si>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</si>
  <si>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</si>
  <si>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</si>
  <si>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</si>
  <si>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</si>
  <si>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</si>
  <si>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</si>
  <si>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</si>
  <si>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</si>
  <si>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</si>
  <si>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</si>
  <si>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</si>
  <si>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</si>
  <si>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</si>
  <si>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</si>
  <si>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</si>
  <si>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</si>
  <si>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</si>
  <si>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</si>
  <si>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</si>
  <si>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</si>
  <si>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</si>
  <si>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</si>
  <si>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</si>
  <si>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</si>
  <si>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</si>
  <si>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</si>
  <si>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</si>
  <si>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</si>
  <si>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</si>
  <si>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</si>
  <si>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</si>
  <si>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</si>
  <si>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</si>
  <si>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</si>
  <si>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</si>
  <si>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</si>
  <si>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</si>
  <si>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</si>
  <si>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</si>
  <si>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</si>
  <si>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</si>
  <si>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</si>
  <si>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</si>
  <si>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</si>
  <si>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</si>
  <si>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</si>
  <si>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</si>
  <si>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</si>
  <si>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</si>
  <si>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</si>
  <si>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</si>
  <si>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</si>
  <si>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</si>
  <si>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</si>
  <si>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</si>
  <si>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</si>
  <si>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</si>
  <si>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</si>
  <si>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</si>
  <si>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</si>
  <si>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</si>
  <si>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</si>
  <si>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</si>
  <si>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</si>
  <si>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</si>
  <si>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</si>
  <si>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</si>
  <si>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</si>
  <si>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</si>
  <si>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</si>
  <si>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</si>
  <si>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</si>
  <si>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</si>
  <si>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</si>
  <si>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</si>
  <si>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</si>
  <si>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</si>
  <si>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</si>
  <si>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</si>
  <si>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</si>
  <si>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</si>
  <si>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</si>
  <si>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</si>
  <si>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</si>
  <si>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</si>
  <si>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</si>
  <si>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</si>
  <si>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</si>
  <si>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</si>
  <si>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</si>
  <si>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</si>
  <si>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</si>
  <si>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</si>
  <si>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</si>
  <si>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</si>
  <si>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</si>
  <si>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</si>
  <si>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</si>
  <si>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</si>
  <si>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</si>
  <si>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</si>
  <si>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</si>
  <si>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</si>
  <si>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</si>
  <si>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</si>
  <si>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</si>
  <si>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</si>
  <si>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</si>
  <si>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</si>
  <si>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</si>
  <si>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</si>
  <si>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</si>
  <si>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</si>
  <si>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</si>
  <si>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</si>
  <si>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</si>
  <si>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</si>
  <si>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</si>
  <si>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</si>
  <si>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</si>
  <si>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</si>
  <si>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</si>
  <si>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</si>
  <si>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</si>
  <si>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</si>
  <si>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</si>
  <si>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</si>
  <si>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</si>
  <si>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</si>
  <si>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</si>
  <si>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</si>
  <si>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</si>
  <si>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</si>
  <si>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</si>
  <si>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</si>
  <si>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</si>
  <si>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</si>
  <si>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</si>
  <si>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</si>
  <si>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</si>
  <si>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</si>
  <si>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</si>
  <si>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</si>
  <si>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</si>
  <si>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</si>
  <si>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</si>
  <si>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</si>
  <si>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</si>
  <si>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</si>
  <si>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</si>
  <si>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</si>
  <si>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</si>
  <si>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</si>
  <si>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</si>
  <si>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</si>
  <si>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</si>
  <si>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</si>
  <si>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</si>
  <si>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</si>
  <si>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</si>
  <si>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</si>
  <si>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</si>
  <si>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</si>
  <si>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</si>
  <si>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</si>
  <si>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</si>
  <si>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</si>
  <si>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</si>
  <si>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</si>
  <si>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</si>
  <si>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</si>
  <si>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</si>
  <si>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</si>
  <si>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</si>
  <si>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</si>
  <si>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</si>
  <si>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</si>
  <si>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</si>
  <si>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</si>
  <si>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</si>
  <si>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</si>
  <si>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</si>
  <si>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</si>
  <si>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</si>
  <si>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</si>
  <si>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</si>
  <si>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</si>
  <si>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</si>
  <si>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</si>
  <si>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</si>
  <si>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</si>
  <si>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</si>
  <si>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</si>
  <si>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</si>
  <si>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</si>
  <si>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</si>
  <si>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</si>
  <si>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</si>
  <si>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</si>
  <si>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</si>
  <si>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</si>
  <si>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</si>
  <si>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</si>
  <si>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</si>
  <si>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</si>
  <si>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</si>
  <si>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</si>
  <si>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</si>
  <si>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</si>
  <si>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</si>
  <si>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</si>
  <si>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</si>
  <si>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</si>
  <si>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</si>
  <si>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</si>
  <si>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</si>
  <si>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</si>
  <si>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</si>
  <si>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</si>
  <si>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</si>
  <si>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</si>
  <si>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</si>
  <si>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</si>
  <si>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</si>
  <si>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</si>
  <si>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</si>
  <si>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</si>
  <si>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</si>
  <si>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</si>
  <si>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</si>
  <si>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</si>
  <si>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</si>
  <si>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</si>
  <si>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</si>
  <si>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</si>
  <si>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</si>
  <si>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</si>
  <si>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</si>
  <si>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</si>
  <si>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</si>
  <si>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</si>
  <si>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</si>
  <si>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</si>
  <si>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</si>
  <si>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</si>
  <si>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</si>
  <si>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</si>
  <si>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</si>
  <si>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</si>
  <si>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</si>
  <si>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</si>
  <si>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</si>
  <si>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</si>
  <si>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</si>
  <si>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</si>
  <si>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</si>
  <si>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</si>
  <si>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</si>
  <si>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</si>
  <si>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</si>
  <si>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</si>
  <si>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</si>
  <si>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</si>
  <si>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</si>
  <si>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</si>
  <si>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</si>
  <si>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</si>
  <si>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</si>
  <si>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</si>
  <si>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</si>
  <si>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</si>
  <si>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</si>
  <si>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</si>
  <si>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</si>
  <si>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</si>
  <si>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</si>
  <si>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</si>
  <si>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</si>
  <si>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</si>
  <si>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</si>
  <si>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</si>
  <si>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</si>
  <si>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</si>
  <si>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</si>
  <si>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</si>
  <si>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</si>
  <si>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</si>
  <si>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</si>
  <si>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</si>
  <si>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</si>
  <si>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</si>
  <si>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</si>
  <si>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</si>
  <si>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</si>
  <si>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</si>
  <si>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</si>
  <si>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</si>
  <si>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</si>
  <si>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</si>
  <si>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</si>
  <si>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</si>
  <si>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</si>
  <si>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</si>
  <si>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</si>
  <si>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</si>
  <si>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</si>
  <si>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</si>
  <si>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</si>
  <si>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</si>
  <si>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</si>
  <si>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</si>
  <si>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</si>
  <si>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</si>
  <si>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</si>
  <si>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</si>
  <si>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</si>
  <si>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</si>
  <si>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</si>
  <si>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</si>
  <si>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</si>
  <si>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</si>
  <si>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</si>
  <si>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</si>
  <si>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</si>
  <si>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</si>
  <si>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</si>
  <si>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</si>
  <si>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</si>
  <si>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</si>
  <si>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</si>
  <si>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</si>
  <si>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</si>
  <si>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</si>
  <si>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</si>
  <si>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</si>
  <si>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</si>
  <si>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</si>
  <si>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</si>
  <si>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</si>
  <si>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</si>
  <si>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</si>
  <si>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</si>
  <si>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</si>
  <si>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</si>
  <si>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</si>
  <si>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</si>
  <si>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</si>
  <si>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</si>
  <si>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</si>
  <si>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</si>
  <si>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</si>
  <si>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</si>
  <si>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</si>
  <si>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</si>
  <si>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</si>
  <si>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</si>
  <si>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</si>
  <si>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</si>
  <si>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</si>
  <si>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</si>
  <si>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</si>
  <si>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</si>
  <si>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</si>
  <si>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</si>
  <si>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</si>
  <si>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</si>
  <si>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</si>
  <si>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</si>
  <si>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</si>
  <si>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</si>
  <si>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</si>
  <si>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</si>
  <si>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</si>
  <si>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</si>
  <si>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</si>
  <si>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</si>
  <si>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</si>
  <si>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</si>
  <si>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</si>
  <si>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</si>
  <si>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</si>
  <si>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</si>
  <si>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</si>
  <si>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</si>
  <si>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</si>
  <si>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</si>
  <si>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</si>
  <si>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</si>
  <si>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</si>
  <si>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</si>
  <si>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</si>
  <si>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</si>
  <si>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</si>
  <si>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</si>
  <si>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</si>
  <si>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</si>
  <si>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</si>
  <si>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</si>
  <si>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</si>
  <si>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</si>
  <si>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</si>
  <si>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</si>
  <si>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</si>
  <si>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</si>
  <si>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</si>
  <si>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</si>
  <si>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</si>
  <si>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</si>
  <si>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</si>
  <si>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</si>
  <si>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</si>
  <si>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</si>
  <si>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</si>
  <si>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</si>
  <si>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</si>
  <si>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</si>
  <si>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</si>
  <si>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</si>
  <si>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</si>
  <si>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</si>
  <si>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</si>
  <si>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</si>
  <si>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</si>
  <si>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</si>
  <si>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</si>
  <si>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</si>
  <si>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</si>
  <si>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</si>
  <si>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</si>
  <si>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</si>
  <si>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</si>
  <si>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</si>
  <si>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</si>
  <si>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</si>
  <si>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</si>
  <si>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</si>
  <si>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</si>
  <si>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</si>
  <si>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</si>
  <si>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</si>
  <si>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</si>
  <si>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</si>
  <si>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</si>
  <si>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</si>
  <si>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</si>
  <si>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</si>
  <si>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</si>
  <si>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</si>
  <si>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</si>
  <si>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</si>
  <si>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</si>
  <si>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</si>
  <si>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</si>
  <si>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</si>
  <si>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</si>
  <si>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</si>
  <si>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</si>
  <si>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</si>
  <si>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</si>
  <si>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</si>
  <si>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</si>
  <si>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</si>
  <si>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</si>
  <si>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</si>
  <si>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</si>
  <si>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</si>
  <si>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</si>
  <si>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</si>
  <si>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</si>
  <si>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</si>
  <si>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</si>
  <si>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</si>
  <si>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</si>
  <si>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</si>
  <si>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</si>
  <si>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</si>
  <si>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</si>
  <si>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</si>
  <si>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</si>
  <si>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</si>
  <si>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</si>
  <si>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</si>
  <si>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</si>
  <si>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</si>
  <si>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</si>
  <si>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</si>
  <si>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</si>
  <si>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</si>
  <si>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</si>
  <si>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</si>
  <si>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</si>
  <si>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</si>
  <si>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</si>
  <si>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</si>
  <si>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</si>
  <si>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</si>
  <si>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</si>
  <si>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</si>
  <si>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</si>
  <si>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</si>
  <si>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</si>
  <si>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</si>
  <si>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</si>
  <si>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</si>
  <si>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</si>
  <si>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</si>
  <si>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</si>
  <si>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</si>
  <si>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</si>
  <si>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</si>
  <si>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</si>
  <si>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</si>
  <si>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</si>
  <si>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</si>
  <si>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</si>
  <si>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</si>
  <si>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</si>
  <si>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</si>
  <si>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</si>
  <si>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</si>
  <si>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</si>
  <si>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</si>
  <si>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</si>
  <si>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</si>
  <si>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</si>
  <si>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</si>
  <si>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</si>
  <si>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</si>
  <si>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</si>
  <si>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</si>
  <si>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</si>
  <si>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</si>
  <si>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</si>
  <si>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</si>
  <si>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</si>
  <si>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</si>
  <si>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</si>
  <si>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</si>
  <si>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</si>
  <si>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</si>
  <si>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</si>
  <si>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</si>
  <si>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</si>
  <si>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</si>
  <si>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</si>
  <si>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</si>
  <si>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</si>
  <si>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</si>
  <si>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</si>
  <si>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</si>
  <si>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</si>
  <si>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</si>
  <si>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</si>
  <si>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</si>
  <si>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</si>
  <si>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</si>
  <si>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</si>
  <si>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</si>
  <si>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</si>
  <si>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</si>
  <si>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</si>
  <si>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</si>
  <si>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</si>
  <si>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</si>
  <si>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</si>
  <si>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</si>
  <si>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</si>
  <si>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</si>
  <si>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</si>
  <si>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</si>
  <si>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</si>
  <si>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</si>
  <si>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</si>
  <si>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</si>
  <si>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</si>
  <si>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</si>
  <si>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</si>
  <si>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</si>
  <si>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</si>
  <si>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</si>
  <si>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</si>
  <si>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</si>
  <si>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</si>
  <si>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</si>
  <si>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</si>
  <si>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</si>
  <si>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</si>
  <si>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</si>
  <si>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</si>
  <si>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</si>
  <si>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</si>
  <si>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</si>
  <si>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</si>
  <si>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</si>
  <si>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</si>
  <si>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</si>
  <si>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</si>
  <si>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</si>
  <si>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</si>
  <si>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</si>
  <si>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</si>
  <si>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</si>
  <si>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</si>
  <si>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</si>
  <si>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</si>
  <si>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</si>
  <si>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</si>
  <si>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</si>
  <si>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</si>
  <si>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</si>
  <si>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</si>
  <si>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</si>
  <si>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</si>
  <si>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</si>
  <si>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</si>
  <si>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</si>
  <si>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</si>
  <si>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</si>
  <si>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</si>
  <si>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</si>
  <si>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</si>
  <si>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</si>
  <si>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</si>
  <si>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</si>
  <si>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</si>
  <si>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</si>
  <si>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</si>
  <si>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</si>
  <si>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</si>
  <si>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</si>
  <si>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</si>
  <si>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</si>
  <si>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</si>
  <si>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</si>
  <si>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</si>
  <si>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</si>
  <si>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</si>
  <si>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</si>
  <si>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</si>
  <si>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</si>
  <si>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</si>
  <si>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</si>
  <si>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</si>
  <si>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</si>
  <si>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</si>
  <si>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</si>
  <si>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</si>
  <si>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</si>
  <si>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</si>
  <si>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</si>
  <si>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</si>
  <si>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</si>
  <si>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</si>
  <si>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</si>
  <si>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</si>
  <si>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</si>
  <si>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</si>
  <si>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</si>
  <si>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</si>
  <si>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</si>
  <si>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</si>
  <si>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</si>
  <si>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</si>
  <si>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</si>
  <si>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</si>
  <si>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</si>
  <si>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</si>
  <si>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</si>
  <si>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</si>
  <si>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</si>
  <si>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</si>
  <si>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</si>
  <si>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</si>
  <si>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</si>
  <si>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</si>
  <si>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</si>
  <si>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</si>
  <si>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</si>
  <si>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</si>
  <si>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</si>
  <si>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</si>
  <si>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</si>
  <si>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</si>
  <si>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</si>
  <si>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</si>
  <si>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</si>
  <si>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</si>
  <si>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</si>
  <si>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</si>
  <si>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</si>
  <si>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</si>
  <si>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</si>
  <si>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</si>
  <si>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</si>
  <si>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</si>
  <si>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</si>
  <si>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</si>
  <si>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</si>
  <si>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</si>
  <si>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</si>
  <si>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</si>
  <si>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</si>
  <si>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</si>
  <si>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</si>
  <si>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</si>
  <si>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</si>
  <si>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</si>
  <si>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</si>
  <si>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</si>
  <si>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</si>
  <si>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</si>
  <si>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</si>
  <si>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</si>
  <si>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</si>
  <si>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</si>
  <si>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</si>
  <si>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</si>
  <si>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</si>
  <si>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</si>
  <si>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</si>
  <si>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</si>
  <si>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</si>
  <si>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</si>
  <si>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</si>
  <si>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</si>
  <si>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</si>
  <si>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</si>
  <si>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</si>
  <si>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</si>
  <si>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</si>
  <si>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</si>
  <si>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</si>
  <si>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</si>
  <si>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</si>
  <si>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</si>
  <si>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</si>
  <si>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</si>
  <si>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</si>
  <si>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</si>
  <si>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</si>
  <si>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</si>
  <si>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</si>
  <si>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</si>
  <si>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</si>
  <si>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</si>
  <si>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</si>
  <si>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</si>
  <si>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</si>
  <si>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</si>
  <si>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</si>
  <si>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</si>
  <si>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</si>
  <si>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</si>
  <si>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</si>
  <si>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</si>
  <si>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</si>
  <si>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</si>
  <si>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</si>
  <si>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</si>
  <si>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</si>
  <si>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</si>
  <si>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</si>
  <si>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</si>
  <si>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</si>
  <si>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</si>
  <si>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</si>
  <si>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</si>
  <si>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</si>
  <si>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</si>
  <si>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</si>
  <si>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</si>
  <si>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</si>
  <si>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</si>
  <si>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</si>
  <si>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</si>
  <si>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</si>
  <si>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</si>
  <si>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</si>
  <si>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</si>
  <si>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</si>
  <si>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</si>
  <si>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</si>
  <si>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</si>
  <si>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</si>
  <si>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</si>
  <si>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</si>
  <si>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</si>
  <si>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</si>
  <si>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</si>
  <si>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</si>
  <si>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</si>
  <si>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</si>
  <si>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</si>
  <si>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</si>
  <si>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</si>
  <si>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</si>
  <si>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</si>
  <si>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</si>
  <si>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</si>
  <si>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</si>
  <si>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</si>
  <si>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</si>
  <si>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</si>
  <si>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</si>
  <si>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</si>
  <si>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</si>
  <si>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</si>
  <si>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</si>
  <si>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</si>
  <si>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</si>
  <si>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</si>
  <si>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</si>
  <si>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</si>
  <si>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</si>
  <si>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</si>
  <si>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</si>
  <si>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</si>
  <si>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</si>
  <si>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</si>
  <si>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</si>
  <si>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</si>
  <si>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</si>
  <si>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</si>
  <si>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</si>
  <si>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</si>
  <si>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</si>
  <si>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</si>
  <si>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</si>
  <si>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</si>
  <si>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</si>
  <si>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</si>
  <si>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</si>
  <si>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</si>
  <si>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</si>
  <si>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</si>
  <si>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</si>
  <si>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</si>
  <si>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</si>
  <si>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</si>
  <si>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</si>
  <si>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</si>
  <si>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</si>
  <si>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</si>
  <si>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</si>
  <si>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</si>
  <si>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</si>
  <si>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</si>
  <si>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</si>
  <si>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</si>
  <si>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</si>
  <si>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</si>
  <si>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</si>
  <si>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</si>
  <si>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</si>
  <si>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</si>
  <si>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</si>
  <si>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</si>
  <si>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</si>
  <si>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</si>
  <si>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</si>
  <si>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</si>
  <si>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</si>
  <si>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</si>
  <si>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</si>
  <si>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</si>
  <si>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</si>
  <si>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</si>
  <si>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</si>
  <si>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</si>
  <si>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</si>
  <si>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</si>
  <si>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</si>
  <si>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</si>
  <si>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</si>
  <si>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</si>
  <si>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</si>
  <si>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</si>
  <si>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</si>
  <si>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</si>
  <si>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</si>
  <si>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</si>
  <si>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</si>
  <si>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</si>
  <si>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</si>
  <si>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</si>
  <si>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</si>
  <si>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</si>
  <si>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</si>
  <si>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</si>
  <si>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</si>
  <si>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</si>
  <si>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</si>
  <si>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</si>
  <si>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</si>
  <si>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</si>
  <si>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</si>
  <si>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</si>
  <si>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</si>
  <si>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</si>
  <si>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</si>
  <si>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</si>
  <si>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</si>
  <si>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</si>
  <si>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</si>
  <si>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</si>
  <si>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</si>
  <si>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</si>
  <si>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</si>
  <si>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</si>
  <si>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</si>
  <si>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</si>
  <si>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</si>
  <si>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</si>
  <si>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</si>
  <si>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</si>
  <si>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</si>
  <si>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</si>
  <si>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</si>
  <si>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</si>
  <si>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</si>
  <si>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</si>
  <si>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</si>
  <si>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</si>
  <si>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</si>
  <si>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</si>
  <si>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</si>
  <si>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</si>
  <si>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</si>
  <si>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</si>
  <si>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</si>
  <si>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</si>
  <si>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</si>
  <si>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</si>
  <si>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</si>
  <si>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</si>
  <si>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</si>
  <si>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</si>
  <si>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</si>
  <si>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</si>
  <si>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</si>
  <si>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</si>
  <si>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</si>
  <si>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</si>
  <si>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</si>
  <si>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</si>
  <si>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</si>
  <si>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</si>
  <si>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</si>
  <si>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</si>
  <si>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</si>
  <si>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</si>
  <si>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</si>
  <si>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</si>
  <si>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</si>
  <si>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</si>
  <si>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</si>
  <si>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</si>
  <si>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</si>
  <si>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</si>
  <si>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</si>
  <si>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</si>
  <si>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</si>
  <si>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</si>
  <si>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</si>
  <si>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</si>
  <si>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</si>
  <si>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</si>
  <si>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</si>
  <si>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</si>
  <si>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</si>
  <si>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</si>
  <si>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</si>
  <si>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</si>
  <si>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</si>
  <si>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</si>
  <si>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</si>
  <si>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</si>
  <si>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</si>
  <si>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</si>
  <si>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</si>
  <si>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</si>
  <si>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</si>
  <si>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</si>
  <si>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</si>
  <si>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</si>
  <si>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</si>
  <si>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</si>
  <si>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</si>
  <si>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</si>
  <si>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</si>
  <si>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</si>
  <si>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</si>
  <si>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</si>
  <si>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</si>
  <si>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</si>
  <si>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</si>
  <si>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</si>
  <si>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</si>
  <si>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</si>
  <si>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</si>
  <si>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</si>
  <si>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</si>
  <si>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</si>
  <si>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</si>
  <si>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</si>
  <si>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</si>
  <si>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</si>
  <si>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</si>
  <si>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</si>
  <si>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</si>
  <si>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</si>
  <si>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</si>
  <si>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</si>
  <si>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</si>
  <si>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</si>
  <si>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</si>
  <si>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</si>
  <si>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</si>
  <si>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</si>
  <si>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</si>
  <si>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</si>
  <si>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</si>
  <si>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</si>
  <si>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</si>
  <si>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</si>
  <si>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</si>
  <si>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</si>
  <si>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</si>
  <si>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</si>
  <si>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</si>
  <si>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</si>
  <si>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</si>
  <si>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</si>
  <si>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</si>
  <si>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</si>
  <si>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</si>
  <si>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</si>
  <si>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</si>
  <si>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</si>
  <si>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</si>
  <si>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</si>
  <si>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</si>
  <si>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</si>
  <si>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</si>
  <si>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</si>
  <si>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</si>
  <si>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</si>
  <si>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</si>
  <si>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</si>
  <si>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</si>
  <si>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</si>
  <si>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</si>
  <si>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</si>
  <si>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</si>
  <si>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</si>
  <si>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</si>
  <si>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</si>
  <si>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</si>
  <si>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</si>
  <si>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</si>
  <si>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</si>
  <si>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</si>
  <si>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</si>
  <si>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</si>
  <si>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</si>
  <si>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</si>
  <si>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</si>
  <si>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</si>
  <si>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</si>
  <si>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</si>
  <si>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</si>
  <si>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</si>
  <si>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</si>
  <si>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</si>
  <si>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</si>
  <si>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</si>
  <si>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</si>
  <si>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</si>
  <si>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</si>
  <si>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</si>
  <si>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</si>
  <si>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</si>
  <si>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</si>
  <si>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</si>
  <si>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</si>
  <si>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</si>
  <si>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</si>
  <si>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</si>
  <si>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</si>
  <si>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</si>
  <si>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</si>
  <si>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</si>
  <si>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</si>
  <si>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</si>
  <si>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</si>
  <si>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</si>
  <si>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</si>
  <si>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</si>
  <si>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</si>
  <si>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</si>
  <si>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</si>
  <si>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</si>
  <si>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</si>
  <si>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</si>
  <si>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</si>
  <si>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</si>
  <si>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</si>
  <si>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</si>
  <si>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</si>
  <si>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</si>
  <si>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</si>
  <si>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</si>
  <si>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</si>
  <si>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</si>
  <si>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</si>
  <si>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</si>
  <si>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</si>
  <si>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</si>
  <si>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</si>
  <si>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</si>
  <si>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</si>
  <si>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</si>
  <si>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</si>
  <si>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</si>
  <si>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</si>
  <si>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</si>
  <si>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</si>
  <si>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</si>
  <si>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</si>
  <si>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</si>
  <si>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</si>
  <si>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</si>
  <si>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</si>
  <si>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</si>
  <si>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</si>
  <si>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</si>
  <si>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</si>
  <si>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</si>
  <si>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</si>
  <si>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</si>
  <si>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</si>
  <si>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</si>
  <si>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</si>
  <si>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</si>
  <si>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</si>
  <si>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</si>
  <si>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</si>
  <si>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</si>
  <si>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</si>
  <si>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</si>
  <si>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</si>
  <si>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</si>
  <si>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</si>
  <si>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</si>
  <si>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</si>
  <si>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</si>
  <si>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</si>
  <si>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</si>
  <si>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</si>
  <si>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</si>
  <si>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</si>
  <si>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</si>
  <si>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</si>
  <si>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</si>
  <si>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</si>
  <si>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</si>
  <si>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</si>
  <si>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</si>
  <si>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</si>
  <si>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</si>
  <si>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</si>
  <si>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</si>
  <si>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</si>
  <si>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</si>
  <si>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</si>
  <si>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</si>
  <si>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</si>
  <si>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</si>
  <si>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</si>
  <si>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</si>
  <si>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</si>
  <si>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</si>
  <si>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</si>
  <si>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</si>
  <si>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</si>
  <si>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</si>
  <si>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</si>
  <si>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</si>
  <si>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</si>
  <si>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</si>
  <si>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</si>
  <si>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</si>
  <si>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</si>
  <si>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</si>
  <si>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</si>
  <si>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</si>
  <si>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</si>
  <si>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</si>
  <si>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</si>
  <si>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</si>
  <si>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</si>
  <si>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</si>
  <si>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</si>
  <si>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</si>
  <si>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</si>
  <si>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</si>
  <si>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</si>
  <si>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</si>
  <si>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</si>
  <si>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</si>
  <si>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</si>
  <si>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</si>
  <si>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</si>
  <si>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</si>
  <si>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</si>
  <si>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</si>
  <si>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</si>
  <si>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</si>
  <si>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</si>
  <si>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</si>
  <si>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</si>
  <si>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</si>
  <si>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</si>
  <si>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</si>
  <si>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</si>
  <si>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</si>
  <si>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</si>
  <si>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</si>
  <si>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</si>
  <si>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</si>
  <si>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</si>
  <si>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</si>
  <si>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</si>
  <si>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</si>
  <si>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</si>
  <si>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</si>
  <si>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</si>
  <si>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</si>
  <si>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</si>
  <si>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</si>
  <si>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</si>
  <si>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</si>
  <si>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</si>
  <si>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</si>
  <si>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</si>
  <si>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</si>
  <si>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</si>
  <si>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</si>
  <si>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</si>
  <si>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</si>
  <si>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</si>
  <si>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</si>
  <si>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</si>
  <si>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</si>
  <si>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</si>
  <si>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</si>
  <si>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</si>
  <si>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</si>
  <si>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</si>
  <si>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</si>
  <si>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</si>
  <si>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</si>
  <si>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</si>
  <si>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</si>
  <si>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</si>
  <si>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</si>
  <si>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</si>
  <si>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</si>
  <si>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</si>
  <si>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</si>
  <si>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</si>
  <si>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</si>
  <si>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</si>
  <si>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</si>
  <si>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</si>
  <si>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</si>
  <si>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</si>
  <si>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</si>
  <si>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</si>
  <si>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</si>
  <si>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</si>
  <si>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</si>
  <si>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</si>
  <si>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</si>
  <si>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</si>
  <si>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</si>
  <si>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</si>
  <si>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</si>
  <si>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</si>
  <si>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</si>
  <si>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</si>
  <si>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</si>
  <si>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</si>
  <si>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</si>
  <si>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</si>
  <si>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</si>
  <si>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</si>
  <si>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</si>
  <si>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</si>
  <si>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</si>
  <si>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</si>
  <si>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</si>
  <si>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</si>
  <si>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</si>
  <si>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</si>
  <si>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</si>
  <si>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</si>
  <si>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</si>
  <si>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</si>
  <si>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</si>
  <si>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</si>
  <si>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</si>
  <si>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</si>
  <si>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</si>
  <si>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</si>
  <si>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</si>
  <si>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</si>
  <si>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</si>
  <si>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</si>
  <si>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</si>
  <si>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</si>
  <si>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</si>
  <si>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</si>
  <si>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</si>
  <si>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</si>
  <si>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</si>
  <si>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</si>
  <si>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</si>
  <si>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</si>
  <si>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</si>
  <si>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</si>
  <si>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</si>
  <si>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</si>
  <si>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</si>
  <si>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</si>
  <si>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</si>
  <si>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</si>
  <si>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</si>
  <si>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</si>
  <si>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</si>
  <si>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</si>
  <si>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</si>
  <si>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</si>
  <si>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</si>
  <si>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</si>
  <si>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</si>
  <si>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</si>
  <si>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</si>
  <si>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</si>
  <si>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</si>
  <si>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</si>
  <si>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</si>
  <si>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</si>
  <si>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</si>
  <si>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</si>
  <si>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</si>
  <si>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</si>
  <si>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</si>
  <si>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</si>
  <si>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</si>
  <si>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</si>
  <si>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</si>
  <si>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</si>
  <si>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</si>
  <si>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</si>
  <si>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</si>
  <si>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</si>
  <si>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</si>
  <si>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</si>
  <si>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</si>
  <si>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</si>
  <si>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</si>
  <si>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</si>
  <si>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</si>
  <si>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</si>
  <si>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</si>
  <si>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</si>
  <si>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</si>
  <si>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</si>
  <si>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</si>
  <si>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</si>
  <si>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</si>
  <si>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</si>
  <si>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</si>
  <si>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</si>
  <si>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</si>
  <si>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</si>
  <si>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</si>
  <si>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</si>
  <si>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</si>
  <si>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</si>
  <si>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</si>
  <si>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</si>
  <si>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</si>
  <si>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</si>
  <si>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</si>
  <si>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</si>
  <si>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</si>
  <si>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</si>
  <si>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</si>
  <si>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</si>
  <si>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</si>
  <si>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</si>
  <si>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</si>
  <si>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</si>
  <si>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</si>
  <si>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</si>
  <si>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</si>
  <si>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</si>
  <si>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</si>
  <si>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</si>
  <si>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</si>
  <si>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</si>
  <si>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</si>
  <si>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</si>
  <si>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</si>
  <si>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</si>
  <si>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</si>
  <si>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</si>
  <si>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</si>
  <si>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</si>
  <si>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</si>
  <si>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</si>
  <si>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</si>
  <si>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</si>
  <si>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</si>
  <si>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</si>
  <si>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</si>
  <si>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</si>
  <si>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</si>
  <si>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</si>
  <si>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</si>
  <si>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</si>
  <si>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</si>
  <si>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</si>
  <si>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</si>
  <si>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</si>
  <si>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</si>
  <si>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</si>
  <si>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</si>
  <si>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</si>
  <si>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</si>
  <si>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</si>
  <si>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</si>
  <si>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</si>
  <si>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</si>
  <si>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</si>
  <si>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</si>
  <si>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</si>
  <si>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</si>
  <si>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</si>
  <si>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</si>
  <si>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</si>
  <si>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</si>
  <si>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</si>
  <si>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</si>
  <si>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</si>
  <si>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</si>
  <si>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</si>
  <si>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</si>
  <si>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</si>
  <si>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</si>
  <si>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</si>
  <si>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</si>
  <si>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</si>
  <si>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</si>
  <si>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</si>
  <si>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</si>
  <si>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</si>
  <si>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</si>
  <si>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</si>
  <si>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</si>
  <si>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</si>
  <si>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</si>
  <si>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</si>
  <si>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</si>
  <si>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</si>
  <si>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</si>
  <si>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</si>
  <si>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</si>
  <si>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</si>
  <si>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</si>
  <si>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</si>
  <si>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</si>
  <si>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</si>
  <si>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</si>
  <si>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</si>
  <si>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</si>
  <si>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</si>
  <si>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</si>
  <si>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</si>
  <si>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</si>
  <si>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</si>
  <si>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</si>
  <si>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</si>
  <si>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</si>
  <si>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</si>
  <si>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</si>
  <si>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</si>
  <si>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</si>
  <si>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</si>
  <si>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</si>
  <si>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</si>
  <si>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</si>
  <si>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</si>
  <si>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</si>
  <si>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</si>
  <si>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</si>
  <si>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</si>
  <si>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</si>
  <si>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</si>
  <si>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</si>
  <si>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</si>
  <si>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</si>
  <si>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</si>
  <si>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</si>
  <si>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</si>
  <si>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</si>
  <si>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</si>
  <si>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</si>
  <si>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</si>
  <si>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</si>
  <si>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</si>
  <si>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</si>
  <si>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</si>
  <si>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</si>
  <si>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</si>
  <si>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</si>
  <si>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</si>
  <si>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</si>
  <si>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</si>
  <si>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</si>
  <si>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</si>
  <si>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</si>
  <si>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</si>
  <si>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</si>
  <si>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</si>
  <si>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</si>
  <si>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</si>
  <si>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</si>
  <si>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</si>
  <si>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</si>
  <si>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</si>
  <si>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</si>
  <si>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</si>
  <si>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</si>
  <si>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</si>
  <si>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</si>
  <si>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</si>
  <si>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</si>
  <si>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</si>
  <si>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</si>
  <si>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</si>
  <si>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</si>
  <si>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</si>
  <si>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</si>
  <si>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</si>
  <si>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</si>
  <si>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</si>
  <si>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</si>
  <si>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</si>
  <si>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</si>
  <si>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</si>
  <si>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</si>
  <si>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</si>
  <si>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</si>
  <si>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</si>
  <si>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</si>
  <si>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</si>
  <si>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</si>
  <si>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</si>
  <si>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</si>
  <si>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</si>
  <si>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</si>
  <si>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</si>
  <si>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</si>
  <si>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</si>
  <si>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</si>
  <si>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</si>
  <si>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</si>
  <si>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</si>
  <si>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</si>
  <si>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</si>
  <si>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</si>
  <si>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</si>
  <si>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</si>
  <si>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</si>
  <si>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</si>
  <si>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</si>
  <si>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</si>
  <si>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</si>
  <si>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</si>
  <si>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</si>
  <si>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</si>
  <si>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</si>
  <si>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</si>
  <si>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</si>
  <si>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</si>
  <si>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</si>
  <si>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</si>
  <si>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</si>
  <si>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</si>
  <si>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</si>
  <si>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</si>
  <si>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</si>
  <si>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</si>
  <si>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</si>
  <si>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</si>
  <si>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</si>
  <si>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</si>
  <si>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</si>
  <si>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</si>
  <si>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</si>
  <si>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</si>
  <si>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</si>
  <si>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</si>
  <si>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</si>
  <si>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</si>
  <si>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</si>
  <si>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</si>
  <si>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</si>
  <si>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</si>
  <si>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</si>
  <si>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</si>
  <si>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</si>
  <si>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</si>
  <si>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</si>
  <si>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</si>
  <si>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</si>
  <si>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</si>
  <si>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</si>
  <si>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</si>
  <si>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</si>
  <si>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</si>
  <si>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</si>
  <si>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</si>
  <si>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</si>
  <si>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</si>
  <si>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</si>
  <si>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</si>
  <si>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</si>
  <si>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</si>
  <si>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</si>
  <si>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</si>
  <si>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</si>
  <si>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</si>
  <si>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</si>
  <si>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</si>
  <si>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</si>
  <si>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</si>
  <si>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</si>
  <si>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</si>
  <si>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</si>
  <si>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</si>
  <si>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</si>
  <si>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</si>
  <si>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</si>
  <si>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</si>
  <si>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</si>
  <si>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</si>
  <si>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</si>
  <si>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</si>
  <si>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</si>
  <si>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</si>
  <si>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</si>
  <si>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</si>
  <si>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</si>
  <si>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</si>
  <si>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</si>
  <si>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</si>
  <si>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</si>
  <si>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</si>
  <si>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</si>
  <si>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</si>
  <si>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</si>
  <si>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</si>
  <si>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</si>
  <si>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</si>
  <si>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</si>
  <si>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</si>
  <si>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</si>
  <si>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</si>
  <si>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</si>
  <si>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</si>
  <si>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</si>
  <si>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</si>
  <si>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</si>
  <si>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</si>
  <si>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</si>
  <si>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</si>
  <si>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</si>
  <si>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</si>
  <si>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</si>
  <si>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</si>
  <si>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</si>
  <si>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</si>
  <si>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</si>
  <si>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</si>
  <si>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</si>
  <si>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</si>
  <si>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</si>
  <si>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</si>
  <si>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</si>
  <si>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</si>
  <si>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</si>
  <si>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</si>
  <si>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</si>
  <si>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</si>
  <si>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</si>
  <si>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</si>
  <si>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</si>
  <si>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</si>
  <si>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</si>
  <si>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</si>
  <si>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</si>
  <si>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</si>
  <si>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</si>
  <si>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</si>
  <si>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</si>
  <si>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</si>
  <si>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</si>
  <si>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</si>
  <si>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</si>
  <si>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</si>
  <si>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</si>
  <si>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</si>
  <si>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</si>
  <si>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</si>
  <si>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</si>
  <si>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</si>
  <si>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</si>
  <si>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</si>
  <si>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</si>
  <si>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</si>
  <si>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</si>
  <si>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</si>
  <si>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</si>
  <si>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</si>
  <si>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</si>
  <si>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</si>
  <si>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</si>
  <si>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</si>
  <si>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</si>
  <si>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</si>
  <si>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</si>
  <si>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</si>
  <si>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</si>
  <si>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</si>
  <si>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</si>
  <si>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</si>
  <si>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</si>
  <si>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</si>
  <si>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</si>
  <si>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</si>
  <si>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</si>
  <si>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</si>
  <si>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</si>
  <si>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</si>
  <si>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</si>
  <si>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</si>
  <si>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</si>
  <si>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</si>
  <si>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</si>
  <si>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</si>
  <si>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</si>
  <si>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</si>
  <si>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</si>
  <si>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</si>
  <si>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</si>
  <si>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</si>
  <si>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</si>
  <si>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</si>
  <si>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</si>
  <si>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</si>
  <si>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</si>
  <si>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</si>
  <si>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</si>
  <si>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</si>
  <si>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</si>
  <si>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</si>
  <si>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</si>
  <si>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</si>
  <si>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</si>
  <si>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</si>
  <si>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</si>
  <si>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</si>
  <si>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</si>
  <si>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</si>
  <si>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</si>
  <si>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</si>
  <si>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</si>
  <si>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</si>
  <si>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</si>
  <si>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</si>
  <si>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</si>
  <si>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</si>
  <si>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</si>
  <si>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</si>
  <si>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</si>
  <si>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</si>
  <si>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</si>
  <si>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</si>
  <si>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</si>
  <si>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</si>
  <si>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</si>
  <si>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</si>
  <si>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</si>
  <si>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</si>
  <si>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</si>
  <si>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</si>
  <si>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</si>
  <si>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</si>
  <si>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</si>
  <si>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</si>
  <si>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</si>
  <si>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</si>
  <si>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</si>
  <si>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</si>
  <si>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</si>
  <si>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</si>
  <si>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</si>
  <si>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</si>
  <si>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</si>
  <si>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</si>
  <si>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</si>
  <si>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</si>
  <si>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</si>
  <si>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</si>
  <si>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</si>
  <si>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</si>
  <si>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</si>
  <si>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</si>
  <si>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</si>
  <si>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</si>
  <si>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</si>
  <si>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</si>
  <si>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</si>
  <si>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</si>
  <si>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</si>
  <si>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</si>
  <si>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</si>
  <si>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</si>
  <si>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</si>
  <si>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</si>
  <si>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</si>
  <si>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</si>
  <si>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</si>
  <si>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</si>
  <si>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</si>
  <si>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</si>
  <si>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</si>
  <si>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</si>
  <si>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</si>
  <si>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</si>
  <si>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</si>
  <si>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</si>
  <si>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</si>
  <si>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</si>
  <si>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</si>
  <si>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</si>
  <si>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</si>
  <si>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</si>
  <si>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</si>
  <si>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</si>
  <si>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</si>
  <si>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</si>
  <si>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</si>
  <si>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</si>
  <si>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</si>
  <si>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</si>
  <si>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</si>
  <si>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</si>
  <si>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</si>
  <si>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</si>
  <si>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</si>
  <si>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</si>
  <si>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</si>
  <si>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</si>
  <si>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</si>
  <si>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</si>
  <si>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</si>
  <si>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</si>
  <si>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</si>
  <si>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</si>
  <si>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</si>
  <si>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</si>
  <si>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</si>
  <si>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</si>
  <si>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</si>
  <si>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</si>
  <si>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</si>
  <si>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</si>
  <si>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</si>
  <si>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</si>
  <si>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</si>
  <si>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</si>
  <si>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</si>
  <si>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</si>
  <si>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</si>
  <si>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</si>
  <si>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</si>
  <si>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</si>
  <si>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</si>
  <si>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</si>
  <si>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</si>
  <si>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</si>
  <si>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</si>
  <si>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</si>
  <si>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</si>
  <si>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</si>
  <si>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</si>
  <si>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</si>
  <si>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</si>
  <si>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</si>
  <si>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</si>
  <si>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</si>
  <si>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</si>
  <si>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</si>
  <si>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</si>
  <si>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</si>
  <si>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</si>
  <si>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</si>
  <si>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</si>
  <si>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</si>
  <si>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</si>
  <si>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</si>
  <si>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</si>
  <si>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</si>
  <si>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</si>
  <si>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</si>
  <si>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</si>
  <si>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</si>
  <si>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</si>
  <si>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</si>
  <si>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</si>
  <si>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</si>
  <si>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</si>
  <si>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</si>
  <si>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</si>
  <si>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</si>
  <si>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</si>
  <si>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</si>
  <si>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</si>
  <si>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</si>
  <si>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</si>
  <si>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</si>
  <si>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</si>
  <si>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</si>
  <si>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</si>
  <si>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</si>
  <si>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</si>
  <si>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</si>
  <si>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</si>
  <si>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</si>
  <si>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</si>
  <si>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</si>
  <si>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</si>
  <si>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</si>
  <si>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</si>
  <si>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</si>
  <si>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</si>
  <si>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</si>
  <si>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</si>
  <si>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</si>
  <si>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</si>
  <si>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</si>
  <si>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</si>
  <si>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</si>
  <si>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</si>
  <si>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</si>
  <si>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</si>
  <si>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</si>
  <si>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</si>
  <si>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</si>
  <si>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</si>
  <si>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</si>
  <si>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</si>
  <si>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</si>
  <si>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</si>
  <si>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</si>
  <si>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</si>
  <si>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</si>
  <si>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</si>
  <si>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</si>
  <si>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</si>
  <si>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</si>
  <si>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</si>
  <si>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</si>
  <si>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</si>
  <si>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</si>
  <si>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</si>
  <si>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</si>
  <si>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</si>
  <si>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</si>
  <si>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</si>
  <si>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</si>
  <si>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</si>
  <si>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</si>
  <si>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</si>
  <si>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</si>
  <si>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</si>
  <si>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</si>
  <si>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</si>
  <si>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</si>
  <si>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</si>
  <si>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</si>
  <si>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</si>
  <si>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</si>
  <si>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</si>
  <si>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</si>
  <si>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</si>
  <si>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</si>
  <si>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</si>
  <si>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</si>
  <si>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</si>
  <si>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</si>
  <si>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</si>
  <si>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</si>
  <si>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</si>
  <si>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</si>
  <si>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</si>
  <si>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</si>
  <si>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</si>
  <si>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</si>
  <si>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</si>
  <si>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</si>
  <si>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</si>
  <si>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</si>
  <si>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</si>
  <si>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</si>
  <si>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</si>
  <si>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</si>
  <si>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</si>
  <si>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</si>
  <si>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</si>
  <si>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</si>
  <si>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</si>
  <si>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</si>
  <si>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</si>
  <si>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</si>
  <si>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</si>
  <si>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</si>
  <si>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</si>
  <si>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</si>
  <si>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</si>
  <si>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</si>
  <si>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</si>
  <si>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</si>
  <si>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</si>
  <si>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</si>
  <si>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</si>
  <si>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</si>
  <si>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</si>
  <si>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</si>
  <si>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</si>
  <si>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</si>
  <si>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</si>
  <si>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</si>
  <si>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</si>
  <si>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</si>
  <si>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</si>
  <si>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</si>
  <si>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</si>
  <si>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</si>
  <si>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</si>
  <si>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</si>
  <si>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</si>
  <si>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</si>
  <si>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</si>
  <si>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</si>
  <si>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</si>
  <si>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</si>
  <si>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</si>
  <si>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</si>
  <si>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</si>
  <si>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</si>
  <si>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</si>
  <si>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</si>
  <si>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</si>
  <si>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</si>
  <si>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</si>
  <si>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</si>
  <si>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</si>
  <si>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</si>
  <si>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</si>
  <si>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</si>
  <si>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</si>
  <si>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</si>
  <si>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</si>
  <si>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</si>
  <si>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</si>
  <si>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</si>
  <si>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</si>
  <si>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</si>
  <si>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</si>
  <si>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</si>
  <si>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</si>
  <si>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</si>
  <si>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</si>
  <si>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</si>
  <si>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</si>
  <si>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</si>
  <si>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</si>
  <si>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</si>
  <si>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</si>
  <si>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</si>
  <si>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</si>
  <si>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</si>
  <si>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</si>
  <si>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</si>
  <si>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</si>
  <si>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</si>
  <si>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</si>
  <si>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</si>
  <si>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</si>
  <si>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</si>
  <si>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</si>
  <si>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</si>
  <si>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</si>
  <si>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</si>
  <si>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</si>
  <si>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</si>
  <si>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</si>
  <si>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</si>
  <si>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</si>
  <si>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</si>
  <si>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</si>
  <si>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</si>
  <si>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</si>
  <si>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</si>
  <si>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</si>
  <si>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</si>
  <si>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</si>
  <si>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</si>
  <si>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</si>
  <si>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</si>
  <si>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</si>
  <si>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</si>
  <si>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</si>
  <si>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</si>
  <si>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</si>
  <si>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</si>
  <si>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</si>
  <si>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</si>
  <si>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</si>
  <si>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</si>
  <si>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</si>
  <si>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</si>
  <si>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</si>
  <si>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</si>
  <si>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</si>
  <si>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</si>
  <si>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</si>
  <si>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</si>
  <si>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</si>
  <si>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</si>
  <si>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</si>
  <si>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</si>
  <si>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</si>
  <si>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</si>
  <si>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</si>
  <si>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</si>
  <si>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</si>
  <si>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</si>
  <si>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</si>
  <si>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</si>
  <si>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</si>
  <si>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</si>
  <si>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</si>
  <si>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</si>
  <si>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</si>
  <si>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</si>
  <si>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</si>
  <si>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</si>
  <si>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</si>
  <si>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</si>
  <si>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</si>
  <si>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</si>
  <si>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</si>
  <si>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</si>
  <si>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</si>
  <si>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</si>
  <si>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</si>
  <si>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</si>
  <si>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</si>
  <si>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</si>
  <si>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</si>
  <si>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</si>
  <si>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</si>
  <si>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</si>
  <si>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</si>
  <si>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</si>
  <si>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</si>
  <si>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</si>
  <si>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</si>
  <si>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</si>
  <si>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</si>
  <si>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</si>
  <si>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</si>
  <si>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</si>
  <si>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</si>
  <si>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</si>
  <si>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</si>
  <si>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</si>
  <si>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</si>
  <si>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</si>
  <si>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</si>
  <si>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</si>
  <si>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</si>
  <si>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</si>
  <si>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</si>
  <si>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</si>
  <si>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</si>
  <si>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</si>
  <si>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</si>
  <si>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</si>
  <si>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</si>
  <si>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</si>
  <si>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</si>
  <si>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</si>
  <si>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</si>
  <si>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</si>
  <si>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</si>
  <si>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</si>
  <si>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</si>
  <si>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</si>
  <si>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</si>
  <si>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</si>
  <si>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</si>
  <si>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</si>
  <si>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</si>
  <si>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</si>
  <si>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</si>
  <si>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</si>
  <si>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</si>
  <si>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</si>
  <si>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</si>
  <si>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</si>
  <si>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</si>
  <si>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</si>
  <si>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</si>
  <si>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</si>
  <si>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</si>
  <si>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</si>
  <si>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</si>
  <si>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</si>
  <si>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</si>
  <si>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</si>
  <si>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</si>
  <si>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</si>
  <si>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</si>
  <si>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</si>
  <si>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</si>
  <si>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</si>
  <si>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</si>
  <si>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</si>
  <si>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</si>
  <si>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</si>
  <si>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</si>
  <si>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</si>
  <si>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</si>
  <si>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</si>
  <si>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</si>
  <si>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</si>
  <si>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</si>
  <si>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</si>
  <si>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</si>
  <si>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</si>
  <si>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</si>
  <si>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</si>
  <si>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</si>
  <si>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</si>
  <si>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</si>
  <si>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</si>
  <si>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</si>
  <si>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</si>
  <si>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</si>
  <si>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</si>
  <si>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</si>
  <si>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</si>
  <si>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</si>
  <si>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</si>
  <si>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</si>
  <si>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</si>
  <si>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</si>
  <si>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</si>
  <si>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</si>
  <si>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</si>
  <si>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</si>
  <si>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</si>
  <si>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</si>
  <si>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</si>
  <si>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</si>
  <si>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</si>
  <si>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</si>
  <si>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</si>
  <si>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</si>
  <si>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</si>
  <si>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</si>
  <si>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</si>
  <si>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</si>
  <si>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</si>
  <si>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</si>
  <si>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</si>
  <si>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</si>
  <si>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</si>
  <si>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</si>
  <si>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</si>
  <si>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</si>
  <si>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</si>
  <si>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</si>
  <si>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</si>
  <si>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</si>
  <si>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</si>
  <si>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</si>
  <si>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</si>
  <si>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</si>
  <si>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</si>
  <si>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</si>
  <si>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</si>
  <si>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</si>
  <si>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</si>
  <si>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</si>
  <si>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</si>
  <si>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</si>
  <si>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</si>
  <si>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</si>
  <si>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</si>
  <si>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</si>
  <si>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</si>
  <si>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</si>
  <si>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</si>
  <si>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</si>
  <si>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</si>
  <si>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</si>
  <si>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</si>
  <si>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</si>
  <si>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</si>
  <si>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</si>
  <si>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</si>
  <si>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</si>
  <si>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</si>
  <si>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</si>
  <si>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</si>
  <si>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</si>
  <si>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</si>
  <si>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</si>
  <si>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</si>
  <si>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</si>
  <si>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</si>
  <si>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</si>
  <si>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</si>
  <si>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</si>
  <si>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</si>
  <si>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</si>
  <si>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</si>
  <si>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</si>
  <si>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</si>
  <si>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</si>
  <si>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</si>
  <si>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</si>
  <si>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</si>
  <si>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</si>
  <si>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</si>
  <si>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</si>
  <si>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</si>
  <si>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</si>
  <si>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</si>
  <si>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</si>
  <si>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</si>
  <si>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</si>
  <si>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</si>
  <si>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</si>
  <si>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</si>
  <si>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</si>
  <si>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</si>
  <si>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</si>
  <si>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</si>
  <si>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</si>
  <si>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</si>
  <si>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</si>
  <si>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</si>
  <si>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</si>
  <si>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</si>
  <si>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</si>
  <si>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</si>
  <si>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</si>
  <si>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</si>
  <si>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</si>
  <si>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</si>
  <si>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</si>
  <si>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</si>
  <si>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</si>
  <si>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</si>
  <si>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</si>
  <si>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</si>
  <si>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</si>
  <si>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</si>
  <si>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</si>
  <si>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</si>
  <si>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</si>
  <si>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</si>
  <si>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</si>
  <si>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</si>
  <si>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</si>
  <si>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</si>
  <si>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</si>
  <si>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</si>
  <si>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</si>
  <si>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</si>
  <si>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</si>
  <si>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</si>
  <si>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</si>
  <si>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</si>
  <si>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</si>
  <si>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</si>
  <si>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</si>
  <si>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</si>
  <si>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</si>
  <si>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</si>
  <si>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</si>
  <si>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</si>
  <si>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</si>
  <si>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</si>
  <si>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</si>
  <si>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</si>
  <si>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</si>
  <si>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</si>
  <si>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</si>
  <si>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</si>
  <si>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</si>
  <si>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</si>
  <si>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</si>
  <si>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</si>
  <si>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</si>
  <si>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</si>
  <si>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</si>
  <si>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</si>
  <si>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</si>
  <si>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</si>
  <si>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</si>
  <si>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</si>
  <si>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</si>
  <si>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</si>
  <si>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</si>
  <si>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</si>
  <si>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</si>
  <si>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</si>
  <si>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</si>
  <si>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</si>
  <si>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</si>
  <si>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</si>
  <si>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</si>
  <si>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</si>
  <si>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</si>
  <si>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</si>
  <si>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</si>
  <si>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</si>
  <si>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</si>
  <si>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</si>
  <si>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</si>
  <si>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</si>
  <si>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</si>
  <si>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</si>
  <si>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</si>
  <si>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</si>
  <si>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</si>
  <si>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</si>
  <si>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</si>
  <si>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</si>
  <si>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</si>
  <si>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</si>
  <si>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</si>
  <si>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</si>
  <si>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</si>
  <si>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</si>
  <si>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</si>
  <si>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</si>
  <si>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</si>
  <si>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</si>
  <si>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</si>
  <si>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</si>
  <si>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</si>
  <si>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</si>
  <si>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</si>
  <si>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</si>
  <si>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</si>
  <si>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</si>
  <si>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</si>
  <si>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</si>
  <si>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</si>
  <si>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</si>
  <si>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</si>
  <si>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</si>
  <si>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</si>
  <si>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</si>
  <si>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</si>
  <si>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</si>
  <si>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</si>
  <si>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</si>
  <si>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</si>
  <si>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</si>
  <si>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</si>
  <si>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</si>
  <si>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</si>
  <si>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</si>
  <si>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</si>
  <si>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</si>
  <si>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</si>
  <si>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</si>
  <si>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</si>
  <si>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</si>
  <si>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</si>
  <si>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</si>
  <si>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</si>
  <si>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</si>
  <si>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</si>
  <si>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</si>
  <si>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</si>
  <si>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</si>
  <si>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</si>
  <si>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</si>
  <si>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</si>
  <si>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</si>
  <si>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</si>
  <si>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</si>
  <si>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</si>
  <si>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</si>
  <si>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</si>
  <si>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</si>
  <si>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</si>
  <si>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</si>
  <si>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</si>
  <si>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</si>
  <si>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</si>
  <si>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</si>
  <si>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</si>
  <si>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</si>
  <si>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</si>
  <si>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</si>
  <si>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</si>
  <si>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</si>
  <si>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</si>
  <si>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</si>
  <si>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</si>
  <si>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</si>
  <si>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</si>
  <si>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</si>
  <si>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</si>
  <si>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</si>
  <si>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</si>
  <si>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</si>
  <si>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</si>
  <si>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</si>
  <si>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</si>
  <si>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</si>
  <si>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</si>
  <si>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</si>
  <si>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</si>
  <si>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</si>
  <si>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</si>
  <si>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</si>
  <si>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</si>
  <si>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</si>
  <si>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</si>
  <si>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</si>
  <si>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</si>
  <si>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</si>
  <si>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</si>
  <si>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</si>
  <si>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</si>
  <si>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</si>
  <si>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</si>
  <si>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</si>
  <si>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</si>
  <si>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</si>
  <si>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</si>
  <si>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</si>
  <si>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</si>
  <si>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</si>
  <si>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</si>
  <si>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</si>
  <si>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</si>
  <si>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</si>
  <si>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</si>
  <si>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</si>
  <si>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</si>
  <si>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</si>
  <si>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</si>
  <si>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</si>
  <si>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</si>
  <si>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</si>
  <si>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</si>
  <si>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</si>
  <si>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</si>
  <si>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</si>
  <si>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</si>
  <si>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</si>
  <si>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</si>
  <si>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</si>
  <si>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</si>
  <si>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</si>
  <si>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</si>
  <si>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</si>
  <si>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</si>
  <si>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</si>
  <si>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</si>
  <si>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</si>
  <si>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</si>
  <si>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</si>
  <si>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</si>
  <si>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</si>
  <si>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</si>
  <si>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</si>
  <si>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</si>
  <si>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</si>
  <si>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</si>
  <si>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</si>
  <si>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</si>
  <si>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</si>
  <si>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</si>
  <si>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</si>
  <si>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</si>
  <si>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</si>
  <si>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</si>
  <si>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</si>
  <si>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</si>
  <si>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</si>
  <si>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</si>
  <si>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</si>
  <si>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</si>
  <si>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</si>
  <si>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</si>
  <si>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</si>
  <si>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</si>
  <si>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</si>
  <si>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</si>
  <si>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</si>
  <si>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</si>
  <si>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</si>
  <si>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</si>
  <si>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</si>
  <si>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</si>
  <si>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</si>
  <si>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</si>
  <si>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</si>
  <si>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</si>
  <si>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</si>
  <si>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</si>
  <si>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</si>
  <si>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</si>
  <si>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</si>
  <si>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</si>
  <si>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</si>
  <si>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</si>
  <si>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</si>
  <si>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</si>
  <si>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</si>
  <si>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</si>
  <si>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</si>
  <si>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</si>
  <si>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</si>
  <si>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</si>
  <si>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</si>
  <si>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</si>
  <si>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</si>
  <si>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</si>
  <si>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</si>
  <si>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</si>
  <si>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</si>
  <si>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</si>
  <si>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</si>
  <si>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</si>
  <si>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</si>
  <si>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</si>
  <si>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</si>
  <si>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</si>
  <si>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</si>
  <si>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</si>
  <si>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</si>
  <si>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</si>
  <si>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</si>
  <si>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</si>
  <si>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</si>
  <si>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</si>
  <si>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</si>
  <si>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</si>
  <si>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</si>
  <si>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</si>
  <si>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</si>
  <si>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</si>
  <si>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</si>
  <si>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</si>
  <si>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</si>
  <si>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</si>
  <si>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</si>
  <si>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</si>
  <si>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</si>
  <si>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</si>
  <si>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</si>
  <si>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</si>
  <si>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</si>
  <si>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</si>
  <si>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</si>
  <si>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</si>
  <si>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</si>
  <si>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</si>
  <si>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</si>
  <si>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</si>
  <si>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</si>
  <si>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</si>
  <si>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</si>
  <si>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</si>
  <si>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</si>
  <si>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</si>
  <si>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</si>
  <si>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</si>
  <si>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</si>
  <si>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</si>
  <si>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</si>
  <si>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</si>
  <si>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</si>
  <si>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</si>
  <si>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</si>
  <si>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</si>
  <si>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</si>
  <si>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</si>
  <si>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</si>
  <si>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</si>
  <si>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</si>
  <si>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</si>
  <si>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</si>
  <si>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</si>
  <si>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</si>
  <si>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</si>
  <si>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</si>
  <si>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</si>
  <si>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</si>
  <si>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</si>
  <si>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</si>
  <si>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</si>
  <si>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</si>
  <si>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</si>
  <si>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</si>
  <si>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</si>
  <si>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</si>
  <si>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</si>
  <si>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</si>
  <si>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</si>
  <si>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</si>
  <si>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</si>
  <si>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</si>
  <si>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</si>
  <si>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</si>
  <si>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</si>
  <si>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</si>
  <si>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</si>
  <si>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</si>
  <si>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</si>
  <si>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</si>
  <si>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</si>
  <si>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</si>
  <si>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</si>
  <si>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</si>
  <si>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</si>
  <si>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</si>
  <si>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</si>
  <si>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</si>
  <si>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</si>
  <si>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</si>
  <si>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</si>
  <si>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</si>
  <si>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</si>
  <si>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</si>
  <si>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</si>
  <si>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</si>
  <si>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</si>
  <si>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</si>
  <si>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</si>
  <si>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</si>
  <si>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</si>
  <si>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</si>
  <si>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</si>
  <si>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</si>
  <si>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</si>
  <si>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</si>
  <si>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</si>
  <si>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</si>
  <si>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</si>
  <si>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</si>
  <si>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</si>
  <si>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</si>
  <si>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</si>
  <si>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</si>
  <si>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</si>
  <si>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</si>
  <si>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</si>
  <si>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</si>
  <si>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</si>
  <si>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</si>
  <si>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</si>
  <si>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</si>
  <si>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</si>
  <si>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</si>
  <si>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</si>
  <si>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</si>
  <si>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</si>
  <si>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</si>
  <si>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</si>
  <si>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</si>
  <si>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</si>
  <si>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</si>
  <si>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</si>
  <si>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</si>
  <si>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</si>
  <si>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</si>
  <si>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</si>
  <si>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</si>
  <si>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</si>
  <si>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</si>
  <si>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</si>
  <si>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</si>
  <si>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</si>
  <si>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</si>
  <si>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</si>
  <si>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</si>
  <si>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</si>
  <si>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</si>
  <si>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</si>
  <si>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</si>
  <si>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</si>
  <si>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</si>
  <si>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</si>
  <si>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</si>
  <si>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</si>
  <si>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</si>
  <si>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</si>
  <si>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</si>
  <si>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</si>
  <si>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</si>
  <si>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</si>
  <si>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</si>
  <si>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</si>
  <si>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</si>
  <si>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</si>
  <si>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</si>
  <si>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</si>
  <si>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</si>
  <si>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</si>
  <si>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</si>
  <si>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</si>
  <si>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</si>
  <si>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</si>
  <si>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</si>
  <si>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</si>
  <si>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</si>
  <si>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</si>
  <si>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</si>
  <si>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</si>
  <si>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</si>
  <si>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</si>
  <si>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</si>
  <si>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</si>
  <si>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</si>
  <si>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</si>
  <si>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</si>
  <si>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</si>
  <si>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</si>
  <si>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</si>
  <si>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</si>
  <si>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</si>
  <si>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</si>
  <si>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</si>
  <si>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</si>
  <si>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</si>
  <si>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</si>
  <si>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</si>
  <si>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</si>
  <si>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</si>
  <si>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</si>
  <si>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</si>
  <si>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</si>
  <si>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</si>
  <si>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</si>
  <si>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</si>
  <si>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</si>
  <si>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</si>
  <si>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</si>
  <si>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</si>
  <si>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</si>
  <si>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</si>
  <si>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</si>
  <si>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</si>
  <si>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</si>
  <si>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</si>
  <si>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</si>
  <si>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</si>
  <si>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</si>
  <si>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</si>
  <si>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</si>
  <si>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</si>
  <si>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</si>
  <si>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</si>
  <si>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</si>
  <si>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</si>
  <si>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</si>
  <si>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</si>
  <si>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</si>
  <si>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</si>
  <si>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</si>
  <si>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</si>
  <si>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</si>
  <si>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</si>
  <si>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</si>
  <si>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</si>
  <si>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</si>
  <si>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</si>
  <si>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</si>
  <si>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</si>
  <si>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</si>
  <si>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</si>
  <si>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</si>
  <si>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</si>
  <si>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</si>
  <si>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</si>
  <si>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</si>
  <si>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</si>
  <si>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</si>
  <si>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</si>
  <si>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</si>
  <si>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</si>
  <si>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</si>
  <si>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</si>
  <si>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</si>
  <si>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</si>
  <si>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</si>
  <si>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</si>
  <si>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</si>
  <si>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</si>
  <si>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</si>
  <si>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</si>
  <si>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</si>
  <si>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</si>
  <si>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</si>
  <si>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</si>
  <si>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</si>
  <si>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</si>
  <si>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</si>
  <si>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</si>
  <si>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</si>
  <si>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</si>
  <si>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</si>
  <si>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</si>
  <si>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</si>
  <si>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</si>
  <si>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</si>
  <si>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</si>
  <si>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</si>
  <si>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</si>
  <si>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</si>
  <si>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</si>
  <si>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</si>
  <si>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</si>
  <si>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</si>
  <si>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</si>
  <si>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</si>
  <si>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</si>
  <si>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</si>
  <si>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</si>
  <si>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</si>
  <si>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</si>
  <si>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</si>
  <si>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</si>
  <si>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</si>
  <si>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</si>
  <si>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</si>
  <si>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</si>
  <si>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</si>
  <si>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</si>
  <si>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</si>
  <si>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</si>
  <si>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</si>
  <si>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</si>
  <si>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</si>
  <si>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</si>
  <si>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</si>
  <si>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</si>
  <si>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</si>
  <si>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</si>
  <si>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</si>
  <si>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</si>
  <si>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</si>
  <si>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</si>
  <si>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</si>
  <si>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</si>
  <si>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</si>
  <si>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</si>
  <si>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</si>
  <si>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</si>
  <si>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</si>
  <si>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</si>
  <si>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</si>
  <si>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</si>
  <si>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</si>
  <si>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</si>
  <si>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</si>
  <si>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</si>
  <si>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</si>
  <si>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</si>
  <si>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</si>
  <si>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</si>
  <si>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</si>
  <si>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</si>
  <si>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</si>
  <si>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</si>
  <si>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</si>
  <si>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</si>
  <si>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</si>
  <si>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</si>
  <si>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</si>
  <si>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</si>
  <si>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</si>
  <si>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</si>
  <si>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</si>
  <si>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</si>
  <si>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</si>
  <si>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</si>
  <si>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</si>
  <si>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</si>
  <si>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</si>
  <si>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</si>
  <si>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</si>
  <si>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</si>
  <si>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</si>
  <si>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</si>
  <si>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</si>
  <si>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</si>
  <si>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</si>
  <si>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</si>
  <si>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</si>
  <si>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</si>
  <si>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</si>
  <si>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</si>
  <si>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</si>
  <si>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</si>
  <si>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</si>
  <si>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</si>
  <si>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</si>
  <si>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</si>
  <si>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</si>
  <si>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</si>
  <si>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</si>
  <si>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</si>
  <si>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</si>
  <si>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</si>
  <si>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</si>
  <si>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</si>
  <si>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</si>
  <si>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</si>
  <si>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</si>
  <si>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</si>
  <si>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</si>
  <si>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</si>
  <si>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</si>
  <si>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</si>
  <si>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</si>
  <si>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</si>
  <si>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</si>
  <si>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</si>
  <si>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</si>
  <si>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</si>
  <si>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</si>
  <si>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</si>
  <si>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</si>
  <si>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</si>
  <si>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</si>
  <si>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</si>
  <si>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</si>
  <si>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</si>
  <si>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</si>
  <si>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</si>
  <si>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</si>
  <si>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</si>
  <si>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</si>
  <si>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</si>
  <si>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</si>
  <si>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</si>
  <si>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</si>
  <si>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</si>
  <si>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</si>
  <si>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</si>
  <si>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</si>
  <si>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</si>
  <si>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</si>
  <si>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</si>
  <si>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</si>
  <si>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</si>
  <si>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</si>
  <si>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</si>
  <si>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</si>
  <si>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</si>
  <si>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</si>
  <si>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</si>
  <si>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</si>
  <si>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</si>
  <si>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</si>
  <si>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</si>
  <si>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</si>
  <si>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</si>
  <si>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</si>
  <si>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</si>
  <si>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</si>
  <si>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</si>
  <si>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</si>
  <si>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</si>
  <si>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</si>
  <si>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</si>
  <si>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</si>
  <si>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</si>
  <si>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</si>
  <si>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</si>
  <si>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</si>
  <si>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</si>
  <si>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</si>
  <si>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</si>
  <si>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</si>
  <si>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</si>
  <si>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</si>
  <si>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</si>
  <si>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</si>
  <si>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</si>
  <si>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</si>
  <si>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</si>
  <si>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</si>
  <si>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</si>
  <si>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</si>
  <si>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</si>
  <si>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</si>
  <si>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</si>
  <si>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</si>
  <si>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</si>
  <si>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</si>
  <si>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</si>
  <si>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</si>
  <si>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</si>
  <si>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</si>
  <si>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</si>
  <si>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</si>
  <si>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</si>
  <si>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</si>
  <si>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</si>
  <si>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</si>
  <si>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</si>
  <si>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</si>
  <si>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</si>
  <si>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</si>
  <si>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</si>
  <si>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</si>
  <si>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</si>
  <si>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</si>
  <si>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</si>
  <si>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</si>
  <si>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</si>
  <si>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</si>
  <si>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</si>
  <si>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</si>
  <si>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</si>
  <si>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</si>
  <si>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</si>
  <si>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</si>
  <si>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</si>
  <si>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</si>
  <si>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</si>
  <si>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</si>
  <si>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</si>
  <si>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</si>
  <si>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</si>
  <si>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</si>
  <si>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</si>
  <si>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</si>
  <si>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</si>
  <si>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</si>
  <si>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</si>
  <si>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</si>
  <si>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</si>
  <si>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</si>
  <si>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</si>
  <si>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</si>
  <si>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</si>
  <si>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</si>
  <si>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</si>
  <si>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</si>
  <si>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</si>
  <si>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</si>
  <si>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</si>
  <si>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</si>
  <si>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</si>
  <si>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</si>
  <si>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</si>
  <si>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</si>
  <si>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</si>
  <si>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</si>
  <si>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</si>
  <si>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</si>
  <si>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</si>
  <si>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</si>
  <si>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</si>
  <si>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</si>
  <si>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</si>
  <si>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</si>
  <si>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</si>
  <si>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</si>
  <si>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</si>
  <si>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</si>
  <si>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</si>
  <si>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</si>
  <si>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</si>
  <si>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</si>
  <si>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</si>
  <si>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</si>
  <si>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</si>
  <si>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</si>
  <si>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</si>
  <si>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</si>
  <si>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</si>
  <si>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</si>
  <si>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</si>
  <si>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</si>
  <si>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</si>
  <si>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</si>
  <si>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</si>
  <si>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</si>
  <si>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</si>
  <si>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</si>
  <si>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</si>
  <si>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</si>
  <si>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</si>
  <si>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</si>
  <si>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</si>
  <si>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</si>
  <si>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</si>
  <si>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</si>
  <si>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</si>
  <si>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</si>
  <si>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</si>
  <si>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</si>
  <si>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</si>
  <si>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</si>
  <si>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</si>
  <si>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</si>
  <si>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</si>
  <si>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</si>
  <si>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</si>
  <si>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</si>
  <si>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</si>
  <si>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</si>
  <si>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</si>
  <si>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</si>
  <si>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</si>
  <si>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</si>
  <si>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</si>
  <si>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</si>
  <si>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</si>
  <si>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</si>
  <si>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</si>
  <si>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</si>
  <si>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</si>
  <si>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</si>
  <si>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</si>
  <si>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</si>
  <si>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</si>
  <si>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</si>
  <si>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</si>
  <si>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</si>
  <si>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</si>
  <si>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</si>
  <si>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</si>
  <si>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</si>
  <si>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</si>
  <si>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</si>
  <si>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</si>
  <si>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</si>
  <si>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</si>
  <si>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</si>
  <si>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</si>
  <si>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</si>
  <si>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</si>
  <si>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</si>
  <si>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</si>
  <si>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</si>
  <si>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</si>
  <si>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</si>
  <si>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</si>
  <si>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</si>
  <si>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</si>
  <si>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</si>
  <si>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</si>
  <si>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</si>
  <si>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</si>
  <si>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</si>
  <si>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</si>
  <si>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</si>
  <si>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</si>
  <si>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</si>
  <si>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</si>
  <si>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</si>
  <si>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</si>
  <si>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</si>
  <si>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</si>
  <si>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</si>
  <si>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</si>
  <si>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</si>
  <si>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</si>
  <si>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</si>
  <si>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</si>
  <si>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</si>
  <si>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</si>
  <si>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</si>
  <si>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</si>
  <si>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</si>
  <si>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</si>
  <si>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</si>
  <si>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</si>
  <si>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</si>
  <si>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</si>
  <si>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</si>
  <si>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</si>
  <si>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</si>
  <si>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</si>
  <si>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</si>
  <si>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</si>
  <si>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</si>
  <si>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</si>
  <si>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</si>
  <si>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</si>
  <si>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</si>
  <si>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</si>
  <si>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</si>
  <si>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</si>
  <si>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</si>
  <si>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</si>
  <si>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</si>
  <si>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</si>
  <si>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</si>
  <si>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</si>
  <si>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</si>
  <si>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</si>
  <si>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</si>
  <si>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</si>
  <si>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</si>
  <si>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</si>
  <si>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</si>
  <si>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</si>
  <si>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</si>
  <si>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</si>
  <si>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</si>
  <si>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</si>
  <si>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</si>
  <si>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</si>
  <si>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</si>
  <si>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</si>
  <si>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</si>
  <si>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</si>
  <si>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</si>
  <si>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</si>
  <si>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</si>
  <si>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</si>
  <si>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</si>
  <si>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</si>
  <si>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</si>
  <si>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</si>
  <si>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</si>
  <si>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</si>
  <si>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</si>
  <si>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</si>
  <si>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</si>
  <si>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</si>
  <si>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</si>
  <si>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</si>
  <si>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</si>
  <si>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</si>
  <si>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</si>
  <si>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</si>
  <si>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</si>
  <si>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</si>
  <si>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</si>
  <si>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</si>
  <si>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</si>
  <si>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</si>
  <si>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</si>
  <si>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</si>
  <si>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</si>
  <si>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</si>
  <si>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</si>
  <si>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</si>
  <si>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</si>
  <si>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</si>
  <si>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</si>
  <si>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</si>
  <si>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</si>
  <si>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</si>
  <si>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</si>
  <si>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</si>
  <si>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</si>
  <si>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</si>
  <si>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</si>
  <si>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</si>
  <si>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</si>
  <si>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</si>
  <si>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</si>
  <si>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</si>
  <si>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</si>
  <si>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</si>
  <si>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</si>
  <si>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</si>
  <si>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</si>
  <si>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</si>
  <si>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</si>
  <si>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</si>
  <si>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</si>
  <si>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</si>
  <si>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</si>
  <si>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</si>
  <si>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</si>
  <si>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</si>
  <si>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</si>
  <si>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</si>
  <si>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</si>
  <si>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</si>
  <si>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</si>
  <si>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</si>
  <si>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</si>
  <si>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</si>
  <si>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</si>
  <si>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</si>
  <si>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</si>
  <si>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</si>
  <si>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</si>
  <si>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</si>
  <si>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</si>
  <si>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</si>
  <si>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</si>
  <si>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</si>
  <si>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</si>
  <si>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</si>
  <si>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</si>
  <si>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</si>
  <si>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</si>
  <si>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</si>
  <si>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</si>
  <si>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</si>
  <si>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</si>
  <si>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</si>
  <si>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</si>
  <si>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</si>
  <si>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</si>
  <si>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</si>
  <si>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</si>
  <si>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</si>
  <si>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</si>
  <si>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</si>
  <si>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</si>
  <si>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</si>
  <si>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</si>
  <si>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</si>
  <si>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</si>
  <si>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</si>
  <si>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</si>
  <si>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</si>
  <si>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</si>
  <si>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</si>
  <si>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</si>
  <si>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</si>
  <si>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</si>
  <si>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</si>
  <si>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</si>
  <si>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</si>
  <si>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</si>
  <si>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</si>
  <si>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</si>
  <si>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</si>
  <si>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</si>
  <si>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</si>
  <si>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</si>
  <si>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</si>
  <si>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</si>
  <si>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</si>
  <si>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</si>
  <si>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</si>
  <si>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</si>
  <si>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</si>
  <si>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</si>
  <si>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</si>
  <si>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</si>
  <si>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</si>
  <si>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</si>
  <si>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</si>
  <si>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</si>
  <si>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</si>
  <si>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</si>
  <si>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</si>
  <si>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</si>
  <si>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</si>
  <si>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</si>
  <si>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</si>
  <si>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</si>
  <si>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</si>
  <si>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</si>
  <si>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</si>
  <si>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</si>
  <si>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</si>
  <si>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</si>
  <si>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</si>
  <si>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</si>
  <si>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</si>
  <si>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</si>
  <si>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</si>
  <si>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</si>
  <si>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</si>
  <si>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</si>
  <si>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</si>
  <si>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</si>
  <si>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</si>
  <si>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</si>
  <si>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</si>
  <si>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</si>
  <si>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</si>
  <si>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</si>
  <si>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</si>
  <si>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</si>
  <si>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</si>
  <si>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</si>
  <si>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</si>
  <si>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</si>
  <si>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</si>
  <si>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</si>
  <si>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</si>
  <si>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</si>
  <si>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</si>
  <si>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</si>
  <si>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</si>
  <si>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</si>
  <si>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</si>
  <si>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</si>
  <si>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</si>
  <si>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</si>
  <si>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</si>
  <si>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</si>
  <si>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</si>
  <si>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</si>
  <si>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</si>
  <si>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</si>
  <si>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</si>
  <si>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</si>
  <si>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</si>
  <si>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</si>
  <si>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</si>
  <si>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</si>
  <si>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</si>
  <si>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</si>
  <si>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</si>
  <si>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</si>
  <si>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</si>
  <si>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</si>
  <si>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</si>
  <si>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</si>
  <si>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</si>
  <si>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</si>
  <si>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</si>
  <si>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</si>
  <si>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</si>
  <si>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</si>
  <si>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</si>
  <si>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</si>
  <si>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</si>
  <si>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</si>
  <si>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</si>
  <si>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</si>
  <si>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</si>
  <si>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</si>
  <si>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</si>
  <si>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</si>
  <si>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</si>
  <si>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</si>
  <si>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</si>
  <si>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</si>
  <si>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</si>
  <si>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</si>
  <si>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</si>
  <si>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</si>
  <si>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</si>
  <si>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</si>
  <si>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</si>
  <si>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</si>
  <si>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</si>
  <si>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</si>
  <si>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</si>
  <si>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</si>
  <si>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</si>
  <si>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</si>
  <si>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</si>
  <si>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</si>
  <si>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</si>
  <si>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</si>
  <si>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</si>
  <si>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</si>
  <si>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</si>
  <si>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</si>
  <si>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</si>
  <si>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</si>
  <si>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</si>
  <si>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</si>
  <si>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</si>
  <si>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</si>
  <si>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</si>
  <si>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</si>
  <si>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</si>
  <si>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</si>
  <si>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</si>
  <si>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</si>
  <si>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</si>
  <si>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</si>
  <si>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</si>
  <si>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</si>
  <si>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</si>
  <si>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</si>
  <si>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</si>
  <si>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</si>
  <si>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</si>
  <si>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</si>
  <si>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</si>
  <si>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</si>
  <si>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</si>
  <si>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</si>
  <si>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</si>
  <si>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</si>
  <si>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</si>
  <si>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</si>
  <si>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</si>
  <si>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</si>
  <si>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</si>
  <si>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</si>
  <si>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</si>
  <si>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</si>
  <si>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</si>
  <si>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</si>
  <si>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</si>
  <si>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</si>
  <si>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</si>
  <si>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</si>
  <si>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</si>
  <si>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</si>
  <si>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</si>
  <si>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</si>
  <si>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</si>
  <si>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</si>
  <si>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</si>
  <si>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</si>
  <si>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</si>
  <si>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</si>
  <si>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</si>
  <si>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</si>
  <si>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</si>
  <si>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</si>
  <si>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</si>
  <si>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</si>
  <si>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</si>
  <si>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</si>
  <si>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</si>
  <si>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</si>
  <si>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</si>
  <si>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</si>
  <si>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</si>
  <si>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</si>
  <si>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</si>
  <si>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</si>
  <si>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</si>
  <si>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</si>
  <si>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</si>
  <si>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</si>
  <si>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</si>
  <si>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</si>
  <si>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</si>
  <si>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</si>
  <si>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</si>
  <si>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</si>
  <si>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</si>
  <si>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</si>
  <si>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</si>
  <si>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</si>
  <si>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</si>
  <si>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</si>
  <si>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</si>
  <si>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</si>
  <si>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</si>
  <si>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</si>
  <si>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</si>
  <si>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</si>
  <si>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</si>
  <si>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</si>
  <si>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</si>
  <si>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</si>
  <si>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</si>
  <si>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</si>
  <si>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</si>
  <si>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</si>
  <si>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</si>
  <si>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</si>
  <si>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</si>
  <si>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</si>
  <si>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</si>
  <si>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</si>
  <si>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</si>
  <si>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</si>
  <si>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</si>
  <si>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</si>
  <si>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</si>
  <si>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</si>
  <si>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</si>
  <si>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</si>
  <si>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</si>
  <si>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</si>
  <si>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</si>
  <si>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</si>
  <si>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</si>
  <si>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</si>
  <si>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</si>
  <si>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</si>
  <si>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</si>
  <si>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</si>
  <si>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</si>
  <si>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</si>
  <si>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</si>
  <si>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</si>
  <si>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</si>
  <si>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</si>
  <si>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</si>
  <si>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</si>
  <si>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</si>
  <si>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</si>
  <si>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</si>
  <si>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</si>
  <si>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</si>
  <si>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</si>
  <si>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</si>
  <si>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</si>
  <si>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</si>
  <si>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</si>
  <si>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</si>
  <si>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</si>
  <si>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</si>
  <si>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</si>
  <si>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</si>
  <si>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</si>
  <si>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</si>
  <si>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</si>
  <si>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</si>
  <si>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</si>
  <si>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</si>
  <si>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</si>
  <si>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</si>
  <si>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</si>
  <si>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</si>
  <si>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</si>
  <si>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</si>
  <si>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</si>
  <si>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</si>
  <si>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</si>
  <si>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</si>
  <si>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</si>
  <si>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</si>
  <si>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</si>
  <si>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</si>
  <si>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</si>
  <si>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</si>
  <si>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</si>
  <si>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</si>
  <si>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</si>
  <si>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</si>
  <si>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</si>
  <si>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</si>
  <si>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</si>
  <si>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</si>
  <si>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</si>
  <si>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</si>
  <si>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</si>
  <si>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</si>
  <si>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</si>
  <si>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</si>
  <si>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</si>
  <si>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</si>
  <si>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</si>
  <si>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</si>
  <si>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</si>
  <si>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</si>
  <si>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</si>
  <si>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</si>
  <si>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</si>
  <si>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</si>
  <si>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</si>
  <si>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</si>
  <si>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</si>
  <si>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</si>
  <si>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</si>
  <si>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</si>
  <si>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</si>
  <si>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</si>
  <si>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</si>
  <si>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</si>
  <si>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</si>
  <si>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</si>
  <si>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</si>
  <si>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</si>
  <si>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</si>
  <si>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</si>
  <si>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</si>
  <si>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</si>
  <si>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</si>
  <si>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</si>
  <si>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</si>
  <si>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</si>
  <si>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</si>
  <si>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</si>
  <si>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</si>
  <si>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</si>
  <si>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</si>
  <si>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</si>
  <si>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</si>
  <si>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</si>
  <si>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</si>
  <si>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</si>
  <si>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</si>
  <si>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</si>
  <si>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</si>
  <si>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</si>
  <si>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</si>
  <si>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</si>
  <si>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</si>
  <si>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</si>
  <si>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</si>
  <si>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</si>
  <si>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</si>
  <si>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</si>
  <si>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</si>
  <si>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</si>
  <si>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</si>
  <si>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</si>
  <si>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</si>
  <si>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</si>
  <si>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</si>
  <si>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</si>
  <si>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</si>
  <si>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</si>
  <si>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</si>
  <si>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</si>
  <si>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</si>
  <si>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</si>
  <si>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</si>
  <si>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</si>
  <si>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</si>
  <si>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</si>
  <si>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</si>
  <si>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</si>
  <si>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</si>
  <si>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</si>
  <si>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</si>
  <si>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</si>
  <si>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</si>
  <si>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</si>
  <si>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</si>
  <si>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</si>
  <si>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</si>
  <si>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</si>
  <si>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</si>
  <si>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</si>
  <si>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</si>
  <si>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</si>
  <si>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</si>
  <si>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</si>
  <si>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</si>
  <si>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</si>
  <si>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</si>
  <si>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</si>
  <si>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</si>
  <si>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</si>
  <si>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</si>
  <si>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</si>
  <si>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</si>
  <si>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</si>
  <si>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</si>
  <si>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</si>
  <si>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</si>
  <si>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</si>
  <si>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</si>
  <si>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</si>
  <si>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</si>
  <si>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</si>
  <si>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</si>
  <si>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</si>
  <si>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</si>
  <si>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</si>
  <si>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</si>
  <si>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</si>
  <si>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</si>
  <si>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</si>
  <si>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</si>
  <si>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</si>
  <si>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</si>
  <si>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</si>
  <si>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</si>
  <si>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</si>
  <si>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</si>
  <si>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</si>
  <si>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</si>
  <si>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</si>
  <si>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</si>
  <si>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</si>
  <si>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</si>
  <si>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</si>
  <si>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</si>
  <si>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</si>
  <si>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</si>
  <si>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</si>
  <si>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</si>
  <si>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</si>
  <si>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</si>
  <si>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</si>
  <si>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</si>
  <si>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</si>
  <si>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</si>
  <si>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</si>
  <si>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</si>
  <si>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</si>
  <si>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</si>
  <si>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</si>
  <si>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</si>
  <si>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</si>
  <si>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</si>
  <si>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</si>
  <si>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</si>
  <si>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</si>
  <si>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</si>
  <si>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</si>
  <si>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</si>
  <si>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</si>
  <si>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</si>
  <si>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</si>
  <si>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</si>
  <si>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</si>
  <si>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</si>
  <si>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</si>
  <si>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</si>
  <si>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</si>
  <si>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</si>
  <si>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</si>
  <si>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</si>
  <si>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</si>
  <si>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</si>
  <si>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</si>
  <si>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</si>
  <si>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</si>
  <si>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</si>
  <si>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</si>
  <si>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</si>
  <si>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</si>
  <si>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</si>
  <si>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</si>
  <si>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</si>
  <si>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</si>
  <si>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</si>
  <si>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</si>
  <si>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</si>
  <si>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</si>
  <si>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</si>
  <si>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</si>
  <si>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</si>
  <si>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</si>
  <si>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</si>
  <si>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</si>
  <si>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</si>
  <si>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</si>
  <si>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</si>
  <si>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</si>
  <si>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</si>
  <si>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</si>
  <si>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</si>
  <si>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</si>
  <si>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</si>
  <si>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</si>
  <si>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</si>
  <si>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</si>
  <si>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</si>
  <si>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</si>
  <si>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</si>
  <si>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</si>
  <si>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</si>
  <si>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</si>
  <si>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</si>
  <si>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</si>
  <si>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</si>
  <si>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</si>
  <si>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</si>
  <si>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</si>
  <si>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</si>
  <si>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</si>
  <si>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</si>
  <si>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</si>
  <si>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</si>
  <si>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</si>
  <si>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</si>
  <si>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</si>
  <si>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</si>
  <si>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</si>
  <si>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</si>
  <si>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</si>
  <si>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</si>
  <si>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</si>
  <si>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</si>
  <si>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</si>
  <si>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</si>
  <si>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</si>
  <si>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</si>
  <si>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</si>
  <si>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</si>
  <si>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</si>
  <si>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</si>
  <si>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</si>
  <si>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</si>
  <si>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</si>
  <si>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</si>
  <si>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</si>
  <si>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</si>
  <si>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</si>
  <si>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</si>
  <si>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</si>
  <si>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</si>
  <si>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</si>
  <si>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</si>
  <si>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</si>
  <si>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</si>
  <si>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</si>
  <si>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</si>
  <si>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</si>
  <si>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</si>
  <si>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</si>
  <si>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</si>
  <si>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</si>
  <si>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</si>
  <si>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</si>
  <si>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</si>
  <si>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</si>
  <si>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</si>
  <si>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</si>
  <si>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</si>
  <si>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</si>
  <si>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</si>
  <si>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</si>
  <si>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</si>
  <si>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</si>
  <si>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</si>
  <si>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</si>
  <si>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</si>
  <si>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</si>
  <si>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</si>
  <si>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</si>
  <si>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</si>
  <si>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</si>
  <si>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</si>
  <si>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</si>
  <si>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</si>
  <si>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</si>
  <si>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</si>
  <si>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</si>
  <si>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</si>
  <si>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</si>
  <si>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</si>
  <si>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</si>
  <si>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</si>
  <si>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</si>
  <si>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</si>
  <si>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</si>
  <si>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</si>
  <si>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</si>
  <si>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</si>
  <si>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</si>
  <si>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</si>
  <si>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</si>
  <si>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</si>
  <si>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</si>
  <si>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</si>
  <si>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</si>
  <si>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</si>
  <si>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</si>
  <si>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</si>
  <si>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</si>
  <si>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</si>
  <si>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</si>
  <si>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</si>
  <si>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</si>
  <si>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</si>
  <si>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</si>
  <si>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</si>
  <si>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</si>
  <si>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</si>
  <si>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</si>
  <si>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</si>
  <si>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</si>
  <si>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</si>
  <si>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</si>
  <si>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</si>
  <si>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</si>
  <si>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</si>
  <si>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</si>
  <si>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</si>
  <si>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</si>
  <si>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</si>
  <si>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</si>
  <si>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</si>
  <si>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</si>
  <si>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</si>
  <si>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</si>
  <si>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</si>
  <si>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</si>
  <si>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</si>
  <si>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</si>
  <si>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</si>
  <si>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</si>
  <si>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</si>
  <si>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</si>
  <si>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</si>
  <si>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</si>
  <si>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</si>
  <si>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</si>
  <si>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</si>
  <si>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</si>
  <si>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</si>
  <si>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</si>
  <si>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</si>
  <si>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</si>
  <si>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</si>
  <si>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</si>
  <si>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</si>
  <si>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</si>
  <si>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</si>
  <si>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</si>
  <si>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</si>
  <si>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</si>
  <si>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</si>
  <si>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</si>
  <si>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</si>
  <si>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</si>
  <si>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</si>
  <si>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</si>
  <si>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</si>
  <si>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</si>
  <si>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</si>
  <si>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</si>
  <si>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</si>
  <si>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</si>
  <si>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</si>
  <si>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</si>
  <si>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</si>
  <si>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</si>
  <si>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</si>
  <si>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</si>
  <si>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</si>
  <si>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</si>
  <si>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</si>
  <si>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</si>
  <si>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</si>
  <si>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</si>
  <si>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</si>
  <si>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</si>
  <si>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</si>
  <si>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</si>
  <si>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</si>
  <si>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</si>
  <si>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</si>
  <si>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</si>
  <si>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</si>
  <si>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</si>
  <si>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</si>
  <si>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</si>
  <si>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</si>
  <si>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</si>
  <si>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</si>
  <si>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</si>
  <si>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</si>
  <si>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</si>
  <si>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</si>
  <si>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</si>
  <si>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</si>
  <si>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</si>
  <si>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</si>
  <si>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</si>
  <si>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</si>
  <si>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</si>
  <si>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</si>
  <si>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</si>
  <si>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</si>
  <si>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</si>
  <si>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</si>
  <si>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</si>
  <si>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</si>
  <si>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</si>
  <si>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</si>
  <si>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</si>
  <si>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</si>
  <si>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</si>
  <si>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</si>
  <si>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</si>
  <si>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</si>
  <si>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</si>
  <si>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</si>
  <si>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</si>
  <si>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</si>
  <si>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</si>
  <si>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</si>
  <si>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</si>
  <si>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</si>
  <si>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</si>
  <si>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</si>
  <si>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</si>
  <si>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</si>
  <si>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</si>
  <si>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</si>
  <si>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</si>
  <si>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</si>
  <si>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</si>
  <si>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</si>
  <si>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</si>
  <si>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</si>
  <si>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</si>
  <si>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</si>
  <si>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</si>
  <si>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</si>
  <si>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</si>
  <si>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</si>
  <si>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</si>
  <si>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</si>
  <si>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</si>
  <si>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</si>
  <si>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</si>
  <si>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</si>
  <si>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</si>
  <si>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</si>
  <si>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</si>
  <si>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</si>
  <si>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</si>
  <si>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</si>
  <si>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</si>
  <si>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</si>
  <si>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</si>
  <si>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</si>
  <si>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</si>
  <si>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</si>
  <si>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</si>
  <si>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</si>
  <si>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</si>
  <si>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</si>
  <si>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</si>
  <si>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</si>
  <si>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</si>
  <si>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</si>
  <si>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</si>
  <si>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</si>
  <si>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</si>
  <si>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</si>
  <si>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</si>
  <si>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</si>
  <si>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</si>
  <si>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</si>
  <si>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</si>
  <si>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</si>
  <si>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</si>
  <si>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</si>
  <si>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</si>
  <si>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</si>
  <si>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</si>
  <si>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</si>
  <si>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</si>
  <si>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</si>
  <si>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</si>
  <si>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</si>
  <si>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</si>
  <si>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</si>
  <si>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</si>
  <si>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</si>
  <si>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</si>
  <si>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</si>
  <si>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</si>
  <si>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</si>
  <si>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</si>
  <si>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</si>
  <si>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</si>
  <si>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</si>
  <si>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</si>
  <si>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</si>
  <si>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</si>
  <si>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</si>
  <si>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</si>
  <si>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</si>
  <si>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</si>
  <si>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</si>
  <si>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</si>
  <si>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</si>
  <si>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</si>
  <si>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</si>
  <si>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</si>
  <si>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</si>
  <si>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</si>
  <si>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</si>
  <si>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</si>
  <si>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</si>
  <si>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</si>
  <si>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</si>
  <si>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</si>
  <si>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</si>
  <si>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</si>
  <si>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</si>
  <si>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</si>
  <si>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</si>
  <si>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</si>
  <si>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</si>
  <si>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</si>
  <si>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</si>
  <si>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</si>
  <si>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</si>
  <si>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</si>
  <si>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</si>
  <si>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</si>
  <si>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</si>
  <si>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</si>
  <si>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</si>
  <si>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</si>
  <si>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</si>
  <si>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</si>
  <si>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</si>
  <si>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</si>
  <si>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</si>
  <si>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</si>
  <si>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</si>
  <si>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</si>
  <si>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</si>
  <si>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</si>
  <si>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</si>
  <si>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</si>
  <si>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</si>
  <si>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</si>
  <si>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</si>
  <si>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</si>
  <si>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</si>
  <si>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</si>
  <si>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</si>
  <si>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</si>
  <si>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</si>
  <si>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</si>
  <si>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</si>
  <si>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</si>
  <si>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</si>
  <si>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</si>
  <si>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</si>
  <si>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</si>
  <si>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</si>
  <si>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</si>
  <si>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</si>
  <si>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</si>
  <si>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</si>
  <si>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</si>
  <si>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</si>
  <si>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</si>
  <si>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</si>
  <si>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</si>
  <si>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</si>
  <si>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</si>
  <si>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</si>
  <si>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</si>
  <si>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</si>
  <si>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</si>
  <si>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</si>
  <si>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</si>
  <si>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</si>
  <si>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</si>
  <si>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</si>
  <si>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</si>
  <si>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</si>
  <si>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</si>
  <si>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</si>
  <si>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</si>
  <si>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</si>
  <si>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</si>
  <si>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</si>
  <si>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</si>
  <si>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</si>
  <si>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</si>
  <si>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</si>
  <si>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</si>
  <si>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</si>
  <si>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</si>
  <si>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</si>
  <si>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</si>
  <si>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</si>
  <si>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</si>
  <si>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</si>
  <si>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</si>
  <si>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</si>
  <si>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</si>
  <si>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</si>
  <si>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</si>
  <si>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</si>
  <si>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</si>
  <si>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</si>
  <si>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</si>
  <si>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</si>
  <si>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</si>
  <si>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</si>
  <si>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</si>
  <si>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</si>
  <si>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</si>
  <si>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</si>
  <si>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</si>
  <si>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</si>
  <si>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</si>
  <si>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</si>
  <si>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</si>
  <si>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</si>
  <si>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</si>
  <si>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</si>
  <si>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</si>
  <si>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</si>
  <si>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</si>
  <si>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</si>
  <si>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</si>
  <si>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</si>
  <si>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</si>
  <si>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</si>
  <si>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</si>
  <si>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</si>
  <si>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</si>
  <si>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</si>
  <si>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</si>
  <si>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</si>
  <si>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</si>
  <si>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</si>
  <si>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</si>
  <si>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</si>
  <si>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</si>
  <si>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</si>
  <si>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</si>
  <si>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</si>
  <si>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</si>
  <si>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</si>
  <si>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</si>
  <si>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</si>
  <si>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</si>
  <si>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</si>
  <si>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</si>
  <si>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</si>
  <si>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</si>
  <si>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</si>
  <si>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</si>
  <si>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</si>
  <si>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</si>
  <si>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</si>
  <si>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</si>
  <si>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</si>
  <si>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</si>
  <si>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</si>
  <si>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</si>
  <si>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</si>
  <si>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</si>
  <si>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</si>
  <si>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</si>
  <si>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</si>
  <si>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</si>
  <si>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</si>
  <si>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</si>
  <si>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</si>
  <si>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</si>
  <si>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</si>
  <si>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</si>
  <si>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</si>
  <si>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</si>
  <si>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</si>
  <si>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</si>
  <si>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</si>
  <si>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</si>
  <si>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</si>
  <si>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</si>
  <si>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</si>
  <si>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</si>
  <si>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</si>
  <si>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</si>
  <si>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</si>
  <si>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</si>
  <si>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</si>
  <si>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</si>
  <si>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</si>
  <si>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</si>
  <si>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</si>
  <si>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</si>
  <si>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</si>
  <si>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</si>
  <si>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</si>
  <si>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</si>
  <si>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</si>
  <si>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</si>
  <si>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</si>
  <si>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</si>
  <si>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</si>
  <si>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</si>
  <si>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</si>
  <si>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</si>
  <si>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</si>
  <si>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</si>
  <si>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</si>
  <si>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</si>
  <si>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</si>
  <si>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</si>
  <si>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</si>
  <si>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</si>
  <si>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</si>
  <si>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</si>
  <si>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</si>
  <si>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</si>
  <si>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</si>
  <si>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</si>
  <si>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</si>
  <si>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</si>
  <si>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</si>
  <si>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</si>
  <si>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</si>
  <si>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</si>
  <si>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</si>
  <si>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</si>
  <si>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</si>
  <si>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</si>
  <si>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</si>
  <si>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</si>
  <si>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</si>
  <si>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</si>
  <si>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</si>
  <si>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</si>
  <si>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</si>
  <si>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</si>
  <si>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</si>
  <si>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</si>
  <si>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</si>
  <si>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</si>
  <si>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</si>
  <si>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</si>
  <si>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</si>
  <si>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</si>
  <si>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</si>
  <si>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</si>
  <si>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</si>
  <si>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</si>
  <si>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</si>
  <si>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</si>
  <si>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</si>
  <si>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</si>
  <si>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</si>
  <si>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</si>
  <si>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</si>
  <si>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</si>
  <si>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</si>
  <si>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</si>
  <si>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</si>
  <si>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</si>
  <si>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</si>
  <si>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</si>
  <si>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</si>
  <si>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</si>
  <si>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</si>
  <si>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</si>
  <si>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</si>
  <si>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</si>
  <si>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</si>
  <si>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</si>
  <si>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</si>
  <si>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</si>
  <si>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</si>
  <si>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</si>
  <si>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</si>
  <si>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</si>
  <si>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</si>
  <si>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</si>
  <si>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</si>
  <si>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</si>
  <si>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</si>
  <si>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</si>
  <si>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</si>
  <si>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</si>
  <si>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</si>
  <si>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</si>
  <si>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</si>
  <si>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</si>
  <si>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</si>
  <si>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</si>
  <si>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</si>
  <si>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</si>
  <si>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</si>
  <si>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</si>
  <si>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</si>
  <si>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</si>
  <si>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</si>
  <si>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</si>
  <si>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</si>
  <si>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</si>
  <si>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</si>
  <si>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</si>
  <si>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</si>
  <si>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</si>
  <si>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</si>
  <si>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</si>
  <si>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</si>
  <si>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</si>
  <si>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</si>
  <si>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</si>
  <si>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</si>
  <si>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</si>
  <si>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</si>
  <si>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</si>
  <si>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</si>
  <si>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</si>
  <si>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</si>
  <si>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</si>
  <si>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</si>
  <si>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</si>
  <si>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</si>
  <si>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</si>
  <si>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</si>
  <si>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</si>
  <si>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</si>
  <si>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</si>
  <si>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</si>
  <si>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</si>
  <si>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</si>
  <si>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</si>
  <si>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</si>
  <si>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</si>
  <si>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</si>
  <si>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</si>
  <si>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</si>
  <si>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</si>
  <si>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</si>
  <si>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</si>
  <si>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</si>
  <si>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</si>
  <si>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</si>
  <si>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</si>
  <si>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</si>
  <si>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</si>
  <si>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</si>
  <si>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</si>
  <si>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</si>
  <si>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</si>
  <si>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</si>
  <si>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</si>
  <si>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</si>
  <si>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</si>
  <si>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</si>
  <si>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</si>
  <si>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</si>
  <si>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</si>
  <si>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</si>
  <si>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</si>
  <si>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</si>
  <si>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</si>
  <si>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</si>
  <si>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</si>
  <si>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</si>
  <si>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</si>
  <si>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</si>
  <si>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</si>
  <si>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</si>
  <si>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</si>
  <si>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</si>
  <si>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</si>
  <si>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</si>
  <si>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</si>
  <si>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</si>
  <si>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</si>
  <si>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</si>
  <si>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</si>
  <si>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</si>
  <si>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</si>
  <si>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</si>
  <si>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</si>
  <si>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</si>
  <si>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</si>
  <si>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</si>
  <si>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</si>
  <si>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</si>
  <si>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</si>
  <si>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</si>
  <si>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</si>
  <si>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</si>
  <si>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</si>
  <si>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</si>
  <si>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</si>
  <si>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</si>
  <si>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</si>
  <si>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</si>
  <si>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</si>
  <si>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</si>
  <si>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</si>
  <si>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</si>
  <si>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</si>
  <si>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</si>
  <si>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</si>
  <si>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</si>
  <si>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</si>
  <si>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</si>
  <si>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</si>
  <si>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</si>
  <si>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</si>
  <si>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</si>
  <si>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</si>
  <si>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</si>
  <si>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</si>
  <si>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</si>
  <si>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</si>
  <si>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</si>
  <si>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</si>
  <si>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</si>
  <si>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</si>
  <si>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</si>
  <si>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</si>
  <si>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</si>
  <si>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</si>
  <si>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</si>
  <si>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</si>
  <si>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</si>
  <si>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</si>
  <si>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</si>
  <si>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</si>
  <si>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</si>
  <si>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</si>
  <si>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</si>
  <si>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</si>
  <si>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</si>
  <si>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</si>
  <si>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</si>
  <si>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</si>
  <si>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</si>
  <si>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</si>
  <si>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</si>
  <si>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</si>
  <si>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</si>
  <si>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</si>
  <si>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</si>
  <si>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</si>
  <si>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</si>
  <si>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</si>
  <si>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</si>
  <si>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</si>
  <si>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</si>
  <si>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</si>
  <si>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</si>
  <si>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</si>
  <si>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</si>
  <si>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</si>
  <si>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</si>
  <si>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</si>
  <si>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</si>
  <si>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</si>
  <si>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</si>
  <si>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</si>
  <si>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</si>
  <si>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</si>
  <si>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</si>
  <si>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</si>
  <si>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</si>
  <si>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</si>
  <si>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</si>
  <si>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</si>
  <si>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</si>
  <si>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</si>
  <si>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</si>
  <si>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</si>
  <si>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</si>
  <si>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</si>
  <si>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</si>
  <si>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</si>
  <si>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</si>
  <si>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</si>
  <si>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</si>
  <si>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</si>
  <si>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</si>
  <si>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</si>
  <si>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</si>
  <si>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</si>
  <si>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</si>
  <si>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</si>
  <si>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</si>
  <si>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</si>
  <si>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</si>
  <si>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</si>
  <si>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</si>
  <si>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</si>
  <si>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</si>
  <si>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</si>
  <si>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</si>
  <si>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</si>
  <si>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</si>
  <si>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</si>
  <si>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</si>
  <si>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</si>
  <si>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</si>
  <si>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</si>
  <si>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</si>
  <si>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</si>
  <si>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</si>
  <si>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</si>
  <si>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</si>
  <si>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</si>
  <si>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</si>
  <si>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</si>
  <si>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</si>
  <si>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</si>
  <si>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</si>
  <si>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</si>
  <si>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</si>
  <si>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</si>
  <si>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</si>
  <si>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</si>
  <si>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</si>
  <si>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</si>
  <si>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</si>
  <si>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</si>
  <si>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</si>
  <si>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</si>
  <si>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</si>
  <si>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</si>
  <si>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</si>
  <si>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</si>
  <si>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</si>
  <si>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</si>
  <si>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</si>
  <si>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</si>
  <si>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</si>
  <si>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</si>
  <si>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</si>
  <si>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</si>
  <si>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</si>
  <si>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</si>
  <si>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</si>
  <si>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</si>
  <si>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</si>
  <si>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</si>
  <si>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</si>
  <si>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</si>
  <si>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</si>
  <si>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</si>
  <si>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</si>
  <si>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</si>
  <si>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</si>
  <si>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</si>
  <si>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</si>
  <si>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</si>
  <si>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</si>
  <si>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</si>
  <si>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</si>
  <si>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</si>
  <si>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</si>
  <si>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</si>
  <si>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</si>
  <si>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</si>
  <si>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</si>
  <si>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</si>
  <si>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</si>
  <si>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</si>
  <si>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</si>
  <si>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</si>
  <si>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</si>
  <si>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</si>
  <si>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</si>
  <si>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</si>
  <si>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</si>
  <si>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</si>
  <si>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</si>
  <si>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</si>
  <si>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</si>
  <si>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</si>
  <si>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</si>
  <si>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</si>
  <si>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</si>
  <si>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</si>
  <si>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</si>
  <si>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</si>
  <si>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</si>
  <si>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</si>
  <si>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</si>
  <si>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</si>
  <si>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</si>
  <si>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</si>
  <si>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</si>
  <si>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</si>
  <si>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</si>
  <si>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</si>
  <si>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</si>
  <si>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</si>
  <si>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</si>
  <si>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</si>
  <si>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</si>
  <si>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</si>
  <si>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</si>
  <si>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</si>
  <si>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</si>
  <si>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</si>
  <si>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</si>
  <si>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</si>
  <si>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</si>
  <si>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</si>
  <si>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</si>
  <si>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</si>
  <si>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</si>
  <si>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</si>
  <si>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</si>
  <si>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</si>
  <si>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</si>
  <si>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</si>
  <si>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</si>
  <si>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</si>
  <si>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</si>
  <si>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</si>
  <si>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</si>
  <si>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</si>
  <si>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</si>
  <si>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</si>
  <si>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</si>
  <si>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</si>
  <si>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</si>
  <si>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</si>
  <si>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</si>
  <si>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</si>
  <si>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</si>
  <si>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</si>
  <si>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</si>
  <si>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</si>
  <si>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</si>
  <si>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</si>
  <si>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</si>
  <si>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</si>
  <si>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</si>
  <si>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</si>
  <si>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</si>
  <si>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</si>
  <si>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</si>
  <si>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</si>
  <si>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</si>
  <si>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</si>
  <si>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</si>
  <si>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</si>
  <si>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</si>
  <si>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</si>
  <si>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</si>
  <si>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</si>
  <si>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</si>
  <si>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</si>
  <si>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</si>
  <si>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</si>
  <si>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</si>
  <si>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</si>
  <si>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</si>
  <si>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</si>
  <si>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</si>
  <si>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</si>
  <si>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</si>
  <si>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</si>
  <si>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</si>
  <si>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</si>
  <si>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</si>
  <si>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</si>
  <si>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</si>
  <si>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</si>
  <si>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</si>
  <si>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</si>
  <si>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</si>
  <si>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</si>
  <si>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</si>
  <si>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</si>
  <si>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</si>
  <si>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</si>
  <si>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</si>
  <si>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</si>
  <si>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</si>
  <si>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</si>
  <si>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</si>
  <si>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</si>
  <si>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</si>
  <si>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</si>
  <si>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</si>
  <si>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</si>
  <si>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</si>
  <si>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</si>
  <si>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</si>
  <si>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</si>
  <si>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</si>
  <si>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</si>
  <si>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</si>
  <si>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</si>
  <si>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</si>
  <si>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</si>
  <si>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</si>
  <si>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</si>
  <si>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</si>
  <si>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</si>
  <si>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</si>
  <si>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</si>
  <si>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</si>
  <si>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</si>
  <si>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</si>
  <si>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</si>
  <si>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</si>
  <si>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</si>
  <si>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</si>
  <si>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</si>
  <si>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</si>
  <si>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</si>
  <si>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</si>
  <si>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</si>
  <si>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</si>
  <si>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</si>
  <si>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</si>
  <si>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</si>
  <si>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</si>
  <si>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</si>
  <si>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</si>
  <si>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</si>
  <si>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</si>
  <si>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</si>
  <si>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</si>
  <si>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</si>
  <si>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</si>
  <si>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</si>
  <si>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</si>
  <si>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</si>
  <si>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</si>
  <si>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</si>
  <si>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</si>
  <si>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</si>
  <si>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</si>
  <si>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</si>
  <si>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</si>
  <si>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</si>
  <si>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</si>
  <si>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</si>
  <si>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</si>
  <si>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</si>
  <si>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</si>
  <si>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</si>
  <si>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</si>
  <si>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</si>
  <si>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</si>
  <si>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</si>
  <si>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</si>
  <si>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</si>
  <si>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</si>
  <si>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</si>
  <si>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</si>
  <si>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</si>
  <si>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</si>
  <si>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</si>
  <si>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</si>
  <si>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</si>
  <si>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</si>
  <si>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</si>
  <si>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</si>
  <si>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</si>
  <si>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</si>
  <si>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</si>
  <si>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</si>
  <si>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</si>
  <si>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</si>
  <si>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</si>
  <si>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</si>
  <si>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</si>
  <si>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</si>
  <si>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</si>
  <si>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</si>
  <si>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</si>
  <si>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</si>
  <si>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</si>
  <si>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</si>
  <si>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</si>
  <si>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</si>
  <si>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</si>
  <si>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</si>
  <si>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</si>
  <si>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</si>
  <si>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</si>
  <si>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</si>
  <si>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</si>
  <si>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</si>
  <si>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</si>
  <si>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</si>
  <si>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</si>
  <si>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</si>
  <si>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</si>
  <si>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</si>
  <si>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</si>
  <si>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</si>
  <si>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</si>
  <si>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</si>
  <si>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</si>
  <si>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</si>
  <si>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</si>
  <si>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</si>
  <si>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</si>
  <si>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</si>
  <si>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</si>
  <si>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</si>
  <si>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</si>
  <si>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</si>
  <si>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</si>
  <si>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</si>
  <si>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</si>
  <si>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</si>
  <si>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</si>
  <si>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</si>
  <si>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</si>
  <si>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</si>
  <si>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</si>
  <si>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</si>
  <si>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</si>
  <si>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</si>
  <si>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</si>
  <si>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</si>
  <si>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</si>
  <si>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</si>
  <si>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</si>
  <si>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</si>
  <si>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</si>
  <si>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</si>
  <si>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</si>
  <si>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</si>
  <si>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</si>
  <si>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</si>
  <si>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</si>
  <si>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</si>
  <si>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</si>
  <si>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</si>
  <si>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</si>
  <si>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</si>
  <si>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</si>
  <si>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</si>
  <si>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</si>
  <si>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</si>
  <si>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</si>
  <si>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</si>
  <si>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</si>
  <si>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</si>
  <si>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</si>
  <si>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</si>
  <si>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</si>
  <si>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</si>
  <si>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</si>
  <si>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</si>
  <si>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</si>
  <si>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</si>
  <si>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</si>
  <si>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</si>
  <si>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</si>
  <si>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</si>
  <si>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</si>
  <si>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</si>
  <si>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</si>
  <si>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</si>
  <si>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</si>
  <si>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</si>
  <si>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</si>
  <si>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</si>
  <si>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</si>
  <si>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</si>
  <si>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</si>
  <si>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</si>
  <si>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</si>
  <si>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</si>
  <si>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</si>
  <si>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</si>
  <si>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</si>
  <si>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</si>
  <si>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</si>
  <si>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</si>
  <si>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</si>
  <si>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</si>
  <si>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</si>
  <si>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</si>
  <si>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</si>
  <si>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</si>
  <si>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</si>
  <si>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</si>
  <si>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</si>
  <si>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</si>
  <si>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</si>
  <si>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</si>
  <si>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</si>
  <si>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</si>
  <si>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</si>
  <si>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</si>
  <si>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</si>
  <si>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</si>
  <si>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</si>
  <si>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</si>
  <si>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</si>
  <si>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</si>
  <si>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</si>
  <si>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</si>
  <si>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</si>
  <si>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</si>
  <si>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</si>
  <si>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</si>
  <si>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</si>
  <si>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</si>
  <si>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</si>
  <si>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</si>
  <si>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</si>
  <si>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</si>
  <si>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</si>
  <si>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</si>
  <si>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</si>
  <si>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</si>
  <si>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</si>
  <si>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</si>
  <si>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</si>
  <si>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</si>
  <si>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</si>
  <si>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</si>
  <si>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</si>
  <si>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</si>
  <si>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</si>
  <si>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</si>
  <si>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</si>
  <si>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</si>
  <si>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</si>
  <si>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</si>
  <si>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</si>
  <si>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</si>
  <si>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</si>
  <si>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</si>
  <si>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</si>
  <si>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</si>
  <si>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</si>
  <si>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</si>
  <si>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</si>
  <si>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</si>
  <si>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</si>
  <si>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</si>
  <si>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</si>
  <si>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</si>
  <si>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</si>
  <si>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</si>
  <si>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</si>
  <si>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</si>
  <si>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</si>
  <si>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</si>
  <si>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</si>
  <si>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</si>
  <si>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</si>
  <si>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</si>
  <si>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</si>
  <si>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</si>
  <si>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</si>
  <si>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</si>
  <si>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</si>
  <si>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</si>
  <si>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</si>
  <si>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</si>
  <si>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</si>
  <si>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</si>
  <si>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</si>
  <si>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</si>
  <si>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</si>
  <si>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</si>
  <si>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</si>
  <si>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</si>
  <si>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</si>
  <si>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</si>
  <si>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</si>
  <si>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</si>
  <si>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</si>
  <si>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</si>
  <si>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</si>
  <si>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</si>
  <si>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</si>
  <si>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</si>
  <si>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</si>
  <si>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</si>
  <si>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</si>
  <si>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</si>
  <si>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</si>
  <si>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</si>
  <si>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</si>
  <si>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</si>
  <si>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</si>
  <si>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</si>
  <si>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</si>
  <si>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</si>
  <si>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</si>
  <si>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</si>
  <si>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</si>
  <si>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</si>
  <si>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</si>
  <si>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</si>
  <si>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</si>
  <si>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</si>
  <si>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</si>
  <si>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</si>
  <si>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</si>
  <si>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</si>
  <si>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</si>
  <si>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</si>
  <si>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</si>
  <si>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</si>
  <si>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</si>
  <si>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</si>
  <si>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</si>
  <si>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</si>
  <si>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</si>
  <si>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</si>
  <si>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</si>
  <si>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</si>
  <si>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</si>
  <si>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</si>
  <si>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</si>
  <si>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</si>
  <si>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</si>
  <si>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</si>
  <si>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</si>
  <si>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</si>
  <si>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</si>
  <si>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</si>
  <si>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</si>
  <si>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</si>
  <si>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</si>
  <si>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</si>
  <si>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</si>
  <si>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</si>
  <si>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</si>
  <si>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</si>
  <si>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</si>
  <si>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</si>
  <si>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</si>
  <si>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</si>
  <si>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</si>
  <si>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</si>
  <si>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</si>
  <si>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</si>
  <si>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</si>
  <si>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</si>
  <si>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</si>
  <si>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</si>
  <si>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</si>
  <si>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</si>
  <si>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</si>
  <si>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</si>
  <si>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</si>
  <si>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</si>
  <si>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</si>
  <si>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</si>
  <si>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</si>
  <si>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</si>
  <si>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</si>
  <si>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</si>
  <si>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</si>
  <si>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</si>
  <si>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</si>
  <si>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</si>
  <si>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</si>
  <si>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</si>
  <si>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</si>
  <si>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</si>
  <si>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</si>
  <si>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</si>
  <si>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</si>
  <si>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</si>
  <si>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</si>
  <si>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</si>
  <si>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</si>
  <si>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</si>
  <si>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</si>
  <si>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</si>
  <si>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</si>
  <si>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</si>
  <si>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</si>
  <si>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</si>
  <si>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</si>
  <si>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</si>
  <si>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</si>
  <si>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</si>
  <si>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</si>
  <si>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</si>
  <si>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</si>
  <si>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</si>
  <si>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</si>
  <si>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</si>
  <si>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</si>
  <si>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</si>
  <si>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</si>
  <si>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</si>
  <si>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</si>
  <si>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</si>
  <si>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</si>
  <si>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</si>
  <si>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</si>
  <si>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</si>
  <si>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</si>
  <si>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</si>
  <si>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</si>
  <si>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</si>
  <si>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</si>
  <si>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</si>
  <si>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</si>
  <si>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</si>
  <si>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</si>
  <si>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</si>
  <si>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</si>
  <si>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</si>
  <si>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</si>
  <si>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</si>
  <si>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</si>
  <si>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</si>
  <si>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</si>
  <si>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</si>
  <si>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</si>
  <si>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</si>
  <si>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</si>
  <si>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</si>
  <si>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</si>
  <si>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</si>
  <si>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</si>
  <si>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</si>
  <si>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</si>
  <si>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</si>
  <si>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</si>
  <si>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</si>
  <si>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</si>
  <si>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</si>
  <si>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</si>
  <si>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</si>
  <si>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</si>
  <si>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</si>
  <si>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</si>
  <si>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</si>
  <si>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</si>
  <si>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</si>
  <si>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</si>
  <si>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</si>
  <si>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</si>
  <si>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</si>
  <si>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</si>
  <si>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</si>
  <si>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</si>
  <si>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</si>
  <si>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</si>
  <si>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</si>
  <si>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</si>
  <si>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</si>
  <si>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</si>
  <si>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</si>
  <si>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</si>
  <si>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</si>
  <si>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</si>
  <si>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</si>
  <si>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</si>
  <si>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</si>
  <si>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</si>
  <si>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</si>
  <si>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</si>
  <si>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</si>
  <si>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</si>
  <si>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</si>
  <si>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</si>
  <si>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</si>
  <si>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</si>
  <si>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</si>
  <si>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</si>
  <si>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</si>
  <si>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</si>
  <si>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</si>
  <si>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</si>
  <si>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</si>
  <si>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</si>
  <si>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</si>
  <si>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</si>
  <si>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</si>
  <si>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</si>
  <si>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</si>
  <si>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</si>
  <si>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</si>
  <si>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</si>
  <si>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</si>
  <si>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</si>
  <si>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</si>
  <si>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</si>
  <si>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</si>
  <si>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</si>
  <si>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</si>
  <si>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</si>
  <si>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</si>
  <si>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</si>
  <si>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</si>
  <si>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</si>
  <si>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</si>
  <si>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</si>
  <si>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</si>
  <si>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</si>
  <si>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</si>
  <si>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</si>
  <si>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</si>
  <si>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</si>
  <si>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</si>
  <si>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</si>
  <si>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</si>
  <si>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</si>
  <si>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</si>
  <si>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</si>
  <si>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</si>
  <si>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</si>
  <si>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</si>
  <si>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</si>
  <si>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</si>
  <si>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</si>
  <si>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</si>
  <si>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</si>
  <si>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</si>
  <si>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</si>
  <si>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</si>
  <si>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</si>
  <si>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</si>
  <si>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</si>
  <si>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</si>
  <si>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</si>
  <si>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</si>
  <si>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</si>
  <si>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</si>
  <si>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</si>
  <si>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</si>
  <si>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</si>
  <si>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</si>
  <si>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</si>
  <si>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</si>
  <si>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</si>
  <si>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</si>
  <si>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</si>
  <si>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</si>
  <si>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</si>
  <si>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</si>
  <si>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</si>
  <si>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</si>
  <si>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</si>
  <si>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</si>
  <si>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</si>
  <si>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</si>
  <si>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</si>
  <si>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</si>
  <si>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</si>
  <si>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</si>
  <si>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</si>
  <si>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</si>
  <si>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</si>
  <si>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</si>
  <si>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</si>
  <si>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</si>
  <si>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</si>
  <si>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</si>
  <si>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</si>
  <si>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</si>
  <si>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</si>
  <si>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</si>
  <si>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</si>
  <si>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</si>
  <si>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</si>
  <si>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</si>
  <si>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</si>
  <si>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</si>
  <si>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</si>
  <si>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</si>
  <si>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</si>
  <si>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</si>
  <si>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</si>
  <si>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</si>
  <si>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</si>
  <si>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</si>
  <si>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</si>
  <si>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</si>
  <si>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</si>
  <si>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</si>
  <si>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</si>
  <si>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</si>
  <si>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</si>
  <si>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</si>
  <si>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</si>
  <si>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</si>
  <si>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</si>
  <si>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</si>
  <si>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</si>
  <si>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</si>
  <si>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</si>
  <si>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</si>
  <si>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</si>
  <si>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</si>
  <si>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</si>
  <si>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</si>
  <si>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</si>
  <si>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</si>
  <si>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</si>
  <si>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</si>
  <si>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</si>
  <si>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</si>
  <si>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</si>
  <si>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</si>
  <si>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</si>
  <si>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</si>
  <si>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</si>
  <si>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</si>
  <si>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</si>
  <si>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</si>
  <si>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</si>
  <si>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</si>
  <si>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</si>
  <si>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</si>
  <si>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</si>
  <si>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</si>
  <si>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</si>
  <si>
    <t>https://edgardoraul.github.io/imagenes_rerda/8205037/1.jpg,https://edgardoraul.github.io/imagenes_rerda/8205037/2.jpg,https://edgardoraul.github.io/imagenes_rerda/8205037/3.jpg,https://edgardoraul.github.io/imagenes_rerda/8205037/4.jpg</t>
  </si>
  <si>
    <t>https://edgardoraul.github.io/imagenes_rerda/8205018/1.jpg,https://edgardoraul.github.io/imagenes_rerda/8205018/2.jpg,https://edgardoraul.github.io/imagenes_rerda/8205018/3.jpg,https://edgardoraul.github.io/imagenes_rerda/8205018/4.jpg,https://edgardoraul.github.io/imagenes_rerda/8205018/5.jpg,https://edgardoraul.github.io/imagenes_rerda/8205018/6.jpg,https://edgardoraul.github.io/imagenes_rerda/8205018/7.jpg,https://edgardoraul.github.io/imagenes_rerda/8205018/tabla.jpg</t>
  </si>
  <si>
    <t>https://edgardoraul.github.io/imagenes_rerda/8520101/1.jpg,https://edgardoraul.github.io/imagenes_rerda/8520101/2.jpg,https://edgardoraul.github.io/imagenes_rerda/8520101/3.jpg,https://edgardoraul.github.io/imagenes_rerda/8520101/4.jpg,https://edgardoraul.github.io/imagenes_rerda/8520101/5.jpg,https://edgardoraul.github.io/imagenes_rerda/8520101/6.jpg</t>
  </si>
  <si>
    <t>https://edgardoraul.github.io/imagenes_rerda/8520802/1.jpg,https://edgardoraul.github.io/imagenes_rerda/8520802/2.jpg,https://edgardoraul.github.io/imagenes_rerda/8520802/3.jpg</t>
  </si>
  <si>
    <t>https://edgardoraul.github.io/imagenes_rerda/8507002/1.jpg,https://edgardoraul.github.io/imagenes_rerda/8507002/2.jpg,https://edgardoraul.github.io/imagenes_rerda/8507002/3.jpg,https://edgardoraul.github.io/imagenes_rerda/8507002/4.jpg</t>
  </si>
  <si>
    <t>1120324##</t>
  </si>
  <si>
    <t>1120325##</t>
  </si>
  <si>
    <t>1120326##</t>
  </si>
  <si>
    <t>https://edgardoraul.github.io/imagenes_rerda/1120323/1.jpg,https://edgardoraul.github.io/imagenes_rerda/1120323/2.jpg,https://edgardoraul.github.io/imagenes_rerda/1120323/3.jpg,https://edgardoraul.github.io/imagenes_rerda/1120323/4.jpg,https://edgardoraul.github.io/imagenes_rerda/1120323/tabla.jpg</t>
  </si>
  <si>
    <t>https://edgardoraul.github.io/imagenes_rerda/5101204/1.jpg,https://edgardoraul.github.io/imagenes_rerda/5101204/2.jpg,https://edgardoraul.github.io/imagenes_rerda/5101204/3.jpg,https://edgardoraul.github.io/imagenes_rerda/5101204/tabla.jpg</t>
  </si>
  <si>
    <t>https://edgardoraul.github.io/imagenes_rerda/8701255/031.jpg,https://edgardoraul.github.io/imagenes_rerda/8701255/032.jpg</t>
  </si>
  <si>
    <t>https://edgardoraul.github.io/imagenes_rerda/8701255/091.jpg</t>
  </si>
  <si>
    <t>https://edgardoraul.github.io/imagenes_rerda/8703245/1.jpg,https://edgardoraul.github.io/imagenes_rerda/8703245/2.jpg,https://edgardoraul.github.io/imagenes_rerda/8703245/3.jpg,https://edgardoraul.github.io/imagenes_rerda/8703245/4.jpg</t>
  </si>
  <si>
    <t>https://edgardoraul.github.io/imagenes_rerda/8303299/1.jpg,https://edgardoraul.github.io/imagenes_rerda/8303299/2.jpg,https://edgardoraul.github.io/imagenes_rerda/8303299/3.jpg,https://edgardoraul.github.io/imagenes_rerda/8303299/4.jpg,https://edgardoraul.github.io/imagenes_rerda/8303299/5.jpg</t>
  </si>
  <si>
    <t>8708999##</t>
  </si>
  <si>
    <t>https://edgardoraul.github.io/imagenes_rerda/8708888/1.jpg,https://edgardoraul.github.io/imagenes_rerda/8708888/2.jpg,https://edgardoraul.github.io/imagenes_rerda/8708888/3.jpg,https://edgardoraul.github.io/imagenes_rerda/8708888/4.jpg,https://edgardoraul.github.io/imagenes_rerda/8708888/5.jpg,https://edgardoraul.github.io/imagenes_rerda/8708888/6.jpg</t>
  </si>
  <si>
    <t>https://edgardoraul.github.io/imagenes_rerda/2401249/1.jpg,https://edgardoraul.github.io/imagenes_rerda/2401249/2.jpg,https://edgardoraul.github.io/imagenes_rerda/2401249/3.jpg,https://edgardoraul.github.io/imagenes_rerda/2401249/4.jpg,https://edgardoraul.github.io/imagenes_rerda/2401249/5.jpg,https://edgardoraul.github.io/imagenes_rerda/2401249/6.jpg,https://edgardoraul.github.io/imagenes_rerda/2401249/7.jpg,https://edgardoraul.github.io/imagenes_rerda/2401249/8.jpg</t>
  </si>
  <si>
    <t>https://edgardoraul.github.io/imagenes_rerda/8708112/1.jpg,https://edgardoraul.github.io/imagenes_rerda/8708112/2.jpg,https://edgardoraul.github.io/imagenes_rerda/8708112/3.jpg,https://edgardoraul.github.io/imagenes_rerda/8708112/4.jpg,https://edgardoraul.github.io/imagenes_rerda/8708112/5.jpg,https://edgardoraul.github.io/imagenes_rerda/8708112/6.jpg,https://edgardoraul.github.io/imagenes_rerda/8708112/7.jpg</t>
  </si>
  <si>
    <t>https://edgardoraul.github.io/imagenes_rerda/2401550/1.jpg,https://edgardoraul.github.io/imagenes_rerda/2401550/2.jpg,https://edgardoraul.github.io/imagenes_rerda/2401550/3.jpg,https://edgardoraul.github.io/imagenes_rerda/2401550/4.jpg</t>
  </si>
  <si>
    <t>https://edgardoraul.github.io/imagenes_rerda/2401242/1.jpg,https://edgardoraul.github.io/imagenes_rerda/2401242/2.jpg,https://edgardoraul.github.io/imagenes_rerda/2401242/3.jpg</t>
  </si>
  <si>
    <t>https://edgardoraul.github.io/imagenes_rerda/8708113/1.jpg,https://edgardoraul.github.io/imagenes_rerda/8708113/2.jpg,https://edgardoraul.github.io/imagenes_rerda/8708113/3.jpg,https://edgardoraul.github.io/imagenes_rerda/8708113/4.jpg,https://edgardoraul.github.io/imagenes_rerda/8708113/tabla.jpg</t>
  </si>
  <si>
    <t>https://edgardoraul.github.io/imagenes_rerda/8708272/1.jpg,https://edgardoraul.github.io/imagenes_rerda/8708272/2.jpg,https://edgardoraul.github.io/imagenes_rerda/8708272/3.jpg,https://edgardoraul.github.io/imagenes_rerda/8708272/4.jpg,https://edgardoraul.github.io/imagenes_rerda/8708272/5.jpg</t>
  </si>
  <si>
    <t>https://edgardoraul.github.io/imagenes_rerda/8707026/1.jpg,https://edgardoraul.github.io/imagenes_rerda/8707026/2.jpg,https://edgardoraul.github.io/imagenes_rerda/8707026/3.jpg,https://edgardoraul.github.io/imagenes_rerda/8707026/4.jpg,https://edgardoraul.github.io/imagenes_rerda/8707026/5.jpg,https://edgardoraul.github.io/imagenes_rerda/8707026/6.jpg</t>
  </si>
  <si>
    <t>https://edgardoraul.github.io/imagenes_rerda/8707750/1.jpg,https://edgardoraul.github.io/imagenes_rerda/8707750/2.jpg,https://edgardoraul.github.io/imagenes_rerda/8707750/3.jpg</t>
  </si>
  <si>
    <t>https://edgardoraul.github.io/imagenes_rerda/8503600/1.jpg,https://edgardoraul.github.io/imagenes_rerda/8503600/2.jpg,https://edgardoraul.github.io/imagenes_rerda/8503600/3.jpg,https://edgardoraul.github.io/imagenes_rerda/8503600/4.jpg,https://edgardoraul.github.io/imagenes_rerda/8503600/5.jpg</t>
  </si>
  <si>
    <t>https://edgardoraul.github.io/imagenes_rerda/5102001/1.jpg,https://edgardoraul.github.io/imagenes_rerda/5102001/2.jpg,https://edgardoraul.github.io/imagenes_rerda/5102001/3.jpg</t>
  </si>
  <si>
    <t>https://edgardoraul.github.io/imagenes_rerda/8701033/1.jpg,https://edgardoraul.github.io/imagenes_rerda/8701033/2.jpg,https://edgardoraul.github.io/imagenes_rerda/8701033/3.jpg</t>
  </si>
  <si>
    <t>https://edgardoraul.github.io/imagenes_rerda/8701735/1.jpg,https://edgardoraul.github.io/imagenes_rerda/8701735/2.jpg,https://edgardoraul.github.io/imagenes_rerda/8701735/3.jpg,https://edgardoraul.github.io/imagenes_rerda/8701735/4.jpg</t>
  </si>
  <si>
    <t>https://edgardoraul.github.io/imagenes_rerda/8701999/1.jpg,https://edgardoraul.github.io/imagenes_rerda/8701999/2.jpg,https://edgardoraul.github.io/imagenes_rerda/8701999/3.jpg,https://edgardoraul.github.io/imagenes_rerda/8701999/4.jpg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</si>
</sst>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850" activePane="bottomLeft" state="frozen"/>
      <selection pane="bottomLeft" activeCell="C1863" sqref="C186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6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13059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13060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13062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13063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13066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13066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13064</v>
      </c>
      <c r="E169" t="str">
        <f>IFERROR(VLOOKUP(1*LEFT(C169,7),DF!$A$1:$G$9812,2,FALSE),"")</f>
        <v>BOMB TERMICA AZUL 56/60 RER</v>
      </c>
      <c r="F169">
        <v>1120173</v>
      </c>
      <c r="G169" t="s">
        <v>13066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13065</v>
      </c>
      <c r="E170" t="str">
        <f>IFERROR(VLOOKUP(1*LEFT(C170,7),DF!$A$1:$G$9812,2,FALSE),"")</f>
        <v>BOMB TERMICA AZUL 62/66 RER</v>
      </c>
      <c r="F170">
        <v>1120173</v>
      </c>
      <c r="G170" t="s">
        <v>13066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13080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:C173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13081</v>
      </c>
      <c r="H172">
        <v>7</v>
      </c>
      <c r="I172">
        <v>1</v>
      </c>
    </row>
    <row r="173" spans="1:9" x14ac:dyDescent="0.25">
      <c r="A173">
        <v>16522</v>
      </c>
      <c r="B173" t="s">
        <v>7</v>
      </c>
      <c r="C173" t="str">
        <f t="shared" si="17"/>
        <v>1120323##</v>
      </c>
      <c r="E173" t="str">
        <f>IFERROR(VLOOKUP(1*LEFT(C173,7),DF!$A$1:$G$9812,2,FALSE),"")</f>
        <v>BOMB CLAS RIP MULTICAM 34/48 RER</v>
      </c>
      <c r="F173">
        <v>1120323</v>
      </c>
      <c r="G173" t="s">
        <v>13088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13085</v>
      </c>
      <c r="E174" t="str">
        <f>IFERROR(VLOOKUP(1*LEFT(C174,7),DF!$A$1:$G$9812,2,FALSE),"")</f>
        <v>BOMB CLAS RIP MULTICAM 50/54 RER</v>
      </c>
      <c r="F174">
        <v>1120323</v>
      </c>
      <c r="G174" t="s">
        <v>13088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13086</v>
      </c>
      <c r="E175" t="str">
        <f>IFERROR(VLOOKUP(1*LEFT(C175,7),DF!$A$1:$G$9812,2,FALSE),"")</f>
        <v>BOMB CLAS RIP MULTICAM 56/60 RER</v>
      </c>
      <c r="F175">
        <v>1120323</v>
      </c>
      <c r="G175" t="s">
        <v>13088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">
        <v>13087</v>
      </c>
      <c r="E176" t="str">
        <f>IFERROR(VLOOKUP(1*LEFT(C176,7),DF!$A$1:$G$9812,2,FALSE),"")</f>
        <v>BOMB CLAS RIP MULTICAM 62/66 RER</v>
      </c>
      <c r="F176">
        <v>1120323</v>
      </c>
      <c r="G176" t="s">
        <v>13088</v>
      </c>
      <c r="H176">
        <v>4</v>
      </c>
      <c r="I176">
        <v>1</v>
      </c>
    </row>
    <row r="177" spans="1:9" x14ac:dyDescent="0.25">
      <c r="A177">
        <v>16522</v>
      </c>
      <c r="B177" t="s">
        <v>7</v>
      </c>
      <c r="C177" t="str">
        <f t="shared" ref="C177" si="18">CONCATENATE(F177,"##")</f>
        <v>5101204##</v>
      </c>
      <c r="E177" t="str">
        <f>IFERROR(VLOOKUP(1*LEFT(C177,7),DF!$A$1:$G$9812,2,FALSE),"")</f>
        <v>GARIBALDINA MAO RIP MULTICA 2XS/2XL RER</v>
      </c>
      <c r="F177">
        <v>5101204</v>
      </c>
      <c r="G177" t="s">
        <v>13089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4761</v>
      </c>
      <c r="E178" t="str">
        <f>IFERROR(VLOOKUP(1*LEFT(C178,7),DF!$A$1:$G$9812,2,FALSE),"")</f>
        <v>GARIBALDINA MAO RIP MULTICA 3XL/5XL RER</v>
      </c>
      <c r="F178">
        <v>5101204</v>
      </c>
      <c r="G178" t="s">
        <v>13089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2401249##</v>
      </c>
      <c r="E179" t="str">
        <f>IFERROR(VLOOKUP(1*LEFT(C179,7),DF!$A$1:$G$9812,2,FALSE),"")</f>
        <v>CHALECO CARRIER C/PORTA ELEM MAZ/RRD</v>
      </c>
      <c r="F179">
        <v>2401249</v>
      </c>
      <c r="G179" t="s">
        <v>13096</v>
      </c>
      <c r="H179">
        <v>8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8708112##</v>
      </c>
      <c r="E180" t="str">
        <f>IFERROR(VLOOKUP(1*LEFT(C180,7),DF!$A$1:$G$9812,2,FALSE),"")</f>
        <v>CHALECO FUNDA BALISTICA COMPL RRD7 BLK</v>
      </c>
      <c r="F180">
        <v>8708112</v>
      </c>
      <c r="G180" t="s">
        <v>13097</v>
      </c>
      <c r="H180">
        <v>7</v>
      </c>
    </row>
    <row r="181" spans="1:9" x14ac:dyDescent="0.25">
      <c r="A181">
        <v>16522</v>
      </c>
      <c r="B181" t="s">
        <v>7</v>
      </c>
      <c r="C181" t="str">
        <f t="shared" ref="C181:C182" si="21">CONCATENATE(F181,"##")</f>
        <v>8708113##</v>
      </c>
      <c r="E181" t="str">
        <f>IFERROR(VLOOKUP(1*LEFT(C181,7),DF!$A$1:$G$9812,2,FALSE),"")</f>
        <v>CHALECO FUNDA ALPHA BALISTICA RRD42 BLK</v>
      </c>
      <c r="F181">
        <v>8708113</v>
      </c>
      <c r="G181" t="s">
        <v>13100</v>
      </c>
      <c r="H181">
        <v>4</v>
      </c>
      <c r="I181">
        <v>1</v>
      </c>
    </row>
    <row r="182" spans="1:9" x14ac:dyDescent="0.25">
      <c r="A182">
        <v>16522</v>
      </c>
      <c r="B182" t="s">
        <v>7</v>
      </c>
      <c r="C182" t="str">
        <f t="shared" ref="C182" si="22">CONCATENATE(F182,"##")</f>
        <v>5102001##</v>
      </c>
      <c r="E182" t="str">
        <f>IFERROR(VLOOKUP(1*LEFT(C182,7),DF!$A$1:$G$9812,2,FALSE),"")</f>
        <v>CHALECO BOMBERO C/REFLECIVA RER</v>
      </c>
      <c r="F182">
        <v>5102001</v>
      </c>
      <c r="G182" t="s">
        <v>13105</v>
      </c>
      <c r="H182">
        <v>3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9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9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13054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13055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13051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13056</v>
      </c>
      <c r="H47" s="7">
        <v>2</v>
      </c>
      <c r="I47" s="11" t="s">
        <v>13052</v>
      </c>
      <c r="J47" s="11" t="s">
        <v>13053</v>
      </c>
    </row>
    <row r="48" spans="1:17" x14ac:dyDescent="0.25">
      <c r="A48">
        <v>20508</v>
      </c>
      <c r="B48" t="s">
        <v>10</v>
      </c>
      <c r="C48" t="str">
        <f t="shared" si="0"/>
        <v>8701255#03#</v>
      </c>
      <c r="D48" s="3" t="s">
        <v>8379</v>
      </c>
      <c r="E48" t="str">
        <f>IFERROR(VLOOKUP(1*LEFT(C48,7),DF!$A$1:$G$9812,2,FALSE),"")</f>
        <v>CINTURON TACTICO 3255 TG017</v>
      </c>
      <c r="F48" s="7">
        <v>8701255</v>
      </c>
      <c r="G48" s="7" t="s">
        <v>13090</v>
      </c>
      <c r="H48" s="7">
        <v>2</v>
      </c>
      <c r="I48" s="11" t="s">
        <v>8382</v>
      </c>
      <c r="J48" s="11" t="s">
        <v>10975</v>
      </c>
    </row>
    <row r="49" spans="1:9" x14ac:dyDescent="0.25">
      <c r="A49">
        <v>20508</v>
      </c>
      <c r="B49" t="s">
        <v>10</v>
      </c>
      <c r="C49" t="str">
        <f t="shared" si="0"/>
        <v>8701255#09#</v>
      </c>
      <c r="D49" s="3" t="s">
        <v>7027</v>
      </c>
      <c r="E49" t="str">
        <f>IFERROR(VLOOKUP(1*LEFT(C49,7),DF!$A$1:$G$9812,2,FALSE),"")</f>
        <v>CINTURON TACTICO 3255 TG017</v>
      </c>
      <c r="F49" s="7">
        <v>8701255</v>
      </c>
      <c r="G49" s="7" t="s">
        <v>13091</v>
      </c>
      <c r="H49" s="7">
        <v>1</v>
      </c>
      <c r="I49" s="11" t="s">
        <v>7029</v>
      </c>
    </row>
    <row r="50" spans="1:9" x14ac:dyDescent="0.25">
      <c r="A50" s="7"/>
      <c r="B50" s="7"/>
      <c r="C50" s="7"/>
      <c r="D50" s="7"/>
      <c r="E50" s="7"/>
      <c r="F50" s="7"/>
      <c r="G50" s="7"/>
      <c r="H50" s="7"/>
    </row>
    <row r="51" spans="1:9" x14ac:dyDescent="0.25">
      <c r="A51" s="7"/>
      <c r="B51" s="7"/>
      <c r="C51" s="7"/>
      <c r="D51" s="7"/>
      <c r="E51" s="7"/>
      <c r="F51" s="7"/>
      <c r="G51" s="7"/>
      <c r="H51" s="7"/>
    </row>
    <row r="52" spans="1:9" x14ac:dyDescent="0.25">
      <c r="A52" s="7"/>
      <c r="B52" s="7"/>
      <c r="C52" s="7"/>
      <c r="D52" s="7"/>
      <c r="E52" s="7"/>
      <c r="F52" s="7"/>
      <c r="G52" s="7"/>
      <c r="H52" s="7"/>
    </row>
    <row r="53" spans="1:9" x14ac:dyDescent="0.25">
      <c r="A53" s="7"/>
      <c r="B53" s="7"/>
      <c r="C53" s="7"/>
      <c r="D53" s="7"/>
      <c r="E53" s="7"/>
      <c r="F53" s="7"/>
      <c r="G53" s="7"/>
      <c r="H53" s="7"/>
    </row>
    <row r="54" spans="1:9" x14ac:dyDescent="0.25">
      <c r="A54" s="7"/>
      <c r="B54" s="7"/>
      <c r="C54" s="7"/>
      <c r="D54" s="7"/>
      <c r="E54" s="7"/>
      <c r="F54" s="7"/>
      <c r="G54" s="7"/>
      <c r="H54" s="7"/>
    </row>
    <row r="55" spans="1:9" x14ac:dyDescent="0.25">
      <c r="A55" s="7"/>
      <c r="B55" s="7"/>
      <c r="C55" s="7"/>
      <c r="D55" s="7"/>
      <c r="E55" s="7"/>
      <c r="F55" s="7"/>
      <c r="G55" s="7"/>
      <c r="H55" s="7"/>
    </row>
    <row r="56" spans="1:9" x14ac:dyDescent="0.25">
      <c r="A56" s="7"/>
      <c r="B56" s="7"/>
      <c r="C56" s="7"/>
      <c r="D56" s="7"/>
      <c r="E56" s="7"/>
      <c r="F56" s="7"/>
      <c r="G56" s="7"/>
      <c r="H56" s="7"/>
    </row>
    <row r="57" spans="1:9" x14ac:dyDescent="0.25">
      <c r="A57" s="7"/>
      <c r="B57" s="7"/>
      <c r="C57" s="7"/>
      <c r="D57" s="7"/>
      <c r="E57" s="7"/>
      <c r="F57" s="7"/>
      <c r="G57" s="7"/>
      <c r="H57" s="7"/>
    </row>
    <row r="58" spans="1:9" x14ac:dyDescent="0.25">
      <c r="A58" s="7"/>
      <c r="B58" s="7"/>
      <c r="C58" s="7"/>
      <c r="D58" s="7"/>
      <c r="E58" s="7"/>
      <c r="F58" s="7"/>
      <c r="G58" s="7"/>
      <c r="H58" s="7"/>
    </row>
    <row r="59" spans="1:9" x14ac:dyDescent="0.25">
      <c r="A59" s="7"/>
      <c r="B59" s="7"/>
      <c r="C59" s="7"/>
      <c r="D59" s="7"/>
      <c r="E59" s="7"/>
      <c r="F59" s="7"/>
      <c r="G59" s="7"/>
      <c r="H59" s="7"/>
    </row>
    <row r="60" spans="1:9" x14ac:dyDescent="0.25">
      <c r="A60" s="7"/>
      <c r="B60" s="7"/>
      <c r="C60" s="7"/>
      <c r="D60" s="7"/>
      <c r="E60" s="7"/>
      <c r="F60" s="7"/>
      <c r="G60" s="7"/>
      <c r="H60" s="7"/>
    </row>
    <row r="61" spans="1:9" x14ac:dyDescent="0.25">
      <c r="A61" s="7"/>
      <c r="B61" s="7"/>
      <c r="C61" s="7"/>
      <c r="D61" s="7"/>
      <c r="E61" s="7"/>
      <c r="F61" s="7"/>
      <c r="G61" s="7"/>
      <c r="H61" s="7"/>
    </row>
    <row r="62" spans="1:9" x14ac:dyDescent="0.25">
      <c r="A62" s="7"/>
      <c r="B62" s="7"/>
      <c r="C62" s="7"/>
      <c r="D62" s="7"/>
      <c r="E62" s="7"/>
      <c r="F62" s="7"/>
      <c r="G62" s="7"/>
      <c r="H62" s="7"/>
    </row>
    <row r="63" spans="1:9" x14ac:dyDescent="0.25">
      <c r="A63" s="7"/>
      <c r="B63" s="7"/>
      <c r="C63" s="7"/>
      <c r="D63" s="7"/>
      <c r="E63" s="7"/>
      <c r="F63" s="7"/>
      <c r="G63" s="7"/>
      <c r="H63" s="7"/>
    </row>
    <row r="64" spans="1:9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3"/>
  <sheetViews>
    <sheetView tabSelected="1" workbookViewId="0">
      <pane ySplit="1" topLeftCell="A44" activePane="bottomLeft" state="frozen"/>
      <selection pane="bottomLeft" activeCell="K58" sqref="K58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13057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13067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13069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13068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13070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13071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13072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13073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13077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13078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13079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13082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13083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13084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13092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13093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8708888##</v>
      </c>
      <c r="E53" t="str">
        <f>IFERROR(VLOOKUP(1*LEFT(C53,7),DF!$A$1:$G$9812,2,FALSE),"")</f>
        <v>CHALECO FUNDA MAGAL GRANDE MOLLE RRD/ET</v>
      </c>
      <c r="F53">
        <v>8708888</v>
      </c>
      <c r="G53" t="s">
        <v>13095</v>
      </c>
      <c r="H53">
        <v>6</v>
      </c>
    </row>
    <row r="54" spans="1:8" x14ac:dyDescent="0.25">
      <c r="A54">
        <v>16522</v>
      </c>
      <c r="B54" t="s">
        <v>4</v>
      </c>
      <c r="C54" t="s">
        <v>13094</v>
      </c>
      <c r="E54" t="str">
        <f>IFERROR(VLOOKUP(1*LEFT(C54,7),DF!$A$1:$G$9812,2,FALSE),"")</f>
        <v>CHALECO FUNDA MAGAL CHICO MOLLE RRD/ET B</v>
      </c>
      <c r="F54">
        <v>8708888</v>
      </c>
      <c r="G54" t="s">
        <v>13095</v>
      </c>
      <c r="H54">
        <v>6</v>
      </c>
    </row>
    <row r="55" spans="1:8" x14ac:dyDescent="0.25">
      <c r="A55">
        <v>16522</v>
      </c>
      <c r="B55" t="s">
        <v>4</v>
      </c>
      <c r="C55" t="str">
        <f t="shared" ref="C55:C56" si="26">CONCATENATE(F55,"##")</f>
        <v>2401550##</v>
      </c>
      <c r="E55" t="str">
        <f>IFERROR(VLOOKUP(1*LEFT(C55,7),DF!$A$1:$G$9812,2,FALSE),"")</f>
        <v>CHALECO ARNES VIAL VERDE GN RRD2b BLK</v>
      </c>
      <c r="F55">
        <v>2401550</v>
      </c>
      <c r="G55" t="s">
        <v>13098</v>
      </c>
      <c r="H55">
        <v>4</v>
      </c>
    </row>
    <row r="56" spans="1:8" x14ac:dyDescent="0.25">
      <c r="A56">
        <v>16522</v>
      </c>
      <c r="B56" t="s">
        <v>4</v>
      </c>
      <c r="C56" t="str">
        <f t="shared" si="26"/>
        <v>2401242##</v>
      </c>
      <c r="E56" t="str">
        <f>IFERROR(VLOOKUP(1*LEFT(C56,7),DF!$A$1:$G$9812,2,FALSE),"")</f>
        <v>CHALECO ARNES ISRAELI MOLLE RRD1 BLK</v>
      </c>
      <c r="F56">
        <v>2401242</v>
      </c>
      <c r="G56" t="s">
        <v>13099</v>
      </c>
      <c r="H56">
        <v>3</v>
      </c>
    </row>
    <row r="57" spans="1:8" x14ac:dyDescent="0.25">
      <c r="A57">
        <v>16522</v>
      </c>
      <c r="B57" t="s">
        <v>4</v>
      </c>
      <c r="C57" t="str">
        <f t="shared" ref="C57" si="27">CONCATENATE(F57,"##")</f>
        <v>8708272##</v>
      </c>
      <c r="E57" t="str">
        <f>IFERROR(VLOOKUP(1*LEFT(C57,7),DF!$A$1:$G$9812,2,FALSE),"")</f>
        <v>PLATAFORMA MUSLERA H.N2-72 FUN</v>
      </c>
      <c r="F57">
        <v>8708272</v>
      </c>
      <c r="G57" t="s">
        <v>13101</v>
      </c>
      <c r="H57">
        <v>5</v>
      </c>
    </row>
    <row r="58" spans="1:8" x14ac:dyDescent="0.25">
      <c r="A58">
        <v>16522</v>
      </c>
      <c r="B58" t="s">
        <v>4</v>
      </c>
      <c r="C58" t="str">
        <f t="shared" ref="C58" si="28">CONCATENATE(F58,"##")</f>
        <v>8707026##</v>
      </c>
      <c r="E58" t="str">
        <f>IFERROR(VLOOKUP(1*LEFT(C58,7),DF!$A$1:$G$9812,2,FALSE),"")</f>
        <v>PORTA ESPOSAS FOBUS HSP MIN</v>
      </c>
      <c r="F58">
        <v>8707026</v>
      </c>
      <c r="G58" t="s">
        <v>13102</v>
      </c>
      <c r="H58">
        <v>6</v>
      </c>
    </row>
    <row r="59" spans="1:8" x14ac:dyDescent="0.25">
      <c r="A59">
        <v>16522</v>
      </c>
      <c r="B59" t="s">
        <v>4</v>
      </c>
      <c r="C59" t="str">
        <f t="shared" ref="C59" si="29">CONCATENATE(F59,"##")</f>
        <v>8707750##</v>
      </c>
      <c r="E59" t="str">
        <f>IFERROR(VLOOKUP(1*LEFT(C59,7),DF!$A$1:$G$9812,2,FALSE),"")</f>
        <v>PORTA ESPO POLIA GRIS T552 C/TAPA TB</v>
      </c>
      <c r="F59">
        <v>8707750</v>
      </c>
      <c r="G59" t="s">
        <v>13103</v>
      </c>
      <c r="H59">
        <v>3</v>
      </c>
    </row>
    <row r="60" spans="1:8" x14ac:dyDescent="0.25">
      <c r="A60">
        <v>16522</v>
      </c>
      <c r="B60" t="s">
        <v>4</v>
      </c>
      <c r="C60" t="str">
        <f t="shared" ref="C60" si="30">CONCATENATE(F60,"##")</f>
        <v>8503600##</v>
      </c>
      <c r="E60" t="str">
        <f>IFERROR(VLOOKUP(1*LEFT(C60,7),DF!$A$1:$G$9812,2,FALSE),"")</f>
        <v>KIT RODILLERAS Y CODERAS TACTICAS 5637-2</v>
      </c>
      <c r="F60">
        <v>8503600</v>
      </c>
      <c r="G60" t="s">
        <v>13104</v>
      </c>
      <c r="H60">
        <v>5</v>
      </c>
    </row>
    <row r="61" spans="1:8" x14ac:dyDescent="0.25">
      <c r="A61">
        <v>16522</v>
      </c>
      <c r="B61" t="s">
        <v>4</v>
      </c>
      <c r="C61" t="str">
        <f t="shared" ref="C61:C63" si="31">CONCATENATE(F61,"##")</f>
        <v>8701033##</v>
      </c>
      <c r="E61" t="str">
        <f>IFERROR(VLOOKUP(1*LEFT(C61,7),DF!$A$1:$G$9812,2,FALSE),"")</f>
        <v>CINTURON CUERO OFICIAL CON DADO 1033 TB</v>
      </c>
      <c r="F61">
        <v>8701033</v>
      </c>
      <c r="G61" t="s">
        <v>13106</v>
      </c>
      <c r="H61">
        <v>3</v>
      </c>
    </row>
    <row r="62" spans="1:8" x14ac:dyDescent="0.25">
      <c r="A62">
        <v>16522</v>
      </c>
      <c r="B62" t="s">
        <v>4</v>
      </c>
      <c r="C62" t="str">
        <f t="shared" si="31"/>
        <v>8701735##</v>
      </c>
      <c r="E62" t="str">
        <f>IFERROR(VLOOKUP(1*LEFT(C62,7),DF!$A$1:$G$9812,2,FALSE),"")</f>
        <v>CINTURON CUERO OFICAL SIN DADO 1050 TB</v>
      </c>
      <c r="F62">
        <v>8701735</v>
      </c>
      <c r="G62" t="s">
        <v>13107</v>
      </c>
      <c r="H62">
        <v>4</v>
      </c>
    </row>
    <row r="63" spans="1:8" x14ac:dyDescent="0.25">
      <c r="A63">
        <v>16522</v>
      </c>
      <c r="B63" t="s">
        <v>4</v>
      </c>
      <c r="C63" t="str">
        <f t="shared" si="31"/>
        <v>8701999##</v>
      </c>
      <c r="E63" t="str">
        <f>IFERROR(VLOOKUP(1*LEFT(C63,7),DF!$A$1:$G$9812,2,FALSE),"")</f>
        <v>CINTURON CUERO 30 MM LMGE RER</v>
      </c>
      <c r="F63">
        <v>8701999</v>
      </c>
      <c r="G63" t="s">
        <v>13108</v>
      </c>
      <c r="H63"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2023-10-04T15:48:12Z</dcterms:modified>
</cp:coreProperties>
</file>