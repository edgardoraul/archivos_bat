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356" r:id="rId4"/>
    <sheet name="1120858" sheetId="357" r:id="rId5"/>
    <sheet name="1120859" sheetId="358" r:id="rId6"/>
    <sheet name="1120862" sheetId="359" r:id="rId7"/>
    <sheet name="2101495" sheetId="360" r:id="rId8"/>
    <sheet name="2101499" sheetId="361" r:id="rId9"/>
  </sheets>
  <functionGroups builtInGroupCount="18"/>
  <definedNames>
    <definedName name="_xlnm._FilterDatabase" localSheetId="0" hidden="1">LISTADO!$A$1:$P$9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361" l="1"/>
  <c r="D7" i="361"/>
  <c r="C7" i="361"/>
  <c r="E8" i="360"/>
  <c r="D8" i="360"/>
  <c r="C8" i="360"/>
  <c r="E5" i="359"/>
  <c r="D5" i="359"/>
  <c r="C5" i="359"/>
  <c r="E6" i="358"/>
  <c r="D6" i="358"/>
  <c r="C6" i="358"/>
  <c r="E6" i="357"/>
  <c r="D6" i="357"/>
  <c r="C6" i="357"/>
  <c r="B10" i="11" l="1"/>
  <c r="E3" i="11" l="1"/>
  <c r="H3" i="11"/>
  <c r="B4617" i="92" l="1"/>
  <c r="K3" i="11" l="1"/>
  <c r="N3" i="11"/>
  <c r="Q3" i="11" l="1"/>
</calcChain>
</file>

<file path=xl/sharedStrings.xml><?xml version="1.0" encoding="utf-8"?>
<sst xmlns="http://schemas.openxmlformats.org/spreadsheetml/2006/main" count="11954" uniqueCount="9142">
  <si>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</si>
  <si>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</si>
  <si>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</si>
  <si>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</si>
  <si>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</si>
  <si>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</si>
  <si>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</si>
  <si>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</si>
  <si>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</si>
  <si>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</si>
  <si>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</si>
  <si>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</si>
  <si>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</si>
  <si>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</si>
  <si>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</si>
  <si>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</si>
  <si>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</si>
  <si>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</si>
  <si>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</si>
  <si>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</si>
  <si>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</si>
  <si>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</si>
  <si>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</si>
  <si>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</si>
  <si>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</si>
  <si>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</si>
  <si>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</si>
  <si>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</si>
  <si>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</si>
  <si>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</si>
  <si>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</si>
  <si>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</si>
  <si>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</si>
  <si>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</si>
  <si>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</si>
  <si>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</si>
  <si>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</si>
  <si>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</si>
  <si>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</si>
  <si>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</si>
  <si>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</si>
  <si>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</si>
  <si>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</si>
  <si>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</si>
  <si>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</si>
  <si>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</si>
  <si>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</si>
  <si>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</si>
  <si>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</si>
  <si>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</si>
  <si>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</si>
  <si>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</si>
  <si>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</si>
  <si>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</si>
  <si>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</si>
  <si>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</si>
  <si>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</si>
  <si>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</si>
  <si>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</si>
  <si>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</si>
  <si>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</si>
  <si>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</si>
  <si>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</si>
  <si>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</si>
  <si>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</si>
  <si>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</si>
  <si>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</si>
  <si>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</si>
  <si>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</si>
  <si>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</si>
  <si>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</si>
  <si>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</si>
  <si>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</si>
  <si>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</si>
  <si>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</si>
  <si>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</si>
  <si>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</si>
  <si>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</si>
  <si>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</si>
  <si>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</si>
  <si>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</si>
  <si>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</si>
  <si>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</si>
  <si>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</si>
  <si>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</si>
  <si>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</si>
  <si>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</si>
  <si>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</si>
  <si>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</si>
  <si>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</si>
  <si>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</si>
  <si>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</si>
  <si>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</si>
  <si>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</si>
  <si>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</si>
  <si>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</si>
  <si>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</si>
  <si>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</si>
  <si>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</si>
  <si>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</si>
  <si>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</si>
  <si>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</si>
  <si>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</si>
  <si>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</si>
  <si>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</si>
  <si>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</si>
  <si>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</si>
  <si>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</si>
  <si>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</si>
  <si>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</si>
  <si>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</si>
  <si>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</si>
  <si>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</si>
  <si>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</si>
  <si>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</si>
  <si>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</si>
  <si>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</si>
  <si>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</si>
  <si>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</si>
  <si>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</si>
  <si>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</si>
  <si>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</si>
  <si>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</si>
  <si>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</si>
  <si>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</si>
  <si>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</si>
  <si>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</si>
  <si>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</si>
  <si>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</si>
  <si>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</si>
  <si>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</si>
  <si>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</si>
  <si>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</si>
  <si>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</si>
  <si>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</si>
  <si>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</si>
  <si>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</si>
  <si>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</si>
  <si>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</si>
  <si>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</si>
  <si>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</si>
  <si>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</si>
  <si>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</si>
  <si>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</si>
  <si>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</si>
  <si>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</si>
  <si>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</si>
  <si>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</si>
  <si>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</si>
  <si>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</si>
  <si>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</si>
  <si>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</si>
  <si>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</si>
  <si>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</si>
  <si>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</si>
  <si>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</si>
  <si>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</si>
  <si>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</si>
  <si>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</si>
  <si>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</si>
  <si>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</si>
  <si>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</si>
  <si>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</si>
  <si>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</si>
  <si>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</si>
  <si>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</si>
  <si>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</si>
  <si>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</si>
  <si>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</si>
  <si>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</si>
  <si>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</si>
  <si>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</si>
  <si>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</si>
  <si>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</si>
  <si>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</si>
  <si>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</si>
  <si>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</si>
  <si>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</si>
  <si>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</si>
  <si>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</si>
  <si>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</si>
  <si>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</si>
  <si>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</si>
  <si>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</si>
  <si>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</si>
  <si>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</si>
  <si>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</si>
  <si>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</si>
  <si>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</si>
  <si>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</si>
  <si>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</si>
  <si>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</si>
  <si>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</si>
  <si>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</si>
  <si>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</si>
  <si>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</si>
  <si>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</si>
  <si>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</si>
  <si>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</si>
  <si>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</si>
  <si>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</si>
  <si>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</si>
  <si>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</si>
  <si>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</si>
  <si>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</si>
  <si>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</si>
  <si>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</si>
  <si>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</si>
  <si>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</si>
  <si>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</si>
  <si>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</si>
  <si>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</si>
  <si>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</si>
  <si>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</si>
  <si>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</si>
  <si>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</si>
  <si>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</si>
  <si>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</si>
  <si>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</si>
  <si>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</si>
  <si>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</si>
  <si>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</si>
  <si>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</si>
  <si>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</si>
  <si>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</si>
  <si>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</si>
  <si>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</si>
  <si>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</si>
  <si>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</si>
  <si>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</si>
  <si>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</si>
  <si>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</si>
  <si>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</si>
  <si>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</si>
  <si>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</si>
  <si>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</si>
  <si>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</si>
  <si>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</si>
  <si>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</si>
  <si>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</si>
  <si>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</si>
  <si>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</si>
  <si>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</si>
  <si>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</si>
  <si>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</si>
  <si>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</si>
  <si>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</si>
  <si>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</si>
  <si>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</si>
  <si>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</si>
  <si>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</si>
  <si>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</si>
  <si>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</si>
  <si>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</si>
  <si>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</si>
  <si>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</si>
  <si>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</si>
  <si>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</si>
  <si>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</si>
  <si>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</si>
  <si>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</si>
  <si>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</si>
  <si>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</si>
  <si>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</si>
  <si>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</si>
  <si>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</si>
  <si>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</si>
  <si>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</si>
  <si>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</si>
  <si>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</si>
  <si>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</si>
  <si>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</si>
  <si>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</si>
  <si>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</si>
  <si>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</si>
  <si>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</si>
  <si>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</si>
  <si>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</si>
  <si>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</si>
  <si>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</si>
  <si>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</si>
  <si>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</si>
  <si>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</si>
  <si>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</si>
  <si>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</si>
  <si>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</si>
  <si>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</si>
  <si>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</si>
  <si>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</si>
  <si>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</si>
  <si>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</si>
  <si>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</si>
  <si>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</si>
  <si>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</si>
  <si>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</si>
  <si>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</si>
  <si>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</si>
  <si>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</si>
  <si>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</si>
  <si>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</si>
  <si>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</si>
  <si>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</si>
  <si>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</si>
  <si>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</si>
  <si>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</si>
  <si>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</si>
  <si>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</si>
  <si>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</si>
  <si>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</si>
  <si>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</si>
  <si>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</si>
  <si>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</si>
  <si>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</si>
  <si>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</si>
  <si>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</si>
  <si>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</si>
  <si>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</si>
  <si>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</si>
  <si>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</si>
  <si>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</si>
  <si>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</si>
  <si>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</si>
  <si>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</si>
  <si>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</si>
  <si>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</si>
  <si>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</si>
  <si>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</si>
  <si>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</si>
  <si>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</si>
  <si>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</si>
  <si>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</si>
  <si>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</si>
  <si>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</si>
  <si>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</si>
  <si>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</si>
  <si>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</si>
  <si>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</si>
  <si>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</si>
  <si>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</si>
  <si>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</si>
  <si>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</si>
  <si>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</si>
  <si>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</si>
  <si>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</si>
  <si>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</si>
  <si>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</si>
  <si>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</si>
  <si>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</si>
  <si>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</si>
  <si>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</si>
  <si>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</si>
  <si>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</si>
  <si>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</si>
  <si>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</si>
  <si>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</si>
  <si>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</si>
  <si>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</si>
  <si>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</si>
  <si>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</si>
  <si>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</si>
  <si>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</si>
  <si>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</si>
  <si>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</si>
  <si>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</si>
  <si>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</si>
  <si>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</si>
  <si>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</si>
  <si>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</si>
  <si>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</si>
  <si>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</si>
  <si>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</si>
  <si>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</si>
  <si>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</si>
  <si>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</si>
  <si>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</si>
  <si>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</si>
  <si>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</si>
  <si>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</si>
  <si>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</si>
  <si>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</si>
  <si>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</si>
  <si>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</si>
  <si>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</si>
  <si>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</si>
  <si>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</si>
  <si>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</si>
  <si>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</si>
  <si>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</si>
  <si>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</si>
  <si>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</si>
  <si>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</si>
  <si>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</si>
  <si>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</si>
  <si>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</si>
  <si>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</si>
  <si>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</si>
  <si>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</si>
  <si>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</si>
  <si>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</si>
  <si>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</si>
  <si>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</si>
  <si>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</si>
  <si>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</si>
  <si>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</si>
  <si>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</si>
  <si>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</si>
  <si>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</si>
  <si>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</si>
  <si>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</si>
  <si>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</si>
  <si>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</si>
  <si>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</si>
  <si>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</si>
  <si>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</si>
  <si>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</si>
  <si>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</si>
  <si>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</si>
  <si>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</si>
  <si>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</si>
  <si>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</si>
  <si>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</si>
  <si>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</si>
  <si>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</si>
  <si>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</si>
  <si>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</si>
  <si>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</si>
  <si>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</si>
  <si>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</si>
  <si>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</si>
  <si>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</si>
  <si>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</si>
  <si>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</si>
  <si>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</si>
  <si>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</si>
  <si>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</si>
  <si>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</si>
  <si>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</si>
  <si>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</si>
  <si>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</si>
  <si>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</si>
  <si>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</si>
  <si>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</si>
  <si>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</si>
  <si>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</si>
  <si>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</si>
  <si>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</si>
  <si>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</si>
  <si>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</si>
  <si>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</si>
  <si>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</si>
  <si>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</si>
  <si>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</si>
  <si>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</si>
  <si>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</si>
  <si>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</si>
  <si>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</si>
  <si>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</si>
  <si>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</si>
  <si>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</si>
  <si>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</si>
  <si>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</si>
  <si>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</si>
  <si>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</si>
  <si>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</si>
  <si>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</si>
  <si>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</si>
  <si>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</si>
  <si>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</si>
  <si>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</si>
  <si>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</si>
  <si>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</si>
  <si>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</si>
  <si>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</si>
  <si>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</si>
  <si>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</si>
  <si>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</si>
  <si>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</si>
  <si>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</si>
  <si>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</si>
  <si>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</si>
  <si>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</si>
  <si>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</si>
  <si>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</si>
  <si>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</si>
  <si>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</si>
  <si>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</si>
  <si>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</si>
  <si>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</si>
  <si>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</si>
  <si>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</si>
  <si>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</si>
  <si>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</si>
  <si>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</si>
  <si>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</si>
  <si>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</si>
  <si>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</si>
  <si>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</si>
  <si>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</si>
  <si>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</si>
  <si>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</si>
  <si>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</si>
  <si>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</si>
  <si>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</si>
  <si>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</si>
  <si>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</si>
  <si>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</si>
  <si>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</si>
  <si>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</si>
  <si>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</si>
  <si>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</si>
  <si>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</si>
  <si>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</si>
  <si>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</si>
  <si>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</si>
  <si>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</si>
  <si>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</si>
  <si>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</si>
  <si>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</si>
  <si>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</si>
  <si>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</si>
  <si>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</si>
  <si>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</si>
  <si>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</si>
  <si>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</si>
  <si>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</si>
  <si>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</si>
  <si>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</si>
  <si>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</si>
  <si>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</si>
  <si>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</si>
  <si>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</si>
  <si>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</si>
  <si>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</si>
  <si>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</si>
  <si>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</si>
  <si>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</si>
  <si>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</si>
  <si>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</si>
  <si>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</si>
  <si>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</si>
  <si>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</si>
  <si>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</si>
  <si>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</si>
  <si>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</si>
  <si>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</si>
  <si>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</si>
  <si>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</si>
  <si>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</si>
  <si>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</si>
  <si>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</si>
  <si>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</si>
  <si>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</si>
  <si>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</si>
  <si>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</si>
  <si>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</si>
  <si>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</si>
  <si>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</si>
  <si>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</si>
  <si>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</si>
  <si>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</si>
  <si>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</si>
  <si>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</si>
  <si>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</si>
  <si>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</si>
  <si>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</si>
  <si>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</si>
  <si>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</si>
  <si>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</si>
  <si>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</si>
  <si>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</si>
  <si>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</si>
  <si>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</si>
  <si>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</si>
  <si>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</si>
  <si>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</si>
  <si>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</si>
  <si>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</si>
  <si>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</si>
  <si>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</si>
  <si>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</si>
  <si>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</si>
  <si>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</si>
  <si>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</si>
  <si>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</si>
  <si>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</si>
  <si>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</si>
  <si>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</si>
  <si>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</si>
  <si>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</si>
  <si>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</si>
  <si>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</si>
  <si>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</si>
  <si>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</si>
  <si>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</si>
  <si>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</si>
  <si>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</si>
  <si>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</si>
  <si>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</si>
  <si>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</si>
  <si>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</si>
  <si>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</si>
  <si>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</si>
  <si>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</si>
  <si>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</si>
  <si>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</si>
  <si>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</si>
  <si>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</si>
  <si>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</si>
  <si>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</si>
  <si>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</si>
  <si>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</si>
  <si>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</si>
  <si>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</si>
  <si>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</si>
  <si>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</si>
  <si>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</si>
  <si>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</si>
  <si>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</si>
  <si>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</si>
  <si>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</si>
  <si>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</si>
  <si>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</si>
  <si>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</si>
  <si>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</si>
  <si>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</si>
  <si>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</si>
  <si>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</si>
  <si>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</si>
  <si>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</si>
  <si>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</si>
  <si>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</si>
  <si>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</si>
  <si>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</si>
  <si>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</si>
  <si>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</si>
  <si>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</si>
  <si>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</si>
  <si>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</si>
  <si>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</si>
  <si>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</si>
  <si>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</si>
  <si>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</si>
  <si>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</si>
  <si>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</si>
  <si>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</si>
  <si>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</si>
  <si>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</si>
  <si>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</si>
  <si>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</si>
  <si>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</si>
  <si>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</si>
  <si>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</si>
  <si>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</si>
  <si>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</si>
  <si>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</si>
  <si>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</si>
  <si>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</si>
  <si>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</si>
  <si>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</si>
  <si>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</si>
  <si>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</si>
  <si>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</si>
  <si>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</si>
  <si>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</si>
  <si>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</si>
  <si>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</si>
  <si>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</si>
  <si>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</si>
  <si>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</si>
  <si>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</si>
  <si>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</si>
  <si>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</si>
  <si>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</si>
  <si>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</si>
  <si>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</si>
  <si>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</si>
  <si>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</si>
  <si>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</si>
  <si>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</si>
  <si>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</si>
  <si>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</si>
  <si>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</si>
  <si>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</si>
  <si>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</si>
  <si>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</si>
  <si>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</si>
  <si>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</si>
  <si>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</si>
  <si>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</si>
  <si>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</si>
  <si>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</si>
  <si>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</si>
  <si>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</si>
  <si>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</si>
  <si>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</si>
  <si>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</si>
  <si>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</si>
  <si>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</si>
  <si>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</si>
  <si>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</si>
  <si>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</si>
  <si>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</si>
  <si>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</si>
  <si>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</si>
  <si>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</si>
  <si>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</si>
  <si>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</si>
  <si>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</si>
  <si>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</si>
  <si>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</si>
  <si>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</si>
  <si>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</si>
  <si>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</si>
  <si>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</si>
  <si>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</si>
  <si>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</si>
  <si>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</si>
  <si>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</si>
  <si>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</si>
  <si>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</si>
  <si>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</si>
  <si>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</si>
  <si>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</si>
  <si>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</si>
  <si>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</si>
  <si>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</si>
  <si>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</si>
  <si>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</si>
  <si>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</si>
  <si>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</si>
  <si>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</si>
  <si>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</si>
  <si>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</si>
  <si>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</si>
  <si>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</si>
  <si>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</si>
  <si>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</si>
  <si>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</si>
  <si>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</si>
  <si>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</si>
  <si>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</si>
  <si>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</si>
  <si>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</si>
  <si>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</si>
  <si>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</si>
  <si>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</si>
  <si>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</si>
  <si>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</si>
  <si>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</si>
  <si>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</si>
  <si>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</si>
  <si>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</si>
  <si>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</si>
  <si>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</si>
  <si>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</si>
  <si>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</si>
  <si>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</si>
  <si>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</si>
  <si>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</si>
  <si>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</si>
  <si>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</si>
  <si>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</si>
  <si>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</si>
  <si>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</si>
  <si>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</si>
  <si>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</si>
  <si>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</si>
  <si>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</si>
  <si>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</si>
  <si>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</si>
  <si>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</si>
  <si>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</si>
  <si>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</si>
  <si>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</si>
  <si>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</si>
  <si>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</si>
  <si>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</si>
  <si>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</si>
  <si>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</si>
  <si>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</si>
  <si>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</si>
  <si>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</si>
  <si>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</si>
  <si>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</si>
  <si>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</si>
  <si>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</si>
  <si>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</si>
  <si>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</si>
  <si>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</si>
  <si>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</si>
  <si>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</si>
  <si>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</si>
  <si>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</si>
  <si>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</si>
  <si>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</si>
  <si>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</si>
  <si>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</si>
  <si>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</si>
  <si>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</si>
  <si>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</si>
  <si>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</si>
  <si>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</si>
  <si>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</si>
  <si>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</si>
  <si>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</si>
  <si>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</si>
  <si>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</si>
  <si>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</si>
  <si>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</si>
  <si>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</si>
  <si>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</si>
  <si>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</si>
  <si>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</si>
  <si>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</si>
  <si>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</si>
  <si>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</si>
  <si>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</si>
  <si>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</si>
  <si>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</si>
  <si>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</si>
  <si>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</si>
  <si>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</si>
  <si>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</si>
  <si>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</si>
  <si>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</si>
  <si>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</si>
  <si>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</si>
  <si>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</si>
  <si>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</si>
  <si>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</si>
  <si>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</si>
  <si>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</si>
  <si>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</si>
  <si>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</si>
  <si>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</si>
  <si>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</si>
  <si>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</si>
  <si>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</si>
  <si>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</si>
  <si>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</si>
  <si>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</si>
  <si>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</si>
  <si>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</si>
  <si>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</si>
  <si>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</si>
  <si>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</si>
  <si>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</si>
  <si>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</si>
  <si>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</si>
  <si>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</si>
  <si>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</si>
  <si>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</si>
  <si>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</si>
  <si>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</si>
  <si>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</si>
  <si>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</si>
  <si>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</si>
  <si>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</si>
  <si>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</si>
  <si>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</si>
  <si>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</si>
  <si>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</si>
  <si>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</si>
  <si>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</si>
  <si>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</si>
  <si>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</si>
  <si>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</si>
  <si>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</si>
  <si>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</si>
  <si>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</si>
  <si>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</si>
  <si>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</si>
  <si>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</si>
  <si>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</si>
  <si>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</si>
  <si>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</si>
  <si>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</si>
  <si>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</si>
  <si>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</si>
  <si>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</si>
  <si>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</si>
  <si>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</si>
  <si>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</si>
  <si>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</si>
  <si>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</si>
  <si>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</si>
  <si>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</si>
  <si>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</si>
  <si>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</si>
  <si>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</si>
  <si>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</si>
  <si>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</si>
  <si>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</si>
  <si>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</si>
  <si>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</si>
  <si>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</si>
  <si>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</si>
  <si>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</si>
  <si>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</si>
  <si>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</si>
  <si>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</si>
  <si>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</si>
  <si>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</si>
  <si>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</si>
  <si>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</si>
  <si>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</si>
  <si>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</si>
  <si>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</si>
  <si>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</si>
  <si>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</si>
  <si>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</si>
  <si>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</si>
  <si>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</si>
  <si>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</si>
  <si>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</si>
  <si>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</si>
  <si>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</si>
  <si>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</si>
  <si>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</si>
  <si>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</si>
  <si>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</si>
  <si>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</si>
  <si>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</si>
  <si>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</si>
  <si>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</si>
  <si>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</si>
  <si>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</si>
  <si>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</si>
  <si>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</si>
  <si>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</si>
  <si>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</si>
  <si>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</si>
  <si>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</si>
  <si>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</si>
  <si>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</si>
  <si>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</si>
  <si>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</si>
  <si>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</si>
  <si>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</si>
  <si>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</si>
  <si>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</si>
  <si>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</si>
  <si>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</si>
  <si>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</si>
  <si>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</si>
  <si>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</si>
  <si>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</si>
  <si>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</si>
  <si>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</si>
  <si>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</si>
  <si>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</si>
  <si>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</si>
  <si>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</si>
  <si>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</si>
  <si>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</si>
  <si>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</si>
  <si>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</si>
  <si>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</si>
  <si>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</si>
  <si>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</si>
  <si>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</si>
  <si>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</si>
  <si>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</si>
  <si>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</si>
  <si>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</si>
  <si>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</si>
  <si>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</si>
  <si>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</si>
  <si>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</si>
  <si>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</si>
  <si>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</si>
  <si>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</si>
  <si>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</si>
  <si>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</si>
  <si>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</si>
  <si>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</si>
  <si>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</si>
  <si>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</si>
  <si>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</si>
  <si>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</si>
  <si>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</si>
  <si>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</si>
  <si>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</si>
  <si>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</si>
  <si>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</si>
  <si>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</si>
  <si>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</si>
  <si>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</si>
  <si>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</si>
  <si>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</si>
  <si>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</si>
  <si>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</si>
  <si>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</si>
  <si>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</si>
  <si>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</si>
  <si>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</si>
  <si>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</si>
  <si>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</si>
  <si>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</si>
  <si>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</si>
  <si>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</si>
  <si>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</si>
  <si>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</si>
  <si>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</si>
  <si>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</si>
  <si>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</si>
  <si>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</si>
  <si>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</si>
  <si>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</si>
  <si>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</si>
  <si>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</si>
  <si>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</si>
  <si>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</si>
  <si>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</si>
  <si>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</si>
  <si>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</si>
  <si>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</si>
  <si>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</si>
  <si>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</si>
  <si>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</si>
  <si>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</si>
  <si>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</si>
  <si>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</si>
  <si>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</si>
  <si>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</si>
  <si>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</si>
  <si>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</si>
  <si>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</si>
  <si>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</si>
  <si>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</si>
  <si>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</si>
  <si>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</si>
  <si>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</si>
  <si>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</si>
  <si>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</si>
  <si>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</si>
  <si>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</si>
  <si>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</si>
  <si>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</si>
  <si>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</si>
  <si>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</si>
  <si>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</si>
  <si>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</si>
  <si>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</si>
  <si>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</si>
  <si>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</si>
  <si>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</si>
  <si>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</si>
  <si>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</si>
  <si>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</si>
  <si>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</si>
  <si>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</si>
  <si>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</si>
  <si>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</si>
  <si>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</si>
  <si>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</si>
  <si>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</si>
  <si>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</si>
  <si>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</si>
  <si>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</si>
  <si>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</si>
  <si>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</si>
  <si>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</si>
  <si>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</si>
  <si>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</si>
  <si>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</si>
  <si>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</si>
  <si>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</si>
  <si>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</si>
  <si>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</si>
  <si>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</si>
  <si>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</si>
  <si>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</si>
  <si>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</si>
  <si>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</si>
  <si>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</si>
  <si>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</si>
  <si>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</si>
  <si>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</si>
  <si>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</si>
  <si>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</si>
  <si>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</si>
  <si>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</si>
  <si>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</si>
  <si>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</si>
  <si>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</si>
  <si>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</si>
  <si>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</si>
  <si>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</si>
  <si>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</si>
  <si>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</si>
  <si>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</si>
  <si>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</si>
  <si>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</si>
  <si>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</si>
  <si>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</si>
  <si>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</si>
  <si>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</si>
  <si>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</si>
  <si>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</si>
  <si>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</si>
  <si>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</si>
  <si>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</si>
  <si>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</si>
  <si>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</si>
  <si>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</si>
  <si>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</si>
  <si>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</si>
  <si>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</si>
  <si>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</si>
  <si>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</si>
  <si>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</si>
  <si>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</si>
  <si>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</si>
  <si>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</si>
  <si>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</si>
  <si>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</si>
  <si>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</si>
  <si>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</si>
  <si>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</si>
  <si>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</si>
  <si>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</si>
  <si>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</si>
  <si>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</si>
  <si>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</si>
  <si>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</si>
  <si>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</si>
  <si>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</si>
  <si>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</si>
  <si>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</si>
  <si>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</si>
  <si>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</si>
  <si>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</si>
  <si>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</si>
  <si>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</si>
  <si>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</si>
  <si>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</si>
  <si>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</si>
  <si>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</si>
  <si>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</si>
  <si>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</si>
  <si>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</si>
  <si>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</si>
  <si>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</si>
  <si>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</si>
  <si>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</si>
  <si>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</si>
  <si>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</si>
  <si>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</si>
  <si>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</si>
  <si>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</si>
  <si>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</si>
  <si>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</si>
  <si>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</si>
  <si>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</si>
  <si>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</si>
  <si>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</si>
  <si>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</si>
  <si>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</si>
  <si>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</si>
  <si>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</si>
  <si>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</si>
  <si>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</si>
  <si>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</si>
  <si>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</si>
  <si>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</si>
  <si>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</si>
  <si>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</si>
  <si>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</si>
  <si>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</si>
  <si>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</si>
  <si>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</si>
  <si>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</si>
  <si>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</si>
  <si>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</si>
  <si>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</si>
  <si>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</si>
  <si>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</si>
  <si>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</si>
  <si>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</si>
  <si>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</si>
  <si>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</si>
  <si>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</si>
  <si>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</si>
  <si>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</si>
  <si>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</si>
  <si>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</si>
  <si>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</si>
  <si>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</si>
  <si>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</si>
  <si>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</si>
  <si>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</si>
  <si>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</si>
  <si>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</si>
  <si>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</si>
  <si>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</si>
  <si>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</si>
  <si>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</si>
  <si>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</si>
  <si>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</si>
  <si>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</si>
  <si>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</si>
  <si>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</si>
  <si>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</si>
  <si>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</si>
  <si>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</si>
  <si>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</si>
  <si>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</si>
  <si>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</si>
  <si>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</si>
  <si>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</si>
  <si>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</si>
  <si>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</si>
  <si>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</si>
  <si>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</si>
  <si>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</si>
  <si>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</si>
  <si>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</si>
  <si>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</si>
  <si>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</si>
  <si>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</si>
  <si>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</si>
  <si>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</si>
  <si>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</si>
  <si>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</si>
  <si>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</si>
  <si>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</si>
  <si>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</si>
  <si>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</si>
  <si>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</si>
  <si>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</si>
  <si>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</si>
  <si>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</si>
  <si>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</si>
  <si>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</si>
  <si>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</si>
  <si>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</si>
  <si>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</si>
  <si>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</si>
  <si>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</si>
  <si>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</si>
  <si>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</si>
  <si>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</si>
  <si>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</si>
  <si>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</si>
  <si>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</si>
  <si>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</si>
  <si>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</si>
  <si>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</si>
  <si>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</si>
  <si>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</si>
  <si>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</si>
  <si>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</si>
  <si>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</si>
  <si>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</si>
  <si>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</si>
  <si>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</si>
  <si>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</si>
  <si>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</si>
  <si>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</si>
  <si>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</si>
  <si>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</si>
  <si>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</si>
  <si>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</si>
  <si>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</si>
  <si>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</si>
  <si>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</si>
  <si>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</si>
  <si>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</si>
  <si>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</si>
  <si>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</si>
  <si>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</si>
  <si>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</si>
  <si>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</si>
  <si>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</si>
  <si>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</si>
  <si>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</si>
  <si>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</si>
  <si>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</si>
  <si>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</si>
  <si>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</si>
  <si>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</si>
  <si>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</si>
  <si>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</si>
  <si>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</si>
  <si>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</si>
  <si>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</si>
  <si>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</si>
  <si>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</si>
  <si>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</si>
  <si>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</si>
  <si>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</si>
  <si>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</si>
  <si>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</si>
  <si>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</si>
  <si>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</si>
  <si>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</si>
  <si>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</si>
  <si>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</si>
  <si>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</si>
  <si>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</si>
  <si>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</si>
  <si>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</si>
  <si>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</si>
  <si>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</si>
  <si>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</si>
  <si>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</si>
  <si>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</si>
  <si>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</si>
  <si>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</si>
  <si>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</si>
  <si>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</si>
  <si>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</si>
  <si>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</si>
  <si>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</si>
  <si>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</si>
  <si>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</si>
  <si>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</si>
  <si>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</si>
  <si>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</si>
  <si>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</si>
  <si>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</si>
  <si>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</si>
  <si>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</si>
  <si>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</si>
  <si>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</si>
  <si>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</si>
  <si>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</si>
  <si>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</si>
  <si>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</si>
  <si>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</si>
  <si>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</si>
  <si>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</si>
  <si>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</si>
  <si>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</si>
  <si>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</si>
  <si>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</si>
  <si>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</si>
  <si>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</si>
  <si>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</si>
  <si>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</si>
  <si>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</si>
  <si>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</si>
  <si>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</si>
  <si>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</si>
  <si>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</si>
  <si>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</si>
  <si>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</si>
  <si>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</si>
  <si>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</si>
  <si>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</si>
  <si>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</si>
  <si>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</si>
  <si>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</si>
  <si>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</si>
  <si>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</si>
  <si>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</si>
  <si>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</si>
  <si>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</si>
  <si>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</si>
  <si>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</si>
  <si>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</si>
  <si>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</si>
  <si>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</si>
  <si>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</si>
  <si>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</si>
  <si>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</si>
  <si>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</si>
  <si>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</si>
  <si>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</si>
  <si>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</si>
  <si>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</si>
  <si>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</si>
  <si>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</si>
  <si>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</si>
  <si>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</si>
  <si>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</si>
  <si>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</si>
  <si>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</si>
  <si>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</si>
  <si>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</si>
  <si>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</si>
  <si>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</si>
  <si>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</si>
  <si>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</si>
  <si>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</si>
  <si>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</si>
  <si>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</si>
  <si>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</si>
  <si>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</si>
  <si>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</si>
  <si>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</si>
  <si>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</si>
  <si>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</si>
  <si>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</si>
  <si>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</si>
  <si>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</si>
  <si>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</si>
  <si>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</si>
  <si>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</si>
  <si>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</si>
  <si>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</si>
  <si>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</si>
  <si>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</si>
  <si>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</si>
  <si>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</si>
  <si>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</si>
  <si>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</si>
  <si>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</si>
  <si>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</si>
  <si>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</si>
  <si>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</si>
  <si>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</si>
  <si>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</si>
  <si>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</si>
  <si>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</si>
  <si>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</si>
  <si>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</si>
  <si>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</si>
  <si>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</si>
  <si>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</si>
  <si>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</si>
  <si>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</si>
  <si>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</si>
  <si>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</si>
  <si>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</si>
  <si>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</si>
  <si>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</si>
  <si>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</si>
  <si>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</si>
  <si>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</si>
  <si>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</si>
  <si>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</si>
  <si>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</si>
  <si>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</si>
  <si>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</si>
  <si>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</si>
  <si>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</si>
  <si>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</si>
  <si>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</si>
  <si>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</si>
  <si>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</si>
  <si>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</si>
  <si>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</si>
  <si>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</si>
  <si>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</si>
  <si>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</si>
  <si>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</si>
  <si>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</si>
  <si>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</si>
  <si>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</si>
  <si>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</si>
  <si>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</si>
  <si>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</si>
  <si>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</si>
  <si>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</si>
  <si>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</si>
  <si>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</si>
  <si>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</si>
  <si>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</si>
  <si>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</si>
  <si>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</si>
  <si>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</si>
  <si>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</si>
  <si>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</si>
  <si>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</si>
  <si>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</si>
  <si>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</si>
  <si>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</si>
  <si>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</si>
  <si>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</si>
  <si>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</si>
  <si>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</si>
  <si>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</si>
  <si>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</si>
  <si>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</si>
  <si>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</si>
  <si>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</si>
  <si>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</si>
  <si>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</si>
  <si>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</si>
  <si>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</si>
  <si>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</si>
  <si>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</si>
  <si>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</si>
  <si>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</si>
  <si>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</si>
  <si>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</si>
  <si>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</si>
  <si>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</si>
  <si>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</si>
  <si>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</si>
  <si>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</si>
  <si>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</si>
  <si>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</si>
  <si>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</si>
  <si>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</si>
  <si>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</si>
  <si>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</si>
  <si>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</si>
  <si>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</si>
  <si>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</si>
  <si>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</si>
  <si>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</si>
  <si>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</si>
  <si>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</si>
  <si>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</si>
  <si>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</si>
  <si>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</si>
  <si>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</si>
  <si>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</si>
  <si>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</si>
  <si>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</si>
  <si>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</si>
  <si>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</si>
  <si>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</si>
  <si>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</si>
  <si>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</si>
  <si>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</si>
  <si>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</si>
  <si>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</si>
  <si>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</si>
  <si>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</si>
  <si>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</si>
  <si>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</si>
  <si>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</si>
  <si>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</si>
  <si>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</si>
  <si>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</si>
  <si>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</si>
  <si>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</si>
  <si>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</si>
  <si>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</si>
  <si>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</si>
  <si>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</si>
  <si>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</si>
  <si>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</si>
  <si>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</si>
  <si>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</si>
  <si>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</si>
  <si>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</si>
  <si>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</si>
  <si>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</si>
  <si>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</si>
  <si>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</si>
  <si>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</si>
  <si>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</si>
  <si>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</si>
  <si>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</si>
  <si>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</si>
  <si>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</si>
  <si>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</si>
  <si>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</si>
  <si>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</si>
  <si>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</si>
  <si>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</si>
  <si>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</si>
  <si>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</si>
  <si>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</si>
  <si>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</si>
  <si>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</si>
  <si>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</si>
  <si>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</si>
  <si>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</si>
  <si>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</si>
  <si>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</si>
  <si>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</si>
  <si>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</si>
  <si>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</si>
  <si>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</si>
  <si>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</si>
  <si>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</si>
  <si>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</si>
  <si>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</si>
  <si>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</si>
  <si>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</si>
  <si>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</si>
  <si>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</si>
  <si>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</si>
  <si>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</si>
  <si>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</si>
  <si>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</si>
  <si>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</si>
  <si>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</si>
  <si>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</si>
  <si>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</si>
  <si>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</si>
  <si>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</si>
  <si>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</si>
  <si>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</si>
  <si>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</si>
  <si>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</si>
  <si>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</si>
  <si>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</si>
  <si>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</si>
  <si>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</si>
  <si>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</si>
  <si>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</si>
  <si>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</si>
  <si>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</si>
  <si>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</si>
  <si>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</si>
  <si>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</si>
  <si>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</si>
  <si>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</si>
  <si>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</si>
  <si>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</si>
  <si>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</si>
  <si>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</si>
  <si>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</si>
  <si>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</si>
  <si>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</si>
  <si>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</si>
  <si>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</si>
  <si>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</si>
  <si>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</si>
  <si>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</si>
  <si>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</si>
  <si>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</si>
  <si>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</si>
  <si>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</si>
  <si>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</si>
  <si>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</si>
  <si>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</si>
  <si>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</si>
  <si>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</si>
  <si>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</si>
  <si>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</si>
  <si>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</si>
  <si>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</si>
  <si>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</si>
  <si>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</si>
  <si>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</si>
  <si>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</si>
  <si>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</si>
  <si>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</si>
  <si>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</si>
  <si>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</si>
  <si>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</si>
  <si>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</si>
  <si>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</si>
  <si>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</si>
  <si>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</si>
  <si>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</si>
  <si>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</si>
  <si>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</si>
  <si>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</si>
  <si>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</si>
  <si>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</si>
  <si>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</si>
  <si>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</si>
  <si>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</si>
  <si>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</si>
  <si>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</si>
  <si>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</si>
  <si>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</si>
  <si>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</si>
  <si>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</si>
  <si>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</si>
  <si>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</si>
  <si>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</si>
  <si>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</si>
  <si>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</si>
  <si>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</si>
  <si>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</si>
  <si>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</si>
  <si>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</si>
  <si>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</si>
  <si>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</si>
  <si>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</si>
  <si>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</si>
  <si>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</si>
  <si>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</si>
  <si>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</si>
  <si>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</si>
  <si>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</si>
  <si>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</si>
  <si>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</si>
  <si>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</si>
  <si>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</si>
  <si>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</si>
  <si>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</si>
  <si>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</si>
  <si>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</si>
  <si>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</si>
  <si>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</si>
  <si>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</si>
  <si>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</si>
  <si>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</si>
  <si>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</si>
  <si>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</si>
  <si>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</si>
  <si>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</si>
  <si>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</si>
  <si>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</si>
  <si>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</si>
  <si>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</si>
  <si>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</si>
  <si>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</si>
  <si>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</si>
  <si>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</si>
  <si>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</si>
  <si>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</si>
  <si>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</si>
  <si>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</si>
  <si>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</si>
  <si>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</si>
  <si>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</si>
  <si>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</si>
  <si>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</si>
  <si>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</si>
  <si>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</si>
  <si>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</si>
  <si>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</si>
  <si>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</si>
  <si>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</si>
  <si>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</si>
  <si>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</si>
  <si>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</si>
  <si>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</si>
  <si>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</si>
  <si>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</si>
  <si>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</si>
  <si>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</si>
  <si>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</si>
  <si>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</si>
  <si>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</si>
  <si>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</si>
  <si>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</si>
  <si>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</si>
  <si>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</si>
  <si>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</si>
  <si>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</si>
  <si>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</si>
  <si>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</si>
  <si>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</si>
  <si>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</si>
  <si>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</si>
  <si>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</si>
  <si>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</si>
  <si>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</si>
  <si>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</si>
  <si>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</si>
  <si>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</si>
  <si>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</si>
  <si>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</si>
  <si>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</si>
  <si>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</si>
  <si>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</si>
  <si>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</si>
  <si>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</si>
  <si>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</si>
  <si>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</si>
  <si>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</si>
  <si>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</si>
  <si>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</si>
  <si>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</si>
  <si>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</si>
  <si>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</si>
  <si>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</si>
  <si>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</si>
  <si>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</si>
  <si>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</si>
  <si>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</si>
  <si>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</si>
  <si>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</si>
  <si>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</si>
  <si>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</si>
  <si>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</si>
  <si>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</si>
  <si>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</si>
  <si>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</si>
  <si>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</si>
  <si>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</si>
  <si>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</si>
  <si>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</si>
  <si>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</si>
  <si>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</si>
  <si>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</si>
  <si>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</si>
  <si>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</si>
  <si>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</si>
  <si>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</si>
  <si>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</si>
  <si>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</si>
  <si>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</si>
  <si>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</si>
  <si>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</si>
  <si>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</si>
  <si>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</si>
  <si>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</si>
  <si>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</si>
  <si>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</si>
  <si>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</si>
  <si>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</si>
  <si>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</si>
  <si>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</si>
  <si>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</si>
  <si>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</si>
  <si>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</si>
  <si>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</si>
  <si>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</si>
  <si>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</si>
  <si>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</si>
  <si>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</si>
  <si>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</si>
  <si>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</si>
  <si>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</si>
  <si>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</si>
  <si>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</si>
  <si>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</si>
  <si>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</si>
  <si>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</si>
  <si>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</si>
  <si>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</si>
  <si>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</si>
  <si>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</si>
  <si>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</si>
  <si>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</si>
  <si>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</si>
  <si>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</si>
  <si>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</si>
  <si>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</si>
  <si>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</si>
  <si>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</si>
  <si>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</si>
  <si>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</si>
  <si>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</si>
  <si>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</si>
  <si>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</si>
  <si>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</si>
  <si>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</si>
  <si>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</si>
  <si>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</si>
  <si>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</si>
  <si>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</si>
  <si>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</si>
  <si>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</si>
  <si>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</si>
  <si>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</si>
  <si>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</si>
  <si>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</si>
  <si>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</si>
  <si>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</si>
  <si>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</si>
  <si>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</si>
  <si>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</si>
  <si>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</si>
  <si>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</si>
  <si>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</si>
  <si>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</si>
  <si>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</si>
  <si>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</si>
  <si>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</si>
  <si>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</si>
  <si>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</si>
  <si>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</si>
  <si>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</si>
  <si>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</si>
  <si>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</si>
  <si>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</si>
  <si>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</si>
  <si>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</si>
  <si>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</si>
  <si>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</si>
  <si>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</si>
  <si>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</si>
  <si>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</si>
  <si>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</si>
  <si>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</si>
  <si>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</si>
  <si>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</si>
  <si>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</si>
  <si>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</si>
  <si>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</si>
  <si>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</si>
  <si>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</si>
  <si>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</si>
  <si>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</si>
  <si>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</si>
  <si>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</si>
  <si>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</si>
  <si>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</si>
  <si>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</si>
  <si>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</si>
  <si>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</si>
  <si>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</si>
  <si>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</si>
  <si>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</si>
  <si>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</si>
  <si>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</si>
  <si>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</si>
  <si>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</si>
  <si>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</si>
  <si>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</si>
  <si>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</si>
  <si>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</si>
  <si>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</si>
  <si>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</si>
  <si>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</si>
  <si>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</si>
  <si>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</si>
  <si>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</si>
  <si>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</si>
  <si>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</si>
  <si>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</si>
  <si>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</si>
  <si>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</si>
  <si>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</si>
  <si>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</si>
  <si>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</si>
  <si>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</si>
  <si>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</si>
  <si>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</si>
  <si>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</si>
  <si>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</si>
  <si>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</si>
  <si>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</si>
  <si>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</si>
  <si>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</si>
  <si>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</si>
  <si>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</si>
  <si>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</si>
  <si>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</si>
  <si>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</si>
  <si>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</si>
  <si>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</si>
  <si>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</si>
  <si>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</si>
  <si>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</si>
  <si>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</si>
  <si>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</si>
  <si>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</si>
  <si>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</si>
  <si>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</si>
  <si>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</si>
  <si>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</si>
  <si>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</si>
  <si>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</si>
  <si>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</si>
  <si>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</si>
  <si>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</si>
  <si>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</si>
  <si>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</si>
  <si>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</si>
  <si>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</si>
  <si>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</si>
  <si>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</si>
  <si>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</si>
  <si>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</si>
  <si>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</si>
  <si>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</si>
  <si>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</si>
  <si>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</si>
  <si>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</si>
  <si>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</si>
  <si>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</si>
  <si>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</si>
  <si>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</si>
  <si>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</si>
  <si>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</si>
  <si>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</si>
  <si>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</si>
  <si>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</si>
  <si>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</si>
  <si>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</si>
  <si>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</si>
  <si>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</si>
  <si>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</si>
  <si>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</si>
  <si>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</si>
  <si>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</si>
  <si>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</si>
  <si>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</si>
  <si>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</si>
  <si>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</si>
  <si>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</si>
  <si>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</si>
  <si>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</si>
  <si>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</si>
  <si>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</si>
  <si>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</si>
  <si>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</si>
  <si>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</si>
  <si>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</si>
  <si>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</si>
  <si>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</si>
  <si>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</si>
  <si>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</si>
  <si>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</si>
  <si>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</si>
  <si>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</si>
  <si>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</si>
  <si>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</si>
  <si>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</si>
  <si>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</si>
  <si>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</si>
  <si>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</si>
  <si>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</si>
  <si>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</si>
  <si>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</si>
  <si>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</si>
  <si>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</si>
  <si>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</si>
  <si>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</si>
  <si>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</si>
  <si>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</si>
  <si>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</si>
  <si>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</si>
  <si>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</si>
  <si>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</si>
  <si>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</si>
  <si>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</si>
  <si>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</si>
  <si>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</si>
  <si>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</si>
  <si>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</si>
  <si>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</si>
  <si>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</si>
  <si>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</si>
  <si>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</si>
  <si>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</si>
  <si>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</si>
  <si>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</si>
  <si>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</si>
  <si>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</si>
  <si>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</si>
  <si>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</si>
  <si>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</si>
  <si>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</si>
  <si>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</si>
  <si>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</si>
  <si>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</si>
  <si>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</si>
  <si>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</si>
  <si>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</si>
  <si>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</si>
  <si>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</si>
  <si>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</si>
  <si>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</si>
  <si>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</si>
  <si>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</si>
  <si>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</si>
  <si>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</si>
  <si>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</si>
  <si>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</si>
  <si>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</si>
  <si>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</si>
  <si>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</si>
  <si>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</si>
  <si>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</si>
  <si>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</si>
  <si>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</si>
  <si>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</si>
  <si>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</si>
  <si>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</si>
  <si>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</si>
  <si>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</si>
  <si>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</si>
  <si>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</si>
  <si>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</si>
  <si>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</si>
  <si>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</si>
  <si>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</si>
  <si>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</si>
  <si>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</si>
  <si>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</si>
  <si>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</si>
  <si>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</si>
  <si>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</si>
  <si>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</si>
  <si>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</si>
  <si>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</si>
  <si>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</si>
  <si>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</si>
  <si>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</si>
  <si>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</si>
  <si>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</si>
  <si>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</si>
  <si>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</si>
  <si>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</si>
  <si>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</si>
  <si>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</si>
  <si>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</si>
  <si>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</si>
  <si>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</si>
  <si>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</si>
  <si>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</si>
  <si>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</si>
  <si>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</si>
  <si>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</si>
  <si>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</si>
  <si>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</si>
  <si>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</si>
  <si>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</si>
  <si>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</si>
  <si>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</si>
  <si>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</si>
  <si>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</si>
  <si>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</si>
  <si>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</si>
  <si>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</si>
  <si>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</si>
  <si>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</si>
  <si>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</si>
  <si>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</si>
  <si>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</si>
  <si>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</si>
  <si>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</si>
  <si>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</si>
  <si>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</si>
  <si>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</si>
  <si>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</si>
  <si>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</si>
  <si>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</si>
  <si>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</si>
  <si>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</si>
  <si>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</si>
  <si>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</si>
  <si>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</si>
  <si>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</si>
  <si>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</si>
  <si>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</si>
  <si>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</si>
  <si>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</si>
  <si>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</si>
  <si>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</si>
  <si>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</si>
  <si>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</si>
  <si>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</si>
  <si>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</si>
  <si>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</si>
  <si>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</si>
  <si>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</si>
  <si>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</si>
  <si>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</si>
  <si>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</si>
  <si>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</si>
  <si>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</si>
  <si>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</si>
  <si>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</si>
  <si>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</si>
  <si>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</si>
  <si>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</si>
  <si>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</si>
  <si>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</si>
  <si>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</si>
  <si>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</si>
  <si>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</si>
  <si>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</si>
  <si>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</si>
  <si>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</si>
  <si>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</si>
  <si>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</si>
  <si>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</si>
  <si>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</si>
  <si>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</si>
  <si>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</si>
  <si>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</si>
  <si>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</si>
  <si>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</si>
  <si>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</si>
  <si>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</si>
  <si>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</si>
  <si>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</si>
  <si>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</si>
  <si>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</si>
  <si>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</si>
  <si>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</si>
  <si>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</si>
  <si>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</si>
  <si>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</si>
  <si>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</si>
  <si>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</si>
  <si>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</si>
  <si>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</si>
  <si>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</si>
  <si>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</si>
  <si>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</si>
  <si>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</si>
  <si>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</si>
  <si>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</si>
  <si>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</si>
  <si>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</si>
  <si>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</si>
  <si>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</si>
  <si>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</si>
  <si>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</si>
  <si>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</si>
  <si>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</si>
  <si>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</si>
  <si>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</si>
  <si>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</si>
  <si>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</si>
  <si>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</si>
  <si>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</si>
  <si>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</si>
  <si>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</si>
  <si>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</si>
  <si>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</si>
  <si>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</si>
  <si>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</si>
  <si>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</si>
  <si>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</si>
  <si>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</si>
  <si>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</si>
  <si>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</si>
  <si>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</si>
  <si>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</si>
  <si>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</si>
  <si>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</si>
  <si>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</si>
  <si>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</si>
  <si>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</si>
  <si>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</si>
  <si>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</si>
  <si>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</si>
  <si>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</si>
  <si>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</si>
  <si>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</si>
  <si>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</si>
  <si>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</si>
  <si>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</si>
  <si>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</si>
  <si>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</si>
  <si>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</si>
  <si>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</si>
  <si>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</si>
  <si>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</si>
  <si>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</si>
  <si>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</si>
  <si>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</si>
  <si>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</si>
  <si>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</si>
  <si>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</si>
  <si>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</si>
  <si>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</si>
  <si>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</si>
  <si>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</si>
  <si>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</si>
  <si>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</si>
  <si>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</si>
  <si>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</si>
  <si>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</si>
  <si>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</si>
  <si>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</si>
  <si>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</si>
  <si>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</si>
  <si>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</si>
  <si>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</si>
  <si>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</si>
  <si>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</si>
  <si>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</si>
  <si>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</si>
  <si>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</si>
  <si>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</si>
  <si>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</si>
  <si>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</si>
  <si>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</si>
  <si>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</si>
  <si>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</si>
  <si>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</si>
  <si>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</si>
  <si>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</si>
  <si>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</si>
  <si>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</si>
  <si>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</si>
  <si>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</si>
  <si>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</si>
  <si>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</si>
  <si>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</si>
  <si>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</si>
  <si>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</si>
  <si>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</si>
  <si>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</si>
  <si>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</si>
  <si>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</si>
  <si>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</si>
  <si>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</si>
  <si>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</si>
  <si>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</si>
  <si>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</si>
  <si>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</si>
  <si>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</si>
  <si>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</si>
  <si>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</si>
  <si>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</si>
  <si>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</si>
  <si>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</si>
  <si>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</si>
  <si>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</si>
  <si>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</si>
  <si>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</si>
  <si>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</si>
  <si>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</si>
  <si>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</si>
  <si>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</si>
  <si>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</si>
  <si>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</si>
  <si>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</si>
  <si>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</si>
  <si>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</si>
  <si>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</si>
  <si>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</si>
  <si>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</si>
  <si>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</si>
  <si>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</si>
  <si>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</si>
  <si>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</si>
  <si>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</si>
  <si>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</si>
  <si>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</si>
  <si>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</si>
  <si>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</si>
  <si>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</si>
  <si>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</si>
  <si>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</si>
  <si>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</si>
  <si>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</si>
  <si>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</si>
  <si>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</si>
  <si>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</si>
  <si>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</si>
  <si>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</si>
  <si>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</si>
  <si>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</si>
  <si>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</si>
  <si>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</si>
  <si>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</si>
  <si>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</si>
  <si>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</si>
  <si>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</si>
  <si>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</si>
  <si>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</si>
  <si>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</si>
  <si>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</si>
  <si>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</si>
  <si>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</si>
  <si>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</si>
  <si>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</si>
  <si>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</si>
  <si>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</si>
  <si>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</si>
  <si>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</si>
  <si>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</si>
  <si>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</si>
  <si>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</si>
  <si>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</si>
  <si>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</si>
  <si>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</si>
  <si>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</si>
  <si>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</si>
  <si>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</si>
  <si>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</si>
  <si>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</si>
  <si>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</si>
  <si>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</si>
  <si>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</si>
  <si>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</si>
  <si>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</si>
  <si>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</si>
  <si>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</si>
  <si>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</si>
  <si>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</si>
  <si>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</si>
  <si>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</si>
  <si>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</si>
  <si>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</si>
  <si>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</si>
  <si>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</si>
  <si>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</si>
  <si>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</si>
  <si>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</si>
  <si>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</si>
  <si>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</si>
  <si>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</si>
  <si>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</si>
  <si>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</si>
  <si>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</si>
  <si>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</si>
  <si>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</si>
  <si>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</si>
  <si>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</si>
  <si>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</si>
  <si>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</si>
  <si>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</si>
  <si>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</si>
  <si>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</si>
  <si>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</si>
  <si>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</si>
  <si>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</si>
  <si>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</si>
  <si>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</si>
  <si>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</si>
  <si>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</si>
  <si>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</si>
  <si>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</si>
  <si>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</si>
  <si>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</si>
  <si>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</si>
  <si>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</si>
  <si>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</si>
  <si>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</si>
  <si>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</si>
  <si>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</si>
  <si>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</si>
  <si>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</si>
  <si>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</si>
  <si>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</si>
  <si>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</si>
  <si>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</si>
  <si>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</si>
  <si>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</si>
  <si>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</si>
  <si>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</si>
  <si>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</si>
  <si>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</si>
  <si>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</si>
  <si>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</si>
  <si>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</si>
  <si>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</si>
  <si>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</si>
  <si>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</si>
  <si>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</si>
  <si>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</si>
  <si>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</si>
  <si>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</si>
  <si>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</si>
  <si>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</si>
  <si>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</si>
  <si>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</si>
  <si>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</si>
  <si>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</si>
  <si>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</si>
  <si>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</si>
  <si>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</si>
  <si>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</si>
  <si>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</si>
  <si>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</si>
  <si>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</si>
  <si>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</si>
  <si>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</si>
  <si>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</si>
  <si>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</si>
  <si>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</si>
  <si>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</si>
  <si>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</si>
  <si>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</si>
  <si>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</si>
  <si>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</si>
  <si>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</si>
  <si>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</si>
  <si>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</si>
  <si>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</si>
  <si>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</si>
  <si>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</si>
  <si>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</si>
  <si>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</si>
  <si>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</si>
  <si>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</si>
  <si>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</si>
  <si>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</si>
  <si>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</si>
  <si>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</si>
  <si>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</si>
  <si>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</si>
  <si>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</si>
  <si>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</si>
  <si>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</si>
  <si>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</si>
  <si>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</si>
  <si>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</si>
  <si>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</si>
  <si>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</si>
  <si>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</si>
  <si>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</si>
  <si>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</si>
  <si>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</si>
  <si>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</si>
  <si>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</si>
  <si>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</si>
  <si>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</si>
  <si>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</si>
  <si>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</si>
  <si>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</si>
  <si>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</si>
  <si>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</si>
  <si>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</si>
  <si>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</si>
  <si>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</si>
  <si>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</si>
  <si>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</si>
  <si>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</si>
  <si>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</si>
  <si>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</si>
  <si>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</si>
  <si>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</si>
  <si>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</si>
  <si>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</si>
  <si>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</si>
  <si>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</si>
  <si>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</si>
  <si>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</si>
  <si>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</si>
  <si>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</si>
  <si>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</si>
  <si>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</si>
  <si>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</si>
  <si>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</si>
  <si>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</si>
  <si>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</si>
  <si>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</si>
  <si>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</si>
  <si>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</si>
  <si>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</si>
  <si>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</si>
  <si>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</si>
  <si>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</si>
  <si>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</si>
  <si>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</si>
  <si>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</si>
  <si>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</si>
  <si>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</si>
  <si>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</si>
  <si>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</si>
  <si>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</si>
  <si>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</si>
  <si>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</si>
  <si>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</si>
  <si>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</si>
  <si>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</si>
  <si>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</si>
  <si>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</si>
  <si>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</si>
  <si>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</si>
  <si>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</si>
  <si>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</si>
  <si>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</si>
  <si>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</si>
  <si>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</si>
  <si>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</si>
  <si>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</si>
  <si>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</si>
  <si>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</si>
  <si>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</si>
  <si>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</si>
  <si>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</si>
  <si>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</si>
  <si>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</si>
  <si>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</si>
  <si>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</si>
  <si>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</si>
  <si>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</si>
  <si>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</si>
  <si>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</si>
  <si>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</si>
  <si>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</si>
  <si>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</si>
  <si>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</si>
  <si>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</si>
  <si>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</si>
  <si>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</si>
  <si>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</si>
  <si>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</si>
  <si>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</si>
  <si>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</si>
  <si>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</si>
  <si>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</si>
  <si>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</si>
  <si>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</si>
  <si>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</si>
  <si>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</si>
  <si>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</si>
  <si>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</si>
  <si>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</si>
  <si>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</si>
  <si>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</si>
  <si>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</si>
  <si>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</si>
  <si>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</si>
  <si>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</si>
  <si>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</si>
  <si>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</si>
  <si>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</si>
  <si>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</si>
  <si>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</si>
  <si>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</si>
  <si>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</si>
  <si>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</si>
  <si>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</si>
  <si>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</si>
  <si>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</si>
  <si>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</si>
  <si>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</si>
  <si>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</si>
  <si>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</si>
  <si>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</si>
  <si>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</si>
  <si>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</si>
  <si>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</si>
  <si>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</si>
  <si>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</si>
  <si>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</si>
  <si>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</si>
  <si>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</si>
  <si>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</si>
  <si>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</si>
  <si>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</si>
  <si>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</si>
  <si>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</si>
  <si>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</si>
  <si>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</si>
  <si>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</si>
  <si>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</si>
  <si>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</si>
  <si>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</si>
  <si>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</si>
  <si>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</si>
  <si>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</si>
  <si>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</si>
  <si>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</si>
  <si>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</si>
  <si>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</si>
  <si>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</si>
  <si>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</si>
  <si>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</si>
  <si>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</si>
  <si>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</si>
  <si>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</si>
  <si>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</si>
  <si>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</si>
  <si>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</si>
  <si>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</si>
  <si>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</si>
  <si>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</si>
  <si>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</si>
  <si>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</si>
  <si>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</si>
  <si>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</si>
  <si>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</si>
  <si>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</si>
  <si>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</si>
  <si>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</si>
  <si>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</si>
  <si>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</si>
  <si>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</si>
  <si>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</si>
  <si>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</si>
  <si>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</si>
  <si>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</si>
  <si>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</si>
  <si>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</si>
  <si>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</si>
  <si>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</si>
  <si>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</si>
  <si>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</si>
  <si>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</si>
  <si>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</si>
  <si>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</si>
  <si>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</si>
  <si>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</si>
  <si>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</si>
  <si>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</si>
  <si>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</si>
  <si>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</si>
  <si>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</si>
  <si>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</si>
  <si>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</si>
  <si>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</si>
  <si>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</si>
  <si>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</si>
  <si>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</si>
  <si>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</si>
  <si>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</si>
  <si>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</si>
  <si>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</si>
  <si>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</si>
  <si>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</si>
  <si>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</si>
  <si>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</si>
  <si>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</si>
  <si>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</si>
  <si>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</si>
  <si>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</si>
  <si>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</si>
  <si>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</si>
  <si>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</si>
  <si>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</si>
  <si>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</si>
  <si>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</si>
  <si>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</si>
  <si>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</si>
  <si>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</si>
  <si>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</si>
  <si>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</si>
  <si>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</si>
  <si>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</si>
  <si>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</si>
  <si>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</si>
  <si>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</si>
  <si>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</si>
  <si>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</si>
  <si>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</si>
  <si>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</si>
  <si>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</si>
  <si>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</si>
  <si>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</si>
  <si>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</si>
  <si>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</si>
  <si>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</si>
  <si>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</si>
  <si>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</si>
  <si>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</si>
  <si>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</si>
  <si>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</si>
  <si>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</si>
  <si>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</si>
  <si>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</si>
  <si>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</si>
  <si>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</si>
  <si>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</si>
  <si>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</si>
  <si>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</si>
  <si>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</si>
  <si>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</si>
  <si>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</si>
  <si>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</si>
  <si>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</si>
  <si>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</si>
  <si>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</si>
  <si>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</si>
  <si>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</si>
  <si>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</si>
  <si>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</si>
  <si>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</si>
  <si>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</si>
  <si>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</si>
  <si>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</si>
  <si>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</si>
  <si>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</si>
  <si>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</si>
  <si>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</si>
  <si>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</si>
  <si>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</si>
  <si>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</si>
  <si>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</si>
  <si>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</si>
  <si>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</si>
  <si>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</si>
  <si>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</si>
  <si>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</si>
  <si>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</si>
  <si>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</si>
  <si>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</si>
  <si>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</si>
  <si>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</si>
  <si>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</si>
  <si>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</si>
  <si>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</si>
  <si>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</si>
  <si>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</si>
  <si>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</si>
  <si>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</si>
  <si>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</si>
  <si>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</si>
  <si>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</si>
  <si>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</si>
  <si>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</si>
  <si>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</si>
  <si>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</si>
  <si>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</si>
  <si>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</si>
  <si>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</si>
  <si>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</si>
  <si>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</si>
  <si>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</si>
  <si>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</si>
  <si>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</si>
  <si>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</si>
  <si>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</si>
  <si>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</si>
  <si>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</si>
  <si>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</si>
  <si>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</si>
  <si>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</si>
  <si>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</si>
  <si>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</si>
  <si>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</si>
  <si>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</si>
  <si>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</si>
  <si>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</si>
  <si>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</si>
  <si>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</si>
  <si>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</si>
  <si>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</si>
  <si>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</si>
  <si>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</si>
  <si>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</si>
  <si>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</si>
  <si>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</si>
  <si>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</si>
  <si>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</si>
  <si>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</si>
  <si>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</si>
  <si>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</si>
  <si>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</si>
  <si>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</si>
  <si>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</si>
  <si>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</si>
  <si>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</si>
  <si>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</si>
  <si>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</si>
  <si>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</si>
  <si>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</si>
  <si>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</si>
  <si>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</si>
  <si>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</si>
  <si>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</si>
  <si>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</si>
  <si>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</si>
  <si>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</si>
  <si>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</si>
  <si>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</si>
  <si>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</si>
  <si>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</si>
  <si>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</si>
  <si>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</si>
  <si>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</si>
  <si>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</si>
  <si>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</si>
  <si>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</si>
  <si>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</si>
  <si>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</si>
  <si>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</si>
  <si>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</si>
  <si>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</si>
  <si>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</si>
  <si>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</si>
  <si>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</si>
  <si>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</si>
  <si>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</si>
  <si>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</si>
  <si>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</si>
  <si>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</si>
  <si>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</si>
  <si>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</si>
  <si>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</si>
  <si>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</si>
  <si>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</si>
  <si>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</si>
  <si>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</si>
  <si>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</si>
  <si>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</si>
  <si>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</si>
  <si>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</si>
  <si>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</si>
  <si>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</si>
  <si>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</si>
  <si>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</si>
  <si>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</si>
  <si>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</si>
  <si>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</si>
  <si>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</si>
  <si>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</si>
  <si>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</si>
  <si>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</si>
  <si>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</si>
  <si>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</si>
  <si>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</si>
  <si>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</si>
  <si>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</si>
  <si>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</si>
  <si>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</si>
  <si>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</si>
  <si>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</si>
  <si>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</si>
  <si>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</si>
  <si>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</si>
  <si>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</si>
  <si>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</si>
  <si>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</si>
  <si>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</si>
  <si>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</si>
  <si>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</si>
  <si>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</si>
  <si>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</si>
  <si>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</si>
  <si>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</si>
  <si>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</si>
  <si>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</si>
  <si>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</si>
  <si>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</si>
  <si>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</si>
  <si>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</si>
  <si>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</si>
  <si>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</si>
  <si>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</si>
  <si>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</si>
  <si>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</si>
  <si>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</si>
  <si>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</si>
  <si>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</si>
  <si>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</si>
  <si>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</si>
  <si>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</si>
  <si>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</si>
  <si>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</si>
  <si>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</si>
  <si>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</si>
  <si>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</si>
  <si>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</si>
  <si>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</si>
  <si>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</si>
  <si>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</si>
  <si>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</si>
  <si>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</si>
  <si>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</si>
  <si>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</si>
  <si>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</si>
  <si>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</si>
  <si>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</si>
  <si>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</si>
  <si>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</si>
  <si>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</si>
  <si>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</si>
  <si>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</si>
  <si>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</si>
  <si>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</si>
  <si>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</si>
  <si>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</si>
  <si>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</si>
  <si>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</si>
  <si>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</si>
  <si>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</si>
  <si>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</si>
  <si>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</si>
  <si>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</si>
  <si>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</si>
  <si>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</si>
  <si>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</si>
  <si>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</si>
  <si>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</si>
  <si>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</si>
  <si>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</si>
  <si>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</si>
  <si>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</si>
  <si>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</si>
  <si>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</si>
  <si>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</si>
  <si>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</si>
  <si>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</si>
  <si>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</si>
  <si>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</si>
  <si>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</si>
  <si>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</si>
  <si>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</si>
  <si>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</si>
  <si>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</si>
  <si>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</si>
  <si>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</si>
  <si>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</si>
  <si>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</si>
  <si>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</si>
  <si>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</si>
  <si>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</si>
  <si>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</si>
  <si>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</si>
  <si>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</si>
  <si>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</si>
  <si>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</si>
  <si>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</si>
  <si>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</si>
  <si>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</si>
  <si>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</si>
  <si>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</si>
  <si>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</si>
  <si>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</si>
  <si>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</si>
  <si>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</si>
  <si>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</si>
  <si>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</si>
  <si>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</si>
  <si>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</si>
  <si>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</si>
  <si>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</si>
  <si>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</si>
  <si>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</si>
  <si>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</si>
  <si>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</si>
  <si>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</si>
  <si>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</si>
  <si>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</si>
  <si>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</si>
  <si>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</si>
  <si>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</si>
  <si>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</si>
  <si>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</si>
  <si>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</si>
  <si>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</si>
  <si>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</si>
  <si>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</si>
  <si>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</si>
  <si>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</si>
  <si>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</si>
  <si>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</si>
  <si>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</si>
  <si>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</si>
  <si>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</si>
  <si>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</si>
  <si>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</si>
  <si>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</si>
  <si>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</si>
  <si>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</si>
  <si>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</si>
  <si>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</si>
  <si>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</si>
  <si>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</si>
  <si>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</si>
  <si>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</si>
  <si>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</si>
  <si>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</si>
  <si>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</si>
  <si>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</si>
  <si>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</si>
  <si>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</si>
  <si>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</si>
  <si>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</si>
  <si>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</si>
  <si>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</si>
  <si>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</si>
  <si>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</si>
  <si>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</si>
  <si>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</si>
  <si>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</si>
  <si>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</si>
  <si>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</si>
  <si>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</si>
  <si>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</si>
  <si>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</si>
  <si>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</si>
  <si>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</si>
  <si>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</si>
  <si>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</si>
  <si>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</si>
  <si>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</si>
  <si>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</si>
  <si>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</si>
  <si>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</si>
  <si>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</si>
  <si>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</si>
  <si>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</si>
  <si>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</si>
  <si>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</si>
  <si>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</si>
  <si>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</si>
  <si>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</si>
  <si>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</si>
  <si>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</si>
  <si>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</si>
  <si>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</si>
  <si>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</si>
  <si>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</si>
  <si>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</si>
  <si>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</si>
  <si>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</si>
  <si>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</si>
  <si>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</si>
  <si>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</si>
  <si>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</si>
  <si>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</si>
  <si>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</si>
  <si>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</si>
  <si>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</si>
  <si>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</si>
  <si>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</si>
  <si>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</si>
  <si>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</si>
  <si>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</si>
  <si>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</si>
  <si>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</si>
  <si>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</si>
  <si>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</si>
  <si>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</si>
  <si>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</si>
  <si>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</si>
  <si>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</si>
  <si>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</si>
  <si>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</si>
  <si>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</si>
  <si>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</si>
  <si>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</si>
  <si>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</si>
  <si>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</si>
  <si>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</si>
  <si>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</si>
  <si>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</si>
  <si>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</si>
  <si>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</si>
  <si>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</si>
  <si>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</si>
  <si>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</si>
  <si>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</si>
  <si>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</si>
  <si>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</si>
  <si>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</si>
  <si>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</si>
  <si>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</si>
  <si>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</si>
  <si>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</si>
  <si>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</si>
  <si>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</si>
  <si>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</si>
  <si>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</si>
  <si>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</si>
  <si>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</si>
  <si>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</si>
  <si>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</si>
  <si>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</si>
  <si>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</si>
  <si>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</si>
  <si>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</si>
  <si>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</si>
  <si>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</si>
  <si>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</si>
  <si>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</si>
  <si>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</si>
  <si>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</si>
  <si>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</si>
  <si>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</si>
  <si>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</si>
  <si>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</si>
  <si>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</si>
  <si>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</si>
  <si>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</si>
  <si>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</si>
  <si>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</si>
  <si>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</si>
  <si>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</si>
  <si>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</si>
  <si>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</si>
  <si>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</si>
  <si>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</si>
  <si>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</si>
  <si>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</si>
  <si>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</si>
  <si>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</si>
  <si>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</si>
  <si>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</si>
  <si>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</si>
  <si>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</si>
  <si>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</si>
  <si>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</si>
  <si>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</si>
  <si>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</si>
  <si>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</si>
  <si>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</si>
  <si>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</si>
  <si>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</si>
  <si>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</si>
  <si>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</si>
  <si>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</si>
  <si>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</si>
  <si>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</si>
  <si>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</si>
  <si>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</si>
  <si>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</si>
  <si>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</si>
  <si>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</si>
  <si>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</si>
  <si>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</si>
  <si>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</si>
  <si>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</si>
  <si>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</si>
  <si>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</si>
  <si>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</si>
  <si>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</si>
  <si>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</si>
  <si>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</si>
  <si>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</si>
  <si>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</si>
  <si>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</si>
  <si>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</si>
  <si>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</si>
  <si>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</si>
  <si>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</si>
  <si>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</si>
  <si>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</si>
  <si>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</si>
  <si>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</si>
  <si>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</si>
  <si>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</si>
  <si>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</si>
  <si>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</si>
  <si>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</si>
  <si>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</si>
  <si>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</si>
  <si>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</si>
  <si>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</si>
  <si>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</si>
  <si>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</si>
  <si>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</si>
  <si>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</si>
  <si>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</si>
  <si>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</si>
  <si>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</si>
  <si>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</si>
  <si>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</si>
  <si>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</si>
  <si>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</si>
  <si>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</si>
  <si>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</si>
  <si>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</si>
  <si>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</si>
  <si>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</si>
  <si>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</si>
  <si>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</si>
  <si>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</si>
  <si>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</si>
  <si>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</si>
  <si>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</si>
  <si>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</si>
  <si>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</si>
  <si>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</si>
  <si>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</si>
  <si>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</si>
  <si>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</si>
  <si>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</si>
  <si>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</si>
  <si>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</si>
  <si>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</si>
  <si>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</si>
  <si>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</si>
  <si>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</si>
  <si>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</si>
  <si>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</si>
  <si>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</si>
  <si>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</si>
  <si>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</si>
  <si>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</si>
  <si>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</si>
  <si>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</si>
  <si>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</si>
  <si>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</si>
  <si>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</si>
  <si>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</si>
  <si>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</si>
  <si>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</si>
  <si>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</si>
  <si>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</si>
  <si>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</si>
  <si>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</si>
  <si>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</si>
  <si>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</si>
  <si>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</si>
  <si>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</si>
  <si>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</si>
  <si>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</si>
  <si>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</si>
  <si>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</si>
  <si>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</si>
  <si>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</si>
  <si>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</si>
  <si>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</si>
  <si>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</si>
  <si>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</si>
  <si>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</si>
  <si>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</si>
  <si>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</si>
  <si>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</si>
  <si>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</si>
  <si>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</si>
  <si>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</si>
  <si>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</si>
  <si>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</si>
  <si>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</si>
  <si>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</si>
  <si>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</si>
  <si>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</si>
  <si>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</si>
  <si>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</si>
  <si>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</si>
  <si>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</si>
  <si>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</si>
  <si>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</si>
  <si>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</si>
  <si>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</si>
  <si>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</si>
  <si>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</si>
  <si>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</si>
  <si>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</si>
  <si>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</si>
  <si>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</si>
  <si>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</si>
  <si>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</si>
  <si>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</si>
  <si>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</si>
  <si>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</si>
  <si>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</si>
  <si>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</si>
  <si>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</si>
  <si>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</si>
  <si>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</si>
  <si>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</si>
  <si>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</si>
  <si>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</si>
  <si>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</si>
  <si>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</si>
  <si>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</si>
  <si>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</si>
  <si>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</si>
  <si>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</si>
  <si>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</si>
  <si>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</si>
  <si>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</si>
  <si>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</si>
  <si>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</si>
  <si>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</si>
  <si>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</si>
  <si>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</si>
  <si>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</si>
  <si>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</si>
  <si>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</si>
  <si>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</si>
  <si>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</si>
  <si>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</si>
  <si>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</si>
  <si>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</si>
  <si>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</si>
  <si>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</si>
  <si>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</si>
  <si>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</si>
  <si>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</si>
  <si>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</si>
  <si>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</si>
  <si>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</si>
  <si>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</si>
  <si>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</si>
  <si>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</si>
  <si>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</si>
  <si>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</si>
  <si>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</si>
  <si>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</si>
  <si>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</si>
  <si>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</si>
  <si>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</si>
  <si>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</si>
  <si>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</si>
  <si>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</si>
  <si>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</si>
  <si>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</si>
  <si>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</si>
  <si>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</si>
  <si>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</si>
  <si>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</si>
  <si>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</si>
  <si>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</si>
  <si>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</si>
  <si>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</si>
  <si>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</si>
  <si>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</si>
  <si>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</si>
  <si>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</si>
  <si>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</si>
  <si>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</si>
  <si>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</si>
  <si>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</si>
  <si>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</si>
  <si>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</si>
  <si>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</si>
  <si>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</si>
  <si>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</si>
  <si>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</si>
  <si>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</si>
  <si>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</si>
  <si>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</si>
  <si>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</si>
  <si>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</si>
  <si>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</si>
  <si>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</si>
  <si>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</si>
  <si>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</si>
  <si>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</si>
  <si>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</si>
  <si>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</si>
  <si>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</si>
  <si>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</si>
  <si>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</si>
  <si>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</si>
  <si>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</si>
  <si>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</si>
  <si>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</si>
  <si>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</si>
  <si>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</si>
  <si>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</si>
  <si>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</si>
  <si>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</si>
  <si>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</si>
  <si>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</si>
  <si>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</si>
  <si>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</si>
  <si>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</si>
  <si>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</si>
  <si>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</si>
  <si>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</si>
  <si>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</si>
  <si>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</si>
  <si>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</si>
  <si>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</si>
  <si>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</si>
  <si>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</si>
  <si>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</si>
  <si>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</si>
  <si>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</si>
  <si>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</si>
  <si>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</si>
  <si>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</si>
  <si>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</si>
  <si>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</si>
  <si>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</si>
  <si>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</si>
  <si>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</si>
  <si>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</si>
  <si>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</si>
  <si>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</si>
  <si>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</si>
  <si>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</si>
  <si>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</si>
  <si>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</si>
  <si>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</si>
  <si>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</si>
  <si>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</si>
  <si>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</si>
  <si>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</si>
  <si>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</si>
  <si>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</si>
  <si>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</si>
  <si>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</si>
  <si>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</si>
  <si>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</si>
  <si>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</si>
  <si>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</si>
  <si>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</si>
  <si>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</si>
  <si>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</si>
  <si>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</si>
  <si>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</si>
  <si>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</si>
  <si>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</si>
  <si>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</si>
  <si>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</si>
  <si>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</si>
  <si>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</si>
  <si>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</si>
  <si>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</si>
  <si>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</si>
  <si>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</si>
  <si>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</si>
  <si>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</si>
  <si>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</si>
  <si>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</si>
  <si>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</si>
  <si>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</si>
  <si>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</si>
  <si>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</si>
  <si>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</si>
  <si>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</si>
  <si>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</si>
  <si>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</si>
  <si>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</si>
  <si>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</si>
  <si>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</si>
  <si>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</si>
  <si>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</si>
  <si>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</si>
  <si>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</si>
  <si>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</si>
  <si>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</si>
  <si>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</si>
  <si>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</si>
  <si>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</si>
  <si>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</si>
  <si>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</si>
  <si>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</si>
  <si>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</si>
  <si>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</si>
  <si>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</si>
  <si>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</si>
  <si>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</si>
  <si>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</si>
  <si>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</si>
  <si>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</si>
  <si>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</si>
  <si>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</si>
  <si>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</si>
  <si>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</si>
  <si>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</si>
  <si>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</si>
  <si>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</si>
  <si>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</si>
  <si>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</si>
  <si>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</si>
  <si>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</si>
  <si>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</si>
  <si>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</si>
  <si>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</si>
  <si>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</si>
  <si>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</si>
  <si>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</si>
  <si>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</si>
  <si>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</si>
  <si>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</si>
  <si>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</si>
  <si>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</si>
  <si>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</si>
  <si>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</si>
  <si>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</si>
  <si>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</si>
  <si>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</si>
  <si>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</si>
  <si>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</si>
  <si>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</si>
  <si>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</si>
  <si>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</si>
  <si>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</si>
  <si>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</si>
  <si>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</si>
  <si>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</si>
  <si>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</si>
  <si>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</si>
  <si>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</si>
  <si>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</si>
  <si>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</si>
  <si>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</si>
  <si>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</si>
  <si>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</si>
  <si>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</si>
  <si>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</si>
  <si>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</si>
  <si>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</si>
  <si>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</si>
  <si>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</si>
  <si>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</si>
  <si>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</si>
  <si>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</si>
  <si>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</si>
  <si>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</si>
  <si>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</si>
  <si>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</si>
  <si>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</si>
  <si>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</si>
  <si>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</si>
  <si>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</si>
  <si>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</si>
  <si>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</si>
  <si>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</si>
  <si>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</si>
  <si>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</si>
  <si>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</si>
  <si>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</si>
  <si>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</si>
  <si>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</si>
  <si>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</si>
  <si>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</si>
  <si>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</si>
  <si>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</si>
  <si>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</si>
  <si>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</si>
  <si>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</si>
  <si>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</si>
  <si>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</si>
  <si>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</si>
  <si>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</si>
  <si>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</si>
  <si>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</si>
  <si>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</si>
  <si>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</si>
  <si>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</si>
  <si>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</si>
  <si>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</si>
  <si>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</si>
  <si>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</si>
  <si>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</si>
  <si>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</si>
  <si>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</si>
  <si>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</si>
  <si>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</si>
  <si>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</si>
  <si>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</si>
  <si>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</si>
  <si>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</si>
  <si>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</si>
  <si>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</si>
  <si>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</si>
  <si>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</si>
  <si>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</si>
  <si>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</si>
  <si>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</si>
  <si>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</si>
  <si>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</si>
  <si>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</si>
  <si>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</si>
  <si>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</si>
  <si>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</si>
  <si>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</si>
  <si>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</si>
  <si>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</si>
  <si>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</si>
  <si>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</si>
  <si>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</si>
  <si>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</si>
  <si>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</si>
  <si>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</si>
  <si>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</si>
  <si>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</si>
  <si>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</si>
  <si>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</si>
  <si>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</si>
  <si>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</si>
  <si>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</si>
  <si>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</si>
  <si>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</si>
  <si>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</si>
  <si>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</si>
  <si>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</si>
  <si>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</si>
  <si>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</si>
  <si>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</si>
  <si>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</si>
  <si>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</si>
  <si>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</si>
  <si>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</si>
  <si>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</si>
  <si>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</si>
  <si>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</si>
  <si>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</si>
  <si>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</si>
  <si>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</si>
  <si>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</si>
  <si>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</si>
  <si>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</si>
  <si>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</si>
  <si>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</si>
  <si>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</si>
  <si>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</si>
  <si>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</si>
  <si>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</si>
  <si>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</si>
  <si>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</si>
  <si>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</si>
  <si>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</si>
  <si>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</si>
  <si>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</si>
  <si>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</si>
  <si>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</si>
  <si>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</si>
  <si>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</si>
  <si>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</si>
  <si>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</si>
  <si>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</si>
  <si>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</si>
  <si>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</si>
  <si>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</si>
  <si>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</si>
  <si>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</si>
  <si>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</si>
  <si>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</si>
  <si>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</si>
  <si>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</si>
  <si>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</si>
  <si>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</si>
  <si>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</si>
  <si>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</si>
  <si>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</si>
  <si>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</si>
  <si>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</si>
  <si>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</si>
  <si>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</si>
  <si>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</si>
  <si>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</si>
  <si>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</si>
  <si>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</si>
  <si>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</si>
  <si>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</si>
  <si>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</si>
  <si>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</si>
  <si>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</si>
  <si>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</si>
  <si>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</si>
  <si>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</si>
  <si>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</si>
  <si>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</si>
  <si>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</si>
  <si>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</si>
  <si>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</si>
  <si>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</si>
  <si>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</si>
  <si>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</si>
  <si>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</si>
  <si>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</si>
  <si>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</si>
  <si>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</si>
  <si>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</si>
  <si>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</si>
  <si>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</si>
  <si>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</si>
  <si>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</si>
  <si>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</si>
  <si>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</si>
  <si>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</si>
  <si>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</si>
  <si>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</si>
  <si>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</si>
  <si>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</si>
  <si>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</si>
  <si>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</si>
  <si>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</si>
  <si>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</si>
  <si>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</si>
  <si>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</si>
  <si>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</si>
  <si>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</si>
  <si>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</si>
  <si>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</si>
  <si>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</si>
  <si>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</si>
  <si>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</si>
  <si>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</si>
  <si>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</si>
  <si>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</si>
  <si>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</si>
  <si>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</si>
  <si>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</si>
  <si>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</si>
  <si>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</si>
  <si>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</si>
  <si>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</si>
  <si>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</si>
  <si>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</si>
  <si>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</si>
  <si>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</si>
  <si>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</si>
  <si>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</si>
  <si>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</si>
  <si>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</si>
  <si>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</si>
  <si>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</si>
  <si>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</si>
  <si>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</si>
  <si>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</si>
  <si>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</si>
  <si>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</si>
  <si>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</si>
  <si>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</si>
  <si>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</si>
  <si>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</si>
  <si>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</si>
  <si>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</si>
  <si>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</si>
  <si>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</si>
  <si>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</si>
  <si>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</si>
  <si>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</si>
  <si>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</si>
  <si>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</si>
  <si>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</si>
  <si>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</si>
  <si>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</si>
  <si>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</si>
  <si>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</si>
  <si>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</si>
  <si>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</si>
  <si>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</si>
  <si>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</si>
  <si>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</si>
  <si>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</si>
  <si>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</si>
  <si>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</si>
  <si>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</si>
  <si>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</si>
  <si>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</si>
  <si>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</si>
  <si>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</si>
  <si>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</si>
  <si>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</si>
  <si>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</si>
  <si>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</si>
  <si>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</si>
  <si>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</si>
  <si>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</si>
  <si>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</si>
  <si>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</si>
  <si>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</si>
  <si>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</si>
  <si>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</si>
  <si>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</si>
  <si>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</si>
  <si>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</si>
  <si>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</si>
  <si>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</si>
  <si>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</si>
  <si>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</si>
  <si>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</si>
  <si>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</si>
  <si>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</si>
  <si>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</si>
  <si>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</si>
  <si>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</si>
  <si>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</si>
  <si>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</si>
  <si>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</si>
  <si>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</si>
  <si>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</si>
  <si>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</si>
  <si>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</si>
  <si>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</si>
  <si>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</si>
  <si>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</si>
  <si>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</si>
  <si>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</si>
  <si>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</si>
  <si>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</si>
  <si>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</si>
  <si>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</si>
  <si>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</si>
  <si>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</si>
  <si>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</si>
  <si>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</si>
  <si>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</si>
  <si>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</si>
  <si>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</si>
  <si>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</si>
  <si>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</si>
  <si>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</si>
  <si>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</si>
  <si>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</si>
  <si>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</si>
  <si>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</si>
  <si>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</si>
  <si>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</si>
  <si>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</si>
  <si>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</si>
  <si>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</si>
  <si>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</si>
  <si>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</si>
  <si>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</si>
  <si>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</si>
  <si>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</si>
  <si>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</si>
  <si>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</si>
  <si>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</si>
  <si>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</si>
  <si>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</si>
  <si>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</si>
  <si>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</si>
  <si>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</si>
  <si>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</si>
  <si>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</si>
  <si>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</si>
  <si>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</si>
  <si>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</si>
  <si>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</si>
  <si>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</si>
  <si>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</si>
  <si>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</si>
  <si>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</si>
  <si>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</si>
  <si>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</si>
  <si>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</si>
  <si>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</si>
  <si>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</si>
  <si>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</si>
  <si>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</si>
  <si>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</si>
  <si>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</si>
  <si>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</si>
  <si>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</si>
  <si>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</si>
  <si>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</si>
  <si>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</si>
  <si>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</si>
  <si>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</si>
  <si>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</si>
  <si>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</si>
  <si>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</si>
  <si>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</si>
  <si>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</si>
  <si>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</si>
  <si>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</si>
  <si>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</si>
  <si>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</si>
  <si>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</si>
  <si>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</si>
  <si>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</si>
  <si>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</si>
  <si>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</si>
  <si>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</si>
  <si>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</si>
  <si>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</si>
  <si>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</si>
  <si>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</si>
  <si>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</si>
  <si>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</si>
  <si>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</si>
  <si>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</si>
  <si>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</si>
  <si>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</si>
  <si>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</si>
  <si>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</si>
  <si>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</si>
  <si>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</si>
  <si>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</si>
  <si>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</si>
  <si>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</si>
  <si>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</si>
  <si>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</si>
  <si>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</si>
  <si>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</si>
  <si>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</si>
  <si>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</si>
  <si>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</si>
  <si>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</si>
  <si>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</si>
  <si>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</si>
  <si>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</si>
  <si>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</si>
  <si>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</si>
  <si>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</si>
  <si>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</si>
  <si>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</si>
  <si>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</si>
  <si>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</si>
  <si>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</si>
  <si>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</si>
  <si>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</si>
  <si>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</si>
  <si>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</si>
  <si>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</si>
  <si>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</si>
  <si>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</si>
  <si>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</si>
  <si>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</si>
  <si>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</si>
  <si>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</si>
  <si>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</si>
  <si>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</si>
  <si>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</si>
  <si>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</si>
  <si>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</si>
  <si>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</si>
  <si>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</si>
  <si>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</si>
  <si>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</si>
  <si>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</si>
  <si>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</si>
  <si>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</si>
  <si>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</si>
  <si>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</si>
  <si>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</si>
  <si>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</si>
  <si>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</si>
  <si>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</si>
  <si>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</si>
  <si>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</si>
  <si>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</si>
  <si>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</si>
  <si>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</si>
  <si>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</si>
  <si>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</si>
  <si>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</si>
  <si>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</si>
  <si>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</si>
  <si>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</si>
  <si>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</si>
  <si>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</si>
  <si>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</si>
  <si>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</si>
  <si>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</si>
  <si>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</si>
  <si>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</si>
  <si>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</si>
  <si>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</si>
  <si>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</si>
  <si>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</si>
  <si>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</si>
  <si>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</si>
  <si>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</si>
  <si>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</si>
  <si>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</si>
  <si>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</si>
  <si>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</si>
  <si>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</si>
  <si>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</si>
  <si>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</si>
  <si>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</si>
  <si>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</si>
  <si>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</si>
  <si>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</si>
  <si>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</si>
  <si>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</si>
  <si>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</si>
  <si>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</si>
  <si>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</si>
  <si>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</si>
  <si>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</si>
  <si>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</si>
  <si>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</si>
  <si>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</si>
  <si>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</si>
  <si>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</si>
  <si>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</si>
  <si>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</si>
  <si>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</si>
  <si>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</si>
  <si>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</si>
  <si>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</si>
  <si>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</si>
  <si>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</si>
  <si>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</si>
  <si>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</si>
  <si>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</si>
  <si>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</si>
  <si>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</si>
  <si>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</si>
  <si>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</si>
  <si>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</si>
  <si>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</si>
  <si>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</si>
  <si>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</si>
  <si>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</si>
  <si>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</si>
  <si>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</si>
  <si>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</si>
  <si>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</si>
  <si>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</si>
  <si>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</si>
  <si>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</si>
  <si>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</si>
  <si>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</si>
  <si>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</si>
  <si>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</si>
  <si>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</si>
  <si>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</si>
  <si>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</si>
  <si>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</si>
  <si>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</si>
  <si>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</si>
  <si>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</si>
  <si>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</si>
  <si>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</si>
  <si>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</si>
  <si>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</si>
  <si>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</si>
  <si>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</si>
  <si>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</si>
  <si>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</si>
  <si>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</si>
  <si>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</si>
  <si>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</si>
  <si>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</si>
  <si>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</si>
  <si>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</si>
  <si>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</si>
  <si>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</si>
  <si>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</si>
  <si>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</si>
  <si>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</si>
  <si>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</si>
  <si>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</si>
  <si>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</si>
  <si>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</si>
  <si>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</si>
  <si>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</si>
  <si>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</si>
  <si>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</si>
  <si>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</si>
  <si>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</si>
  <si>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</si>
  <si>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</si>
  <si>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</si>
  <si>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</si>
  <si>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</si>
  <si>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</si>
  <si>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</si>
  <si>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</si>
  <si>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</si>
  <si>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</si>
  <si>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</si>
  <si>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</si>
  <si>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</si>
  <si>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</si>
  <si>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</si>
  <si>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</si>
  <si>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</si>
  <si>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</si>
  <si>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</si>
  <si>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</si>
  <si>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</si>
  <si>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</si>
  <si>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</si>
  <si>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</si>
  <si>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</si>
  <si>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</si>
  <si>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</si>
  <si>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</si>
  <si>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</si>
  <si>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</si>
  <si>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</si>
  <si>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</si>
  <si>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</si>
  <si>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</si>
  <si>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</si>
  <si>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</si>
  <si>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</si>
  <si>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</si>
  <si>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</si>
  <si>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</si>
  <si>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</si>
  <si>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</si>
  <si>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</si>
  <si>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</si>
  <si>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</si>
  <si>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</si>
  <si>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</si>
  <si>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</si>
  <si>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</si>
  <si>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</si>
  <si>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</si>
  <si>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</si>
  <si>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</si>
  <si>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</si>
  <si>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</si>
  <si>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</si>
  <si>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</si>
  <si>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</si>
  <si>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</si>
  <si>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</si>
  <si>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</si>
  <si>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</si>
  <si>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</si>
  <si>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</si>
  <si>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</si>
  <si>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</si>
  <si>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</si>
  <si>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</si>
  <si>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</si>
  <si>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</si>
  <si>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</si>
  <si>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</si>
  <si>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</si>
  <si>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</si>
  <si>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</si>
  <si>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</si>
  <si>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</si>
  <si>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</si>
  <si>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</si>
  <si>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</si>
  <si>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</si>
  <si>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</si>
  <si>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</si>
  <si>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</si>
  <si>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</si>
  <si>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</si>
  <si>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</si>
  <si>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</si>
  <si>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</si>
  <si>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</si>
  <si>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</si>
  <si>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</si>
  <si>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</si>
  <si>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</si>
  <si>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</si>
  <si>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</si>
  <si>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</si>
  <si>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</si>
  <si>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</si>
  <si>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</si>
  <si>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</si>
  <si>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</si>
  <si>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</si>
  <si>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</si>
  <si>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</si>
  <si>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</si>
  <si>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</si>
  <si>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</si>
  <si>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</si>
  <si>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</si>
  <si>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</si>
  <si>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</si>
  <si>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</si>
  <si>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</si>
  <si>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</si>
  <si>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</si>
  <si>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</si>
  <si>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</si>
  <si>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</si>
  <si>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</si>
  <si>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</si>
  <si>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</si>
  <si>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</si>
  <si>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</si>
  <si>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</si>
  <si>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</si>
  <si>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</si>
  <si>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</si>
  <si>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</si>
  <si>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</si>
  <si>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</si>
  <si>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</si>
  <si>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</si>
  <si>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</si>
  <si>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</si>
  <si>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</si>
  <si>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</si>
  <si>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</si>
  <si>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</si>
  <si>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</si>
  <si>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</si>
  <si>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</si>
  <si>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</si>
  <si>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</si>
  <si>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</si>
  <si>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</si>
  <si>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</si>
  <si>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</si>
  <si>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</si>
  <si>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</si>
  <si>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</si>
  <si>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</si>
  <si>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</si>
  <si>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</si>
  <si>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</si>
  <si>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</si>
  <si>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</si>
  <si>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</si>
  <si>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</si>
  <si>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</si>
  <si>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</si>
  <si>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</si>
  <si>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</si>
  <si>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</si>
  <si>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</si>
  <si>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</si>
  <si>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</si>
  <si>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</si>
  <si>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</si>
  <si>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</si>
  <si>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</si>
  <si>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</si>
  <si>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</si>
  <si>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</si>
  <si>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</si>
  <si>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</si>
  <si>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</si>
  <si>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</si>
  <si>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</si>
  <si>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</si>
  <si>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</si>
  <si>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</si>
  <si>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</si>
  <si>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</si>
  <si>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</si>
  <si>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</si>
  <si>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</si>
  <si>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</si>
  <si>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</si>
  <si>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</si>
  <si>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</si>
  <si>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</si>
  <si>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</si>
  <si>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</si>
  <si>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</si>
  <si>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</si>
  <si>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</si>
  <si>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</si>
  <si>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</si>
  <si>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</si>
  <si>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</si>
  <si>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</si>
  <si>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</si>
  <si>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</si>
  <si>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</si>
  <si>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</si>
  <si>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</si>
  <si>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</si>
  <si>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</si>
  <si>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</si>
  <si>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</si>
  <si>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</si>
  <si>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</si>
  <si>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</si>
  <si>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</si>
  <si>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</si>
  <si>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</si>
  <si>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</si>
  <si>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</si>
  <si>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</si>
  <si>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</si>
  <si>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</si>
  <si>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</si>
  <si>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</si>
  <si>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</si>
  <si>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</si>
  <si>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</si>
  <si>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</si>
  <si>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</si>
  <si>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</si>
  <si>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</si>
  <si>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</si>
  <si>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</si>
  <si>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</si>
  <si>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</si>
  <si>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</si>
  <si>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</si>
  <si>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</si>
  <si>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</si>
  <si>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</si>
  <si>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</si>
  <si>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</si>
  <si>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</si>
  <si>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</si>
  <si>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</si>
  <si>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</si>
  <si>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</si>
  <si>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</si>
  <si>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</si>
  <si>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</si>
  <si>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</si>
  <si>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</si>
  <si>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</si>
  <si>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</si>
  <si>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</si>
  <si>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</si>
  <si>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</si>
  <si>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</si>
  <si>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</si>
  <si>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</si>
  <si>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</si>
  <si>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</si>
  <si>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</si>
  <si>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</si>
  <si>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</si>
  <si>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</si>
  <si>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</si>
  <si>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</si>
  <si>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</si>
  <si>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</si>
  <si>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</si>
  <si>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</si>
  <si>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</si>
  <si>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</si>
  <si>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</si>
  <si>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</si>
  <si>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</si>
  <si>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</si>
  <si>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</si>
  <si>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</si>
  <si>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</si>
  <si>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</si>
  <si>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</si>
  <si>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</si>
  <si>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</si>
  <si>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</si>
  <si>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</si>
  <si>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</si>
  <si>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</si>
  <si>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</si>
  <si>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</si>
  <si>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</si>
  <si>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</si>
  <si>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</si>
  <si>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</si>
  <si>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</si>
  <si>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</si>
  <si>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</si>
  <si>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</si>
  <si>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</si>
  <si>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</si>
  <si>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</si>
  <si>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</si>
  <si>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</si>
  <si>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</si>
  <si>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</si>
  <si>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</si>
  <si>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</si>
  <si>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</si>
  <si>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</si>
  <si>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</si>
  <si>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</si>
  <si>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</si>
  <si>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</si>
  <si>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</si>
  <si>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</si>
  <si>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</si>
  <si>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</si>
  <si>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</si>
  <si>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</si>
  <si>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</si>
  <si>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</si>
  <si>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</si>
  <si>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</si>
  <si>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</si>
  <si>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</si>
  <si>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</si>
  <si>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</si>
  <si>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</si>
  <si>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</si>
  <si>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</si>
  <si>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</si>
  <si>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</si>
  <si>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</si>
  <si>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</si>
  <si>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</si>
  <si>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</si>
  <si>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</si>
  <si>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</si>
  <si>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</si>
  <si>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</si>
  <si>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</si>
  <si>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</si>
  <si>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</si>
  <si>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</si>
  <si>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</si>
  <si>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</si>
  <si>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</si>
  <si>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</si>
  <si>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</si>
  <si>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</si>
  <si>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</si>
  <si>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</si>
  <si>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</si>
  <si>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</si>
  <si>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</si>
  <si>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</si>
  <si>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</si>
  <si>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</si>
  <si>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</si>
  <si>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</si>
  <si>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</si>
  <si>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</si>
  <si>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</si>
  <si>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</si>
  <si>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</si>
  <si>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</si>
  <si>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</si>
  <si>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</si>
  <si>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</si>
  <si>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</si>
  <si>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</si>
  <si>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</si>
  <si>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</si>
  <si>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</si>
  <si>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</si>
  <si>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</si>
  <si>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</si>
  <si>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</si>
  <si>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</si>
  <si>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</si>
  <si>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</si>
  <si>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</si>
  <si>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</si>
  <si>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</si>
  <si>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</si>
  <si>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</si>
  <si>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</si>
  <si>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</si>
  <si>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</si>
  <si>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</si>
  <si>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</si>
  <si>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</si>
  <si>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</si>
  <si>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</si>
  <si>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</si>
  <si>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</si>
  <si>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</si>
  <si>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</si>
  <si>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</si>
  <si>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</si>
  <si>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</si>
  <si>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</si>
  <si>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</si>
  <si>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</si>
  <si>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</si>
  <si>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</si>
  <si>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</si>
  <si>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</si>
  <si>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</si>
  <si>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</si>
  <si>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</si>
  <si>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</si>
  <si>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</si>
  <si>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</si>
  <si>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</si>
  <si>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</si>
  <si>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</si>
  <si>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</si>
  <si>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</si>
  <si>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</si>
  <si>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</si>
  <si>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</si>
  <si>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</si>
  <si>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</si>
  <si>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</si>
  <si>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</si>
  <si>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</si>
  <si>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</si>
  <si>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</si>
  <si>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</si>
  <si>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</si>
  <si>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</si>
  <si>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</si>
  <si>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</si>
  <si>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</si>
  <si>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</si>
  <si>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</si>
  <si>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</si>
  <si>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</si>
  <si>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</si>
  <si>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</si>
  <si>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</si>
  <si>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</si>
  <si>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</si>
  <si>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</si>
  <si>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</si>
  <si>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</si>
  <si>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</si>
  <si>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</si>
  <si>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</si>
  <si>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</si>
  <si>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</si>
  <si>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</si>
  <si>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</si>
  <si>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</si>
  <si>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</si>
  <si>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</si>
  <si>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</si>
  <si>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</si>
  <si>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</si>
  <si>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</si>
  <si>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</si>
  <si>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</si>
  <si>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</si>
  <si>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</si>
  <si>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</si>
  <si>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</si>
  <si>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</si>
  <si>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</si>
  <si>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</si>
  <si>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</si>
  <si>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</si>
  <si>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</si>
  <si>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</si>
  <si>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</si>
  <si>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</si>
  <si>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</si>
  <si>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</si>
  <si>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</si>
  <si>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</si>
  <si>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</si>
  <si>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</si>
  <si>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</si>
  <si>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</si>
  <si>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</si>
  <si>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</si>
  <si>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</si>
  <si>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</si>
  <si>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</si>
  <si>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</si>
  <si>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</si>
  <si>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</si>
  <si>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</si>
  <si>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</si>
  <si>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</si>
  <si>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</si>
  <si>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</si>
  <si>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</si>
  <si>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</si>
  <si>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</si>
  <si>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</si>
  <si>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</si>
  <si>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</si>
  <si>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</si>
  <si>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</si>
  <si>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</si>
  <si>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</si>
  <si>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</si>
  <si>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</si>
  <si>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</si>
  <si>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</si>
  <si>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</si>
  <si>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</si>
  <si>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</si>
  <si>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</si>
  <si>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</si>
  <si>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</si>
  <si>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</si>
  <si>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</si>
  <si>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</si>
  <si>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</si>
  <si>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</si>
  <si>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</si>
  <si>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</si>
  <si>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</si>
  <si>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</si>
  <si>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</si>
  <si>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</si>
  <si>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</si>
  <si>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</si>
  <si>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</si>
  <si>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</si>
  <si>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</si>
  <si>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</si>
  <si>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</si>
  <si>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</si>
  <si>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</si>
  <si>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</si>
  <si>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</si>
  <si>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</si>
  <si>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</si>
  <si>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</si>
  <si>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</si>
  <si>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</si>
  <si>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</si>
  <si>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</si>
  <si>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</si>
  <si>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</si>
  <si>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</si>
  <si>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</si>
  <si>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</si>
  <si>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</si>
  <si>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</si>
  <si>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</si>
  <si>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</si>
  <si>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</si>
  <si>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</si>
  <si>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</si>
  <si>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</si>
  <si>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</si>
  <si>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</si>
  <si>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</si>
  <si>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</si>
  <si>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</si>
  <si>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</si>
  <si>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</si>
  <si>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</si>
  <si>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</si>
  <si>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</si>
  <si>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</si>
  <si>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</si>
  <si>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</si>
  <si>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</si>
  <si>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</si>
  <si>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</si>
  <si>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</si>
  <si>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</si>
  <si>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</si>
  <si>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</si>
  <si>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</si>
  <si>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</si>
  <si>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</si>
  <si>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</si>
  <si>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</si>
  <si>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</si>
  <si>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</si>
  <si>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</si>
  <si>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</si>
  <si>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</si>
  <si>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</si>
  <si>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</si>
  <si>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</si>
  <si>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</si>
  <si>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</si>
  <si>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</si>
  <si>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</si>
  <si>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</si>
  <si>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</si>
  <si>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</si>
  <si>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</si>
  <si>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</si>
  <si>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</si>
  <si>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</si>
  <si>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</si>
  <si>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</si>
  <si>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</si>
  <si>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</si>
  <si>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</si>
  <si>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</si>
  <si>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</si>
  <si>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</si>
  <si>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</si>
  <si>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</si>
  <si>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</si>
  <si>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</si>
  <si>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</si>
  <si>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</si>
  <si>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</si>
  <si>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</si>
  <si>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</si>
  <si>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</si>
  <si>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</si>
  <si>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</si>
  <si>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</si>
  <si>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</si>
  <si>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</si>
  <si>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</si>
  <si>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</si>
  <si>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</si>
  <si>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</si>
  <si>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</si>
  <si>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</si>
  <si>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</si>
  <si>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</si>
  <si>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</si>
  <si>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</si>
  <si>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</si>
  <si>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</si>
  <si>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</si>
  <si>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</si>
  <si>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</si>
  <si>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</si>
  <si>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</si>
  <si>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</si>
  <si>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</si>
  <si>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</si>
  <si>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</si>
  <si>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</si>
  <si>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</si>
  <si>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</si>
  <si>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</si>
  <si>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</si>
  <si>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</si>
  <si>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</si>
  <si>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</si>
  <si>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</si>
  <si>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</si>
  <si>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</si>
  <si>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</si>
  <si>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</si>
  <si>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</si>
  <si>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</si>
  <si>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</si>
  <si>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</si>
  <si>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</si>
  <si>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</si>
  <si>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</si>
  <si>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</si>
  <si>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</si>
  <si>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</si>
  <si>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</si>
  <si>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</si>
  <si>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</si>
  <si>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</si>
  <si>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</si>
  <si>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</si>
  <si>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</si>
  <si>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</si>
  <si>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</si>
  <si>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</si>
  <si>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</si>
  <si>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</si>
  <si>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</si>
  <si>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</si>
  <si>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</si>
  <si>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</si>
  <si>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</si>
  <si>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</si>
  <si>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</si>
  <si>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</si>
  <si>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</si>
  <si>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</si>
  <si>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</si>
  <si>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</si>
  <si>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</si>
  <si>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</si>
  <si>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</si>
  <si>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</si>
  <si>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</si>
  <si>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</si>
  <si>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</si>
  <si>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</si>
  <si>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</si>
  <si>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</si>
  <si>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</si>
  <si>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</si>
  <si>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</si>
  <si>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</si>
  <si>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</si>
  <si>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</si>
  <si>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</si>
  <si>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</si>
  <si>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</si>
  <si>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</si>
  <si>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</si>
  <si>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</si>
  <si>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</si>
  <si>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</si>
  <si>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</si>
  <si>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</si>
  <si>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</si>
  <si>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</si>
  <si>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</si>
  <si>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</si>
  <si>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</si>
  <si>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</si>
  <si>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</si>
  <si>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</si>
  <si>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</si>
  <si>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</si>
  <si>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</si>
  <si>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</si>
  <si>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</si>
  <si>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</si>
  <si>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</si>
  <si>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</si>
  <si>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</si>
  <si>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</si>
  <si>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</si>
  <si>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</si>
  <si>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</si>
  <si>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</si>
  <si>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</si>
  <si>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</si>
  <si>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</si>
  <si>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</si>
  <si>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</si>
  <si>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</si>
  <si>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</si>
  <si>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</si>
  <si>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</si>
  <si>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</si>
  <si>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</si>
  <si>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</si>
  <si>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</si>
  <si>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</si>
  <si>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</si>
  <si>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</si>
  <si>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</si>
  <si>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</si>
  <si>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</si>
  <si>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</si>
  <si>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</si>
  <si>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</si>
  <si>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</si>
  <si>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</si>
  <si>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</si>
  <si>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</si>
  <si>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</si>
  <si>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</si>
  <si>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</si>
  <si>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</si>
  <si>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</si>
  <si>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</si>
  <si>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</si>
  <si>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</si>
  <si>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</si>
  <si>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</si>
  <si>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</si>
  <si>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</si>
  <si>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</si>
  <si>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</si>
  <si>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</si>
  <si>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</si>
  <si>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</si>
  <si>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</si>
  <si>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</si>
  <si>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</si>
  <si>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</si>
  <si>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</si>
  <si>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</si>
  <si>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</si>
  <si>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</si>
  <si>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</si>
  <si>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</si>
  <si>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</si>
  <si>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</si>
  <si>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</si>
  <si>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</si>
  <si>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</si>
  <si>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</si>
  <si>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</si>
  <si>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</si>
  <si>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</si>
  <si>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</si>
  <si>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</si>
  <si>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</si>
  <si>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</si>
  <si>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</si>
  <si>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</si>
  <si>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</si>
  <si>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</si>
  <si>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</si>
  <si>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</si>
  <si>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</si>
  <si>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</si>
  <si>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</si>
  <si>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</si>
  <si>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</si>
  <si>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</si>
  <si>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</si>
  <si>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</si>
  <si>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</si>
  <si>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</si>
  <si>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</si>
  <si>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</si>
  <si>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</si>
  <si>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</si>
  <si>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</si>
  <si>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</si>
  <si>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</si>
  <si>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</si>
  <si>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</si>
  <si>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</si>
  <si>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</si>
  <si>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</si>
  <si>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</si>
  <si>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</si>
  <si>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</si>
  <si>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</si>
  <si>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</si>
  <si>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</si>
  <si>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</si>
  <si>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</si>
  <si>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</si>
  <si>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</si>
  <si>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</si>
  <si>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</si>
  <si>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</si>
  <si>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</si>
  <si>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</si>
  <si>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</si>
  <si>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</si>
  <si>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</si>
  <si>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</si>
  <si>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</si>
  <si>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</si>
  <si>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</si>
  <si>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</si>
  <si>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</si>
  <si>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</si>
  <si>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</si>
  <si>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</si>
  <si>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</si>
  <si>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</si>
  <si>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</si>
  <si>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</si>
  <si>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</si>
  <si>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</si>
  <si>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</si>
  <si>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</si>
  <si>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</si>
  <si>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</si>
  <si>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</si>
  <si>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</si>
  <si>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</si>
  <si>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</si>
  <si>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</si>
  <si>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</si>
  <si>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</si>
  <si>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</si>
  <si>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</si>
  <si>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</si>
  <si>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</si>
  <si>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</si>
  <si>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</si>
  <si>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</si>
  <si>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</si>
  <si>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</si>
  <si>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</si>
  <si>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</si>
  <si>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</si>
  <si>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</si>
  <si>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</si>
  <si>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</si>
  <si>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</si>
  <si>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</si>
  <si>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</si>
  <si>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</si>
  <si>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</si>
  <si>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</si>
  <si>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</si>
  <si>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</si>
  <si>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</si>
  <si>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</si>
  <si>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</si>
  <si>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</si>
  <si>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</si>
  <si>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</si>
  <si>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</si>
  <si>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</si>
  <si>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</si>
  <si>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</si>
  <si>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</si>
  <si>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</si>
  <si>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</si>
  <si>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</si>
  <si>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</si>
  <si>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</si>
  <si>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</si>
  <si>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</si>
  <si>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</si>
  <si>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</si>
  <si>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</si>
  <si>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</si>
  <si>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</si>
  <si>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</si>
  <si>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</si>
  <si>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</si>
  <si>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</si>
  <si>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</si>
  <si>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</si>
  <si>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</si>
  <si>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</si>
  <si>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</si>
  <si>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</si>
  <si>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</si>
  <si>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</si>
  <si>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</si>
  <si>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</si>
  <si>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</si>
  <si>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</si>
  <si>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</si>
  <si>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</si>
  <si>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</si>
  <si>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</si>
  <si>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</si>
  <si>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</si>
  <si>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</si>
  <si>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</si>
  <si>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</si>
  <si>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</si>
  <si>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</si>
  <si>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</si>
  <si>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</si>
  <si>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</si>
  <si>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</si>
  <si>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</si>
  <si>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</si>
  <si>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</si>
  <si>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</si>
  <si>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</si>
  <si>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</si>
  <si>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</si>
  <si>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</si>
  <si>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</si>
  <si>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</si>
  <si>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</si>
  <si>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</si>
  <si>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</si>
  <si>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</si>
  <si>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</si>
  <si>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</si>
  <si>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</si>
  <si>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</si>
  <si>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</si>
  <si>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</si>
  <si>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</si>
  <si>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</si>
  <si>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</si>
  <si>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</si>
  <si>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</si>
  <si>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</si>
  <si>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</si>
  <si>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</si>
  <si>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</si>
  <si>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</si>
  <si>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</si>
  <si>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</si>
  <si>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</si>
  <si>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</si>
  <si>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</si>
  <si>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</si>
  <si>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</si>
  <si>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</si>
  <si>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</si>
  <si>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</si>
  <si>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</si>
  <si>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</si>
  <si>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</si>
  <si>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</si>
  <si>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</si>
  <si>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</si>
  <si>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</si>
  <si>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</si>
  <si>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</si>
  <si>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</si>
  <si>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</si>
  <si>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</si>
  <si>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</si>
  <si>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</si>
  <si>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</si>
  <si>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</si>
  <si>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</si>
  <si>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</si>
  <si>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</si>
  <si>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</si>
  <si>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</si>
  <si>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</si>
  <si>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</si>
  <si>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</si>
  <si>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</si>
  <si>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</si>
  <si>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</si>
  <si>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</si>
  <si>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</si>
  <si>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</si>
  <si>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</si>
  <si>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</si>
  <si>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</si>
  <si>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</si>
  <si>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</si>
  <si>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</si>
  <si>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</si>
  <si>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</si>
  <si>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</si>
  <si>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</si>
  <si>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</si>
  <si>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</si>
  <si>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</si>
  <si>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</si>
  <si>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</si>
  <si>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</si>
  <si>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</si>
  <si>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</si>
  <si>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</si>
  <si>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</si>
  <si>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</si>
  <si>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</si>
  <si>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</si>
  <si>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</si>
  <si>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</si>
  <si>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</si>
  <si>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</si>
  <si>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</si>
  <si>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</si>
  <si>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</si>
  <si>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</si>
  <si>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</si>
  <si>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</si>
  <si>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</si>
  <si>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</si>
  <si>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</si>
  <si>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</si>
  <si>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</si>
  <si>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</si>
  <si>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</si>
  <si>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</si>
  <si>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</si>
  <si>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</si>
  <si>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</si>
  <si>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</si>
  <si>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</si>
  <si>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</si>
  <si>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</si>
  <si>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</si>
  <si>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</si>
  <si>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</si>
  <si>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</si>
  <si>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</si>
  <si>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</si>
  <si>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</si>
  <si>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</si>
  <si>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</si>
  <si>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</si>
  <si>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</si>
  <si>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</si>
  <si>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</si>
  <si>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</si>
  <si>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</si>
  <si>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</si>
  <si>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</si>
  <si>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</si>
  <si>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</si>
  <si>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</si>
  <si>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</si>
  <si>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</si>
  <si>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</si>
  <si>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</si>
  <si>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</si>
  <si>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</si>
  <si>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</si>
  <si>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</si>
  <si>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</si>
  <si>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</si>
  <si>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</si>
  <si>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</si>
  <si>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</si>
  <si>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</si>
  <si>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</si>
  <si>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</si>
  <si>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</si>
  <si>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</si>
  <si>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</si>
  <si>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</si>
  <si>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</si>
  <si>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</si>
  <si>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</si>
  <si>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</si>
  <si>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</si>
  <si>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</si>
  <si>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</si>
  <si>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</si>
  <si>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</si>
  <si>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</si>
  <si>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</si>
  <si>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</si>
  <si>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</si>
  <si>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</si>
  <si>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</si>
  <si>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</si>
  <si>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</si>
  <si>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</si>
  <si>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</si>
  <si>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</si>
  <si>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</si>
  <si>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</si>
  <si>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</si>
  <si>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</si>
  <si>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</si>
  <si>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</si>
  <si>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</si>
  <si>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</si>
  <si>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</si>
  <si>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</si>
  <si>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</si>
  <si>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</si>
  <si>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</si>
  <si>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</si>
  <si>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</si>
  <si>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</si>
  <si>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</si>
  <si>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</si>
  <si>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</si>
  <si>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</si>
  <si>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</si>
  <si>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</si>
  <si>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</si>
  <si>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</si>
  <si>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</si>
  <si>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</si>
  <si>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</si>
  <si>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</si>
  <si>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</si>
  <si>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</si>
  <si>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</si>
  <si>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</si>
  <si>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</si>
  <si>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</si>
  <si>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</si>
  <si>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</si>
  <si>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</si>
  <si>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</si>
  <si>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</si>
  <si>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</si>
  <si>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</si>
  <si>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</si>
  <si>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</si>
  <si>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</si>
  <si>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</si>
  <si>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</si>
  <si>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</si>
  <si>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</si>
  <si>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</si>
  <si>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</si>
  <si>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</si>
  <si>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</si>
  <si>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</si>
  <si>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</si>
  <si>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</si>
  <si>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</si>
  <si>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</si>
  <si>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</si>
  <si>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</si>
  <si>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</si>
  <si>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</si>
  <si>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</si>
  <si>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</si>
  <si>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</si>
  <si>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</si>
  <si>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</si>
  <si>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</si>
  <si>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</si>
  <si>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</si>
  <si>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</si>
  <si>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</si>
  <si>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</si>
  <si>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</si>
  <si>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</si>
  <si>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</si>
  <si>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</si>
  <si>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</si>
  <si>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</si>
  <si>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</si>
  <si>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</si>
  <si>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</si>
  <si>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</si>
  <si>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</si>
  <si>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</si>
  <si>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</si>
  <si>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</si>
  <si>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</si>
  <si>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</si>
  <si>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</si>
  <si>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</si>
  <si>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</si>
  <si>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</si>
  <si>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</si>
  <si>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</si>
  <si>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</si>
  <si>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</si>
  <si>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</si>
  <si>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</si>
  <si>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</si>
  <si>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</si>
  <si>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</si>
  <si>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</si>
  <si>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</si>
  <si>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</si>
  <si>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</si>
  <si>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</si>
  <si>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</si>
  <si>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</si>
  <si>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</si>
  <si>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</si>
  <si>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</si>
  <si>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</si>
  <si>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</si>
  <si>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</si>
  <si>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</si>
  <si>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</si>
  <si>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</si>
  <si>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</si>
  <si>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</si>
  <si>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</si>
  <si>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</si>
  <si>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</si>
  <si>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</si>
  <si>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</si>
  <si>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</si>
  <si>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</si>
  <si>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</si>
  <si>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</si>
  <si>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</si>
  <si>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</si>
  <si>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</si>
  <si>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</si>
  <si>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</si>
  <si>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</si>
  <si>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</si>
  <si>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</si>
  <si>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</si>
  <si>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</si>
  <si>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</si>
  <si>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</si>
  <si>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</si>
  <si>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</si>
  <si>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</si>
  <si>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</si>
  <si>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</si>
  <si>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</si>
  <si>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</si>
  <si>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</si>
  <si>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</si>
  <si>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</si>
  <si>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</si>
  <si>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</si>
  <si>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</si>
  <si>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</si>
  <si>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</si>
  <si>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</si>
  <si>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</si>
  <si>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</si>
  <si>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</si>
  <si>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</si>
  <si>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</si>
  <si>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</si>
  <si>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</si>
  <si>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</si>
  <si>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</si>
  <si>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</si>
  <si>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</si>
  <si>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</si>
  <si>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</si>
  <si>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</si>
  <si>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</si>
  <si>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</si>
  <si>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</si>
  <si>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</si>
  <si>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</si>
  <si>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</si>
  <si>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</si>
  <si>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</si>
  <si>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</si>
  <si>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</si>
  <si>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</si>
  <si>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</si>
  <si>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</si>
  <si>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</si>
  <si>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</si>
  <si>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</si>
  <si>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</si>
  <si>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</si>
  <si>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</si>
  <si>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</si>
  <si>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</si>
  <si>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</si>
  <si>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</si>
  <si>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</si>
  <si>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</si>
  <si>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</si>
  <si>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</si>
  <si>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</si>
  <si>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</si>
  <si>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</si>
  <si>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</si>
  <si>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</si>
  <si>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</si>
  <si>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</si>
  <si>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</si>
  <si>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</si>
  <si>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</si>
  <si>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</si>
  <si>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</si>
  <si>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</si>
  <si>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</si>
  <si>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</si>
  <si>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</si>
  <si>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</si>
  <si>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</si>
  <si>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</si>
  <si>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</si>
  <si>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</si>
  <si>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</si>
  <si>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</si>
  <si>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</si>
  <si>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</si>
  <si>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</si>
  <si>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</si>
  <si>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</si>
  <si>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</si>
  <si>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</si>
  <si>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</si>
  <si>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</si>
  <si>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</si>
  <si>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</si>
  <si>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</si>
  <si>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</si>
  <si>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</si>
  <si>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</si>
  <si>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</si>
  <si>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</si>
  <si>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</si>
  <si>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</si>
  <si>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</si>
  <si>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</si>
  <si>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</si>
  <si>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</si>
  <si>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</si>
  <si>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</si>
  <si>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</si>
  <si>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</si>
  <si>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</si>
  <si>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</si>
  <si>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</si>
  <si>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</si>
  <si>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</si>
  <si>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</si>
  <si>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</si>
  <si>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</si>
  <si>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</si>
  <si>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</si>
  <si>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</si>
  <si>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</si>
  <si>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</si>
  <si>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</si>
  <si>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</si>
  <si>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</si>
  <si>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</si>
  <si>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</si>
  <si>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</si>
  <si>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</si>
  <si>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</si>
  <si>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</si>
  <si>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</si>
  <si>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</si>
  <si>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</si>
  <si>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</si>
  <si>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</si>
  <si>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</si>
  <si>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</si>
  <si>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</si>
  <si>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</si>
  <si>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</si>
  <si>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</si>
  <si>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</si>
  <si>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</si>
  <si>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</si>
  <si>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</si>
  <si>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</si>
  <si>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</si>
  <si>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</si>
  <si>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</si>
  <si>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</si>
  <si>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</si>
  <si>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</si>
  <si>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</si>
  <si>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</si>
  <si>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</si>
  <si>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</si>
  <si>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</si>
  <si>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</si>
  <si>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</si>
  <si>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</si>
  <si>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</si>
  <si>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</si>
  <si>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</si>
  <si>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</si>
  <si>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</si>
  <si>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</si>
  <si>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</si>
  <si>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</si>
  <si>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</si>
  <si>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</si>
  <si>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</si>
  <si>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</si>
  <si>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</si>
  <si>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</si>
  <si>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</si>
  <si>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</si>
  <si>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</si>
  <si>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</si>
  <si>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</si>
  <si>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</si>
  <si>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</si>
  <si>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</si>
  <si>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</si>
  <si>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</si>
  <si>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</si>
  <si>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</si>
  <si>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</si>
  <si>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</si>
  <si>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</si>
  <si>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</si>
  <si>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</si>
  <si>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</si>
  <si>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</si>
  <si>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</si>
  <si>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</si>
  <si>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</si>
  <si>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</si>
  <si>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</si>
  <si>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</si>
  <si>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</si>
  <si>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</si>
  <si>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</si>
  <si>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</si>
  <si>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</si>
  <si>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</si>
  <si>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</si>
  <si>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</si>
  <si>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</si>
  <si>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</si>
  <si>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</si>
  <si>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</si>
  <si>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</si>
  <si>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</si>
  <si>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</si>
  <si>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</si>
  <si>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</si>
  <si>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</si>
  <si>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</si>
  <si>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</si>
  <si>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</si>
  <si>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</si>
  <si>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</si>
  <si>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</si>
  <si>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</si>
  <si>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</si>
  <si>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</si>
  <si>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</si>
  <si>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</si>
  <si>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</si>
  <si>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</si>
  <si>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</si>
  <si>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</si>
  <si>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</si>
  <si>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</si>
  <si>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</si>
  <si>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</si>
  <si>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</si>
  <si>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</si>
  <si>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</si>
  <si>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</si>
  <si>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</si>
  <si>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</si>
  <si>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</si>
  <si>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</si>
  <si>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</si>
  <si>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</si>
  <si>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</si>
  <si>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</si>
  <si>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</si>
  <si>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</si>
  <si>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</si>
  <si>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</si>
  <si>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</si>
  <si>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</si>
  <si>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</si>
  <si>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</si>
  <si>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</si>
  <si>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</si>
  <si>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</si>
  <si>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</si>
  <si>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</si>
  <si>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</si>
  <si>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</si>
  <si>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</si>
  <si>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</si>
  <si>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</si>
  <si>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</si>
  <si>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</si>
  <si>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</si>
  <si>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</si>
  <si>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</si>
  <si>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</si>
  <si>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</si>
  <si>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</si>
  <si>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</si>
  <si>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</si>
  <si>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</si>
  <si>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</si>
  <si>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</si>
  <si>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</si>
  <si>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</si>
  <si>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</si>
  <si>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</si>
  <si>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</si>
  <si>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</si>
  <si>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</si>
  <si>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</si>
  <si>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</si>
  <si>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</si>
  <si>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</si>
  <si>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</si>
  <si>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</si>
  <si>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</si>
  <si>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</si>
  <si>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</si>
  <si>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</si>
  <si>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</si>
  <si>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</si>
  <si>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</si>
  <si>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</si>
  <si>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</si>
  <si>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</si>
  <si>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</si>
  <si>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</si>
  <si>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</si>
  <si>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</si>
  <si>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</si>
  <si>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</si>
  <si>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</si>
  <si>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</si>
  <si>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</si>
  <si>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</si>
  <si>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</si>
  <si>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</si>
  <si>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</si>
  <si>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</si>
  <si>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</si>
  <si>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</si>
  <si>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</si>
  <si>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</si>
  <si>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</si>
  <si>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</si>
  <si>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</si>
  <si>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</si>
  <si>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</si>
  <si>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</si>
  <si>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</si>
  <si>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</si>
  <si>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</si>
  <si>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</si>
  <si>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</si>
  <si>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</si>
  <si>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</si>
  <si>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</si>
  <si>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</si>
  <si>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</si>
  <si>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</si>
  <si>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</si>
  <si>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</si>
  <si>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</si>
  <si>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</si>
  <si>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</si>
  <si>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</si>
  <si>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</si>
  <si>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</si>
  <si>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</si>
  <si>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</si>
  <si>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</si>
  <si>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</si>
  <si>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</si>
  <si>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</si>
  <si>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</si>
  <si>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</si>
  <si>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</si>
  <si>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</si>
  <si>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</si>
  <si>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</si>
  <si>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</si>
  <si>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</si>
  <si>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</si>
  <si>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</si>
  <si>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</si>
  <si>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</si>
  <si>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</si>
  <si>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</si>
  <si>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</si>
  <si>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</si>
  <si>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</si>
  <si>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</si>
  <si>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</si>
  <si>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</si>
  <si>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</si>
  <si>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</si>
  <si>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</si>
  <si>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</si>
  <si>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</si>
  <si>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</si>
  <si>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</si>
  <si>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</si>
  <si>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</si>
  <si>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</si>
  <si>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</si>
  <si>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</si>
  <si>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</si>
  <si>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</si>
  <si>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</si>
  <si>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</si>
  <si>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</si>
  <si>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</si>
  <si>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</si>
  <si>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</si>
  <si>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</si>
  <si>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</si>
  <si>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</si>
  <si>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</si>
  <si>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</si>
  <si>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</si>
  <si>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</si>
  <si>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</si>
  <si>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</si>
  <si>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</si>
  <si>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</si>
  <si>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</si>
  <si>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</si>
  <si>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</si>
  <si>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</si>
  <si>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</si>
  <si>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</si>
  <si>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</si>
  <si>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</si>
  <si>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</si>
  <si>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</si>
  <si>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</si>
  <si>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</si>
  <si>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</si>
  <si>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</si>
  <si>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</si>
  <si>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</si>
  <si>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</si>
  <si>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</si>
  <si>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</si>
  <si>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</si>
  <si>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</si>
  <si>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</si>
  <si>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</si>
  <si>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</si>
  <si>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</si>
  <si>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</si>
  <si>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</si>
  <si>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</si>
  <si>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</si>
  <si>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</si>
  <si>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</si>
  <si>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</si>
  <si>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</si>
  <si>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</si>
  <si>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</si>
  <si>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</si>
  <si>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</si>
  <si>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</si>
  <si>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</si>
  <si>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</si>
  <si>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</si>
  <si>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</si>
  <si>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</si>
  <si>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</si>
  <si>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</si>
  <si>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</si>
  <si>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</si>
  <si>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</si>
  <si>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</si>
  <si>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</si>
  <si>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</si>
  <si>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</si>
  <si>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</si>
  <si>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</si>
  <si>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</si>
  <si>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</si>
  <si>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</si>
  <si>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</si>
  <si>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</si>
  <si>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</si>
  <si>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</si>
  <si>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</si>
  <si>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</si>
  <si>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</si>
  <si>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</si>
  <si>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</si>
  <si>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</si>
  <si>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</si>
  <si>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</si>
  <si>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</si>
  <si>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</si>
  <si>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</si>
  <si>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</si>
  <si>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</si>
  <si>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</si>
  <si>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</si>
  <si>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</si>
  <si>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</si>
  <si>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</si>
  <si>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</si>
  <si>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</si>
  <si>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</si>
  <si>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</si>
  <si>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</si>
  <si>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</si>
  <si>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</si>
  <si>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</si>
  <si>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</si>
  <si>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</si>
  <si>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</si>
  <si>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</si>
  <si>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</si>
  <si>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</si>
  <si>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</si>
  <si>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</si>
  <si>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</si>
  <si>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</si>
  <si>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</si>
  <si>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</si>
  <si>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</si>
  <si>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</si>
  <si>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</si>
  <si>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</si>
  <si>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</si>
  <si>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</si>
  <si>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</si>
  <si>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</si>
  <si>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</si>
  <si>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</si>
  <si>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</si>
  <si>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</si>
  <si>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</si>
  <si>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</si>
  <si>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</si>
  <si>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</si>
  <si>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</si>
  <si>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</si>
  <si>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</si>
  <si>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</si>
  <si>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</si>
  <si>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</si>
  <si>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</si>
  <si>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</si>
  <si>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</si>
  <si>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</si>
  <si>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</si>
  <si>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</si>
  <si>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</si>
  <si>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</si>
  <si>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</si>
  <si>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</si>
  <si>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</si>
  <si>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</si>
  <si>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</si>
  <si>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</si>
  <si>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</si>
  <si>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</si>
  <si>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</si>
  <si>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</si>
  <si>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</si>
  <si>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</si>
  <si>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</si>
  <si>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</si>
  <si>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</si>
  <si>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</si>
  <si>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</si>
  <si>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</si>
  <si>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</si>
  <si>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</si>
  <si>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</si>
  <si>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</si>
  <si>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</si>
  <si>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</si>
  <si>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</si>
  <si>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</si>
  <si>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</si>
  <si>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</si>
  <si>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</si>
  <si>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</si>
  <si>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</si>
  <si>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</si>
  <si>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</si>
  <si>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</si>
  <si>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</si>
  <si>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</si>
  <si>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</si>
  <si>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</si>
  <si>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</si>
  <si>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</si>
  <si>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</si>
  <si>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</si>
  <si>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</si>
  <si>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</si>
  <si>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</si>
  <si>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</si>
  <si>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</si>
  <si>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</si>
  <si>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</si>
  <si>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</si>
  <si>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</si>
  <si>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</si>
  <si>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</si>
  <si>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</si>
  <si>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</si>
  <si>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</si>
  <si>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</si>
  <si>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</si>
  <si>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</si>
  <si>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</si>
  <si>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</si>
  <si>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</si>
  <si>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</si>
  <si>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</si>
  <si>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</si>
  <si>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</si>
  <si>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</si>
  <si>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</si>
  <si>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</si>
  <si>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</si>
  <si>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</si>
  <si>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</si>
  <si>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</si>
  <si>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</si>
  <si>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</si>
  <si>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</si>
  <si>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</si>
  <si>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</si>
  <si>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</si>
  <si>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</si>
  <si>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</si>
  <si>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</si>
  <si>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</si>
  <si>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</si>
  <si>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</si>
  <si>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</si>
  <si>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</si>
  <si>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</si>
  <si>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</si>
  <si>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</si>
  <si>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</si>
  <si>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</si>
  <si>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</si>
  <si>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</si>
  <si>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</si>
  <si>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</si>
  <si>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</si>
  <si>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</si>
  <si>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</si>
  <si>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</si>
  <si>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</si>
  <si>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</si>
  <si>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</si>
  <si>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</si>
  <si>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</si>
  <si>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</si>
  <si>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</si>
  <si>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</si>
  <si>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</si>
  <si>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</si>
  <si>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</si>
  <si>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</si>
  <si>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</si>
  <si>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</si>
  <si>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</si>
  <si>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</si>
  <si>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</si>
  <si>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</si>
  <si>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</si>
  <si>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</si>
  <si>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</si>
  <si>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</si>
  <si>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</si>
  <si>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</si>
  <si>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</si>
  <si>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</si>
  <si>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</si>
  <si>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</si>
  <si>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</si>
  <si>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</si>
  <si>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</si>
  <si>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</si>
  <si>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</si>
  <si>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</si>
  <si>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</si>
  <si>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</si>
  <si>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</si>
  <si>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</si>
  <si>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</si>
  <si>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</si>
  <si>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</si>
  <si>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</si>
  <si>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</si>
  <si>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</si>
  <si>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</si>
  <si>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</si>
  <si>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</si>
  <si>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</si>
  <si>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</si>
  <si>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</si>
  <si>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</si>
  <si>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</si>
  <si>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</si>
  <si>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</si>
  <si>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</si>
  <si>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</si>
  <si>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</si>
  <si>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</si>
  <si>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</si>
  <si>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</si>
  <si>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</si>
  <si>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</si>
  <si>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</si>
  <si>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</si>
  <si>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</si>
  <si>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</si>
  <si>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</si>
  <si>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</si>
  <si>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</si>
  <si>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</si>
  <si>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</si>
  <si>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</si>
  <si>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</si>
  <si>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</si>
  <si>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</si>
  <si>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</si>
  <si>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</si>
  <si>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</si>
  <si>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</si>
  <si>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</si>
  <si>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</si>
  <si>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</si>
  <si>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</si>
  <si>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</si>
  <si>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</si>
  <si>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</si>
  <si>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</si>
  <si>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</si>
  <si>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</si>
  <si>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</si>
  <si>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</si>
  <si>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</si>
  <si>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</si>
  <si>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</si>
  <si>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</si>
  <si>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</si>
  <si>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</si>
  <si>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</si>
  <si>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</si>
  <si>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</si>
  <si>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</si>
  <si>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</si>
  <si>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</si>
  <si>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</si>
  <si>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</si>
  <si>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</si>
  <si>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</si>
  <si>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</si>
  <si>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</si>
  <si>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</si>
  <si>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</si>
  <si>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</si>
  <si>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</si>
  <si>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</si>
  <si>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</si>
  <si>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</si>
  <si>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</si>
  <si>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</si>
  <si>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</si>
  <si>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</si>
  <si>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</si>
  <si>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</si>
  <si>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</si>
  <si>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</si>
  <si>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</si>
  <si>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</si>
  <si>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</si>
  <si>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</si>
  <si>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</si>
  <si>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</si>
  <si>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</si>
  <si>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</si>
  <si>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</si>
  <si>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</si>
  <si>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</si>
  <si>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</si>
  <si>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</si>
  <si>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</si>
  <si>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</si>
  <si>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</si>
  <si>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</si>
  <si>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</si>
  <si>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</si>
  <si>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</si>
  <si>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</si>
  <si>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</si>
  <si>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</si>
  <si>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</si>
  <si>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</si>
  <si>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</si>
  <si>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</si>
  <si>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</si>
  <si>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</si>
  <si>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</si>
  <si>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</si>
  <si>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</si>
  <si>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</si>
  <si>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</si>
  <si>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</si>
  <si>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</si>
  <si>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</si>
  <si>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</si>
  <si>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</si>
  <si>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</si>
  <si>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</si>
  <si>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</si>
  <si>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</si>
  <si>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</si>
  <si>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</si>
  <si>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</si>
  <si>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</si>
  <si>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</si>
  <si>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</si>
  <si>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</si>
  <si>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</si>
  <si>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</si>
  <si>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</si>
  <si>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</si>
  <si>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</si>
  <si>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</si>
  <si>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</si>
  <si>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</si>
  <si>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</si>
  <si>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</si>
  <si>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</si>
  <si>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</si>
  <si>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</si>
  <si>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</si>
  <si>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</si>
  <si>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</si>
  <si>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</si>
  <si>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</si>
  <si>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</si>
  <si>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</si>
  <si>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</si>
  <si>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</si>
  <si>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</si>
  <si>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</si>
  <si>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</si>
  <si>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</si>
  <si>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</si>
  <si>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</si>
  <si>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</si>
  <si>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</si>
  <si>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</si>
  <si>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</si>
  <si>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</si>
  <si>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</si>
  <si>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</si>
  <si>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</si>
  <si>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</si>
  <si>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</si>
  <si>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</si>
  <si>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</si>
  <si>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</si>
  <si>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</si>
  <si>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</si>
  <si>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</si>
  <si>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</si>
  <si>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</si>
  <si>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</si>
  <si>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</si>
  <si>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</si>
  <si>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</si>
  <si>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</si>
  <si>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</si>
  <si>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</si>
  <si>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</si>
  <si>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</si>
  <si>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</si>
  <si>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</si>
  <si>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</si>
  <si>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</si>
  <si>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</si>
  <si>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</si>
  <si>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</si>
  <si>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</si>
  <si>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</si>
  <si>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</si>
  <si>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</si>
  <si>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</si>
  <si>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</si>
  <si>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</si>
  <si>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</si>
  <si>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</si>
  <si>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</si>
  <si>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</si>
  <si>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</si>
  <si>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</si>
  <si>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</si>
  <si>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</si>
  <si>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</si>
  <si>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</si>
  <si>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</si>
  <si>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</si>
  <si>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</si>
  <si>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</si>
  <si>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</si>
  <si>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</si>
  <si>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</si>
  <si>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</si>
  <si>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</si>
  <si>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</si>
  <si>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</si>
  <si>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</si>
  <si>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</si>
  <si>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</si>
  <si>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</si>
  <si>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</si>
  <si>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</si>
  <si>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</si>
  <si>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</si>
  <si>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</si>
  <si>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</si>
  <si>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</si>
  <si>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</si>
  <si>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</si>
  <si>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</si>
  <si>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</si>
  <si>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</si>
  <si>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</si>
  <si>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</si>
  <si>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</si>
  <si>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</si>
  <si>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</si>
  <si>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</si>
  <si>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</si>
  <si>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</si>
  <si>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</si>
  <si>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</si>
  <si>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</si>
  <si>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</si>
  <si>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</si>
  <si>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</si>
  <si>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</si>
  <si>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</si>
  <si>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</si>
  <si>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</si>
  <si>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</si>
  <si>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</si>
  <si>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</si>
  <si>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</si>
  <si>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</si>
  <si>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</si>
  <si>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</si>
  <si>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</si>
  <si>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</si>
  <si>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</si>
  <si>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</si>
  <si>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</si>
  <si>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</si>
  <si>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</si>
  <si>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</si>
  <si>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</si>
  <si>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</si>
  <si>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</si>
  <si>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</si>
  <si>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</si>
  <si>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</si>
  <si>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</si>
  <si>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</si>
  <si>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</si>
  <si>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</si>
  <si>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</si>
  <si>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</si>
  <si>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</si>
  <si>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</si>
  <si>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</si>
  <si>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</si>
  <si>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</si>
  <si>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</si>
  <si>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</si>
  <si>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</si>
  <si>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</si>
  <si>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</si>
  <si>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</si>
  <si>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</si>
  <si>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</si>
  <si>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</si>
  <si>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</si>
  <si>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</si>
  <si>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</si>
  <si>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</si>
  <si>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</si>
  <si>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</si>
  <si>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</si>
  <si>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</si>
  <si>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</si>
  <si>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</si>
  <si>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</si>
  <si>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</si>
  <si>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</si>
  <si>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</si>
  <si>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</si>
  <si>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</si>
  <si>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</si>
  <si>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</si>
  <si>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</si>
  <si>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</si>
  <si>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</si>
  <si>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</si>
  <si>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</si>
  <si>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</si>
  <si>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</si>
  <si>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</si>
  <si>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</si>
  <si>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</si>
  <si>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</si>
  <si>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</si>
  <si>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</si>
  <si>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</si>
  <si>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</si>
  <si>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</si>
  <si>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</si>
  <si>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</si>
  <si>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</si>
  <si>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</si>
  <si>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</si>
  <si>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</si>
  <si>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</si>
  <si>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</si>
  <si>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</si>
  <si>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</si>
  <si>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</si>
  <si>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</si>
  <si>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</si>
  <si>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</si>
  <si>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</si>
  <si>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</si>
  <si>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</si>
  <si>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</si>
  <si>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</si>
  <si>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</si>
  <si>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</si>
  <si>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</si>
  <si>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</si>
  <si>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</si>
  <si>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</si>
  <si>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</si>
  <si>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</si>
  <si>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</si>
  <si>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</si>
  <si>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</si>
  <si>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</si>
  <si>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</si>
  <si>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</si>
  <si>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</si>
  <si>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</si>
  <si>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</si>
  <si>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</si>
  <si>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</si>
  <si>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</si>
  <si>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</si>
  <si>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</si>
  <si>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</si>
  <si>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</si>
  <si>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</si>
  <si>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</si>
  <si>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</si>
  <si>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</si>
  <si>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</si>
  <si>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</si>
  <si>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</si>
  <si>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</si>
  <si>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</si>
  <si>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</si>
  <si>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</si>
  <si>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</si>
  <si>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</si>
  <si>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</si>
  <si>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</si>
  <si>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</si>
  <si>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</si>
  <si>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</si>
  <si>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</si>
  <si>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</si>
  <si>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</si>
  <si>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</si>
  <si>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</si>
  <si>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</si>
  <si>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</si>
  <si>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</si>
  <si>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</si>
  <si>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</si>
  <si>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</si>
  <si>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</si>
  <si>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</si>
  <si>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</si>
  <si>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</si>
  <si>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</si>
  <si>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</si>
  <si>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</si>
  <si>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</si>
  <si>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</si>
  <si>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</si>
  <si>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</si>
  <si>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</si>
  <si>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</si>
  <si>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</si>
  <si>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</si>
  <si>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</si>
  <si>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</si>
  <si>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</si>
  <si>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</si>
  <si>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</si>
  <si>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</si>
  <si>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</si>
  <si>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</si>
  <si>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</si>
  <si>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</si>
  <si>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</si>
  <si>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</si>
  <si>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</si>
  <si>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</si>
  <si>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</si>
  <si>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</si>
  <si>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</si>
  <si>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</si>
  <si>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</si>
  <si>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</si>
  <si>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</si>
  <si>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</si>
  <si>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</si>
  <si>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</si>
  <si>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</si>
  <si>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</si>
  <si>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</si>
  <si>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</si>
  <si>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</si>
  <si>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</si>
  <si>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</si>
  <si>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</si>
  <si>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</si>
  <si>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</si>
  <si>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</si>
  <si>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</si>
  <si>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</si>
  <si>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</si>
  <si>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</si>
  <si>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</si>
  <si>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</si>
  <si>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</si>
  <si>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</si>
  <si>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</si>
  <si>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</si>
  <si>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</si>
  <si>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</si>
  <si>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</si>
  <si>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</si>
  <si>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</si>
  <si>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</si>
  <si>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</si>
  <si>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</si>
  <si>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</si>
  <si>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</si>
  <si>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</si>
  <si>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</si>
  <si>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</si>
  <si>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</si>
  <si>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</si>
  <si>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</si>
  <si>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</si>
  <si>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</si>
  <si>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</si>
  <si>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</si>
  <si>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</si>
  <si>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</si>
  <si>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</si>
  <si>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</si>
  <si>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</si>
  <si>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</si>
  <si>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</si>
  <si>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</si>
  <si>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</si>
  <si>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</si>
  <si>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</si>
  <si>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</si>
  <si>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</si>
  <si>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</si>
  <si>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</si>
  <si>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</si>
  <si>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</si>
  <si>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</si>
  <si>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</si>
  <si>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</si>
  <si>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</si>
  <si>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</si>
  <si>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</si>
  <si>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</si>
  <si>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</si>
  <si>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</si>
  <si>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</si>
  <si>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</si>
  <si>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</si>
  <si>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</si>
  <si>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</si>
  <si>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</si>
  <si>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</si>
  <si>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</si>
  <si>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</si>
  <si>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</si>
  <si>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</si>
  <si>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</si>
  <si>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</si>
  <si>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</si>
  <si>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</si>
  <si>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</si>
  <si>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</si>
  <si>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</si>
  <si>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</si>
  <si>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</si>
  <si>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</si>
  <si>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</si>
  <si>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</si>
  <si>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</si>
  <si>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</si>
  <si>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</si>
  <si>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</si>
  <si>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</si>
  <si>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</si>
  <si>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</si>
  <si>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</si>
  <si>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</si>
  <si>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</si>
  <si>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</si>
  <si>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</si>
  <si>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</si>
  <si>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</si>
  <si>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</si>
  <si>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</si>
  <si>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</si>
  <si>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</si>
  <si>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</si>
  <si>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</si>
  <si>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</si>
  <si>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</si>
  <si>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</si>
  <si>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</si>
  <si>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</si>
  <si>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</si>
  <si>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</si>
  <si>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</si>
  <si>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</si>
  <si>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</si>
  <si>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</si>
  <si>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</si>
  <si>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</si>
  <si>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</si>
  <si>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</si>
  <si>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</si>
  <si>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</si>
  <si>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</si>
  <si>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</si>
  <si>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</si>
  <si>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</si>
  <si>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</si>
  <si>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</si>
  <si>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</si>
  <si>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</si>
  <si>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</si>
  <si>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</si>
  <si>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</si>
  <si>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</si>
  <si>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</si>
  <si>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</si>
  <si>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</si>
  <si>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</si>
  <si>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</si>
  <si>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</si>
  <si>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</si>
  <si>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</si>
  <si>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</si>
  <si>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</si>
  <si>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</si>
  <si>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</si>
  <si>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</si>
  <si>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</si>
  <si>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</si>
  <si>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</si>
  <si>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</si>
  <si>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</si>
  <si>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</si>
  <si>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</si>
  <si>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</si>
  <si>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</si>
  <si>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</si>
  <si>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</si>
  <si>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</si>
  <si>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</si>
  <si>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</si>
  <si>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</si>
  <si>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</si>
  <si>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</si>
  <si>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</si>
  <si>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</si>
  <si>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</si>
  <si>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</si>
  <si>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</si>
  <si>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</si>
  <si>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</si>
  <si>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</si>
  <si>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</si>
  <si>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</si>
  <si>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</si>
  <si>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</si>
  <si>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</si>
  <si>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</si>
  <si>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</si>
  <si>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</si>
  <si>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</si>
  <si>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</si>
  <si>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</si>
  <si>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</si>
  <si>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</si>
  <si>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</si>
  <si>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</si>
  <si>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</si>
  <si>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</si>
  <si>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</si>
  <si>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</si>
  <si>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</si>
  <si>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</si>
  <si>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</si>
  <si>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</si>
  <si>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</si>
  <si>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</si>
  <si>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</si>
  <si>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</si>
  <si>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</si>
  <si>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</si>
  <si>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</si>
  <si>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</si>
  <si>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</si>
  <si>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</si>
  <si>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</si>
  <si>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</si>
  <si>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</si>
  <si>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</si>
  <si>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</si>
  <si>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</si>
  <si>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</si>
  <si>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</si>
  <si>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</si>
  <si>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</si>
  <si>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</si>
  <si>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</si>
  <si>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</si>
  <si>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</si>
  <si>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</si>
  <si>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</si>
  <si>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</si>
  <si>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</si>
  <si>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</si>
  <si>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</si>
  <si>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</si>
  <si>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</si>
  <si>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</si>
  <si>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</si>
  <si>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</si>
  <si>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</si>
  <si>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</si>
  <si>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</si>
  <si>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</si>
  <si>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</si>
  <si>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</si>
  <si>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</si>
  <si>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</si>
  <si>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</si>
  <si>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</si>
  <si>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</si>
  <si>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</si>
  <si>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</si>
  <si>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</si>
  <si>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</si>
  <si>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</si>
  <si>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</si>
  <si>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</si>
  <si>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</si>
  <si>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</si>
  <si>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</si>
  <si>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</si>
  <si>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</si>
  <si>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</si>
  <si>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</si>
  <si>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</si>
  <si>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</si>
  <si>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</si>
  <si>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</si>
  <si>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</si>
  <si>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</si>
  <si>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</si>
  <si>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</si>
  <si>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</si>
  <si>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</si>
  <si>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</si>
  <si>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</si>
  <si>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</si>
  <si>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</si>
  <si>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</si>
  <si>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</si>
  <si>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</si>
  <si>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</si>
  <si>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</si>
  <si>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</si>
  <si>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</si>
  <si>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</si>
  <si>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</si>
  <si>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</si>
  <si>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</si>
  <si>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</si>
  <si>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</si>
  <si>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</si>
  <si>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</si>
  <si>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</si>
  <si>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</si>
  <si>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</si>
  <si>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</si>
  <si>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</si>
  <si>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</si>
  <si>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</si>
  <si>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</si>
  <si>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</si>
  <si>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</si>
  <si>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</si>
  <si>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</si>
  <si>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</si>
  <si>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</si>
  <si>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</si>
  <si>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</si>
  <si>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</si>
  <si>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</si>
  <si>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</si>
  <si>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</si>
  <si>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</si>
  <si>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</si>
  <si>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</si>
  <si>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</si>
  <si>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</si>
  <si>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</si>
  <si>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</si>
  <si>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</si>
  <si>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</si>
  <si>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</si>
  <si>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</si>
  <si>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</si>
  <si>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</si>
  <si>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</si>
  <si>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</si>
  <si>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</si>
  <si>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</si>
  <si>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</si>
  <si>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</si>
  <si>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</si>
  <si>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</si>
  <si>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</si>
  <si>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</si>
  <si>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</si>
  <si>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</si>
  <si>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</si>
  <si>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</si>
  <si>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</si>
  <si>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</si>
  <si>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</si>
  <si>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</si>
  <si>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</si>
  <si>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</si>
  <si>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</si>
  <si>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</si>
  <si>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</si>
  <si>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</si>
  <si>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</si>
  <si>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</si>
  <si>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</si>
  <si>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</si>
  <si>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</si>
  <si>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</si>
  <si>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</si>
  <si>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</si>
  <si>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</si>
  <si>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</si>
  <si>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</si>
  <si>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</si>
  <si>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</si>
  <si>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</si>
  <si>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</si>
  <si>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</si>
  <si>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</si>
  <si>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</si>
  <si>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</si>
  <si>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</si>
  <si>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</si>
  <si>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</si>
  <si>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</si>
  <si>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</si>
  <si>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</si>
  <si>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</si>
  <si>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</si>
  <si>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</si>
  <si>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</si>
  <si>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</si>
  <si>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</si>
  <si>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</si>
  <si>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</si>
  <si>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</si>
  <si>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</si>
  <si>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</si>
  <si>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</si>
  <si>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</si>
  <si>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</si>
  <si>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</si>
  <si>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</si>
  <si>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</si>
  <si>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</si>
  <si>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</si>
  <si>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</si>
  <si>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</si>
  <si>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</si>
  <si>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</si>
  <si>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</si>
  <si>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</si>
  <si>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</si>
  <si>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</si>
  <si>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</si>
  <si>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</si>
  <si>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</si>
  <si>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</si>
  <si>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</si>
  <si>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</si>
  <si>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</si>
  <si>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</si>
  <si>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</si>
  <si>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</si>
  <si>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</si>
  <si>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</si>
  <si>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</si>
  <si>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</si>
  <si>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</si>
  <si>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</si>
  <si>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</si>
  <si>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</si>
  <si>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</si>
  <si>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</si>
  <si>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</si>
  <si>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</si>
  <si>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</si>
  <si>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</si>
  <si>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</si>
  <si>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</si>
  <si>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</si>
  <si>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</si>
  <si>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</si>
  <si>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</si>
  <si>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</si>
  <si>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</si>
  <si>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</si>
  <si>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</si>
  <si>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</si>
  <si>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</si>
  <si>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</si>
  <si>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</si>
  <si>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</si>
  <si>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</si>
  <si>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</si>
  <si>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</si>
  <si>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</si>
  <si>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</si>
  <si>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</si>
  <si>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</si>
  <si>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</si>
  <si>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</si>
  <si>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</si>
  <si>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</si>
  <si>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</si>
  <si>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</si>
  <si>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</si>
  <si>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</si>
  <si>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</si>
  <si>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</si>
  <si>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</si>
  <si>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</si>
  <si>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</si>
  <si>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</si>
  <si>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</si>
  <si>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</si>
  <si>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</si>
  <si>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</si>
  <si>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</si>
  <si>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</si>
  <si>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</si>
  <si>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</si>
  <si>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</si>
  <si>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</si>
  <si>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</si>
  <si>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</si>
  <si>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</si>
  <si>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</si>
  <si>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</si>
  <si>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</si>
  <si>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</si>
  <si>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</si>
  <si>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</si>
  <si>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</si>
  <si>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</si>
  <si>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</si>
  <si>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</si>
  <si>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</si>
  <si>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</si>
  <si>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</si>
  <si>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</si>
  <si>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</si>
  <si>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</si>
  <si>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</si>
  <si>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</si>
  <si>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</si>
  <si>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</si>
  <si>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</si>
  <si>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</si>
  <si>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</si>
  <si>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</si>
  <si>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</si>
  <si>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</si>
  <si>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</si>
  <si>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</si>
  <si>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</si>
  <si>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</si>
  <si>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</si>
  <si>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</si>
  <si>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</si>
  <si>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</si>
  <si>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</si>
  <si>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</si>
  <si>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</si>
  <si>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</si>
  <si>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</si>
  <si>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</si>
  <si>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</si>
  <si>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</si>
  <si>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</si>
  <si>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</si>
  <si>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</si>
  <si>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</si>
  <si>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</si>
  <si>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</si>
  <si>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</si>
  <si>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</si>
  <si>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</si>
  <si>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</si>
  <si>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</si>
  <si>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</si>
  <si>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</si>
  <si>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</si>
  <si>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</si>
  <si>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</si>
  <si>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</si>
  <si>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</si>
  <si>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</si>
  <si>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</si>
  <si>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</si>
  <si>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</si>
  <si>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</si>
  <si>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</si>
  <si>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</si>
  <si>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</si>
  <si>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</si>
  <si>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</si>
  <si>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</si>
  <si>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</si>
  <si>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</si>
  <si>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</si>
  <si>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</si>
  <si>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</si>
  <si>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</si>
  <si>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</si>
  <si>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</si>
  <si>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</si>
  <si>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</si>
  <si>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</si>
  <si>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</si>
  <si>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</si>
  <si>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</si>
  <si>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</si>
  <si>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</si>
  <si>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</si>
  <si>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</si>
  <si>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</si>
  <si>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</si>
  <si>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</si>
  <si>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</si>
  <si>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</si>
  <si>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</si>
  <si>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</si>
  <si>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</si>
  <si>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</si>
  <si>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</si>
  <si>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</si>
  <si>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</si>
  <si>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</si>
  <si>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</si>
  <si>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</si>
  <si>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</si>
  <si>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</si>
  <si>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</si>
  <si>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</si>
  <si>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</si>
  <si>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</si>
  <si>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</si>
  <si>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</si>
  <si>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</si>
  <si>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</si>
  <si>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</si>
  <si>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</si>
  <si>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</si>
  <si>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</si>
  <si>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</si>
  <si>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</si>
  <si>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</si>
  <si>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</si>
  <si>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</si>
  <si>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</si>
  <si>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</si>
  <si>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</si>
  <si>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</si>
  <si>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</si>
  <si>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</si>
  <si>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</si>
  <si>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</si>
  <si>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</si>
  <si>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</si>
  <si>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</si>
  <si>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</si>
  <si>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</si>
  <si>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</si>
  <si>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</si>
  <si>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</si>
  <si>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</si>
  <si>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</si>
  <si>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</si>
  <si>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</si>
  <si>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</si>
  <si>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</si>
  <si>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</si>
  <si>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</si>
  <si>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</si>
  <si>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</si>
  <si>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</si>
  <si>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</si>
  <si>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</si>
  <si>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</si>
  <si>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</si>
  <si>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</si>
  <si>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</si>
  <si>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</si>
  <si>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</si>
  <si>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</si>
  <si>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</si>
  <si>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</si>
  <si>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</si>
  <si>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</si>
  <si>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</si>
  <si>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</si>
  <si>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</si>
  <si>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</si>
  <si>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</si>
  <si>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</si>
  <si>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</si>
  <si>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</si>
  <si>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</si>
  <si>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</si>
  <si>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</si>
  <si>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</si>
  <si>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</si>
  <si>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</si>
  <si>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</si>
  <si>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</si>
  <si>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</si>
  <si>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</si>
  <si>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</si>
  <si>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</si>
  <si>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</si>
  <si>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</si>
  <si>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</si>
  <si>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</si>
  <si>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</si>
  <si>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</si>
  <si>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</si>
  <si>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</si>
  <si>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</si>
  <si>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</si>
  <si>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</si>
  <si>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</si>
  <si>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</si>
  <si>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</si>
  <si>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</si>
  <si>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</si>
  <si>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</si>
  <si>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</si>
  <si>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</si>
  <si>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</si>
  <si>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</si>
  <si>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</si>
  <si>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</si>
  <si>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</si>
  <si>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</si>
  <si>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</si>
  <si>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</si>
  <si>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</si>
  <si>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</si>
  <si>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</si>
  <si>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</si>
  <si>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</si>
  <si>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</si>
  <si>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</si>
  <si>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</si>
  <si>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</si>
  <si>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</si>
  <si>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</si>
  <si>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</si>
  <si>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</si>
  <si>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</si>
  <si>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</si>
  <si>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</si>
  <si>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</si>
  <si>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</si>
  <si>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</si>
  <si>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</si>
  <si>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</si>
  <si>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</si>
  <si>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</si>
  <si>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</si>
  <si>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</si>
  <si>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</si>
  <si>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</si>
  <si>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</si>
  <si>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</si>
  <si>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</si>
  <si>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</si>
  <si>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</si>
  <si>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</si>
  <si>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</si>
  <si>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</si>
  <si>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</si>
  <si>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</si>
  <si>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</si>
  <si>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</si>
  <si>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</si>
  <si>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</si>
  <si>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</si>
  <si>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</si>
  <si>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</si>
  <si>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</si>
  <si>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</si>
  <si>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</si>
  <si>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</si>
  <si>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</si>
  <si>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</si>
  <si>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</si>
  <si>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</si>
  <si>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</si>
  <si>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</si>
  <si>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</si>
  <si>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</si>
  <si>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</si>
  <si>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</si>
  <si>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</si>
  <si>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</si>
  <si>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</si>
  <si>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</si>
  <si>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</si>
  <si>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</si>
  <si>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</si>
  <si>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</si>
  <si>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</si>
  <si>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</si>
  <si>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</si>
  <si>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</si>
  <si>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</si>
  <si>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</si>
  <si>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</si>
  <si>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</si>
  <si>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</si>
  <si>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</si>
  <si>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</si>
  <si>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</si>
  <si>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</si>
  <si>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</si>
  <si>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</si>
  <si>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</si>
  <si>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</si>
  <si>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</si>
  <si>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</si>
  <si>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</si>
  <si>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</si>
  <si>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</si>
  <si>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</si>
  <si>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</si>
  <si>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</si>
  <si>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</si>
  <si>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</si>
  <si>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</si>
  <si>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</si>
  <si>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</si>
  <si>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</si>
  <si>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</si>
  <si>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</si>
  <si>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</si>
  <si>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</si>
  <si>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</si>
  <si>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</si>
  <si>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</si>
  <si>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</si>
  <si>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</si>
  <si>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</si>
  <si>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</si>
  <si>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</si>
  <si>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</si>
  <si>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</si>
  <si>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</si>
  <si>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</si>
  <si>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</si>
  <si>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</si>
  <si>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</si>
  <si>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</si>
  <si>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</si>
  <si>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</si>
  <si>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</si>
  <si>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</si>
  <si>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</si>
  <si>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</si>
  <si>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</si>
  <si>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</si>
  <si>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</si>
  <si>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</si>
  <si>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</si>
  <si>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</si>
  <si>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</si>
  <si>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</si>
  <si>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</si>
  <si>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</si>
  <si>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</si>
  <si>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</si>
  <si>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</si>
  <si>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</si>
  <si>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</si>
  <si>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</si>
  <si>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</si>
  <si>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</si>
  <si>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</si>
  <si>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</si>
  <si>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</si>
  <si>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</si>
  <si>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</si>
  <si>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</si>
  <si>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</si>
  <si>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</si>
  <si>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</si>
  <si>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</si>
  <si>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</si>
  <si>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</si>
  <si>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</si>
  <si>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</si>
  <si>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</si>
  <si>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</si>
  <si>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</si>
  <si>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</si>
  <si>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</si>
  <si>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</si>
  <si>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</si>
  <si>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</si>
  <si>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</si>
  <si>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</si>
  <si>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</si>
  <si>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</si>
  <si>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</si>
  <si>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</si>
  <si>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</si>
  <si>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</si>
  <si>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</si>
  <si>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</si>
  <si>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</si>
  <si>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</si>
  <si>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</si>
  <si>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</si>
  <si>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</si>
  <si>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</si>
  <si>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</si>
  <si>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</si>
  <si>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</si>
  <si>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</si>
  <si>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</si>
  <si>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</si>
  <si>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</si>
  <si>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</si>
  <si>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</si>
  <si>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</si>
  <si>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</si>
  <si>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</si>
  <si>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</si>
  <si>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</si>
  <si>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</si>
  <si>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</si>
  <si>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</si>
  <si>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</si>
  <si>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</si>
  <si>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</si>
  <si>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</si>
  <si>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</si>
  <si>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</si>
  <si>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</si>
  <si>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</si>
  <si>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</si>
  <si>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</si>
  <si>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</si>
  <si>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</si>
  <si>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</si>
  <si>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</si>
  <si>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</si>
  <si>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</si>
  <si>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</si>
  <si>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</si>
  <si>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</si>
  <si>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</si>
  <si>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</si>
  <si>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</si>
  <si>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</si>
  <si>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</si>
  <si>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</si>
  <si>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</si>
  <si>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</si>
  <si>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</si>
  <si>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</si>
  <si>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</si>
  <si>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</si>
  <si>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</si>
  <si>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</si>
  <si>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</si>
  <si>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</si>
  <si>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</si>
  <si>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</si>
  <si>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</si>
  <si>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</si>
  <si>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</si>
  <si>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</si>
  <si>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</si>
  <si>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</si>
  <si>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</si>
  <si>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</si>
  <si>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</si>
  <si>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</si>
  <si>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</si>
  <si>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</si>
  <si>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</si>
  <si>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</si>
  <si>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</si>
  <si>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</si>
  <si>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</si>
  <si>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</si>
  <si>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</si>
  <si>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</si>
  <si>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</si>
  <si>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</si>
  <si>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</si>
  <si>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</si>
  <si>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</si>
  <si>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</si>
  <si>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</si>
  <si>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</si>
  <si>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</si>
  <si>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</si>
  <si>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</si>
  <si>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</si>
  <si>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</si>
  <si>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</si>
  <si>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</si>
  <si>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</si>
  <si>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</si>
  <si>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</si>
  <si>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</si>
  <si>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</si>
  <si>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</si>
  <si>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</si>
  <si>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</si>
  <si>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</si>
  <si>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</si>
  <si>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</si>
  <si>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</si>
  <si>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</si>
  <si>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</si>
  <si>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</si>
  <si>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</si>
  <si>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</si>
  <si>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</si>
  <si>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</si>
  <si>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</si>
  <si>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</si>
  <si>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</si>
  <si>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</si>
  <si>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</si>
  <si>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</si>
  <si>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</si>
  <si>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</si>
  <si>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</si>
  <si>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</si>
  <si>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</si>
  <si>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</si>
  <si>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</si>
  <si>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</si>
  <si>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</si>
  <si>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</si>
  <si>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</si>
  <si>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</si>
  <si>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</si>
  <si>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</si>
  <si>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</si>
  <si>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</si>
  <si>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</si>
  <si>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</si>
  <si>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</si>
  <si>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</si>
  <si>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</si>
  <si>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</si>
  <si>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</si>
  <si>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</si>
  <si>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</si>
  <si>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</si>
  <si>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</si>
  <si>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</si>
  <si>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</si>
  <si>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</si>
  <si>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</si>
  <si>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</si>
  <si>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</si>
  <si>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</si>
  <si>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</si>
  <si>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</si>
  <si>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</si>
  <si>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</si>
  <si>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</si>
  <si>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</si>
  <si>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</si>
  <si>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</si>
  <si>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</si>
  <si>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</si>
  <si>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</si>
  <si>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</si>
  <si>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</si>
  <si>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</si>
  <si>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</si>
  <si>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</si>
  <si>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</si>
  <si>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</si>
  <si>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</si>
  <si>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</si>
  <si>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</si>
  <si>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</si>
  <si>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</si>
  <si>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</si>
  <si>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</si>
  <si>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</si>
  <si>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</si>
  <si>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</si>
  <si>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</si>
  <si>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</si>
  <si>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</si>
  <si>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</si>
  <si>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</si>
  <si>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</si>
  <si>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</si>
  <si>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</si>
  <si>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</si>
  <si>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</si>
  <si>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</si>
  <si>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</si>
  <si>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</si>
  <si>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</si>
  <si>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</si>
  <si>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</si>
  <si>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</si>
  <si>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</si>
  <si>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</si>
  <si>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</si>
  <si>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</si>
  <si>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</si>
  <si>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</si>
  <si>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</si>
  <si>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</si>
  <si>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</si>
  <si>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</si>
  <si>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</si>
  <si>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</si>
  <si>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</si>
  <si>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</si>
  <si>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</si>
  <si>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</si>
  <si>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</si>
  <si>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</si>
  <si>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</si>
  <si>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</si>
  <si>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</si>
  <si>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</si>
  <si>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</si>
  <si>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</si>
  <si>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</si>
  <si>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</si>
  <si>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</si>
  <si>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</si>
  <si>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</si>
  <si>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</si>
  <si>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</si>
  <si>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</si>
  <si>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</si>
  <si>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</si>
  <si>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</si>
  <si>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</si>
  <si>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</si>
  <si>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</si>
  <si>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</si>
  <si>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</si>
  <si>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</si>
  <si>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</si>
  <si>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</si>
  <si>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</si>
  <si>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</si>
  <si>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</si>
  <si>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</si>
  <si>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</si>
  <si>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</si>
  <si>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</si>
  <si>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</si>
  <si>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</si>
  <si>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</si>
  <si>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</si>
  <si>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</si>
  <si>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</si>
  <si>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</si>
  <si>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</si>
  <si>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</si>
  <si>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</si>
  <si>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</si>
  <si>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</si>
  <si>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</si>
  <si>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</si>
  <si>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</si>
  <si>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</si>
  <si>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</si>
  <si>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</si>
  <si>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</si>
  <si>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</si>
  <si>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</si>
  <si>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</si>
  <si>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</si>
  <si>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</si>
  <si>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</si>
  <si>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</si>
  <si>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</si>
  <si>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</si>
  <si>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</si>
  <si>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</si>
  <si>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</si>
  <si>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</si>
  <si>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</si>
  <si>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</si>
  <si>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</si>
  <si>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</si>
  <si>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</si>
  <si>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</si>
  <si>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</si>
  <si>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</si>
  <si>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</si>
  <si>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</si>
  <si>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</si>
  <si>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</si>
  <si>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</si>
  <si>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</si>
  <si>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</si>
  <si>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</si>
  <si>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</si>
  <si>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</si>
  <si>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</si>
  <si>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</si>
  <si>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</si>
  <si>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</si>
  <si>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</si>
  <si>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</si>
  <si>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</si>
  <si>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</si>
  <si>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</si>
  <si>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</si>
  <si>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</si>
  <si>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</si>
  <si>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</si>
  <si>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</si>
  <si>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</si>
  <si>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</si>
  <si>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</si>
  <si>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</si>
  <si>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</si>
  <si>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</si>
  <si>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</si>
  <si>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</si>
  <si>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</si>
  <si>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</si>
  <si>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</si>
  <si>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</si>
  <si>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</si>
  <si>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</si>
  <si>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</si>
  <si>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</si>
  <si>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</si>
  <si>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</si>
  <si>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</si>
  <si>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</si>
  <si>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</si>
  <si>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</si>
  <si>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</si>
  <si>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</si>
  <si>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</si>
  <si>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</si>
  <si>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</si>
  <si>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</si>
  <si>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</si>
  <si>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</si>
  <si>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</si>
  <si>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</si>
  <si>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</si>
  <si>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</si>
  <si>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</si>
  <si>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</si>
  <si>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</si>
  <si>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</si>
  <si>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</si>
  <si>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</si>
  <si>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</si>
  <si>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</si>
  <si>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</si>
  <si>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</si>
  <si>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</si>
  <si>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</si>
  <si>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</si>
  <si>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</si>
  <si>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</si>
  <si>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</si>
  <si>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</si>
  <si>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</si>
  <si>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</si>
  <si>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</si>
  <si>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</si>
  <si>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</si>
  <si>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</si>
  <si>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</si>
  <si>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</si>
  <si>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</si>
  <si>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</si>
  <si>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</si>
  <si>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</si>
  <si>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</si>
  <si>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</si>
  <si>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</si>
  <si>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</si>
  <si>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</si>
  <si>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</si>
  <si>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</si>
  <si>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</si>
  <si>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</si>
  <si>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</si>
  <si>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</si>
  <si>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</si>
  <si>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</si>
  <si>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</si>
  <si>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</si>
  <si>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</si>
  <si>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</si>
  <si>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</si>
  <si>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</si>
  <si>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</si>
  <si>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</si>
  <si>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</si>
  <si>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</si>
  <si>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</si>
  <si>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</si>
  <si>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</si>
  <si>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</si>
  <si>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</si>
  <si>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</si>
  <si>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</si>
  <si>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</si>
  <si>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</si>
  <si>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</si>
  <si>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</si>
  <si>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</si>
  <si>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</si>
  <si>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</si>
  <si>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</si>
  <si>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</si>
  <si>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</si>
  <si>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</si>
  <si>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</si>
  <si>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</si>
  <si>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</si>
  <si>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</si>
  <si>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</si>
  <si>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</si>
  <si>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</si>
  <si>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</si>
  <si>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</si>
  <si>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</si>
  <si>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</si>
  <si>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</si>
  <si>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</si>
  <si>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</si>
  <si>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</si>
  <si>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</si>
  <si>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</si>
  <si>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</si>
  <si>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</si>
  <si>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</si>
  <si>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</si>
  <si>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</si>
  <si>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</si>
  <si>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</si>
  <si>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</si>
  <si>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</si>
  <si>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</si>
  <si>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</si>
  <si>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</si>
  <si>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</si>
  <si>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</si>
  <si>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</si>
  <si>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</si>
  <si>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</si>
  <si>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</si>
  <si>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</si>
  <si>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</si>
  <si>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</si>
  <si>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</si>
  <si>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</si>
  <si>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</si>
  <si>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</si>
  <si>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</si>
  <si>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</si>
  <si>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</si>
  <si>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</si>
  <si>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</si>
  <si>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</si>
  <si>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</si>
  <si>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</si>
  <si>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</si>
  <si>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</si>
  <si>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</si>
  <si>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</si>
  <si>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</si>
  <si>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</si>
  <si>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</si>
  <si>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</si>
  <si>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</si>
  <si>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</si>
  <si>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</si>
  <si>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</si>
  <si>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</si>
  <si>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</si>
  <si>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</si>
  <si>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</si>
  <si>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</si>
  <si>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</si>
  <si>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</si>
  <si>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</si>
  <si>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</si>
  <si>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</si>
  <si>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</si>
  <si>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</si>
  <si>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</si>
  <si>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</si>
  <si>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</si>
  <si>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</si>
  <si>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</si>
  <si>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</si>
  <si>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</si>
  <si>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</si>
  <si>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</si>
  <si>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</si>
  <si>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</si>
  <si>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</si>
  <si>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</si>
  <si>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</si>
  <si>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</si>
  <si>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</si>
  <si>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</si>
  <si>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</si>
  <si>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</si>
  <si>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</si>
  <si>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</si>
  <si>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</si>
  <si>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</si>
  <si>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</si>
  <si>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</si>
  <si>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</si>
  <si>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</si>
  <si>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</si>
  <si>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</si>
  <si>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</si>
  <si>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</si>
  <si>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</si>
  <si>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</si>
  <si>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</si>
  <si>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</si>
  <si>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</si>
  <si>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</si>
  <si>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</si>
  <si>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</si>
  <si>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</si>
  <si>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</si>
  <si>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</si>
  <si>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</si>
  <si>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</si>
  <si>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</si>
  <si>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</si>
  <si>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</si>
  <si>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</si>
  <si>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</si>
  <si>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</si>
  <si>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</si>
  <si>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</si>
  <si>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</si>
  <si>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</si>
  <si>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</si>
  <si>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</si>
  <si>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</si>
  <si>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</si>
  <si>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</si>
  <si>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</si>
  <si>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</si>
  <si>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</si>
  <si>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</si>
  <si>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</si>
  <si>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</si>
  <si>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</si>
  <si>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</si>
  <si>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</si>
  <si>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</si>
  <si>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</si>
  <si>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</si>
  <si>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</si>
  <si>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</si>
  <si>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</si>
  <si>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</si>
  <si>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</si>
  <si>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</si>
  <si>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</si>
  <si>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</si>
  <si>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</si>
  <si>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</si>
  <si>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</si>
  <si>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</si>
  <si>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</si>
  <si>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</si>
  <si>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</si>
  <si>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</si>
  <si>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</si>
  <si>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</si>
  <si>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</si>
  <si>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</si>
  <si>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</si>
  <si>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</si>
  <si>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</si>
  <si>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</si>
  <si>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</si>
  <si>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</si>
  <si>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</si>
  <si>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</si>
  <si>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</si>
  <si>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</si>
  <si>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</si>
  <si>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</si>
  <si>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</si>
  <si>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</si>
  <si>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</si>
  <si>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</si>
  <si>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</si>
  <si>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</si>
  <si>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</si>
  <si>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</si>
  <si>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</si>
  <si>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</si>
  <si>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</si>
  <si>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</si>
  <si>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</si>
  <si>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</si>
  <si>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</si>
  <si>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</si>
  <si>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</si>
  <si>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</si>
  <si>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</si>
  <si>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</si>
  <si>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</si>
  <si>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</si>
  <si>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</si>
  <si>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</si>
  <si>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</si>
  <si>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</si>
  <si>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</si>
  <si>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</si>
  <si>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</si>
  <si>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</si>
  <si>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</si>
  <si>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</si>
  <si>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</si>
  <si>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</si>
  <si>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</si>
  <si>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</si>
  <si>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</si>
  <si>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</si>
  <si>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</si>
  <si>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</si>
  <si>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</si>
  <si>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</si>
  <si>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</si>
  <si>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</si>
  <si>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</si>
  <si>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</si>
  <si>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</si>
  <si>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</si>
  <si>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</si>
  <si>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</si>
  <si>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</si>
  <si>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</si>
  <si>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</si>
  <si>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</si>
  <si>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</si>
  <si>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</si>
  <si>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</si>
  <si>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</si>
  <si>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</si>
  <si>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</si>
  <si>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</si>
  <si>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</si>
  <si>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</si>
  <si>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</si>
  <si>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</si>
  <si>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</si>
  <si>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</si>
  <si>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</si>
  <si>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</si>
  <si>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</si>
  <si>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</si>
  <si>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</si>
  <si>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</si>
  <si>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</si>
  <si>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</si>
  <si>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</si>
  <si>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</si>
  <si>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</si>
  <si>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</si>
  <si>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</si>
  <si>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</si>
  <si>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</si>
  <si>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</si>
  <si>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</si>
  <si>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</si>
  <si>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</si>
  <si>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</si>
  <si>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</si>
  <si>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</si>
  <si>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</si>
  <si>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</si>
  <si>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</si>
  <si>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</si>
  <si>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</si>
  <si>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</si>
  <si>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</si>
  <si>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</si>
  <si>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</si>
  <si>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</si>
  <si>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</si>
  <si>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</si>
  <si>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</si>
  <si>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</si>
  <si>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</si>
  <si>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</si>
  <si>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</si>
  <si>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</si>
  <si>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</si>
  <si>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</si>
  <si>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</si>
  <si>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</si>
  <si>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</si>
  <si>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</si>
  <si>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</si>
  <si>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</si>
  <si>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</si>
  <si>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</si>
  <si>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</si>
  <si>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</si>
  <si>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</si>
  <si>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</si>
  <si>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</si>
  <si>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</si>
  <si>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</si>
  <si>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</si>
  <si>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</si>
  <si>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</si>
  <si>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</si>
  <si>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</si>
  <si>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</si>
  <si>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</si>
  <si>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</si>
  <si>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</si>
  <si>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</si>
  <si>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</si>
  <si>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</si>
  <si>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</si>
  <si>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</si>
  <si>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</si>
  <si>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</si>
  <si>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</si>
  <si>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</si>
  <si>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</si>
  <si>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</si>
  <si>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</si>
  <si>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</si>
  <si>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</si>
  <si>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</si>
  <si>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</si>
  <si>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</si>
  <si>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</si>
  <si>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</si>
  <si>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</si>
  <si>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</si>
  <si>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</si>
  <si>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</si>
  <si>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</si>
  <si>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</si>
  <si>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</si>
  <si>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</si>
  <si>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</si>
  <si>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</si>
  <si>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</si>
  <si>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</si>
  <si>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</si>
  <si>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</si>
  <si>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</si>
  <si>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</si>
  <si>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</si>
  <si>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</si>
  <si>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</si>
  <si>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</si>
  <si>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</si>
  <si>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</si>
  <si>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</si>
  <si>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</si>
  <si>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</si>
  <si>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</si>
  <si>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</si>
  <si>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</si>
  <si>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</si>
  <si>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</si>
  <si>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</si>
  <si>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</si>
  <si>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</si>
  <si>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</si>
  <si>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</si>
  <si>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</si>
  <si>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</si>
  <si>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</si>
  <si>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</si>
  <si>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</si>
  <si>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</si>
  <si>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</si>
  <si>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</si>
  <si>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</si>
  <si>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</si>
  <si>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</si>
  <si>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</si>
  <si>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</si>
  <si>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</si>
  <si>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</si>
  <si>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</si>
  <si>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</si>
  <si>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</si>
  <si>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</si>
  <si>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</si>
  <si>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</si>
  <si>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</si>
  <si>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</si>
  <si>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</si>
  <si>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</si>
  <si>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</si>
  <si>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</si>
  <si>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</si>
  <si>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</si>
  <si>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</si>
  <si>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</si>
  <si>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</si>
  <si>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</si>
  <si>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</si>
  <si>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</si>
  <si>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</si>
  <si>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</si>
  <si>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</si>
  <si>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</si>
  <si>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</si>
  <si>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</si>
  <si>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</si>
  <si>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</si>
  <si>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</si>
  <si>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</si>
  <si>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</si>
  <si>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</si>
  <si>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</si>
  <si>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</si>
  <si>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</si>
  <si>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</si>
  <si>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</si>
  <si>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</si>
  <si>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</si>
  <si>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</si>
  <si>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</si>
  <si>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</si>
  <si>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</si>
  <si>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</si>
  <si>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</si>
  <si>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</si>
  <si>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</si>
  <si>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</si>
  <si>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</si>
  <si>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</si>
  <si>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</si>
  <si>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</si>
  <si>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</si>
  <si>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</si>
  <si>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</si>
  <si>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</si>
  <si>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</si>
  <si>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</si>
  <si>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</si>
  <si>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</si>
  <si>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</si>
  <si>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</si>
  <si>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</si>
  <si>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</si>
  <si>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</si>
  <si>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</si>
  <si>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</si>
  <si>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</si>
  <si>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</si>
  <si>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</si>
  <si>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</si>
  <si>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</si>
  <si>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</si>
  <si>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</si>
  <si>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</si>
  <si>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</si>
  <si>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</si>
  <si>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</si>
  <si>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</si>
  <si>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</si>
  <si>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</si>
  <si>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</si>
  <si>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</si>
  <si>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</si>
  <si>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</si>
  <si>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</si>
  <si>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</si>
  <si>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</si>
  <si>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</si>
  <si>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</si>
  <si>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</si>
  <si>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</si>
  <si>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</si>
  <si>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</si>
  <si>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</si>
  <si>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</si>
  <si>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</si>
  <si>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</si>
  <si>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</si>
  <si>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</si>
  <si>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</si>
  <si>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</si>
  <si>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</si>
  <si>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</si>
  <si>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</si>
  <si>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</si>
  <si>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</si>
  <si>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</si>
  <si>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</si>
  <si>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</si>
  <si>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</si>
  <si>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</si>
  <si>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</si>
  <si>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</si>
  <si>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</si>
  <si>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</si>
  <si>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</si>
  <si>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</si>
  <si>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</si>
  <si>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</si>
  <si>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</si>
  <si>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</si>
  <si>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</si>
  <si>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</si>
  <si>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</si>
  <si>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</si>
  <si>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</si>
  <si>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</si>
  <si>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</si>
  <si>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</si>
  <si>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</si>
  <si>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</si>
  <si>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</si>
  <si>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</si>
  <si>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</si>
  <si>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</si>
  <si>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</si>
  <si>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</si>
  <si>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</si>
  <si>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</si>
  <si>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</si>
  <si>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</si>
  <si>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</si>
  <si>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</si>
  <si>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</si>
  <si>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</si>
  <si>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</si>
  <si>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</si>
  <si>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</si>
  <si>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</si>
  <si>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</si>
  <si>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</si>
  <si>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</si>
  <si>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</si>
  <si>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</si>
  <si>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</si>
  <si>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</si>
  <si>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</si>
  <si>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</si>
  <si>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</si>
  <si>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</si>
  <si>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</si>
  <si>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</si>
  <si>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</si>
  <si>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</si>
  <si>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</si>
  <si>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</si>
  <si>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</si>
  <si>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</si>
  <si>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</si>
  <si>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</si>
  <si>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</si>
  <si>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</si>
  <si>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</si>
  <si>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</si>
  <si>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</si>
  <si>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</si>
  <si>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</si>
  <si>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</si>
  <si>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</si>
  <si>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</si>
  <si>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</si>
  <si>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</si>
  <si>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</si>
  <si>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</si>
  <si>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</si>
  <si>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</si>
  <si>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</si>
  <si>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</si>
  <si>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</si>
  <si>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</si>
  <si>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</si>
  <si>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</si>
  <si>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</si>
  <si>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</si>
  <si>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</si>
  <si>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</si>
  <si>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</si>
  <si>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</si>
  <si>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</si>
  <si>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</si>
  <si>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</si>
  <si>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</si>
  <si>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</si>
  <si>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</si>
  <si>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</si>
  <si>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</si>
  <si>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</si>
  <si>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</si>
  <si>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</si>
  <si>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</si>
  <si>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</si>
  <si>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</si>
  <si>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</si>
  <si>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</si>
  <si>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</si>
  <si>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</si>
  <si>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</si>
  <si>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</si>
  <si>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</si>
  <si>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</si>
  <si>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</si>
  <si>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</si>
  <si>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</si>
  <si>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</si>
  <si>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</si>
  <si>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</si>
  <si>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</si>
  <si>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</si>
  <si>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</si>
  <si>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</si>
  <si>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</si>
  <si>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</si>
  <si>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</si>
  <si>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</si>
  <si>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</si>
  <si>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</si>
  <si>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</si>
  <si>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</si>
  <si>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</si>
  <si>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</si>
  <si>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</si>
  <si>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</si>
  <si>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</si>
  <si>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</si>
  <si>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</si>
  <si>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</si>
  <si>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</si>
  <si>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</si>
  <si>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</si>
  <si>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</si>
  <si>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</si>
  <si>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</si>
  <si>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</si>
  <si>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</si>
  <si>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</si>
  <si>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</si>
  <si>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</si>
  <si>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</si>
  <si>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</si>
  <si>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</si>
  <si>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</si>
  <si>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</si>
  <si>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</si>
  <si>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</si>
  <si>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</si>
  <si>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</si>
  <si>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</si>
  <si>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</si>
  <si>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</si>
  <si>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</si>
  <si>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</si>
  <si>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</si>
  <si>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</si>
  <si>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</si>
  <si>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</si>
  <si>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</si>
  <si>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</si>
  <si>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</si>
  <si>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</si>
  <si>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</si>
  <si>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</si>
  <si>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</si>
  <si>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</si>
  <si>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</si>
  <si>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</si>
  <si>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</si>
  <si>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</si>
  <si>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</si>
  <si>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</si>
  <si>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</si>
  <si>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</si>
  <si>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</si>
  <si>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</si>
  <si>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</si>
  <si>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</si>
  <si>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</si>
  <si>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</si>
  <si>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</si>
  <si>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</si>
  <si>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</si>
  <si>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</si>
  <si>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</si>
  <si>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</si>
  <si>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</si>
  <si>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</si>
  <si>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</si>
  <si>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</si>
  <si>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</si>
  <si>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</si>
  <si>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</si>
  <si>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</si>
  <si>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</si>
  <si>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</si>
  <si>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</si>
  <si>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</si>
  <si>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</si>
  <si>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</si>
  <si>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</si>
  <si>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</si>
  <si>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</si>
  <si>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</si>
  <si>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</si>
  <si>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</si>
  <si>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</si>
  <si>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</si>
  <si>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</si>
  <si>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</si>
  <si>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</si>
  <si>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</si>
  <si>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</si>
  <si>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</si>
  <si>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</si>
  <si>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</si>
  <si>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</si>
  <si>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</si>
  <si>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</si>
  <si>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</si>
  <si>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</si>
  <si>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</si>
  <si>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</si>
  <si>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</si>
  <si>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</si>
  <si>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</si>
  <si>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</si>
  <si>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</si>
  <si>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</si>
  <si>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</si>
  <si>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</si>
  <si>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</si>
  <si>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</si>
  <si>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</si>
  <si>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</si>
  <si>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</si>
  <si>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</si>
  <si>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</si>
  <si>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</si>
  <si>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</si>
  <si>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</si>
  <si>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</si>
  <si>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</si>
  <si>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</si>
  <si>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</si>
  <si>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</si>
  <si>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</si>
  <si>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</si>
  <si>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</si>
  <si>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</si>
  <si>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</si>
  <si>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</si>
  <si>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</si>
  <si>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</si>
  <si>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</si>
  <si>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</si>
  <si>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</si>
  <si>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</si>
  <si>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</si>
  <si>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</si>
  <si>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</si>
  <si>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</si>
  <si>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</si>
  <si>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</si>
  <si>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</si>
  <si>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</si>
  <si>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</si>
  <si>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</si>
  <si>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</si>
  <si>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</si>
  <si>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</si>
  <si>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</si>
  <si>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</si>
  <si>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</si>
  <si>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</si>
  <si>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</si>
  <si>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</si>
  <si>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</si>
  <si>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</si>
  <si>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</si>
  <si>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</si>
  <si>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</si>
  <si>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</si>
  <si>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</si>
  <si>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</si>
  <si>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</si>
  <si>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</si>
  <si>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</si>
  <si>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</si>
  <si>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</si>
  <si>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</si>
  <si>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</si>
  <si>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</si>
  <si>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</si>
  <si>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</si>
  <si>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</si>
  <si>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</si>
  <si>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</si>
  <si>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</si>
  <si>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</si>
  <si>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</si>
  <si>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</si>
  <si>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</si>
  <si>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</si>
  <si>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</si>
  <si>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</si>
  <si>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</si>
  <si>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</si>
  <si>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</si>
  <si>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</si>
  <si>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</si>
  <si>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</si>
  <si>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</si>
  <si>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</si>
  <si>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</si>
  <si>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</si>
  <si>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</si>
  <si>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</si>
  <si>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</si>
  <si>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</si>
  <si>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</si>
  <si>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</si>
  <si>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</si>
  <si>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</si>
  <si>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</si>
  <si>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</si>
  <si>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</si>
  <si>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</si>
  <si>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</si>
  <si>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</si>
  <si>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</si>
  <si>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</si>
  <si>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</si>
  <si>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</si>
  <si>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</si>
  <si>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</si>
  <si>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</si>
  <si>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</si>
  <si>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</si>
  <si>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</si>
  <si>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</si>
  <si>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</si>
  <si>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</si>
  <si>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</si>
  <si>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</si>
  <si>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</si>
  <si>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</si>
  <si>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</si>
  <si>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</si>
  <si>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</si>
  <si>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</si>
  <si>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</si>
  <si>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</si>
  <si>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</si>
  <si>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</si>
  <si>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</si>
  <si>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</si>
  <si>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</si>
  <si>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</si>
  <si>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</si>
  <si>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</si>
  <si>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</si>
  <si>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</si>
  <si>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</si>
  <si>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</si>
  <si>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</si>
  <si>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</si>
  <si>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</si>
  <si>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</si>
  <si>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</si>
  <si>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</si>
  <si>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</si>
  <si>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</si>
  <si>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</si>
  <si>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</si>
  <si>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</si>
  <si>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</si>
  <si>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</si>
  <si>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</si>
  <si>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</si>
  <si>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</si>
  <si>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</si>
  <si>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</si>
  <si>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</si>
  <si>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</si>
  <si>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</si>
  <si>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</si>
  <si>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</si>
  <si>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</si>
  <si>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</si>
  <si>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</si>
  <si>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</si>
  <si>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</si>
  <si>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</si>
  <si>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</si>
  <si>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</si>
  <si>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</si>
  <si>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</si>
  <si>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</si>
  <si>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</si>
  <si>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</si>
  <si>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</si>
  <si>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</si>
  <si>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</si>
  <si>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</si>
  <si>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</si>
  <si>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</si>
  <si>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</si>
  <si>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</si>
  <si>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</si>
  <si>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</si>
  <si>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</si>
  <si>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</si>
  <si>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</si>
  <si>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</si>
  <si>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</si>
  <si>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</si>
  <si>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</si>
  <si>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</si>
  <si>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</si>
  <si>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</si>
  <si>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</si>
  <si>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</si>
  <si>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</si>
  <si>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</si>
  <si>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</si>
  <si>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</si>
  <si>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</si>
  <si>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</si>
  <si>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</si>
  <si>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</si>
  <si>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</si>
  <si>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</si>
  <si>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</si>
  <si>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</si>
  <si>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</si>
  <si>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</si>
  <si>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</si>
  <si>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</si>
  <si>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</si>
  <si>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</si>
  <si>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</si>
  <si>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</si>
  <si>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</si>
  <si>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</si>
  <si>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</si>
  <si>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</si>
  <si>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</si>
  <si>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</si>
  <si>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</si>
  <si>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</si>
  <si>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</si>
  <si>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</si>
  <si>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</si>
  <si>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</si>
  <si>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</si>
  <si>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</si>
  <si>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</si>
  <si>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</si>
  <si>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</si>
  <si>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</si>
  <si>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</si>
  <si>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</si>
  <si>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</si>
  <si>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</si>
  <si>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</si>
  <si>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</si>
  <si>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</si>
  <si>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</si>
  <si>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</si>
  <si>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</si>
  <si>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</si>
  <si>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</si>
  <si>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</si>
  <si>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</si>
  <si>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</si>
  <si>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</si>
  <si>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</si>
  <si>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</si>
  <si>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</si>
  <si>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</si>
  <si>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</si>
  <si>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</si>
  <si>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</si>
  <si>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</si>
  <si>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</si>
  <si>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</si>
  <si>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</si>
  <si>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</si>
  <si>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</si>
  <si>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</si>
  <si>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</si>
  <si>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</si>
  <si>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</si>
  <si>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</si>
  <si>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</si>
  <si>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</si>
  <si>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</si>
  <si>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</si>
  <si>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</si>
  <si>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</si>
  <si>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</si>
  <si>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</si>
  <si>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</si>
  <si>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</si>
  <si>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</si>
  <si>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</si>
  <si>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</si>
  <si>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</si>
  <si>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</si>
  <si>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</si>
  <si>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</si>
  <si>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</si>
  <si>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</si>
  <si>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</si>
  <si>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</si>
  <si>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</si>
  <si>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</si>
  <si>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</si>
  <si>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</si>
  <si>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</si>
  <si>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</si>
  <si>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</si>
  <si>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</si>
  <si>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</si>
  <si>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</si>
  <si>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</si>
  <si>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</si>
  <si>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</si>
  <si>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</si>
  <si>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</si>
  <si>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</si>
  <si>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</si>
  <si>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</si>
  <si>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</si>
  <si>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</si>
  <si>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</si>
  <si>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</si>
  <si>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</si>
  <si>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</si>
  <si>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</si>
  <si>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</si>
  <si>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</si>
  <si>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</si>
  <si>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</si>
  <si>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</si>
  <si>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</si>
  <si>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</si>
  <si>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</si>
  <si>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</si>
  <si>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</si>
  <si>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</si>
  <si>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</si>
  <si>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</si>
  <si>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</si>
  <si>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</si>
  <si>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</si>
  <si>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</si>
  <si>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</si>
  <si>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</si>
  <si>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</si>
  <si>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</si>
  <si>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</si>
  <si>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</si>
  <si>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</si>
  <si>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</si>
  <si>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</si>
  <si>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</si>
  <si>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</si>
  <si>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</si>
  <si>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</si>
  <si>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</si>
  <si>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</si>
  <si>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</si>
  <si>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</si>
  <si>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</si>
  <si>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</si>
  <si>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</si>
  <si>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</si>
  <si>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</si>
  <si>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</si>
  <si>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</si>
  <si>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</si>
  <si>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</si>
  <si>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</si>
  <si>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</si>
  <si>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</si>
  <si>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</si>
  <si>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</si>
  <si>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</si>
  <si>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</si>
  <si>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</si>
  <si>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</si>
  <si>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</si>
  <si>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</si>
  <si>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</si>
  <si>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</si>
  <si>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</si>
  <si>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</si>
  <si>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</si>
  <si>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</si>
  <si>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</si>
  <si>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</si>
  <si>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</si>
  <si>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</si>
  <si>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</si>
  <si>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</si>
  <si>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</si>
  <si>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</si>
  <si>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</si>
  <si>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</si>
  <si>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</si>
  <si>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</si>
  <si>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</si>
  <si>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</si>
  <si>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</si>
  <si>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</si>
  <si>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</si>
  <si>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</si>
  <si>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</si>
  <si>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</si>
  <si>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</si>
  <si>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</si>
  <si>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</si>
  <si>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</si>
  <si>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</si>
  <si>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</si>
  <si>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</si>
  <si>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</si>
  <si>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</si>
  <si>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</si>
  <si>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</si>
  <si>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</si>
  <si>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</si>
  <si>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</si>
  <si>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</si>
  <si>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</si>
  <si>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</si>
  <si>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</si>
  <si>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</si>
  <si>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</si>
  <si>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</si>
  <si>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</si>
  <si>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</si>
  <si>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</si>
  <si>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</si>
  <si>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</si>
  <si>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</si>
  <si>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</si>
  <si>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</si>
  <si>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</si>
  <si>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</si>
  <si>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</si>
  <si>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</si>
  <si>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</si>
  <si>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</si>
  <si>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</si>
  <si>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</si>
  <si>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</si>
  <si>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</si>
  <si>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</si>
  <si>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</si>
  <si>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</si>
  <si>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</si>
  <si>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</si>
  <si>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</si>
  <si>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</si>
  <si>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</si>
  <si>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</si>
  <si>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</si>
  <si>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</si>
  <si>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</si>
  <si>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</si>
  <si>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</si>
  <si>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</si>
  <si>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</si>
  <si>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</si>
  <si>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</si>
  <si>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</si>
  <si>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</si>
  <si>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</si>
  <si>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</si>
  <si>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</si>
  <si>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</si>
  <si>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</si>
  <si>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</si>
  <si>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</si>
  <si>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</si>
  <si>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</si>
  <si>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</si>
  <si>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</si>
  <si>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</si>
  <si>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</si>
  <si>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</si>
  <si>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</si>
  <si>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</si>
  <si>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</si>
  <si>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</si>
  <si>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</si>
  <si>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</si>
  <si>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</si>
  <si>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</si>
  <si>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</si>
  <si>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</si>
  <si>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</si>
  <si>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</si>
  <si>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</si>
  <si>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</si>
  <si>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</si>
  <si>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</si>
  <si>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</si>
  <si>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</si>
  <si>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</si>
  <si>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</si>
  <si>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</si>
  <si>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</si>
  <si>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</si>
  <si>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</si>
  <si>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</si>
  <si>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</si>
  <si>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</si>
  <si>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</si>
  <si>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</si>
  <si>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</si>
  <si>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</si>
  <si>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</si>
  <si>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</si>
  <si>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</si>
  <si>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</si>
  <si>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</si>
  <si>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</si>
  <si>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</si>
  <si>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</si>
  <si>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</si>
  <si>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</si>
  <si>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</si>
  <si>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</si>
  <si>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</si>
  <si>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</si>
  <si>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</si>
  <si>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</si>
  <si>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</si>
  <si>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</si>
  <si>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</si>
  <si>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</si>
  <si>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</si>
  <si>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</si>
  <si>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</si>
  <si>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</si>
  <si>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</si>
  <si>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</si>
  <si>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</si>
  <si>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</si>
  <si>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</si>
  <si>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</si>
  <si>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</si>
  <si>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</si>
  <si>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</si>
  <si>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</si>
  <si>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</si>
  <si>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</si>
  <si>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</si>
  <si>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</si>
  <si>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</si>
  <si>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</si>
  <si>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</si>
  <si>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</si>
  <si>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</si>
  <si>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</si>
  <si>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</si>
  <si>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</si>
  <si>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</si>
  <si>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</si>
  <si>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</si>
  <si>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</si>
  <si>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</si>
  <si>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</si>
  <si>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</si>
  <si>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</si>
  <si>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</si>
  <si>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</si>
  <si>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</si>
  <si>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</si>
  <si>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</si>
  <si>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</si>
  <si>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</si>
  <si>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</si>
  <si>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</si>
  <si>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</si>
  <si>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</si>
  <si>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</si>
  <si>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</si>
  <si>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</si>
  <si>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</si>
  <si>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</si>
  <si>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</si>
  <si>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</si>
  <si>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</si>
  <si>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</si>
  <si>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</si>
  <si>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</si>
  <si>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</si>
  <si>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</si>
  <si>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</si>
  <si>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</si>
  <si>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</si>
  <si>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</si>
  <si>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</si>
  <si>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</si>
  <si>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</si>
  <si>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</si>
  <si>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</si>
  <si>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</si>
  <si>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</si>
  <si>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</si>
  <si>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</si>
  <si>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</si>
  <si>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</si>
  <si>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</si>
  <si>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</si>
  <si>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</si>
  <si>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</si>
  <si>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</si>
  <si>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</si>
  <si>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</si>
  <si>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</si>
  <si>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</si>
  <si>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</si>
  <si>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</si>
  <si>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</si>
  <si>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</si>
  <si>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</si>
  <si>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</si>
  <si>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</si>
  <si>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</si>
  <si>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</si>
  <si>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</si>
  <si>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</si>
  <si>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</si>
  <si>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</si>
  <si>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</si>
  <si>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</si>
  <si>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</si>
  <si>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</si>
  <si>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</si>
  <si>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</si>
  <si>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</si>
  <si>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</si>
  <si>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</si>
  <si>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</si>
  <si>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</si>
  <si>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</si>
  <si>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</si>
  <si>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</si>
  <si>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</si>
  <si>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</si>
  <si>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</si>
  <si>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</si>
  <si>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</si>
  <si>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</si>
  <si>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</si>
  <si>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</si>
  <si>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</si>
  <si>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</si>
  <si>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</si>
  <si>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</si>
  <si>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</si>
  <si>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</si>
  <si>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</si>
  <si>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</si>
  <si>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</si>
  <si>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</si>
  <si>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</si>
  <si>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</si>
  <si>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</si>
  <si>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</si>
  <si>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</si>
  <si>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</si>
  <si>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</si>
  <si>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</si>
  <si>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</si>
  <si>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</si>
  <si>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</si>
  <si>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</si>
  <si>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</si>
  <si>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</si>
  <si>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</si>
  <si>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</si>
  <si>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</si>
  <si>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</si>
  <si>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</si>
  <si>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</si>
  <si>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</si>
  <si>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</si>
  <si>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</si>
  <si>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</si>
  <si>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</si>
  <si>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</si>
  <si>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>Código: 1120858</t>
  </si>
  <si>
    <t>&lt;&lt;-  Volver al Resumen</t>
  </si>
  <si>
    <t>Código: 1120859</t>
  </si>
  <si>
    <t>Código: 1120862</t>
  </si>
  <si>
    <t>Código: 2101495</t>
  </si>
  <si>
    <t>Código: 2101499</t>
  </si>
  <si>
    <t>FALTANTES</t>
  </si>
  <si>
    <t>TOTAL</t>
  </si>
  <si>
    <t>SEPARADOS</t>
  </si>
  <si>
    <t>TOTALES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</si>
</sst>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14" fillId="0" borderId="0" xfId="2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0" fillId="3" borderId="2" xfId="1" applyFont="1" applyFill="1" applyBorder="1" applyAlignment="1" applyProtection="1">
      <alignment horizontal="center"/>
      <protection locked="0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T15"/>
  <sheetViews>
    <sheetView tabSelected="1" zoomScaleNormal="10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D12" sqref="D12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6384" width="11.42578125" style="11"/>
  </cols>
  <sheetData>
    <row r="1" spans="1:20" s="8" customFormat="1" ht="53.25" customHeight="1" x14ac:dyDescent="0.5">
      <c r="A1" s="35" t="s">
        <v>17</v>
      </c>
      <c r="B1" s="35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17"/>
    </row>
    <row r="2" spans="1:20" s="8" customFormat="1" ht="33" customHeight="1" x14ac:dyDescent="0.35">
      <c r="A2" s="15"/>
      <c r="B2" s="15"/>
      <c r="C2" s="18"/>
      <c r="D2" s="6" t="s">
        <v>21</v>
      </c>
      <c r="E2" s="32" t="s">
        <v>1004</v>
      </c>
      <c r="F2" s="33"/>
      <c r="G2" s="34"/>
      <c r="H2" s="32" t="s">
        <v>1006</v>
      </c>
      <c r="I2" s="33"/>
      <c r="J2" s="34"/>
      <c r="K2" s="32" t="s">
        <v>1012</v>
      </c>
      <c r="L2" s="33"/>
      <c r="M2" s="34"/>
      <c r="N2" s="32" t="s">
        <v>1675</v>
      </c>
      <c r="O2" s="33"/>
      <c r="P2" s="34"/>
      <c r="Q2" s="32" t="s">
        <v>1683</v>
      </c>
      <c r="R2" s="33"/>
      <c r="S2" s="34"/>
      <c r="T2" s="24"/>
    </row>
    <row r="3" spans="1:20" s="8" customFormat="1" ht="42" customHeight="1" x14ac:dyDescent="0.35">
      <c r="A3" s="15"/>
      <c r="B3" s="15"/>
      <c r="C3" s="19"/>
      <c r="D3" s="5" t="s">
        <v>19</v>
      </c>
      <c r="E3" s="29" t="str">
        <f>IF(E2="","",VLOOKUP(E2,CODIGOS!$A$2:$C$5003,2,FALSE))</f>
        <v>BOMB AMER RIP NEGRA 34/48 RER</v>
      </c>
      <c r="F3" s="30"/>
      <c r="G3" s="31"/>
      <c r="H3" s="29" t="str">
        <f>IF(H2="","",VLOOKUP(H2,CODIGOS!$A$2:$C$5003,2,FALSE))</f>
        <v>BOMB AMER RIP NEGRA 50/54 RER</v>
      </c>
      <c r="I3" s="30"/>
      <c r="J3" s="31"/>
      <c r="K3" s="29" t="str">
        <f>IF(K2="","",VLOOKUP(K2,CODIGOS!$A$2:$C$5003,2,FALSE))</f>
        <v>BOMB AMER RIP NEGRA 56/60 RER</v>
      </c>
      <c r="L3" s="30"/>
      <c r="M3" s="31"/>
      <c r="N3" s="29" t="str">
        <f>IF(N2="","",VLOOKUP(N2,CODIGOS!$A$2:$C$5003,2,FALSE))</f>
        <v>CHOMBA MC CIERRE AZ 3XS/2XL RER</v>
      </c>
      <c r="O3" s="30"/>
      <c r="P3" s="31"/>
      <c r="Q3" s="29" t="str">
        <f>IF(Q2="","",VLOOKUP(Q2,CODIGOS!$A$2:$C$5003,2,FALSE))</f>
        <v>CHOMBA MC CIERRE AZ 3XL/5XL RER</v>
      </c>
      <c r="R3" s="30"/>
      <c r="S3" s="31"/>
      <c r="T3" s="24"/>
    </row>
    <row r="4" spans="1:20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24"/>
    </row>
    <row r="5" spans="1:20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>
        <v>46</v>
      </c>
      <c r="F5" s="23"/>
      <c r="G5" s="27">
        <v>1</v>
      </c>
      <c r="H5" s="26"/>
      <c r="I5" s="23"/>
      <c r="J5" s="27"/>
      <c r="K5" s="26"/>
      <c r="L5" s="23"/>
      <c r="M5" s="27"/>
      <c r="N5" s="26" t="s">
        <v>11</v>
      </c>
      <c r="O5" s="23"/>
      <c r="P5" s="27">
        <v>5</v>
      </c>
      <c r="Q5" s="26" t="s">
        <v>12</v>
      </c>
      <c r="R5" s="23"/>
      <c r="S5" s="27">
        <v>1</v>
      </c>
      <c r="T5" s="24"/>
    </row>
    <row r="6" spans="1:20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>
        <v>48</v>
      </c>
      <c r="F6" s="23"/>
      <c r="G6" s="27">
        <v>2</v>
      </c>
      <c r="H6" s="26"/>
      <c r="I6" s="23"/>
      <c r="J6" s="27"/>
      <c r="K6" s="26"/>
      <c r="L6" s="23"/>
      <c r="M6" s="27"/>
      <c r="N6" s="38" t="s">
        <v>1</v>
      </c>
      <c r="O6" s="23"/>
      <c r="P6" s="37">
        <v>2</v>
      </c>
      <c r="Q6" s="26" t="s">
        <v>12</v>
      </c>
      <c r="R6" s="23"/>
      <c r="S6" s="27">
        <v>2</v>
      </c>
      <c r="T6" s="24"/>
    </row>
    <row r="7" spans="1:20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38">
        <v>48</v>
      </c>
      <c r="F7" s="23"/>
      <c r="G7" s="37">
        <v>3</v>
      </c>
      <c r="H7" s="26">
        <v>50</v>
      </c>
      <c r="I7" s="23"/>
      <c r="J7" s="27">
        <v>3</v>
      </c>
      <c r="K7" s="26"/>
      <c r="L7" s="23"/>
      <c r="M7" s="27"/>
      <c r="N7" s="26" t="s">
        <v>4</v>
      </c>
      <c r="O7" s="23"/>
      <c r="P7" s="27">
        <v>3</v>
      </c>
      <c r="Q7" s="38" t="s">
        <v>13</v>
      </c>
      <c r="R7" s="23"/>
      <c r="S7" s="37">
        <v>3</v>
      </c>
      <c r="T7" s="24"/>
    </row>
    <row r="8" spans="1:20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/>
      <c r="F8" s="23"/>
      <c r="G8" s="27"/>
      <c r="H8" s="38">
        <v>52</v>
      </c>
      <c r="I8" s="23"/>
      <c r="J8" s="37">
        <v>4</v>
      </c>
      <c r="K8" s="26"/>
      <c r="L8" s="23"/>
      <c r="M8" s="27"/>
      <c r="N8" s="26" t="s">
        <v>6</v>
      </c>
      <c r="O8" s="23"/>
      <c r="P8" s="27">
        <v>2</v>
      </c>
      <c r="Q8" s="38" t="s">
        <v>13</v>
      </c>
      <c r="R8" s="23"/>
      <c r="S8" s="37">
        <v>4</v>
      </c>
      <c r="T8" s="24"/>
    </row>
    <row r="9" spans="1:20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/>
      <c r="F9" s="23"/>
      <c r="G9" s="27"/>
      <c r="H9" s="26"/>
      <c r="I9" s="23"/>
      <c r="J9" s="27"/>
      <c r="K9" s="26">
        <v>60</v>
      </c>
      <c r="L9" s="23"/>
      <c r="M9" s="27">
        <v>5</v>
      </c>
      <c r="N9" s="38" t="s">
        <v>1</v>
      </c>
      <c r="O9" s="23"/>
      <c r="P9" s="37">
        <v>4</v>
      </c>
      <c r="Q9" s="26" t="s">
        <v>14</v>
      </c>
      <c r="R9" s="23"/>
      <c r="S9" s="27">
        <v>5</v>
      </c>
      <c r="T9" s="24"/>
    </row>
    <row r="10" spans="1:20" x14ac:dyDescent="0.25">
      <c r="A10" s="12" t="s">
        <v>10</v>
      </c>
      <c r="B10" s="13">
        <f>COUNTA(B5:B9)</f>
        <v>5</v>
      </c>
      <c r="G10" s="13"/>
      <c r="J10" s="13"/>
      <c r="M10" s="13"/>
      <c r="P10" s="13"/>
    </row>
    <row r="15" spans="1:20" x14ac:dyDescent="0.25">
      <c r="H15" s="36"/>
    </row>
  </sheetData>
  <mergeCells count="11">
    <mergeCell ref="H3:J3"/>
    <mergeCell ref="Q3:S3"/>
    <mergeCell ref="Q2:S2"/>
    <mergeCell ref="A1:B1"/>
    <mergeCell ref="N2:P2"/>
    <mergeCell ref="N3:P3"/>
    <mergeCell ref="K2:M2"/>
    <mergeCell ref="K3:M3"/>
    <mergeCell ref="H2:J2"/>
    <mergeCell ref="E3:G3"/>
    <mergeCell ref="E2:G2"/>
  </mergeCells>
  <conditionalFormatting sqref="Q2:Q3 B4:S9">
    <cfRule type="cellIs" priority="4400" stopIfTrue="1" operator="equal">
      <formula>"="</formula>
    </cfRule>
    <cfRule type="cellIs" priority="4401" stopIfTrue="1" operator="equal">
      <formula>"="</formula>
    </cfRule>
  </conditionalFormatting>
  <conditionalFormatting sqref="A5:S9">
    <cfRule type="cellIs" priority="4402" stopIfTrue="1" operator="equal">
      <formula>"="</formula>
    </cfRule>
    <cfRule type="cellIs" priority="4408" stopIfTrue="1" operator="equal">
      <formula>"="</formula>
    </cfRule>
    <cfRule type="cellIs" priority="4416" stopIfTrue="1" operator="equal">
      <formula>"="</formula>
    </cfRule>
    <cfRule type="cellIs" priority="4421" stopIfTrue="1" operator="equal">
      <formula>"&lt;&gt;"""</formula>
    </cfRule>
    <cfRule type="cellIs" priority="4425" stopIfTrue="1" operator="equal">
      <formula>"&lt;&gt;"""</formula>
    </cfRule>
    <cfRule type="cellIs" priority="4427" stopIfTrue="1" operator="notEqual">
      <formula>"="</formula>
    </cfRule>
    <cfRule type="cellIs" priority="4431" stopIfTrue="1" operator="notEqual">
      <formula>"="</formula>
    </cfRule>
  </conditionalFormatting>
  <conditionalFormatting sqref="A5:S9">
    <cfRule type="cellIs" priority="4403" stopIfTrue="1" operator="equal">
      <formula>"="</formula>
    </cfRule>
    <cfRule type="cellIs" priority="4407" stopIfTrue="1" operator="equal">
      <formula>"="</formula>
    </cfRule>
    <cfRule type="cellIs" priority="4415" stopIfTrue="1" operator="equal">
      <formula>"="</formula>
    </cfRule>
    <cfRule type="cellIs" priority="4417" stopIfTrue="1" operator="equal">
      <formula>"="</formula>
    </cfRule>
    <cfRule type="cellIs" priority="4422" stopIfTrue="1" operator="equal">
      <formula>"&lt;&gt;"""</formula>
    </cfRule>
    <cfRule type="cellIs" priority="4424" stopIfTrue="1" operator="equal">
      <formula>"&lt;&gt;"""</formula>
    </cfRule>
    <cfRule type="cellIs" priority="4432" stopIfTrue="1" operator="notEqual">
      <formula>7</formula>
    </cfRule>
  </conditionalFormatting>
  <conditionalFormatting sqref="A5:S9">
    <cfRule type="cellIs" priority="4404" stopIfTrue="1" operator="equal">
      <formula>"="</formula>
    </cfRule>
    <cfRule type="cellIs" priority="4406" stopIfTrue="1" operator="equal">
      <formula>"="</formula>
    </cfRule>
    <cfRule type="cellIs" priority="4414" stopIfTrue="1" operator="equal">
      <formula>"="</formula>
    </cfRule>
    <cfRule type="cellIs" priority="4418" stopIfTrue="1" operator="equal">
      <formula>"="</formula>
    </cfRule>
  </conditionalFormatting>
  <conditionalFormatting sqref="A5:S9">
    <cfRule type="cellIs" priority="4405" stopIfTrue="1" operator="equal">
      <formula>"="</formula>
    </cfRule>
    <cfRule type="cellIs" priority="4413" stopIfTrue="1" operator="equal">
      <formula>"="</formula>
    </cfRule>
    <cfRule type="cellIs" priority="4419" stopIfTrue="1" operator="equal">
      <formula>"="</formula>
    </cfRule>
  </conditionalFormatting>
  <conditionalFormatting sqref="A5:S9">
    <cfRule type="cellIs" priority="4409" stopIfTrue="1" operator="equal">
      <formula>"="</formula>
    </cfRule>
    <cfRule type="cellIs" priority="4410" stopIfTrue="1" operator="equal">
      <formula>"="</formula>
    </cfRule>
    <cfRule type="cellIs" priority="4411" stopIfTrue="1" operator="equal">
      <formula>"="</formula>
    </cfRule>
    <cfRule type="cellIs" priority="4412" stopIfTrue="1" operator="equal">
      <formula>"="</formula>
    </cfRule>
    <cfRule type="cellIs" priority="4420" stopIfTrue="1" operator="equal">
      <formula>"="</formula>
    </cfRule>
  </conditionalFormatting>
  <conditionalFormatting sqref="A5:S9">
    <cfRule type="cellIs" priority="4423" stopIfTrue="1" operator="equal">
      <formula>"&lt;&gt;"""</formula>
    </cfRule>
  </conditionalFormatting>
  <conditionalFormatting sqref="A5:S9">
    <cfRule type="cellIs" priority="4426" stopIfTrue="1" operator="equal">
      <formula>"&lt;&gt;"""</formula>
    </cfRule>
    <cfRule type="cellIs" priority="4428" stopIfTrue="1" operator="notEqual">
      <formula>"="</formula>
    </cfRule>
    <cfRule type="cellIs" priority="4430" stopIfTrue="1" operator="notEqual">
      <formula>"="</formula>
    </cfRule>
    <cfRule type="cellIs" priority="4433" stopIfTrue="1" operator="notEqual">
      <formula>7</formula>
    </cfRule>
  </conditionalFormatting>
  <conditionalFormatting sqref="A5:S9">
    <cfRule type="cellIs" priority="4429" stopIfTrue="1" operator="notEqual">
      <formula>"="</formula>
    </cfRule>
    <cfRule type="cellIs" priority="4434" stopIfTrue="1" operator="notEqual">
      <formula>7</formula>
    </cfRule>
  </conditionalFormatting>
  <conditionalFormatting sqref="A4:A9">
    <cfRule type="cellIs" priority="4435" stopIfTrue="1" operator="notEqual">
      <formula>7</formula>
    </cfRule>
  </conditionalFormatting>
  <conditionalFormatting sqref="K2:K3 N2:N3">
    <cfRule type="cellIs" priority="1592" stopIfTrue="1" operator="equal">
      <formula>"="</formula>
    </cfRule>
    <cfRule type="cellIs" priority="1593" stopIfTrue="1" operator="equal">
      <formula>"="</formula>
    </cfRule>
  </conditionalFormatting>
  <conditionalFormatting sqref="H2:H3">
    <cfRule type="cellIs" priority="667" stopIfTrue="1" operator="equal">
      <formula>"="</formula>
    </cfRule>
    <cfRule type="cellIs" priority="668" stopIfTrue="1" operator="equal">
      <formula>"="</formula>
    </cfRule>
  </conditionalFormatting>
  <conditionalFormatting sqref="E2:E3">
    <cfRule type="cellIs" priority="593" stopIfTrue="1" operator="equal">
      <formula>"="</formula>
    </cfRule>
    <cfRule type="cellIs" priority="594" stopIfTrue="1" operator="equal">
      <formula>"="</formula>
    </cfRule>
  </conditionalFormatting>
  <dataValidations count="3">
    <dataValidation type="list" allowBlank="1" showInputMessage="1" showErrorMessage="1" sqref="E2:S2">
      <formula1>Codigos</formula1>
    </dataValidation>
    <dataValidation type="list" allowBlank="1" showInputMessage="1" showErrorMessage="1" sqref="R5:R9 O5:O9 L5:L9 I5:I9 F5:F9">
      <formula1>Color</formula1>
    </dataValidation>
    <dataValidation type="list" allowBlank="1" showInputMessage="1" showErrorMessage="1" sqref="Q5:Q9 N5:N9 K5:K9 H5:H9 E5:E9">
      <formula1>Talle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1:E6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28" t="s">
        <v>9133</v>
      </c>
      <c r="B1" s="28" t="s">
        <v>9132</v>
      </c>
      <c r="C1" t="s">
        <v>1005</v>
      </c>
    </row>
    <row r="3" spans="1:5" x14ac:dyDescent="0.25">
      <c r="A3" s="7" t="s">
        <v>8982</v>
      </c>
      <c r="B3" s="7" t="s">
        <v>8983</v>
      </c>
      <c r="C3" s="7" t="s">
        <v>9139</v>
      </c>
      <c r="D3" s="7" t="s">
        <v>9140</v>
      </c>
      <c r="E3" s="7" t="s">
        <v>9138</v>
      </c>
    </row>
    <row r="4" spans="1:5" x14ac:dyDescent="0.25">
      <c r="A4">
        <v>46</v>
      </c>
      <c r="C4">
        <v>1</v>
      </c>
      <c r="D4">
        <v>0</v>
      </c>
      <c r="E4">
        <v>1</v>
      </c>
    </row>
    <row r="5" spans="1:5" x14ac:dyDescent="0.25">
      <c r="A5">
        <v>48</v>
      </c>
      <c r="C5">
        <v>5</v>
      </c>
      <c r="D5">
        <v>3</v>
      </c>
      <c r="E5">
        <v>2</v>
      </c>
    </row>
    <row r="6" spans="1:5" x14ac:dyDescent="0.25">
      <c r="B6" s="7" t="s">
        <v>9141</v>
      </c>
      <c r="C6" s="7">
        <f>SUM(C4:C5)</f>
        <v>6</v>
      </c>
      <c r="D6" s="7">
        <f>SUM(D4:D5)</f>
        <v>3</v>
      </c>
      <c r="E6" s="7">
        <f>SUM(E4:E5)</f>
        <v>3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1:E6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28" t="s">
        <v>9133</v>
      </c>
      <c r="B1" s="28" t="s">
        <v>9134</v>
      </c>
      <c r="C1" t="s">
        <v>1007</v>
      </c>
    </row>
    <row r="3" spans="1:5" x14ac:dyDescent="0.25">
      <c r="A3" s="7" t="s">
        <v>8982</v>
      </c>
      <c r="B3" s="7" t="s">
        <v>8983</v>
      </c>
      <c r="C3" s="7" t="s">
        <v>9139</v>
      </c>
      <c r="D3" s="7" t="s">
        <v>9140</v>
      </c>
      <c r="E3" s="7" t="s">
        <v>9138</v>
      </c>
    </row>
    <row r="4" spans="1:5" x14ac:dyDescent="0.25">
      <c r="A4">
        <v>50</v>
      </c>
      <c r="C4">
        <v>3</v>
      </c>
      <c r="D4">
        <v>0</v>
      </c>
      <c r="E4">
        <v>3</v>
      </c>
    </row>
    <row r="5" spans="1:5" x14ac:dyDescent="0.25">
      <c r="A5">
        <v>52</v>
      </c>
      <c r="C5">
        <v>4</v>
      </c>
      <c r="D5">
        <v>4</v>
      </c>
      <c r="E5">
        <v>0</v>
      </c>
    </row>
    <row r="6" spans="1:5" x14ac:dyDescent="0.25">
      <c r="B6" s="7" t="s">
        <v>9141</v>
      </c>
      <c r="C6" s="7">
        <f>SUM(C4:C5)</f>
        <v>7</v>
      </c>
      <c r="D6" s="7">
        <f>SUM(D4:D5)</f>
        <v>4</v>
      </c>
      <c r="E6" s="7">
        <f>SUM(E4:E5)</f>
        <v>3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3"/>
  <dimension ref="A1:E5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28" t="s">
        <v>9133</v>
      </c>
      <c r="B1" s="28" t="s">
        <v>9135</v>
      </c>
      <c r="C1" t="s">
        <v>1013</v>
      </c>
    </row>
    <row r="3" spans="1:5" x14ac:dyDescent="0.25">
      <c r="A3" s="7" t="s">
        <v>8982</v>
      </c>
      <c r="B3" s="7" t="s">
        <v>8983</v>
      </c>
      <c r="C3" s="7" t="s">
        <v>9139</v>
      </c>
      <c r="D3" s="7" t="s">
        <v>9140</v>
      </c>
      <c r="E3" s="7" t="s">
        <v>9138</v>
      </c>
    </row>
    <row r="4" spans="1:5" x14ac:dyDescent="0.25">
      <c r="A4">
        <v>60</v>
      </c>
      <c r="C4">
        <v>5</v>
      </c>
      <c r="D4">
        <v>0</v>
      </c>
      <c r="E4">
        <v>5</v>
      </c>
    </row>
    <row r="5" spans="1:5" x14ac:dyDescent="0.25">
      <c r="B5" s="7" t="s">
        <v>9141</v>
      </c>
      <c r="C5" s="7">
        <f>SUM(C4:C4)</f>
        <v>5</v>
      </c>
      <c r="D5" s="7">
        <f>SUM(D4:D4)</f>
        <v>0</v>
      </c>
      <c r="E5" s="7">
        <f>SUM(E4:E4)</f>
        <v>5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4"/>
  <dimension ref="A1:E8"/>
  <sheetViews>
    <sheetView workbookViewId="0">
      <selection activeCell="B1" sqref="B1"/>
    </sheetView>
  </sheetViews>
  <sheetFormatPr baseColWidth="10" defaultRowHeight="15" x14ac:dyDescent="0.25"/>
  <sheetData>
    <row r="1" spans="1:5" x14ac:dyDescent="0.25">
      <c r="A1" s="28" t="s">
        <v>9133</v>
      </c>
      <c r="B1" s="28" t="s">
        <v>9136</v>
      </c>
      <c r="C1" t="s">
        <v>1676</v>
      </c>
    </row>
    <row r="3" spans="1:5" x14ac:dyDescent="0.25">
      <c r="A3" s="7" t="s">
        <v>8982</v>
      </c>
      <c r="B3" s="7" t="s">
        <v>8983</v>
      </c>
      <c r="C3" s="7" t="s">
        <v>9139</v>
      </c>
      <c r="D3" s="7" t="s">
        <v>9140</v>
      </c>
      <c r="E3" s="7" t="s">
        <v>9138</v>
      </c>
    </row>
    <row r="4" spans="1:5" x14ac:dyDescent="0.25">
      <c r="A4" t="s">
        <v>11</v>
      </c>
      <c r="C4">
        <v>5</v>
      </c>
      <c r="D4">
        <v>0</v>
      </c>
      <c r="E4">
        <v>5</v>
      </c>
    </row>
    <row r="5" spans="1:5" x14ac:dyDescent="0.25">
      <c r="A5" t="s">
        <v>1</v>
      </c>
      <c r="C5">
        <v>6</v>
      </c>
      <c r="D5">
        <v>6</v>
      </c>
      <c r="E5">
        <v>0</v>
      </c>
    </row>
    <row r="6" spans="1:5" x14ac:dyDescent="0.25">
      <c r="A6" t="s">
        <v>4</v>
      </c>
      <c r="C6">
        <v>3</v>
      </c>
      <c r="D6">
        <v>0</v>
      </c>
      <c r="E6">
        <v>3</v>
      </c>
    </row>
    <row r="7" spans="1:5" x14ac:dyDescent="0.25">
      <c r="A7" t="s">
        <v>6</v>
      </c>
      <c r="C7">
        <v>2</v>
      </c>
      <c r="D7">
        <v>0</v>
      </c>
      <c r="E7">
        <v>2</v>
      </c>
    </row>
    <row r="8" spans="1:5" x14ac:dyDescent="0.25">
      <c r="B8" s="7" t="s">
        <v>9141</v>
      </c>
      <c r="C8" s="7">
        <f>SUM(C4:C7)</f>
        <v>16</v>
      </c>
      <c r="D8" s="7">
        <f>SUM(D4:D7)</f>
        <v>6</v>
      </c>
      <c r="E8" s="7">
        <f>SUM(E4:E7)</f>
        <v>10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5"/>
  <dimension ref="A1:E7"/>
  <sheetViews>
    <sheetView workbookViewId="0">
      <selection activeCell="A10" sqref="A10"/>
    </sheetView>
  </sheetViews>
  <sheetFormatPr baseColWidth="10" defaultRowHeight="15" x14ac:dyDescent="0.25"/>
  <sheetData>
    <row r="1" spans="1:5" x14ac:dyDescent="0.25">
      <c r="A1" s="28" t="s">
        <v>9133</v>
      </c>
      <c r="B1" s="28" t="s">
        <v>9137</v>
      </c>
      <c r="C1" t="s">
        <v>1684</v>
      </c>
    </row>
    <row r="3" spans="1:5" x14ac:dyDescent="0.25">
      <c r="A3" s="7" t="s">
        <v>8982</v>
      </c>
      <c r="B3" s="7" t="s">
        <v>8983</v>
      </c>
      <c r="C3" s="7" t="s">
        <v>9139</v>
      </c>
      <c r="D3" s="7" t="s">
        <v>9140</v>
      </c>
      <c r="E3" s="7" t="s">
        <v>9138</v>
      </c>
    </row>
    <row r="4" spans="1:5" x14ac:dyDescent="0.25">
      <c r="A4" t="s">
        <v>12</v>
      </c>
      <c r="C4">
        <v>3</v>
      </c>
      <c r="D4">
        <v>0</v>
      </c>
      <c r="E4">
        <v>3</v>
      </c>
    </row>
    <row r="5" spans="1:5" x14ac:dyDescent="0.25">
      <c r="A5" t="s">
        <v>13</v>
      </c>
      <c r="C5">
        <v>7</v>
      </c>
      <c r="D5">
        <v>7</v>
      </c>
      <c r="E5">
        <v>0</v>
      </c>
    </row>
    <row r="6" spans="1:5" x14ac:dyDescent="0.25">
      <c r="A6" t="s">
        <v>14</v>
      </c>
      <c r="C6">
        <v>5</v>
      </c>
      <c r="D6">
        <v>0</v>
      </c>
      <c r="E6">
        <v>5</v>
      </c>
    </row>
    <row r="7" spans="1:5" x14ac:dyDescent="0.25">
      <c r="B7" s="7" t="s">
        <v>9141</v>
      </c>
      <c r="C7" s="7">
        <f>SUM(C4:C6)</f>
        <v>15</v>
      </c>
      <c r="D7" s="7">
        <f>SUM(D4:D6)</f>
        <v>7</v>
      </c>
      <c r="E7" s="7">
        <f>SUM(E4:E6)</f>
        <v>8</v>
      </c>
    </row>
  </sheetData>
  <hyperlinks>
    <hyperlink ref="A1" location="FALTANTES!A1" display="&lt;&lt;-  Volver al Resumen"/>
    <hyperlink ref="B1" location="FALTANTES!A1" display="FALTANTES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3</vt:i4>
      </vt:variant>
    </vt:vector>
  </HeadingPairs>
  <TitlesOfParts>
    <vt:vector size="12" baseType="lpstr">
      <vt:lpstr>LISTADO</vt:lpstr>
      <vt:lpstr>CODIGOS</vt:lpstr>
      <vt:lpstr>VARIANTES</vt:lpstr>
      <vt:lpstr>FALTANTES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2025-06-09T21:01:25Z</dcterms:modified>
</cp:coreProperties>
</file>