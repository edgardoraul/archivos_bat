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A02" lockStructure="1"/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172" r:id="rId4"/>
    <sheet name="8703400" sheetId="173" r:id="rId5"/>
    <sheet name="1120858" sheetId="174" r:id="rId6"/>
    <sheet name="1120859" sheetId="175" r:id="rId7"/>
    <sheet name="1120862" sheetId="176" r:id="rId8"/>
    <sheet name="2101495" sheetId="177" r:id="rId9"/>
    <sheet name="2101499" sheetId="178" r:id="rId10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7" i="172" l="1"/>
  <c r="D57" i="172"/>
  <c r="C57" i="172"/>
  <c r="E8" i="178"/>
  <c r="D8" i="178"/>
  <c r="C8" i="178"/>
  <c r="E47" i="172"/>
  <c r="D47" i="172"/>
  <c r="C47" i="172"/>
  <c r="E10" i="177"/>
  <c r="D10" i="177"/>
  <c r="C10" i="177"/>
  <c r="E35" i="172"/>
  <c r="D35" i="172"/>
  <c r="C35" i="172"/>
  <c r="E6" i="176"/>
  <c r="D6" i="176"/>
  <c r="C6" i="176"/>
  <c r="E27" i="172"/>
  <c r="D27" i="172"/>
  <c r="C27" i="172"/>
  <c r="E7" i="175"/>
  <c r="D7" i="175"/>
  <c r="C7" i="175"/>
  <c r="E18" i="172"/>
  <c r="D18" i="172"/>
  <c r="C18" i="172"/>
  <c r="E8" i="174"/>
  <c r="D8" i="174"/>
  <c r="C8" i="174"/>
  <c r="E8" i="172"/>
  <c r="D8" i="172"/>
  <c r="C8" i="172"/>
  <c r="E9" i="173"/>
  <c r="D9" i="173"/>
  <c r="C9" i="173"/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<sst xmlns="http://schemas.openxmlformats.org/spreadsheetml/2006/main" count="12042" uniqueCount="9138">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</sst>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0" xfId="0" applyAlignment="1">
      <alignment horizontal="left"/>
    </xf>
    <xf numFmtId="0" fontId="14" fillId="0" borderId="0" xfId="2"/>
    <xf numFmtId="0" fontId="1" fillId="0" borderId="2" xfId="0" applyFont="1" applyBorder="1"/>
    <xf numFmtId="0" fontId="0" fillId="0" borderId="2" xfId="0" applyBorder="1"/>
    <xf numFmtId="0" fontId="1" fillId="0" borderId="2" xfId="0" applyFont="1" applyBorder="1"/>
    <xf numFmtId="0" fontId="15" fillId="0" borderId="2" xfId="0" applyFont="1" applyBorder="1"/>
    <xf numFmtId="0" fontId="0" fillId="0" borderId="2" xfId="0" applyBorder="1" applyAlignment="1">
      <alignment horizontal="right"/>
    </xf>
    <xf numFmtId="0" fontId="14" fillId="0" borderId="2" xfId="2" applyBorder="1"/>
    <xf numFmtId="0" fontId="1" fillId="0" borderId="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5"/>
  <sheetViews>
    <sheetView tabSelected="1" zoomScaleNormal="100" workbookViewId="0">
      <pane xSplit="4" ySplit="4" topLeftCell="H5" activePane="bottomRight" state="frozen"/>
      <selection activeCell="F20" sqref="F20"/>
      <selection pane="topRight" activeCell="F20" sqref="F20"/>
      <selection pane="bottomLeft" activeCell="F20" sqref="F20"/>
      <selection pane="bottomRight" activeCell="K2" sqref="K2:M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36" t="s">
        <v>17</v>
      </c>
      <c r="B1" s="36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3" t="s">
        <v>7646</v>
      </c>
      <c r="F2" s="34"/>
      <c r="G2" s="35"/>
      <c r="H2" s="33" t="s">
        <v>1004</v>
      </c>
      <c r="I2" s="34"/>
      <c r="J2" s="35"/>
      <c r="K2" s="33" t="s">
        <v>1006</v>
      </c>
      <c r="L2" s="34"/>
      <c r="M2" s="35"/>
      <c r="N2" s="33" t="s">
        <v>1012</v>
      </c>
      <c r="O2" s="34"/>
      <c r="P2" s="35"/>
      <c r="Q2" s="33" t="s">
        <v>1675</v>
      </c>
      <c r="R2" s="34"/>
      <c r="S2" s="35"/>
      <c r="T2" s="33" t="s">
        <v>1683</v>
      </c>
      <c r="U2" s="34"/>
      <c r="V2" s="35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0" t="str">
        <f>IF(E2="","",VLOOKUP(E2,CODIGOS!$A$2:$C$5003,2,FALSE))</f>
        <v>PIST. EXTERNA KYDEX BERETTA/TAU9MM KY40E</v>
      </c>
      <c r="F3" s="31"/>
      <c r="G3" s="32"/>
      <c r="H3" s="30" t="str">
        <f>IF(H2="","",VLOOKUP(H2,CODIGOS!$A$2:$C$5003,2,FALSE))</f>
        <v>BOMB AMER RIP NEGRA 34/48 RER</v>
      </c>
      <c r="I3" s="31"/>
      <c r="J3" s="32"/>
      <c r="K3" s="30" t="str">
        <f>IF(K2="","",VLOOKUP(K2,CODIGOS!$A$2:$C$5003,2,FALSE))</f>
        <v>BOMB AMER RIP NEGRA 50/54 RER</v>
      </c>
      <c r="L3" s="31"/>
      <c r="M3" s="32"/>
      <c r="N3" s="30" t="str">
        <f>IF(N2="","",VLOOKUP(N2,CODIGOS!$A$2:$C$5003,2,FALSE))</f>
        <v>BOMB AMER RIP NEGRA 56/60 RER</v>
      </c>
      <c r="O3" s="31"/>
      <c r="P3" s="32"/>
      <c r="Q3" s="30" t="str">
        <f>IF(Q2="","",VLOOKUP(Q2,CODIGOS!$A$2:$C$5003,2,FALSE))</f>
        <v>CHOMBA MC CIERRE AZ 3XS/2XL RER</v>
      </c>
      <c r="R3" s="31"/>
      <c r="S3" s="32"/>
      <c r="T3" s="30" t="str">
        <f>IF(T2="","",VLOOKUP(T2,CODIGOS!$A$2:$C$5003,2,FALSE))</f>
        <v>CHOMBA MC CIERRE AZ 3XL/5XL RER</v>
      </c>
      <c r="U3" s="31"/>
      <c r="V3" s="32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/>
      <c r="F5" s="23"/>
      <c r="G5" s="29">
        <v>2</v>
      </c>
      <c r="H5" s="26">
        <v>46</v>
      </c>
      <c r="I5" s="23"/>
      <c r="J5" s="29">
        <v>1</v>
      </c>
      <c r="K5" s="26"/>
      <c r="L5" s="23"/>
      <c r="M5" s="27"/>
      <c r="N5" s="26"/>
      <c r="O5" s="23"/>
      <c r="P5" s="27"/>
      <c r="Q5" s="26" t="s">
        <v>11</v>
      </c>
      <c r="R5" s="23"/>
      <c r="S5" s="27">
        <v>5</v>
      </c>
      <c r="T5" s="26" t="s">
        <v>12</v>
      </c>
      <c r="U5" s="23"/>
      <c r="V5" s="27">
        <v>1</v>
      </c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/>
      <c r="F6" s="23"/>
      <c r="G6" s="29">
        <v>2</v>
      </c>
      <c r="H6" s="26">
        <v>48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9105</v>
      </c>
      <c r="R6" s="23" t="s">
        <v>9098</v>
      </c>
      <c r="S6" s="29">
        <v>2</v>
      </c>
      <c r="T6" s="26" t="s">
        <v>12</v>
      </c>
      <c r="U6" s="23"/>
      <c r="V6" s="27">
        <v>2</v>
      </c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9105</v>
      </c>
      <c r="F7" s="23"/>
      <c r="G7" s="29">
        <v>1</v>
      </c>
      <c r="H7" s="26">
        <v>34</v>
      </c>
      <c r="I7" s="23"/>
      <c r="J7" s="29">
        <v>3</v>
      </c>
      <c r="K7" s="26">
        <v>54</v>
      </c>
      <c r="L7" s="23"/>
      <c r="M7" s="27">
        <v>3</v>
      </c>
      <c r="N7" s="26"/>
      <c r="O7" s="23"/>
      <c r="P7" s="27"/>
      <c r="Q7" s="26" t="s">
        <v>4</v>
      </c>
      <c r="R7" s="23"/>
      <c r="S7" s="27">
        <v>3</v>
      </c>
      <c r="T7" s="26" t="s">
        <v>13</v>
      </c>
      <c r="U7" s="23"/>
      <c r="V7" s="29">
        <v>3</v>
      </c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9107</v>
      </c>
      <c r="F8" s="23"/>
      <c r="G8" s="27">
        <v>2</v>
      </c>
      <c r="H8" s="26"/>
      <c r="I8" s="23"/>
      <c r="J8" s="27"/>
      <c r="K8" s="26">
        <v>52</v>
      </c>
      <c r="L8" s="23"/>
      <c r="M8" s="29">
        <v>4</v>
      </c>
      <c r="N8" s="26"/>
      <c r="O8" s="23"/>
      <c r="P8" s="27"/>
      <c r="Q8" s="26" t="s">
        <v>9102</v>
      </c>
      <c r="R8" s="23" t="s">
        <v>9098</v>
      </c>
      <c r="S8" s="29">
        <v>2</v>
      </c>
      <c r="T8" s="26" t="s">
        <v>13</v>
      </c>
      <c r="U8" s="23"/>
      <c r="V8" s="29">
        <v>4</v>
      </c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9108</v>
      </c>
      <c r="F9" s="23"/>
      <c r="G9" s="27">
        <v>3</v>
      </c>
      <c r="H9" s="26"/>
      <c r="I9" s="23"/>
      <c r="J9" s="27"/>
      <c r="K9" s="26"/>
      <c r="L9" s="23"/>
      <c r="M9" s="27"/>
      <c r="N9" s="26">
        <v>60</v>
      </c>
      <c r="O9" s="23"/>
      <c r="P9" s="27">
        <v>5</v>
      </c>
      <c r="Q9" s="26" t="s">
        <v>9108</v>
      </c>
      <c r="R9" s="23" t="s">
        <v>9099</v>
      </c>
      <c r="S9" s="29">
        <v>4</v>
      </c>
      <c r="T9" s="26" t="s">
        <v>14</v>
      </c>
      <c r="U9" s="23"/>
      <c r="V9" s="27">
        <v>5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</sheetData>
  <sheetProtection password="8A02" sheet="1" objects="1" scenarios="1"/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sheetProtection password="8A02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password="8A02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1:E57"/>
  <sheetViews>
    <sheetView workbookViewId="0">
      <selection activeCell="G7" sqref="G7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3" t="s">
        <v>9132</v>
      </c>
      <c r="B1" s="43"/>
      <c r="C1" s="45"/>
      <c r="D1" s="43"/>
      <c r="E1" s="44">
        <v>8703400</v>
      </c>
    </row>
    <row r="2" spans="1:5" ht="18.75" x14ac:dyDescent="0.3">
      <c r="A2" s="42" t="s">
        <v>7647</v>
      </c>
      <c r="B2" s="41"/>
      <c r="C2" s="41"/>
      <c r="D2" s="41"/>
      <c r="E2" s="41"/>
    </row>
    <row r="3" spans="1:5" x14ac:dyDescent="0.25">
      <c r="A3" s="39" t="s">
        <v>8982</v>
      </c>
      <c r="B3" s="39" t="s">
        <v>8983</v>
      </c>
      <c r="C3" s="39" t="s">
        <v>9133</v>
      </c>
      <c r="D3" s="39" t="s">
        <v>9134</v>
      </c>
      <c r="E3" s="39" t="s">
        <v>9135</v>
      </c>
    </row>
    <row r="4" spans="1:5" x14ac:dyDescent="0.25">
      <c r="A4" s="40"/>
      <c r="B4" s="40"/>
      <c r="C4" s="40">
        <v>4</v>
      </c>
      <c r="D4" s="40">
        <v>4</v>
      </c>
      <c r="E4" s="40"/>
    </row>
    <row r="5" spans="1:5" x14ac:dyDescent="0.25">
      <c r="A5" s="40" t="s">
        <v>9107</v>
      </c>
      <c r="B5" s="40"/>
      <c r="C5" s="40">
        <v>2</v>
      </c>
      <c r="D5" s="40"/>
      <c r="E5" s="40">
        <v>2</v>
      </c>
    </row>
    <row r="6" spans="1:5" x14ac:dyDescent="0.25">
      <c r="A6" s="40" t="s">
        <v>9105</v>
      </c>
      <c r="B6" s="40"/>
      <c r="C6" s="40">
        <v>1</v>
      </c>
      <c r="D6" s="40">
        <v>1</v>
      </c>
      <c r="E6" s="40"/>
    </row>
    <row r="7" spans="1:5" x14ac:dyDescent="0.25">
      <c r="A7" s="40" t="s">
        <v>9108</v>
      </c>
      <c r="B7" s="40"/>
      <c r="C7" s="40">
        <v>3</v>
      </c>
      <c r="D7" s="40"/>
      <c r="E7" s="40">
        <v>3</v>
      </c>
    </row>
    <row r="8" spans="1:5" x14ac:dyDescent="0.25">
      <c r="A8" s="40"/>
      <c r="B8" s="39" t="s">
        <v>9136</v>
      </c>
      <c r="C8" s="39">
        <f>SUM(C4:C7)</f>
        <v>10</v>
      </c>
      <c r="D8" s="39">
        <f>SUM(D4:D7)</f>
        <v>5</v>
      </c>
      <c r="E8" s="39">
        <f>SUM(E4:E7)</f>
        <v>5</v>
      </c>
    </row>
    <row r="12" spans="1:5" x14ac:dyDescent="0.25">
      <c r="A12" s="43" t="s">
        <v>9132</v>
      </c>
      <c r="B12" s="43"/>
      <c r="C12" s="45"/>
      <c r="D12" s="43"/>
      <c r="E12" s="44">
        <v>1120858</v>
      </c>
    </row>
    <row r="13" spans="1:5" ht="18.75" x14ac:dyDescent="0.3">
      <c r="A13" s="42" t="s">
        <v>1005</v>
      </c>
      <c r="B13" s="41"/>
      <c r="C13" s="41"/>
      <c r="D13" s="41"/>
      <c r="E13" s="41"/>
    </row>
    <row r="14" spans="1:5" x14ac:dyDescent="0.25">
      <c r="A14" s="39" t="s">
        <v>8982</v>
      </c>
      <c r="B14" s="39" t="s">
        <v>8983</v>
      </c>
      <c r="C14" s="39" t="s">
        <v>9133</v>
      </c>
      <c r="D14" s="39" t="s">
        <v>9134</v>
      </c>
      <c r="E14" s="39" t="s">
        <v>9135</v>
      </c>
    </row>
    <row r="15" spans="1:5" x14ac:dyDescent="0.25">
      <c r="A15" s="40">
        <v>34</v>
      </c>
      <c r="B15" s="40"/>
      <c r="C15" s="40">
        <v>3</v>
      </c>
      <c r="D15" s="40">
        <v>3</v>
      </c>
      <c r="E15" s="40"/>
    </row>
    <row r="16" spans="1:5" x14ac:dyDescent="0.25">
      <c r="A16" s="40">
        <v>46</v>
      </c>
      <c r="B16" s="40"/>
      <c r="C16" s="40">
        <v>1</v>
      </c>
      <c r="D16" s="40">
        <v>1</v>
      </c>
      <c r="E16" s="40"/>
    </row>
    <row r="17" spans="1:5" x14ac:dyDescent="0.25">
      <c r="A17" s="40">
        <v>48</v>
      </c>
      <c r="B17" s="40"/>
      <c r="C17" s="40">
        <v>2</v>
      </c>
      <c r="D17" s="40">
        <v>2</v>
      </c>
      <c r="E17" s="40"/>
    </row>
    <row r="18" spans="1:5" x14ac:dyDescent="0.25">
      <c r="A18" s="40"/>
      <c r="B18" s="39" t="s">
        <v>9136</v>
      </c>
      <c r="C18" s="39">
        <f>SUM(C15:C17)</f>
        <v>6</v>
      </c>
      <c r="D18" s="39">
        <f>SUM(D15:D17)</f>
        <v>6</v>
      </c>
      <c r="E18" s="39">
        <f>SUM(E15:E17)</f>
        <v>0</v>
      </c>
    </row>
    <row r="22" spans="1:5" x14ac:dyDescent="0.25">
      <c r="A22" s="43" t="s">
        <v>9132</v>
      </c>
      <c r="B22" s="43"/>
      <c r="C22" s="45"/>
      <c r="D22" s="43"/>
      <c r="E22" s="44">
        <v>1120859</v>
      </c>
    </row>
    <row r="23" spans="1:5" ht="18.75" x14ac:dyDescent="0.3">
      <c r="A23" s="42" t="s">
        <v>1007</v>
      </c>
      <c r="B23" s="41"/>
      <c r="C23" s="41"/>
      <c r="D23" s="41"/>
      <c r="E23" s="41"/>
    </row>
    <row r="24" spans="1:5" x14ac:dyDescent="0.25">
      <c r="A24" s="39" t="s">
        <v>8982</v>
      </c>
      <c r="B24" s="39" t="s">
        <v>8983</v>
      </c>
      <c r="C24" s="39" t="s">
        <v>9133</v>
      </c>
      <c r="D24" s="39" t="s">
        <v>9134</v>
      </c>
      <c r="E24" s="39" t="s">
        <v>9135</v>
      </c>
    </row>
    <row r="25" spans="1:5" x14ac:dyDescent="0.25">
      <c r="A25" s="40">
        <v>52</v>
      </c>
      <c r="B25" s="40"/>
      <c r="C25" s="40">
        <v>4</v>
      </c>
      <c r="D25" s="40">
        <v>4</v>
      </c>
      <c r="E25" s="40"/>
    </row>
    <row r="26" spans="1:5" x14ac:dyDescent="0.25">
      <c r="A26" s="40">
        <v>54</v>
      </c>
      <c r="B26" s="40"/>
      <c r="C26" s="40">
        <v>3</v>
      </c>
      <c r="D26" s="40"/>
      <c r="E26" s="40">
        <v>3</v>
      </c>
    </row>
    <row r="27" spans="1:5" x14ac:dyDescent="0.25">
      <c r="A27" s="40"/>
      <c r="B27" s="39" t="s">
        <v>9136</v>
      </c>
      <c r="C27" s="39">
        <f>SUM(C25:C26)</f>
        <v>7</v>
      </c>
      <c r="D27" s="39">
        <f>SUM(D25:D26)</f>
        <v>4</v>
      </c>
      <c r="E27" s="39">
        <f>SUM(E25:E26)</f>
        <v>3</v>
      </c>
    </row>
    <row r="31" spans="1:5" x14ac:dyDescent="0.25">
      <c r="A31" s="43" t="s">
        <v>9132</v>
      </c>
      <c r="B31" s="43"/>
      <c r="C31" s="45"/>
      <c r="D31" s="43"/>
      <c r="E31" s="44">
        <v>1120862</v>
      </c>
    </row>
    <row r="32" spans="1:5" ht="18.75" x14ac:dyDescent="0.3">
      <c r="A32" s="42" t="s">
        <v>1013</v>
      </c>
      <c r="B32" s="41"/>
      <c r="C32" s="41"/>
      <c r="D32" s="41"/>
      <c r="E32" s="41"/>
    </row>
    <row r="33" spans="1:5" x14ac:dyDescent="0.25">
      <c r="A33" s="39" t="s">
        <v>8982</v>
      </c>
      <c r="B33" s="39" t="s">
        <v>8983</v>
      </c>
      <c r="C33" s="39" t="s">
        <v>9133</v>
      </c>
      <c r="D33" s="39" t="s">
        <v>9134</v>
      </c>
      <c r="E33" s="39" t="s">
        <v>9135</v>
      </c>
    </row>
    <row r="34" spans="1:5" x14ac:dyDescent="0.25">
      <c r="A34" s="40">
        <v>60</v>
      </c>
      <c r="B34" s="40"/>
      <c r="C34" s="40">
        <v>5</v>
      </c>
      <c r="D34" s="40"/>
      <c r="E34" s="40">
        <v>5</v>
      </c>
    </row>
    <row r="35" spans="1:5" x14ac:dyDescent="0.25">
      <c r="A35" s="40"/>
      <c r="B35" s="39" t="s">
        <v>9136</v>
      </c>
      <c r="C35" s="39">
        <f>SUM(C34:C34)</f>
        <v>5</v>
      </c>
      <c r="D35" s="39">
        <f>SUM(D34:D34)</f>
        <v>0</v>
      </c>
      <c r="E35" s="39">
        <f>SUM(E34:E34)</f>
        <v>5</v>
      </c>
    </row>
    <row r="39" spans="1:5" x14ac:dyDescent="0.25">
      <c r="A39" s="43" t="s">
        <v>9132</v>
      </c>
      <c r="B39" s="43"/>
      <c r="C39" s="45"/>
      <c r="D39" s="43"/>
      <c r="E39" s="44">
        <v>2101495</v>
      </c>
    </row>
    <row r="40" spans="1:5" ht="18.75" x14ac:dyDescent="0.3">
      <c r="A40" s="42" t="s">
        <v>1676</v>
      </c>
      <c r="B40" s="41"/>
      <c r="C40" s="41"/>
      <c r="D40" s="41"/>
      <c r="E40" s="41"/>
    </row>
    <row r="41" spans="1:5" x14ac:dyDescent="0.25">
      <c r="A41" s="39" t="s">
        <v>8982</v>
      </c>
      <c r="B41" s="39" t="s">
        <v>8983</v>
      </c>
      <c r="C41" s="39" t="s">
        <v>9133</v>
      </c>
      <c r="D41" s="39" t="s">
        <v>9134</v>
      </c>
      <c r="E41" s="39" t="s">
        <v>9135</v>
      </c>
    </row>
    <row r="42" spans="1:5" x14ac:dyDescent="0.25">
      <c r="A42" s="40" t="s">
        <v>11</v>
      </c>
      <c r="B42" s="40"/>
      <c r="C42" s="40">
        <v>5</v>
      </c>
      <c r="D42" s="40"/>
      <c r="E42" s="40">
        <v>5</v>
      </c>
    </row>
    <row r="43" spans="1:5" x14ac:dyDescent="0.25">
      <c r="A43" s="40" t="s">
        <v>4</v>
      </c>
      <c r="B43" s="40"/>
      <c r="C43" s="40">
        <v>3</v>
      </c>
      <c r="D43" s="40"/>
      <c r="E43" s="40">
        <v>3</v>
      </c>
    </row>
    <row r="44" spans="1:5" x14ac:dyDescent="0.25">
      <c r="A44" s="40" t="s">
        <v>9105</v>
      </c>
      <c r="B44" s="40" t="s">
        <v>9098</v>
      </c>
      <c r="C44" s="40">
        <v>2</v>
      </c>
      <c r="D44" s="40">
        <v>2</v>
      </c>
      <c r="E44" s="40"/>
    </row>
    <row r="45" spans="1:5" x14ac:dyDescent="0.25">
      <c r="A45" s="40" t="s">
        <v>9102</v>
      </c>
      <c r="B45" s="40" t="s">
        <v>9098</v>
      </c>
      <c r="C45" s="40">
        <v>2</v>
      </c>
      <c r="D45" s="40">
        <v>2</v>
      </c>
      <c r="E45" s="40"/>
    </row>
    <row r="46" spans="1:5" x14ac:dyDescent="0.25">
      <c r="A46" s="40" t="s">
        <v>9108</v>
      </c>
      <c r="B46" s="40" t="s">
        <v>9099</v>
      </c>
      <c r="C46" s="40">
        <v>4</v>
      </c>
      <c r="D46" s="40">
        <v>4</v>
      </c>
      <c r="E46" s="40"/>
    </row>
    <row r="47" spans="1:5" x14ac:dyDescent="0.25">
      <c r="A47" s="40"/>
      <c r="B47" s="39" t="s">
        <v>9136</v>
      </c>
      <c r="C47" s="39">
        <f>SUM(C42:C46)</f>
        <v>16</v>
      </c>
      <c r="D47" s="39">
        <f>SUM(D42:D46)</f>
        <v>8</v>
      </c>
      <c r="E47" s="39">
        <f>SUM(E42:E46)</f>
        <v>8</v>
      </c>
    </row>
    <row r="51" spans="1:5" x14ac:dyDescent="0.25">
      <c r="A51" s="43" t="s">
        <v>9132</v>
      </c>
      <c r="B51" s="43"/>
      <c r="C51" s="45"/>
      <c r="D51" s="43"/>
      <c r="E51" s="44">
        <v>2101499</v>
      </c>
    </row>
    <row r="52" spans="1:5" ht="18.75" x14ac:dyDescent="0.3">
      <c r="A52" s="42" t="s">
        <v>1684</v>
      </c>
      <c r="B52" s="41"/>
      <c r="C52" s="41"/>
      <c r="D52" s="41"/>
      <c r="E52" s="41"/>
    </row>
    <row r="53" spans="1:5" x14ac:dyDescent="0.25">
      <c r="A53" s="39" t="s">
        <v>8982</v>
      </c>
      <c r="B53" s="39" t="s">
        <v>8983</v>
      </c>
      <c r="C53" s="39" t="s">
        <v>9133</v>
      </c>
      <c r="D53" s="39" t="s">
        <v>9134</v>
      </c>
      <c r="E53" s="39" t="s">
        <v>9135</v>
      </c>
    </row>
    <row r="54" spans="1:5" x14ac:dyDescent="0.25">
      <c r="A54" s="40" t="s">
        <v>12</v>
      </c>
      <c r="B54" s="40"/>
      <c r="C54" s="40">
        <v>3</v>
      </c>
      <c r="D54" s="40"/>
      <c r="E54" s="40">
        <v>3</v>
      </c>
    </row>
    <row r="55" spans="1:5" x14ac:dyDescent="0.25">
      <c r="A55" s="40" t="s">
        <v>13</v>
      </c>
      <c r="B55" s="40"/>
      <c r="C55" s="40">
        <v>7</v>
      </c>
      <c r="D55" s="40">
        <v>7</v>
      </c>
      <c r="E55" s="40"/>
    </row>
    <row r="56" spans="1:5" x14ac:dyDescent="0.25">
      <c r="A56" s="40" t="s">
        <v>14</v>
      </c>
      <c r="B56" s="40"/>
      <c r="C56" s="40">
        <v>5</v>
      </c>
      <c r="D56" s="40"/>
      <c r="E56" s="40">
        <v>5</v>
      </c>
    </row>
    <row r="57" spans="1:5" x14ac:dyDescent="0.25">
      <c r="A57" s="40"/>
      <c r="B57" s="39" t="s">
        <v>9136</v>
      </c>
      <c r="C57" s="39">
        <f>SUM(C54:C56)</f>
        <v>15</v>
      </c>
      <c r="D57" s="39">
        <f>SUM(D54:D56)</f>
        <v>7</v>
      </c>
      <c r="E57" s="39">
        <f>SUM(E54:E56)</f>
        <v>8</v>
      </c>
    </row>
  </sheetData>
  <sheetProtection password="8A02" sheet="1" objects="1" scenarios="1"/>
  <mergeCells count="12">
    <mergeCell ref="A31:D31"/>
    <mergeCell ref="A32:E32"/>
    <mergeCell ref="A39:D39"/>
    <mergeCell ref="A40:E40"/>
    <mergeCell ref="A51:D51"/>
    <mergeCell ref="A52:E52"/>
    <mergeCell ref="A1:D1"/>
    <mergeCell ref="A2:E2"/>
    <mergeCell ref="A12:D12"/>
    <mergeCell ref="A13:E13"/>
    <mergeCell ref="A22:D22"/>
    <mergeCell ref="A23:E23"/>
  </mergeCells>
  <hyperlinks>
    <hyperlink ref="E1" location="LISTADO!E2" display="LISTADO!E2"/>
    <hyperlink ref="E12" location="LISTADO!H2" display="LISTADO!H2"/>
    <hyperlink ref="E22" location="LISTADO!K2" display="LISTADO!K2"/>
    <hyperlink ref="E31" location="LISTADO!N2" display="LISTADO!N2"/>
    <hyperlink ref="E39" location="LISTADO!Q2" display="LISTADO!Q2"/>
    <hyperlink ref="E51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8703400</v>
      </c>
    </row>
    <row r="3" spans="1:5" ht="18.75" x14ac:dyDescent="0.3">
      <c r="A3" s="42" t="s">
        <v>7647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/>
      <c r="B5" s="40"/>
      <c r="C5" s="40">
        <v>4</v>
      </c>
      <c r="D5" s="40">
        <v>4</v>
      </c>
      <c r="E5" s="40"/>
    </row>
    <row r="6" spans="1:5" x14ac:dyDescent="0.25">
      <c r="A6" s="40" t="s">
        <v>9107</v>
      </c>
      <c r="B6" s="40"/>
      <c r="C6" s="40">
        <v>2</v>
      </c>
      <c r="D6" s="40"/>
      <c r="E6" s="40">
        <v>2</v>
      </c>
    </row>
    <row r="7" spans="1:5" x14ac:dyDescent="0.25">
      <c r="A7" s="40" t="s">
        <v>9105</v>
      </c>
      <c r="B7" s="40"/>
      <c r="C7" s="40">
        <v>1</v>
      </c>
      <c r="D7" s="40">
        <v>1</v>
      </c>
      <c r="E7" s="40"/>
    </row>
    <row r="8" spans="1:5" x14ac:dyDescent="0.25">
      <c r="A8" s="40" t="s">
        <v>9108</v>
      </c>
      <c r="B8" s="40"/>
      <c r="C8" s="40">
        <v>3</v>
      </c>
      <c r="D8" s="40"/>
      <c r="E8" s="40">
        <v>3</v>
      </c>
    </row>
    <row r="9" spans="1:5" x14ac:dyDescent="0.25">
      <c r="A9" s="40"/>
      <c r="B9" s="39" t="s">
        <v>9136</v>
      </c>
      <c r="C9" s="39">
        <f>SUM(C5:C8)</f>
        <v>10</v>
      </c>
      <c r="D9" s="39">
        <f>SUM(D5:D8)</f>
        <v>5</v>
      </c>
      <c r="E9" s="39">
        <f>SUM(E5:E8)</f>
        <v>5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E2" display="LISTADO!E2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1120858</v>
      </c>
    </row>
    <row r="3" spans="1:5" ht="18.75" x14ac:dyDescent="0.3">
      <c r="A3" s="42" t="s">
        <v>1005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34</v>
      </c>
      <c r="B5" s="40"/>
      <c r="C5" s="40">
        <v>3</v>
      </c>
      <c r="D5" s="40">
        <v>3</v>
      </c>
      <c r="E5" s="40"/>
    </row>
    <row r="6" spans="1:5" x14ac:dyDescent="0.25">
      <c r="A6" s="40">
        <v>46</v>
      </c>
      <c r="B6" s="40"/>
      <c r="C6" s="40">
        <v>1</v>
      </c>
      <c r="D6" s="40">
        <v>1</v>
      </c>
      <c r="E6" s="40"/>
    </row>
    <row r="7" spans="1:5" x14ac:dyDescent="0.25">
      <c r="A7" s="40">
        <v>48</v>
      </c>
      <c r="B7" s="40"/>
      <c r="C7" s="40">
        <v>2</v>
      </c>
      <c r="D7" s="40">
        <v>2</v>
      </c>
      <c r="E7" s="40"/>
    </row>
    <row r="8" spans="1:5" x14ac:dyDescent="0.25">
      <c r="A8" s="40"/>
      <c r="B8" s="39" t="s">
        <v>9136</v>
      </c>
      <c r="C8" s="39">
        <f>SUM(C5:C7)</f>
        <v>6</v>
      </c>
      <c r="D8" s="39">
        <f>SUM(D5:D7)</f>
        <v>6</v>
      </c>
      <c r="E8" s="39">
        <f>SUM(E5:E7)</f>
        <v>0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H2" display="LISTADO!H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/>
  <dimension ref="A1:E7"/>
  <sheetViews>
    <sheetView workbookViewId="0">
      <selection activeCell="E2" sqref="E2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1120859</v>
      </c>
    </row>
    <row r="3" spans="1:5" ht="18.75" x14ac:dyDescent="0.3">
      <c r="A3" s="42" t="s">
        <v>1007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52</v>
      </c>
      <c r="B5" s="40"/>
      <c r="C5" s="40">
        <v>4</v>
      </c>
      <c r="D5" s="40">
        <v>4</v>
      </c>
      <c r="E5" s="40"/>
    </row>
    <row r="6" spans="1:5" x14ac:dyDescent="0.25">
      <c r="A6" s="40">
        <v>54</v>
      </c>
      <c r="B6" s="40"/>
      <c r="C6" s="40">
        <v>3</v>
      </c>
      <c r="D6" s="40"/>
      <c r="E6" s="40">
        <v>3</v>
      </c>
    </row>
    <row r="7" spans="1:5" x14ac:dyDescent="0.25">
      <c r="A7" s="40"/>
      <c r="B7" s="39" t="s">
        <v>9136</v>
      </c>
      <c r="C7" s="39">
        <f>SUM(C5:C6)</f>
        <v>7</v>
      </c>
      <c r="D7" s="39">
        <f>SUM(D5:D6)</f>
        <v>4</v>
      </c>
      <c r="E7" s="39">
        <f>SUM(E5:E6)</f>
        <v>3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K2" display="LISTADO!K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1120862</v>
      </c>
    </row>
    <row r="3" spans="1:5" ht="18.75" x14ac:dyDescent="0.3">
      <c r="A3" s="42" t="s">
        <v>1013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>
        <v>60</v>
      </c>
      <c r="B5" s="40"/>
      <c r="C5" s="40">
        <v>5</v>
      </c>
      <c r="D5" s="40"/>
      <c r="E5" s="40">
        <v>5</v>
      </c>
    </row>
    <row r="6" spans="1:5" x14ac:dyDescent="0.25">
      <c r="A6" s="40"/>
      <c r="B6" s="39" t="s">
        <v>9136</v>
      </c>
      <c r="C6" s="39">
        <f>SUM(C5:C5)</f>
        <v>5</v>
      </c>
      <c r="D6" s="39">
        <f>SUM(D5:D5)</f>
        <v>0</v>
      </c>
      <c r="E6" s="39">
        <f>SUM(E5:E5)</f>
        <v>5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N2" display="LISTADO!N2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/>
  <dimension ref="A1:E10"/>
  <sheetViews>
    <sheetView workbookViewId="0">
      <selection activeCell="A2" sqref="A2:E10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2101495</v>
      </c>
    </row>
    <row r="3" spans="1:5" ht="18.75" x14ac:dyDescent="0.3">
      <c r="A3" s="42" t="s">
        <v>1676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11</v>
      </c>
      <c r="B5" s="40"/>
      <c r="C5" s="40">
        <v>5</v>
      </c>
      <c r="D5" s="40"/>
      <c r="E5" s="40">
        <v>5</v>
      </c>
    </row>
    <row r="6" spans="1:5" x14ac:dyDescent="0.25">
      <c r="A6" s="40" t="s">
        <v>4</v>
      </c>
      <c r="B6" s="40"/>
      <c r="C6" s="40">
        <v>3</v>
      </c>
      <c r="D6" s="40"/>
      <c r="E6" s="40">
        <v>3</v>
      </c>
    </row>
    <row r="7" spans="1:5" x14ac:dyDescent="0.25">
      <c r="A7" s="40" t="s">
        <v>9105</v>
      </c>
      <c r="B7" s="40" t="s">
        <v>9098</v>
      </c>
      <c r="C7" s="40">
        <v>2</v>
      </c>
      <c r="D7" s="40">
        <v>2</v>
      </c>
      <c r="E7" s="40"/>
    </row>
    <row r="8" spans="1:5" x14ac:dyDescent="0.25">
      <c r="A8" s="40" t="s">
        <v>9102</v>
      </c>
      <c r="B8" s="40" t="s">
        <v>9098</v>
      </c>
      <c r="C8" s="40">
        <v>2</v>
      </c>
      <c r="D8" s="40">
        <v>2</v>
      </c>
      <c r="E8" s="40"/>
    </row>
    <row r="9" spans="1:5" x14ac:dyDescent="0.25">
      <c r="A9" s="40" t="s">
        <v>9108</v>
      </c>
      <c r="B9" s="40" t="s">
        <v>9099</v>
      </c>
      <c r="C9" s="40">
        <v>4</v>
      </c>
      <c r="D9" s="40">
        <v>4</v>
      </c>
      <c r="E9" s="40"/>
    </row>
    <row r="10" spans="1:5" x14ac:dyDescent="0.25">
      <c r="A10" s="40"/>
      <c r="B10" s="39" t="s">
        <v>9136</v>
      </c>
      <c r="C10" s="39">
        <f>SUM(C5:C9)</f>
        <v>16</v>
      </c>
      <c r="D10" s="39">
        <f>SUM(D5:D9)</f>
        <v>8</v>
      </c>
      <c r="E10" s="39">
        <f>SUM(E5:E9)</f>
        <v>8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Q2" display="LISTADO!Q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16.7109375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8" t="s">
        <v>9137</v>
      </c>
      <c r="B1" s="37"/>
      <c r="C1" s="7"/>
    </row>
    <row r="2" spans="1:5" x14ac:dyDescent="0.25">
      <c r="A2" s="43" t="s">
        <v>9132</v>
      </c>
      <c r="B2" s="43"/>
      <c r="C2" s="45"/>
      <c r="D2" s="43"/>
      <c r="E2" s="44">
        <v>2101499</v>
      </c>
    </row>
    <row r="3" spans="1:5" ht="18.75" x14ac:dyDescent="0.3">
      <c r="A3" s="42" t="s">
        <v>1684</v>
      </c>
      <c r="B3" s="41"/>
      <c r="C3" s="41"/>
      <c r="D3" s="41"/>
      <c r="E3" s="41"/>
    </row>
    <row r="4" spans="1:5" x14ac:dyDescent="0.25">
      <c r="A4" s="39" t="s">
        <v>8982</v>
      </c>
      <c r="B4" s="39" t="s">
        <v>8983</v>
      </c>
      <c r="C4" s="39" t="s">
        <v>9133</v>
      </c>
      <c r="D4" s="39" t="s">
        <v>9134</v>
      </c>
      <c r="E4" s="39" t="s">
        <v>9135</v>
      </c>
    </row>
    <row r="5" spans="1:5" x14ac:dyDescent="0.25">
      <c r="A5" s="40" t="s">
        <v>12</v>
      </c>
      <c r="B5" s="40"/>
      <c r="C5" s="40">
        <v>3</v>
      </c>
      <c r="D5" s="40"/>
      <c r="E5" s="40">
        <v>3</v>
      </c>
    </row>
    <row r="6" spans="1:5" x14ac:dyDescent="0.25">
      <c r="A6" s="40" t="s">
        <v>13</v>
      </c>
      <c r="B6" s="40"/>
      <c r="C6" s="40">
        <v>7</v>
      </c>
      <c r="D6" s="40">
        <v>7</v>
      </c>
      <c r="E6" s="40"/>
    </row>
    <row r="7" spans="1:5" x14ac:dyDescent="0.25">
      <c r="A7" s="40" t="s">
        <v>14</v>
      </c>
      <c r="B7" s="40"/>
      <c r="C7" s="40">
        <v>5</v>
      </c>
      <c r="D7" s="40"/>
      <c r="E7" s="40">
        <v>5</v>
      </c>
    </row>
    <row r="8" spans="1:5" x14ac:dyDescent="0.25">
      <c r="A8" s="40"/>
      <c r="B8" s="39" t="s">
        <v>9136</v>
      </c>
      <c r="C8" s="39">
        <f>SUM(C5:C7)</f>
        <v>15</v>
      </c>
      <c r="D8" s="39">
        <f>SUM(D5:D7)</f>
        <v>7</v>
      </c>
      <c r="E8" s="39">
        <f>SUM(E5:E7)</f>
        <v>8</v>
      </c>
    </row>
  </sheetData>
  <sheetProtection password="8A02" sheet="1" objects="1" scenarios="1"/>
  <mergeCells count="2">
    <mergeCell ref="A2:D2"/>
    <mergeCell ref="A3:E3"/>
  </mergeCells>
  <hyperlinks>
    <hyperlink ref="A1" location="FALTANTES!A1" display="&lt;&lt;-  Ir al Resumen"/>
    <hyperlink ref="E2" location="LISTADO!T2" display="LISTADO!T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2025-06-19T21:00:51Z</dcterms:modified>
</cp:coreProperties>
</file>