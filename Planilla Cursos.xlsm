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389" r:id="rId4"/>
    <sheet name="2101550" sheetId="390" r:id="rId5"/>
    <sheet name="2101999" sheetId="391" r:id="rId6"/>
    <sheet name="2101900" sheetId="392" r:id="rId7"/>
    <sheet name="1120859" sheetId="393" r:id="rId8"/>
    <sheet name="1120858" sheetId="394" r:id="rId9"/>
  </sheets>
  <functionGroups builtInGroupCount="18"/>
  <definedNames>
    <definedName name="_xlnm._FilterDatabase" localSheetId="0" hidden="1">LISTADO!$A$4:$W$4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" i="11" l="1"/>
  <c r="U9" i="11"/>
  <c r="T9" i="11"/>
  <c r="U8" i="11"/>
  <c r="T8" i="11"/>
  <c r="V8" i="11" s="1"/>
  <c r="U7" i="11"/>
  <c r="T7" i="11"/>
  <c r="V7" i="11" s="1"/>
  <c r="U5" i="11"/>
  <c r="T5" i="11"/>
  <c r="V5" i="11" s="1"/>
  <c r="E45" i="389"/>
  <c r="D45" i="389"/>
  <c r="C45" i="389"/>
  <c r="E9" i="394"/>
  <c r="D9" i="394"/>
  <c r="C9" i="394"/>
  <c r="E35" i="389"/>
  <c r="D35" i="389"/>
  <c r="C35" i="389"/>
  <c r="E9" i="393"/>
  <c r="D9" i="393"/>
  <c r="C9" i="393"/>
  <c r="E25" i="389"/>
  <c r="D25" i="389"/>
  <c r="C25" i="389"/>
  <c r="E8" i="392"/>
  <c r="D8" i="392"/>
  <c r="C8" i="392"/>
  <c r="E16" i="389"/>
  <c r="D16" i="389"/>
  <c r="C16" i="389"/>
  <c r="E7" i="391"/>
  <c r="D7" i="391"/>
  <c r="C7" i="391"/>
  <c r="E8" i="389"/>
  <c r="D8" i="389"/>
  <c r="C8" i="389"/>
  <c r="E9" i="390"/>
  <c r="D9" i="390"/>
  <c r="C9" i="390"/>
  <c r="U6" i="11"/>
  <c r="T6" i="11"/>
  <c r="V6" i="11" s="1"/>
  <c r="E3" i="11"/>
  <c r="H3" i="11"/>
  <c r="B13" i="11" l="1"/>
  <c r="B12" i="11"/>
  <c r="B11" i="11"/>
  <c r="K3" i="11" l="1"/>
  <c r="N3" i="11" l="1"/>
  <c r="B4617" i="92" l="1"/>
  <c r="Q3" i="11" l="1"/>
</calcChain>
</file>

<file path=xl/sharedStrings.xml><?xml version="1.0" encoding="utf-8"?>
<sst xmlns="http://schemas.openxmlformats.org/spreadsheetml/2006/main" count="12066" uniqueCount="9154">
  <si>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</si>
  <si>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</si>
  <si>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</si>
  <si>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</si>
  <si>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</si>
  <si>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</si>
  <si>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</si>
  <si>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</si>
  <si>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</si>
  <si>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</si>
  <si>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</si>
  <si>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</si>
  <si>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</si>
  <si>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</si>
  <si>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</si>
  <si>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</si>
  <si>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</si>
  <si>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</si>
  <si>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</si>
  <si>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</si>
  <si>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</si>
  <si>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</si>
  <si>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</si>
  <si>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</si>
  <si>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</si>
  <si>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</si>
  <si>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</si>
  <si>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</si>
  <si>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</si>
  <si>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</si>
  <si>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</si>
  <si>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</si>
  <si>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</si>
  <si>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</si>
  <si>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</si>
  <si>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</si>
  <si>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</si>
  <si>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</si>
  <si>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</si>
  <si>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</si>
  <si>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</si>
  <si>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</si>
  <si>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</si>
  <si>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</si>
  <si>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</si>
  <si>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</si>
  <si>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</si>
  <si>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</si>
  <si>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</si>
  <si>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</si>
  <si>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</si>
  <si>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</si>
  <si>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</si>
  <si>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</si>
  <si>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</si>
  <si>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</si>
  <si>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</si>
  <si>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</si>
  <si>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</si>
  <si>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</si>
  <si>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</si>
  <si>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</si>
  <si>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</si>
  <si>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</si>
  <si>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</si>
  <si>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</si>
  <si>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</si>
  <si>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</si>
  <si>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</si>
  <si>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</si>
  <si>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</si>
  <si>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</si>
  <si>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</si>
  <si>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</si>
  <si>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</si>
  <si>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</si>
  <si>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</si>
  <si>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</si>
  <si>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</si>
  <si>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</si>
  <si>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</si>
  <si>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</si>
  <si>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</si>
  <si>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</si>
  <si>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</si>
  <si>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</si>
  <si>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</si>
  <si>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</si>
  <si>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</si>
  <si>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</si>
  <si>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</si>
  <si>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</si>
  <si>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</si>
  <si>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</si>
  <si>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</si>
  <si>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</si>
  <si>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</si>
  <si>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</si>
  <si>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</si>
  <si>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</si>
  <si>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</si>
  <si>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</si>
  <si>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</si>
  <si>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</si>
  <si>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</si>
  <si>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</si>
  <si>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</si>
  <si>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</si>
  <si>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</si>
  <si>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</si>
  <si>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</si>
  <si>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</si>
  <si>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</si>
  <si>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</si>
  <si>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</si>
  <si>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</si>
  <si>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</si>
  <si>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</si>
  <si>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</si>
  <si>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</si>
  <si>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</si>
  <si>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</si>
  <si>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</si>
  <si>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</si>
  <si>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</si>
  <si>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</si>
  <si>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</si>
  <si>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</si>
  <si>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</si>
  <si>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</si>
  <si>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</si>
  <si>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</si>
  <si>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</si>
  <si>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</si>
  <si>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</si>
  <si>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</si>
  <si>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</si>
  <si>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</si>
  <si>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</si>
  <si>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</si>
  <si>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</si>
  <si>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</si>
  <si>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</si>
  <si>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</si>
  <si>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</si>
  <si>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</si>
  <si>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</si>
  <si>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</si>
  <si>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</si>
  <si>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</si>
  <si>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</si>
  <si>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</si>
  <si>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</si>
  <si>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</si>
  <si>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</si>
  <si>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</si>
  <si>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</si>
  <si>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</si>
  <si>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</si>
  <si>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</si>
  <si>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</si>
  <si>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</si>
  <si>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</si>
  <si>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</si>
  <si>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</si>
  <si>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</si>
  <si>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</si>
  <si>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</si>
  <si>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</si>
  <si>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</si>
  <si>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</si>
  <si>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</si>
  <si>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</si>
  <si>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</si>
  <si>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</si>
  <si>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</si>
  <si>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</si>
  <si>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</si>
  <si>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</si>
  <si>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</si>
  <si>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</si>
  <si>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</si>
  <si>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</si>
  <si>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</si>
  <si>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</si>
  <si>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</si>
  <si>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</si>
  <si>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</si>
  <si>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</si>
  <si>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</si>
  <si>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</si>
  <si>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</si>
  <si>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</si>
  <si>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</si>
  <si>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</si>
  <si>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</si>
  <si>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</si>
  <si>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</si>
  <si>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</si>
  <si>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</si>
  <si>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</si>
  <si>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</si>
  <si>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</si>
  <si>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</si>
  <si>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</si>
  <si>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</si>
  <si>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</si>
  <si>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</si>
  <si>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</si>
  <si>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</si>
  <si>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</si>
  <si>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</si>
  <si>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</si>
  <si>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</si>
  <si>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</si>
  <si>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</si>
  <si>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</si>
  <si>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</si>
  <si>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</si>
  <si>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</si>
  <si>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</si>
  <si>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</si>
  <si>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</si>
  <si>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</si>
  <si>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</si>
  <si>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</si>
  <si>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</si>
  <si>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</si>
  <si>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</si>
  <si>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</si>
  <si>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</si>
  <si>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</si>
  <si>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</si>
  <si>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</si>
  <si>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</si>
  <si>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</si>
  <si>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</si>
  <si>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</si>
  <si>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</si>
  <si>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</si>
  <si>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</si>
  <si>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</si>
  <si>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</si>
  <si>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</si>
  <si>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</si>
  <si>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</si>
  <si>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</si>
  <si>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</si>
  <si>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</si>
  <si>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</si>
  <si>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</si>
  <si>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</si>
  <si>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</si>
  <si>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</si>
  <si>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</si>
  <si>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</si>
  <si>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</si>
  <si>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</si>
  <si>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</si>
  <si>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</si>
  <si>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</si>
  <si>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</si>
  <si>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</si>
  <si>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</si>
  <si>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</si>
  <si>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</si>
  <si>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</si>
  <si>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</si>
  <si>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</si>
  <si>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</si>
  <si>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</si>
  <si>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</si>
  <si>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</si>
  <si>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</si>
  <si>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</si>
  <si>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</si>
  <si>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</si>
  <si>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</si>
  <si>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</si>
  <si>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</si>
  <si>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</si>
  <si>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</si>
  <si>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</si>
  <si>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</si>
  <si>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</si>
  <si>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</si>
  <si>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</si>
  <si>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</si>
  <si>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</si>
  <si>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</si>
  <si>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</si>
  <si>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</si>
  <si>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</si>
  <si>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</si>
  <si>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</si>
  <si>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</si>
  <si>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</si>
  <si>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</si>
  <si>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</si>
  <si>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</si>
  <si>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</si>
  <si>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</si>
  <si>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</si>
  <si>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</si>
  <si>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</si>
  <si>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</si>
  <si>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</si>
  <si>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</si>
  <si>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</si>
  <si>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</si>
  <si>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</si>
  <si>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</si>
  <si>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</si>
  <si>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</si>
  <si>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</si>
  <si>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</si>
  <si>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</si>
  <si>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</si>
  <si>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</si>
  <si>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</si>
  <si>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</si>
  <si>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</si>
  <si>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</si>
  <si>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</si>
  <si>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</si>
  <si>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</si>
  <si>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</si>
  <si>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</si>
  <si>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</si>
  <si>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</si>
  <si>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</si>
  <si>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</si>
  <si>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</si>
  <si>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</si>
  <si>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</si>
  <si>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</si>
  <si>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</si>
  <si>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</si>
  <si>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</si>
  <si>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</si>
  <si>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</si>
  <si>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</si>
  <si>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</si>
  <si>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</si>
  <si>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</si>
  <si>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</si>
  <si>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</si>
  <si>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</si>
  <si>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</si>
  <si>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</si>
  <si>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</si>
  <si>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</si>
  <si>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</si>
  <si>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</si>
  <si>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</si>
  <si>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</si>
  <si>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</si>
  <si>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</si>
  <si>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</si>
  <si>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</si>
  <si>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</si>
  <si>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</si>
  <si>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</si>
  <si>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</si>
  <si>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</si>
  <si>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</si>
  <si>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</si>
  <si>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</si>
  <si>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</si>
  <si>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</si>
  <si>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</si>
  <si>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</si>
  <si>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</si>
  <si>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</si>
  <si>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</si>
  <si>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</si>
  <si>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</si>
  <si>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</si>
  <si>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</si>
  <si>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</si>
  <si>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</si>
  <si>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</si>
  <si>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</si>
  <si>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</si>
  <si>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</si>
  <si>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</si>
  <si>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</si>
  <si>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</si>
  <si>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</si>
  <si>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</si>
  <si>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</si>
  <si>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</si>
  <si>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</si>
  <si>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</si>
  <si>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</si>
  <si>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</si>
  <si>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</si>
  <si>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</si>
  <si>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</si>
  <si>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</si>
  <si>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</si>
  <si>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</si>
  <si>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</si>
  <si>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</si>
  <si>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</si>
  <si>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</si>
  <si>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</si>
  <si>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</si>
  <si>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</si>
  <si>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</si>
  <si>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</si>
  <si>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</si>
  <si>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</si>
  <si>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</si>
  <si>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</si>
  <si>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</si>
  <si>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</si>
  <si>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</si>
  <si>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</si>
  <si>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</si>
  <si>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</si>
  <si>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</si>
  <si>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</si>
  <si>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</si>
  <si>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</si>
  <si>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</si>
  <si>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</si>
  <si>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</si>
  <si>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</si>
  <si>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</si>
  <si>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</si>
  <si>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</si>
  <si>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</si>
  <si>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</si>
  <si>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</si>
  <si>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</si>
  <si>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</si>
  <si>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</si>
  <si>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</si>
  <si>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</si>
  <si>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</si>
  <si>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</si>
  <si>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</si>
  <si>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</si>
  <si>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</si>
  <si>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</si>
  <si>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</si>
  <si>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</si>
  <si>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</si>
  <si>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</si>
  <si>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</si>
  <si>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</si>
  <si>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</si>
  <si>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</si>
  <si>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</si>
  <si>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</si>
  <si>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</si>
  <si>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</si>
  <si>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</si>
  <si>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</si>
  <si>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</si>
  <si>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</si>
  <si>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</si>
  <si>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</si>
  <si>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</si>
  <si>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</si>
  <si>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</si>
  <si>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</si>
  <si>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</si>
  <si>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</si>
  <si>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</si>
  <si>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</si>
  <si>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</si>
  <si>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</si>
  <si>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</si>
  <si>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</si>
  <si>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</si>
  <si>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</si>
  <si>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</si>
  <si>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</si>
  <si>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</si>
  <si>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</si>
  <si>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</si>
  <si>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</si>
  <si>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</si>
  <si>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</si>
  <si>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</si>
  <si>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</si>
  <si>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</si>
  <si>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</si>
  <si>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</si>
  <si>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</si>
  <si>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</si>
  <si>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</si>
  <si>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</si>
  <si>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</si>
  <si>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</si>
  <si>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</si>
  <si>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</si>
  <si>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</si>
  <si>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</si>
  <si>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</si>
  <si>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</si>
  <si>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</si>
  <si>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</si>
  <si>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</si>
  <si>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</si>
  <si>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</si>
  <si>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</si>
  <si>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</si>
  <si>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</si>
  <si>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</si>
  <si>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</si>
  <si>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</si>
  <si>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</si>
  <si>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</si>
  <si>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</si>
  <si>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</si>
  <si>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</si>
  <si>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</si>
  <si>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</si>
  <si>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</si>
  <si>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</si>
  <si>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</si>
  <si>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</si>
  <si>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</si>
  <si>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</si>
  <si>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</si>
  <si>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</si>
  <si>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</si>
  <si>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</si>
  <si>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</si>
  <si>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</si>
  <si>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</si>
  <si>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</si>
  <si>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</si>
  <si>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</si>
  <si>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</si>
  <si>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</si>
  <si>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</si>
  <si>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</si>
  <si>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</si>
  <si>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</si>
  <si>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</si>
  <si>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</si>
  <si>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</si>
  <si>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</si>
  <si>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</si>
  <si>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</si>
  <si>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</si>
  <si>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</si>
  <si>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</si>
  <si>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</si>
  <si>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</si>
  <si>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</si>
  <si>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</si>
  <si>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</si>
  <si>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</si>
  <si>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</si>
  <si>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</si>
  <si>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</si>
  <si>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</si>
  <si>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</si>
  <si>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</si>
  <si>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</si>
  <si>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</si>
  <si>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</si>
  <si>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</si>
  <si>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</si>
  <si>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</si>
  <si>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</si>
  <si>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</si>
  <si>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</si>
  <si>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</si>
  <si>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</si>
  <si>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</si>
  <si>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</si>
  <si>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</si>
  <si>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</si>
  <si>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</si>
  <si>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</si>
  <si>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</si>
  <si>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</si>
  <si>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</si>
  <si>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</si>
  <si>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</si>
  <si>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</si>
  <si>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</si>
  <si>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</si>
  <si>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</si>
  <si>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</si>
  <si>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</si>
  <si>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</si>
  <si>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</si>
  <si>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</si>
  <si>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</si>
  <si>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</si>
  <si>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</si>
  <si>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</si>
  <si>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</si>
  <si>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</si>
  <si>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</si>
  <si>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</si>
  <si>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</si>
  <si>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</si>
  <si>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</si>
  <si>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</si>
  <si>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</si>
  <si>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</si>
  <si>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</si>
  <si>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</si>
  <si>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</si>
  <si>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</si>
  <si>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</si>
  <si>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</si>
  <si>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</si>
  <si>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</si>
  <si>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</si>
  <si>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</si>
  <si>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</si>
  <si>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</si>
  <si>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</si>
  <si>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</si>
  <si>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</si>
  <si>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</si>
  <si>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</si>
  <si>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</si>
  <si>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</si>
  <si>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</si>
  <si>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</si>
  <si>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</si>
  <si>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</si>
  <si>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</si>
  <si>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</si>
  <si>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</si>
  <si>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</si>
  <si>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</si>
  <si>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</si>
  <si>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</si>
  <si>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</si>
  <si>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</si>
  <si>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</si>
  <si>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</si>
  <si>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</si>
  <si>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</si>
  <si>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</si>
  <si>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</si>
  <si>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</si>
  <si>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</si>
  <si>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</si>
  <si>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</si>
  <si>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</si>
  <si>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</si>
  <si>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</si>
  <si>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</si>
  <si>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</si>
  <si>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</si>
  <si>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</si>
  <si>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</si>
  <si>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</si>
  <si>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</si>
  <si>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</si>
  <si>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</si>
  <si>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</si>
  <si>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</si>
  <si>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</si>
  <si>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</si>
  <si>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</si>
  <si>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</si>
  <si>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</si>
  <si>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</si>
  <si>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</si>
  <si>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</si>
  <si>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</si>
  <si>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</si>
  <si>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</si>
  <si>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</si>
  <si>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</si>
  <si>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</si>
  <si>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</si>
  <si>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</si>
  <si>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</si>
  <si>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</si>
  <si>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</si>
  <si>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</si>
  <si>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</si>
  <si>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</si>
  <si>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</si>
  <si>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</si>
  <si>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</si>
  <si>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</si>
  <si>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</si>
  <si>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</si>
  <si>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</si>
  <si>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</si>
  <si>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</si>
  <si>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</si>
  <si>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</si>
  <si>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</si>
  <si>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</si>
  <si>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</si>
  <si>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</si>
  <si>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</si>
  <si>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</si>
  <si>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</si>
  <si>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</si>
  <si>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</si>
  <si>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</si>
  <si>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</si>
  <si>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</si>
  <si>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</si>
  <si>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</si>
  <si>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</si>
  <si>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</si>
  <si>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</si>
  <si>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</si>
  <si>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</si>
  <si>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</si>
  <si>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</si>
  <si>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</si>
  <si>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</si>
  <si>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</si>
  <si>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</si>
  <si>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</si>
  <si>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</si>
  <si>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</si>
  <si>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</si>
  <si>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</si>
  <si>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</si>
  <si>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</si>
  <si>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</si>
  <si>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</si>
  <si>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</si>
  <si>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</si>
  <si>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</si>
  <si>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</si>
  <si>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</si>
  <si>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</si>
  <si>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</si>
  <si>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</si>
  <si>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</si>
  <si>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</si>
  <si>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</si>
  <si>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</si>
  <si>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</si>
  <si>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</si>
  <si>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</si>
  <si>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</si>
  <si>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</si>
  <si>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</si>
  <si>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</si>
  <si>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</si>
  <si>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</si>
  <si>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</si>
  <si>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</si>
  <si>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</si>
  <si>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</si>
  <si>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</si>
  <si>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</si>
  <si>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</si>
  <si>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</si>
  <si>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</si>
  <si>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</si>
  <si>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</si>
  <si>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</si>
  <si>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</si>
  <si>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</si>
  <si>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</si>
  <si>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</si>
  <si>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</si>
  <si>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</si>
  <si>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</si>
  <si>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</si>
  <si>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</si>
  <si>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</si>
  <si>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</si>
  <si>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</si>
  <si>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</si>
  <si>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</si>
  <si>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</si>
  <si>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</si>
  <si>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</si>
  <si>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</si>
  <si>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</si>
  <si>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</si>
  <si>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</si>
  <si>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</si>
  <si>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</si>
  <si>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</si>
  <si>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</si>
  <si>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</si>
  <si>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</si>
  <si>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</si>
  <si>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</si>
  <si>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</si>
  <si>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</si>
  <si>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</si>
  <si>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</si>
  <si>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</si>
  <si>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</si>
  <si>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</si>
  <si>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</si>
  <si>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</si>
  <si>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</si>
  <si>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</si>
  <si>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</si>
  <si>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</si>
  <si>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</si>
  <si>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</si>
  <si>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</si>
  <si>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</si>
  <si>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</si>
  <si>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</si>
  <si>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</si>
  <si>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</si>
  <si>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</si>
  <si>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</si>
  <si>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</si>
  <si>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</si>
  <si>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</si>
  <si>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</si>
  <si>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</si>
  <si>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</si>
  <si>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</si>
  <si>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</si>
  <si>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</si>
  <si>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</si>
  <si>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</si>
  <si>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</si>
  <si>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</si>
  <si>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</si>
  <si>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</si>
  <si>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</si>
  <si>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</si>
  <si>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</si>
  <si>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</si>
  <si>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</si>
  <si>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</si>
  <si>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</si>
  <si>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</si>
  <si>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</si>
  <si>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</si>
  <si>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</si>
  <si>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</si>
  <si>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</si>
  <si>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</si>
  <si>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</si>
  <si>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</si>
  <si>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</si>
  <si>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</si>
  <si>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</si>
  <si>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</si>
  <si>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</si>
  <si>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</si>
  <si>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</si>
  <si>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</si>
  <si>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</si>
  <si>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</si>
  <si>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</si>
  <si>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</si>
  <si>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</si>
  <si>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</si>
  <si>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</si>
  <si>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</si>
  <si>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</si>
  <si>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</si>
  <si>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</si>
  <si>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</si>
  <si>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</si>
  <si>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</si>
  <si>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</si>
  <si>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</si>
  <si>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</si>
  <si>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</si>
  <si>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</si>
  <si>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</si>
  <si>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</si>
  <si>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</si>
  <si>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</si>
  <si>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</si>
  <si>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</si>
  <si>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</si>
  <si>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</si>
  <si>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</si>
  <si>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</si>
  <si>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</si>
  <si>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</si>
  <si>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</si>
  <si>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</si>
  <si>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</si>
  <si>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</si>
  <si>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</si>
  <si>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</si>
  <si>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</si>
  <si>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</si>
  <si>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</si>
  <si>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</si>
  <si>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</si>
  <si>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</si>
  <si>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</si>
  <si>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</si>
  <si>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</si>
  <si>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</si>
  <si>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</si>
  <si>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</si>
  <si>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</si>
  <si>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</si>
  <si>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</si>
  <si>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</si>
  <si>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</si>
  <si>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</si>
  <si>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</si>
  <si>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</si>
  <si>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</si>
  <si>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</si>
  <si>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</si>
  <si>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</si>
  <si>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</si>
  <si>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</si>
  <si>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</si>
  <si>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</si>
  <si>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</si>
  <si>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</si>
  <si>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</si>
  <si>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</si>
  <si>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</si>
  <si>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</si>
  <si>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</si>
  <si>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</si>
  <si>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</si>
  <si>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</si>
  <si>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</si>
  <si>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</si>
  <si>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</si>
  <si>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</si>
  <si>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</si>
  <si>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</si>
  <si>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</si>
  <si>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</si>
  <si>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</si>
  <si>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</si>
  <si>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</si>
  <si>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</si>
  <si>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</si>
  <si>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</si>
  <si>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</si>
  <si>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</si>
  <si>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</si>
  <si>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</si>
  <si>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</si>
  <si>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</si>
  <si>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</si>
  <si>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</si>
  <si>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</si>
  <si>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</si>
  <si>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</si>
  <si>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</si>
  <si>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</si>
  <si>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</si>
  <si>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</si>
  <si>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</si>
  <si>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</si>
  <si>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</si>
  <si>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</si>
  <si>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</si>
  <si>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</si>
  <si>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</si>
  <si>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</si>
  <si>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</si>
  <si>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</si>
  <si>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</si>
  <si>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</si>
  <si>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</si>
  <si>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</si>
  <si>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</si>
  <si>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</si>
  <si>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</si>
  <si>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</si>
  <si>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</si>
  <si>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</si>
  <si>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</si>
  <si>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</si>
  <si>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</si>
  <si>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</si>
  <si>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</si>
  <si>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</si>
  <si>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</si>
  <si>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</si>
  <si>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</si>
  <si>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</si>
  <si>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</si>
  <si>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</si>
  <si>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</si>
  <si>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</si>
  <si>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</si>
  <si>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</si>
  <si>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</si>
  <si>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</si>
  <si>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</si>
  <si>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</si>
  <si>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</si>
  <si>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</si>
  <si>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</si>
  <si>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</si>
  <si>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</si>
  <si>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</si>
  <si>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</si>
  <si>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</si>
  <si>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</si>
  <si>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</si>
  <si>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</si>
  <si>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</si>
  <si>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</si>
  <si>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</si>
  <si>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</si>
  <si>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</si>
  <si>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</si>
  <si>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</si>
  <si>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</si>
  <si>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</si>
  <si>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</si>
  <si>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</si>
  <si>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</si>
  <si>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</si>
  <si>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</si>
  <si>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</si>
  <si>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</si>
  <si>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</si>
  <si>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</si>
  <si>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</si>
  <si>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</si>
  <si>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</si>
  <si>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</si>
  <si>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</si>
  <si>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</si>
  <si>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</si>
  <si>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</si>
  <si>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</si>
  <si>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</si>
  <si>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</si>
  <si>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</si>
  <si>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</si>
  <si>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</si>
  <si>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</si>
  <si>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</si>
  <si>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</si>
  <si>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</si>
  <si>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</si>
  <si>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</si>
  <si>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</si>
  <si>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</si>
  <si>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</si>
  <si>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</si>
  <si>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</si>
  <si>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</si>
  <si>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</si>
  <si>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</si>
  <si>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</si>
  <si>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</si>
  <si>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</si>
  <si>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</si>
  <si>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</si>
  <si>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</si>
  <si>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</si>
  <si>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</si>
  <si>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</si>
  <si>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</si>
  <si>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</si>
  <si>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</si>
  <si>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</si>
  <si>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</si>
  <si>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</si>
  <si>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</si>
  <si>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</si>
  <si>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</si>
  <si>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</si>
  <si>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</si>
  <si>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</si>
  <si>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</si>
  <si>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</si>
  <si>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</si>
  <si>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</si>
  <si>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</si>
  <si>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</si>
  <si>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</si>
  <si>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</si>
  <si>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</si>
  <si>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</si>
  <si>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</si>
  <si>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</si>
  <si>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</si>
  <si>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</si>
  <si>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</si>
  <si>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</si>
  <si>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</si>
  <si>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</si>
  <si>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</si>
  <si>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</si>
  <si>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</si>
  <si>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</si>
  <si>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</si>
  <si>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</si>
  <si>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</si>
  <si>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</si>
  <si>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</si>
  <si>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</si>
  <si>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</si>
  <si>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</si>
  <si>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</si>
  <si>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</si>
  <si>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</si>
  <si>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</si>
  <si>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</si>
  <si>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</si>
  <si>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</si>
  <si>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</si>
  <si>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</si>
  <si>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</si>
  <si>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</si>
  <si>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</si>
  <si>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</si>
  <si>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</si>
  <si>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</si>
  <si>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</si>
  <si>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</si>
  <si>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</si>
  <si>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</si>
  <si>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</si>
  <si>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</si>
  <si>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</si>
  <si>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</si>
  <si>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</si>
  <si>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</si>
  <si>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</si>
  <si>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</si>
  <si>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</si>
  <si>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</si>
  <si>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</si>
  <si>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</si>
  <si>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</si>
  <si>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</si>
  <si>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</si>
  <si>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</si>
  <si>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</si>
  <si>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</si>
  <si>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</si>
  <si>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</si>
  <si>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</si>
  <si>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</si>
  <si>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</si>
  <si>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</si>
  <si>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</si>
  <si>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</si>
  <si>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</si>
  <si>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</si>
  <si>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</si>
  <si>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</si>
  <si>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</si>
  <si>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</si>
  <si>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</si>
  <si>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</si>
  <si>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</si>
  <si>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</si>
  <si>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</si>
  <si>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</si>
  <si>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</si>
  <si>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</si>
  <si>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</si>
  <si>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</si>
  <si>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</si>
  <si>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</si>
  <si>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</si>
  <si>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</si>
  <si>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</si>
  <si>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</si>
  <si>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</si>
  <si>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</si>
  <si>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</si>
  <si>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</si>
  <si>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</si>
  <si>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</si>
  <si>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</si>
  <si>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</si>
  <si>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</si>
  <si>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</si>
  <si>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</si>
  <si>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</si>
  <si>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</si>
  <si>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</si>
  <si>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</si>
  <si>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</si>
  <si>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</si>
  <si>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</si>
  <si>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</si>
  <si>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</si>
  <si>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</si>
  <si>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</si>
  <si>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</si>
  <si>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</si>
  <si>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</si>
  <si>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</si>
  <si>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</si>
  <si>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</si>
  <si>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</si>
  <si>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</si>
  <si>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</si>
  <si>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</si>
  <si>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</si>
  <si>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</si>
  <si>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</si>
  <si>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</si>
  <si>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</si>
  <si>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</si>
  <si>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</si>
  <si>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</si>
  <si>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</si>
  <si>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</si>
  <si>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</si>
  <si>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</si>
  <si>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</si>
  <si>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</si>
  <si>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</si>
  <si>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</si>
  <si>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</si>
  <si>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</si>
  <si>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</si>
  <si>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</si>
  <si>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</si>
  <si>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</si>
  <si>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</si>
  <si>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</si>
  <si>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</si>
  <si>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</si>
  <si>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</si>
  <si>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</si>
  <si>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</si>
  <si>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</si>
  <si>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</si>
  <si>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</si>
  <si>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</si>
  <si>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</si>
  <si>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</si>
  <si>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</si>
  <si>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</si>
  <si>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</si>
  <si>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</si>
  <si>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</si>
  <si>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</si>
  <si>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</si>
  <si>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</si>
  <si>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</si>
  <si>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</si>
  <si>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</si>
  <si>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</si>
  <si>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</si>
  <si>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</si>
  <si>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</si>
  <si>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</si>
  <si>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</si>
  <si>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</si>
  <si>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</si>
  <si>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</si>
  <si>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</si>
  <si>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</si>
  <si>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</si>
  <si>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</si>
  <si>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</si>
  <si>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</si>
  <si>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</si>
  <si>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</si>
  <si>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</si>
  <si>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</si>
  <si>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</si>
  <si>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</si>
  <si>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</si>
  <si>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</si>
  <si>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</si>
  <si>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</si>
  <si>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</si>
  <si>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</si>
  <si>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</si>
  <si>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</si>
  <si>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</si>
  <si>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</si>
  <si>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</si>
  <si>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</si>
  <si>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</si>
  <si>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</si>
  <si>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</si>
  <si>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</si>
  <si>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</si>
  <si>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</si>
  <si>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</si>
  <si>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</si>
  <si>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</si>
  <si>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</si>
  <si>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</si>
  <si>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</si>
  <si>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</si>
  <si>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</si>
  <si>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</si>
  <si>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</si>
  <si>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</si>
  <si>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</si>
  <si>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</si>
  <si>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</si>
  <si>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</si>
  <si>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</si>
  <si>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</si>
  <si>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</si>
  <si>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</si>
  <si>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</si>
  <si>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</si>
  <si>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</si>
  <si>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</si>
  <si>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</si>
  <si>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</si>
  <si>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</si>
  <si>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</si>
  <si>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</si>
  <si>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</si>
  <si>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</si>
  <si>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</si>
  <si>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</si>
  <si>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</si>
  <si>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</si>
  <si>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</si>
  <si>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</si>
  <si>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</si>
  <si>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</si>
  <si>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</si>
  <si>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</si>
  <si>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</si>
  <si>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</si>
  <si>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</si>
  <si>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</si>
  <si>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</si>
  <si>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</si>
  <si>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</si>
  <si>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</si>
  <si>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</si>
  <si>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</si>
  <si>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</si>
  <si>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</si>
  <si>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</si>
  <si>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</si>
  <si>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</si>
  <si>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</si>
  <si>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</si>
  <si>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</si>
  <si>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</si>
  <si>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</si>
  <si>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</si>
  <si>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</si>
  <si>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</si>
  <si>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</si>
  <si>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</si>
  <si>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</si>
  <si>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</si>
  <si>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</si>
  <si>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</si>
  <si>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</si>
  <si>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</si>
  <si>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</si>
  <si>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</si>
  <si>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</si>
  <si>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</si>
  <si>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</si>
  <si>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</si>
  <si>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</si>
  <si>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</si>
  <si>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</si>
  <si>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</si>
  <si>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</si>
  <si>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</si>
  <si>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</si>
  <si>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</si>
  <si>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</si>
  <si>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</si>
  <si>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</si>
  <si>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</si>
  <si>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</si>
  <si>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</si>
  <si>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</si>
  <si>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</si>
  <si>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</si>
  <si>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</si>
  <si>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</si>
  <si>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</si>
  <si>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</si>
  <si>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</si>
  <si>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</si>
  <si>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</si>
  <si>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</si>
  <si>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</si>
  <si>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</si>
  <si>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</si>
  <si>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</si>
  <si>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</si>
  <si>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</si>
  <si>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</si>
  <si>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</si>
  <si>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</si>
  <si>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</si>
  <si>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</si>
  <si>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</si>
  <si>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</si>
  <si>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</si>
  <si>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</si>
  <si>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</si>
  <si>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</si>
  <si>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</si>
  <si>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</si>
  <si>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</si>
  <si>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</si>
  <si>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</si>
  <si>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</si>
  <si>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</si>
  <si>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</si>
  <si>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</si>
  <si>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</si>
  <si>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</si>
  <si>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</si>
  <si>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</si>
  <si>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</si>
  <si>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</si>
  <si>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</si>
  <si>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</si>
  <si>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</si>
  <si>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</si>
  <si>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</si>
  <si>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</si>
  <si>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</si>
  <si>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</si>
  <si>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</si>
  <si>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</si>
  <si>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</si>
  <si>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</si>
  <si>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</si>
  <si>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</si>
  <si>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</si>
  <si>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</si>
  <si>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</si>
  <si>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</si>
  <si>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</si>
  <si>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</si>
  <si>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</si>
  <si>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</si>
  <si>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</si>
  <si>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</si>
  <si>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</si>
  <si>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</si>
  <si>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</si>
  <si>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</si>
  <si>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</si>
  <si>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</si>
  <si>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</si>
  <si>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</si>
  <si>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</si>
  <si>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</si>
  <si>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</si>
  <si>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</si>
  <si>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</si>
  <si>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</si>
  <si>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</si>
  <si>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</si>
  <si>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</si>
  <si>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</si>
  <si>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</si>
  <si>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</si>
  <si>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</si>
  <si>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</si>
  <si>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</si>
  <si>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</si>
  <si>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</si>
  <si>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</si>
  <si>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</si>
  <si>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</si>
  <si>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</si>
  <si>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</si>
  <si>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</si>
  <si>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</si>
  <si>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</si>
  <si>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</si>
  <si>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</si>
  <si>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</si>
  <si>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</si>
  <si>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</si>
  <si>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</si>
  <si>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</si>
  <si>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</si>
  <si>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</si>
  <si>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</si>
  <si>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</si>
  <si>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</si>
  <si>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</si>
  <si>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</si>
  <si>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</si>
  <si>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</si>
  <si>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</si>
  <si>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</si>
  <si>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</si>
  <si>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</si>
  <si>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</si>
  <si>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</si>
  <si>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</si>
  <si>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</si>
  <si>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</si>
  <si>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</si>
  <si>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</si>
  <si>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</si>
  <si>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</si>
  <si>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</si>
  <si>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</si>
  <si>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</si>
  <si>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</si>
  <si>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</si>
  <si>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</si>
  <si>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</si>
  <si>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</si>
  <si>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</si>
  <si>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</si>
  <si>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</si>
  <si>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</si>
  <si>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</si>
  <si>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</si>
  <si>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</si>
  <si>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</si>
  <si>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</si>
  <si>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</si>
  <si>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</si>
  <si>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</si>
  <si>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</si>
  <si>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</si>
  <si>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</si>
  <si>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</si>
  <si>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</si>
  <si>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</si>
  <si>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</si>
  <si>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</si>
  <si>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</si>
  <si>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</si>
  <si>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</si>
  <si>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</si>
  <si>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</si>
  <si>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</si>
  <si>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</si>
  <si>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</si>
  <si>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</si>
  <si>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</si>
  <si>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</si>
  <si>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</si>
  <si>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</si>
  <si>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</si>
  <si>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</si>
  <si>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</si>
  <si>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</si>
  <si>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</si>
  <si>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</si>
  <si>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</si>
  <si>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</si>
  <si>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</si>
  <si>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</si>
  <si>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</si>
  <si>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</si>
  <si>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</si>
  <si>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</si>
  <si>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</si>
  <si>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</si>
  <si>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</si>
  <si>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</si>
  <si>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</si>
  <si>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</si>
  <si>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</si>
  <si>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</si>
  <si>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</si>
  <si>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</si>
  <si>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</si>
  <si>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</si>
  <si>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</si>
  <si>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</si>
  <si>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</si>
  <si>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</si>
  <si>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</si>
  <si>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</si>
  <si>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</si>
  <si>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</si>
  <si>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</si>
  <si>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</si>
  <si>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</si>
  <si>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</si>
  <si>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</si>
  <si>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</si>
  <si>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</si>
  <si>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</si>
  <si>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</si>
  <si>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</si>
  <si>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</si>
  <si>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</si>
  <si>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</si>
  <si>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</si>
  <si>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</si>
  <si>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</si>
  <si>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</si>
  <si>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</si>
  <si>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</si>
  <si>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</si>
  <si>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</si>
  <si>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</si>
  <si>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</si>
  <si>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</si>
  <si>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</si>
  <si>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</si>
  <si>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</si>
  <si>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</si>
  <si>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</si>
  <si>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</si>
  <si>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</si>
  <si>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</si>
  <si>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</si>
  <si>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</si>
  <si>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</si>
  <si>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</si>
  <si>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</si>
  <si>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</si>
  <si>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</si>
  <si>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</si>
  <si>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</si>
  <si>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</si>
  <si>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</si>
  <si>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</si>
  <si>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</si>
  <si>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</si>
  <si>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</si>
  <si>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</si>
  <si>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</si>
  <si>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</si>
  <si>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</si>
  <si>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</si>
  <si>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</si>
  <si>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</si>
  <si>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</si>
  <si>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</si>
  <si>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</si>
  <si>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</si>
  <si>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</si>
  <si>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</si>
  <si>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</si>
  <si>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</si>
  <si>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</si>
  <si>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</si>
  <si>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</si>
  <si>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</si>
  <si>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</si>
  <si>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</si>
  <si>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</si>
  <si>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</si>
  <si>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</si>
  <si>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</si>
  <si>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</si>
  <si>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</si>
  <si>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</si>
  <si>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</si>
  <si>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</si>
  <si>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</si>
  <si>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</si>
  <si>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</si>
  <si>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</si>
  <si>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</si>
  <si>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</si>
  <si>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</si>
  <si>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</si>
  <si>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</si>
  <si>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</si>
  <si>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</si>
  <si>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</si>
  <si>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</si>
  <si>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</si>
  <si>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</si>
  <si>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</si>
  <si>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</si>
  <si>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</si>
  <si>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</si>
  <si>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</si>
  <si>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</si>
  <si>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</si>
  <si>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</si>
  <si>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</si>
  <si>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</si>
  <si>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</si>
  <si>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</si>
  <si>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</si>
  <si>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</si>
  <si>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</si>
  <si>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</si>
  <si>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</si>
  <si>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</si>
  <si>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</si>
  <si>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</si>
  <si>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</si>
  <si>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</si>
  <si>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</si>
  <si>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</si>
  <si>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</si>
  <si>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</si>
  <si>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</si>
  <si>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</si>
  <si>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</si>
  <si>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</si>
  <si>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</si>
  <si>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</si>
  <si>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</si>
  <si>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</si>
  <si>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</si>
  <si>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</si>
  <si>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</si>
  <si>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</si>
  <si>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</si>
  <si>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</si>
  <si>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</si>
  <si>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</si>
  <si>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</si>
  <si>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</si>
  <si>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</si>
  <si>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</si>
  <si>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</si>
  <si>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</si>
  <si>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</si>
  <si>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</si>
  <si>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</si>
  <si>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</si>
  <si>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</si>
  <si>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</si>
  <si>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</si>
  <si>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</si>
  <si>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</si>
  <si>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</si>
  <si>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</si>
  <si>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</si>
  <si>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</si>
  <si>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</si>
  <si>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</si>
  <si>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</si>
  <si>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</si>
  <si>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</si>
  <si>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</si>
  <si>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</si>
  <si>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</si>
  <si>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</si>
  <si>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</si>
  <si>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</si>
  <si>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</si>
  <si>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</si>
  <si>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</si>
  <si>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</si>
  <si>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</si>
  <si>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</si>
  <si>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</si>
  <si>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</si>
  <si>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</si>
  <si>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</si>
  <si>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</si>
  <si>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</si>
  <si>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</si>
  <si>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</si>
  <si>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</si>
  <si>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</si>
  <si>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</si>
  <si>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</si>
  <si>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</si>
  <si>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</si>
  <si>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</si>
  <si>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</si>
  <si>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</si>
  <si>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</si>
  <si>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</si>
  <si>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</si>
  <si>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</si>
  <si>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</si>
  <si>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</si>
  <si>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</si>
  <si>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</si>
  <si>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</si>
  <si>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</si>
  <si>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</si>
  <si>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</si>
  <si>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</si>
  <si>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</si>
  <si>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</si>
  <si>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</si>
  <si>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</si>
  <si>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</si>
  <si>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</si>
  <si>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</si>
  <si>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</si>
  <si>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</si>
  <si>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</si>
  <si>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</si>
  <si>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</si>
  <si>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</si>
  <si>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</si>
  <si>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</si>
  <si>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</si>
  <si>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</si>
  <si>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</si>
  <si>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</si>
  <si>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</si>
  <si>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</si>
  <si>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</si>
  <si>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</si>
  <si>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</si>
  <si>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</si>
  <si>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</si>
  <si>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</si>
  <si>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</si>
  <si>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</si>
  <si>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</si>
  <si>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</si>
  <si>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</si>
  <si>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</si>
  <si>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</si>
  <si>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</si>
  <si>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</si>
  <si>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</si>
  <si>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</si>
  <si>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</si>
  <si>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</si>
  <si>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</si>
  <si>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</si>
  <si>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</si>
  <si>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</si>
  <si>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</si>
  <si>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</si>
  <si>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</si>
  <si>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</si>
  <si>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</si>
  <si>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</si>
  <si>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</si>
  <si>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</si>
  <si>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</si>
  <si>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</si>
  <si>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</si>
  <si>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</si>
  <si>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</si>
  <si>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</si>
  <si>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</si>
  <si>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</si>
  <si>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</si>
  <si>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</si>
  <si>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</si>
  <si>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</si>
  <si>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</si>
  <si>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</si>
  <si>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</si>
  <si>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</si>
  <si>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</si>
  <si>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</si>
  <si>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</si>
  <si>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</si>
  <si>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</si>
  <si>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</si>
  <si>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</si>
  <si>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</si>
  <si>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</si>
  <si>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</si>
  <si>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</si>
  <si>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</si>
  <si>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</si>
  <si>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</si>
  <si>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</si>
  <si>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</si>
  <si>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</si>
  <si>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</si>
  <si>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</si>
  <si>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</si>
  <si>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</si>
  <si>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</si>
  <si>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</si>
  <si>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</si>
  <si>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</si>
  <si>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</si>
  <si>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</si>
  <si>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</si>
  <si>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</si>
  <si>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</si>
  <si>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</si>
  <si>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</si>
  <si>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</si>
  <si>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</si>
  <si>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</si>
  <si>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</si>
  <si>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</si>
  <si>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</si>
  <si>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</si>
  <si>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</si>
  <si>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</si>
  <si>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</si>
  <si>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</si>
  <si>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</si>
  <si>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</si>
  <si>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</si>
  <si>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</si>
  <si>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</si>
  <si>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</si>
  <si>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</si>
  <si>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</si>
  <si>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</si>
  <si>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</si>
  <si>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</si>
  <si>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</si>
  <si>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</si>
  <si>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</si>
  <si>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</si>
  <si>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</si>
  <si>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</si>
  <si>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</si>
  <si>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</si>
  <si>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</si>
  <si>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</si>
  <si>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</si>
  <si>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</si>
  <si>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</si>
  <si>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</si>
  <si>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</si>
  <si>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</si>
  <si>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</si>
  <si>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</si>
  <si>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</si>
  <si>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</si>
  <si>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</si>
  <si>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</si>
  <si>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</si>
  <si>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</si>
  <si>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</si>
  <si>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</si>
  <si>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</si>
  <si>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</si>
  <si>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</si>
  <si>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</si>
  <si>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</si>
  <si>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</si>
  <si>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</si>
  <si>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</si>
  <si>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</si>
  <si>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</si>
  <si>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</si>
  <si>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</si>
  <si>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</si>
  <si>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</si>
  <si>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</si>
  <si>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</si>
  <si>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</si>
  <si>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</si>
  <si>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</si>
  <si>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</si>
  <si>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</si>
  <si>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</si>
  <si>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</si>
  <si>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</si>
  <si>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</si>
  <si>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</si>
  <si>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</si>
  <si>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</si>
  <si>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</si>
  <si>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</si>
  <si>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</si>
  <si>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</si>
  <si>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</si>
  <si>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</si>
  <si>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</si>
  <si>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</si>
  <si>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</si>
  <si>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</si>
  <si>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</si>
  <si>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</si>
  <si>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</si>
  <si>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</si>
  <si>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</si>
  <si>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</si>
  <si>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</si>
  <si>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</si>
  <si>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</si>
  <si>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</si>
  <si>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</si>
  <si>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</si>
  <si>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</si>
  <si>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</si>
  <si>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</si>
  <si>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</si>
  <si>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</si>
  <si>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</si>
  <si>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</si>
  <si>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</si>
  <si>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</si>
  <si>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</si>
  <si>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</si>
  <si>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</si>
  <si>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</si>
  <si>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</si>
  <si>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</si>
  <si>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</si>
  <si>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</si>
  <si>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</si>
  <si>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</si>
  <si>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</si>
  <si>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</si>
  <si>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</si>
  <si>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</si>
  <si>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</si>
  <si>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</si>
  <si>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</si>
  <si>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</si>
  <si>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</si>
  <si>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</si>
  <si>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</si>
  <si>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</si>
  <si>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</si>
  <si>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</si>
  <si>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</si>
  <si>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</si>
  <si>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</si>
  <si>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</si>
  <si>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</si>
  <si>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</si>
  <si>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</si>
  <si>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</si>
  <si>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</si>
  <si>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</si>
  <si>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</si>
  <si>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</si>
  <si>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</si>
  <si>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</si>
  <si>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</si>
  <si>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</si>
  <si>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</si>
  <si>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</si>
  <si>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</si>
  <si>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</si>
  <si>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</si>
  <si>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</si>
  <si>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</si>
  <si>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</si>
  <si>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</si>
  <si>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</si>
  <si>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</si>
  <si>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</si>
  <si>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</si>
  <si>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</si>
  <si>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</si>
  <si>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</si>
  <si>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</si>
  <si>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</si>
  <si>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</si>
  <si>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</si>
  <si>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</si>
  <si>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</si>
  <si>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</si>
  <si>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</si>
  <si>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</si>
  <si>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</si>
  <si>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</si>
  <si>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</si>
  <si>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</si>
  <si>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</si>
  <si>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</si>
  <si>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</si>
  <si>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</si>
  <si>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</si>
  <si>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</si>
  <si>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</si>
  <si>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</si>
  <si>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</si>
  <si>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</si>
  <si>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</si>
  <si>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</si>
  <si>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</si>
  <si>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</si>
  <si>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</si>
  <si>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</si>
  <si>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</si>
  <si>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</si>
  <si>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</si>
  <si>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</si>
  <si>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</si>
  <si>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</si>
  <si>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</si>
  <si>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</si>
  <si>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</si>
  <si>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</si>
  <si>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</si>
  <si>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</si>
  <si>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</si>
  <si>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</si>
  <si>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</si>
  <si>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</si>
  <si>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</si>
  <si>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</si>
  <si>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</si>
  <si>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</si>
  <si>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</si>
  <si>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</si>
  <si>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</si>
  <si>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</si>
  <si>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</si>
  <si>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</si>
  <si>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</si>
  <si>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</si>
  <si>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</si>
  <si>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</si>
  <si>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</si>
  <si>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</si>
  <si>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</si>
  <si>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</si>
  <si>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</si>
  <si>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</si>
  <si>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</si>
  <si>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</si>
  <si>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</si>
  <si>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</si>
  <si>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</si>
  <si>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</si>
  <si>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</si>
  <si>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</si>
  <si>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</si>
  <si>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</si>
  <si>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</si>
  <si>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</si>
  <si>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</si>
  <si>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</si>
  <si>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</si>
  <si>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</si>
  <si>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</si>
  <si>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</si>
  <si>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</si>
  <si>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</si>
  <si>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</si>
  <si>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</si>
  <si>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</si>
  <si>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</si>
  <si>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</si>
  <si>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</si>
  <si>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</si>
  <si>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</si>
  <si>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</si>
  <si>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</si>
  <si>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</si>
  <si>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</si>
  <si>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</si>
  <si>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</si>
  <si>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</si>
  <si>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</si>
  <si>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</si>
  <si>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</si>
  <si>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</si>
  <si>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</si>
  <si>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</si>
  <si>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</si>
  <si>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</si>
  <si>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</si>
  <si>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</si>
  <si>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</si>
  <si>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</si>
  <si>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</si>
  <si>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</si>
  <si>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</si>
  <si>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</si>
  <si>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</si>
  <si>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</si>
  <si>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</si>
  <si>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</si>
  <si>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</si>
  <si>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</si>
  <si>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</si>
  <si>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</si>
  <si>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</si>
  <si>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</si>
  <si>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</si>
  <si>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</si>
  <si>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</si>
  <si>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</si>
  <si>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</si>
  <si>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</si>
  <si>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</si>
  <si>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</si>
  <si>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</si>
  <si>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</si>
  <si>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</si>
  <si>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</si>
  <si>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</si>
  <si>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</si>
  <si>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</si>
  <si>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</si>
  <si>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</si>
  <si>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</si>
  <si>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</si>
  <si>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</si>
  <si>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</si>
  <si>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</si>
  <si>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</si>
  <si>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</si>
  <si>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</si>
  <si>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</si>
  <si>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</si>
  <si>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</si>
  <si>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</si>
  <si>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</si>
  <si>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</si>
  <si>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</si>
  <si>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</si>
  <si>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</si>
  <si>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</si>
  <si>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</si>
  <si>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</si>
  <si>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</si>
  <si>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</si>
  <si>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</si>
  <si>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</si>
  <si>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</si>
  <si>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</si>
  <si>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</si>
  <si>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</si>
  <si>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</si>
  <si>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</si>
  <si>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</si>
  <si>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</si>
  <si>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</si>
  <si>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</si>
  <si>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</si>
  <si>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</si>
  <si>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</si>
  <si>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</si>
  <si>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</si>
  <si>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</si>
  <si>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</si>
  <si>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</si>
  <si>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</si>
  <si>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</si>
  <si>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</si>
  <si>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</si>
  <si>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</si>
  <si>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</si>
  <si>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</si>
  <si>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</si>
  <si>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</si>
  <si>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</si>
  <si>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</si>
  <si>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</si>
  <si>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</si>
  <si>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</si>
  <si>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</si>
  <si>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</si>
  <si>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</si>
  <si>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</si>
  <si>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</si>
  <si>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</si>
  <si>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</si>
  <si>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</si>
  <si>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</si>
  <si>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</si>
  <si>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</si>
  <si>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</si>
  <si>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</si>
  <si>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</si>
  <si>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</si>
  <si>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</si>
  <si>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</si>
  <si>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</si>
  <si>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</si>
  <si>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</si>
  <si>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</si>
  <si>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</si>
  <si>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</si>
  <si>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</si>
  <si>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</si>
  <si>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</si>
  <si>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</si>
  <si>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</si>
  <si>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</si>
  <si>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</si>
  <si>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</si>
  <si>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</si>
  <si>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</si>
  <si>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</si>
  <si>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</si>
  <si>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</si>
  <si>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</si>
  <si>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</si>
  <si>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</si>
  <si>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</si>
  <si>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</si>
  <si>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</si>
  <si>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</si>
  <si>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</si>
  <si>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</si>
  <si>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</si>
  <si>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</si>
  <si>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</si>
  <si>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</si>
  <si>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</si>
  <si>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</si>
  <si>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</si>
  <si>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</si>
  <si>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</si>
  <si>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</si>
  <si>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</si>
  <si>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</si>
  <si>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</si>
  <si>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</si>
  <si>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</si>
  <si>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</si>
  <si>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</si>
  <si>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</si>
  <si>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</si>
  <si>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</si>
  <si>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</si>
  <si>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</si>
  <si>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</si>
  <si>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</si>
  <si>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</si>
  <si>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</si>
  <si>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</si>
  <si>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</si>
  <si>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</si>
  <si>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</si>
  <si>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</si>
  <si>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</si>
  <si>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</si>
  <si>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</si>
  <si>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</si>
  <si>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</si>
  <si>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</si>
  <si>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</si>
  <si>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</si>
  <si>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</si>
  <si>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</si>
  <si>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</si>
  <si>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</si>
  <si>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</si>
  <si>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</si>
  <si>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</si>
  <si>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</si>
  <si>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</si>
  <si>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</si>
  <si>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</si>
  <si>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</si>
  <si>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</si>
  <si>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</si>
  <si>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</si>
  <si>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</si>
  <si>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</si>
  <si>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</si>
  <si>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</si>
  <si>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</si>
  <si>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</si>
  <si>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</si>
  <si>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</si>
  <si>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</si>
  <si>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</si>
  <si>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</si>
  <si>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</si>
  <si>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</si>
  <si>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</si>
  <si>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</si>
  <si>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</si>
  <si>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</si>
  <si>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</si>
  <si>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</si>
  <si>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</si>
  <si>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</si>
  <si>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</si>
  <si>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</si>
  <si>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</si>
  <si>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</si>
  <si>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</si>
  <si>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</si>
  <si>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</si>
  <si>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</si>
  <si>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</si>
  <si>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</si>
  <si>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</si>
  <si>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</si>
  <si>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</si>
  <si>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</si>
  <si>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</si>
  <si>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</si>
  <si>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</si>
  <si>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</si>
  <si>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</si>
  <si>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</si>
  <si>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</si>
  <si>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</si>
  <si>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</si>
  <si>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</si>
  <si>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</si>
  <si>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</si>
  <si>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</si>
  <si>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</si>
  <si>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</si>
  <si>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</si>
  <si>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</si>
  <si>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</si>
  <si>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</si>
  <si>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</si>
  <si>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</si>
  <si>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</si>
  <si>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</si>
  <si>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</si>
  <si>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</si>
  <si>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</si>
  <si>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</si>
  <si>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</si>
  <si>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</si>
  <si>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</si>
  <si>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</si>
  <si>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</si>
  <si>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</si>
  <si>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</si>
  <si>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</si>
  <si>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</si>
  <si>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</si>
  <si>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</si>
  <si>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</si>
  <si>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</si>
  <si>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</si>
  <si>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</si>
  <si>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</si>
  <si>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</si>
  <si>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</si>
  <si>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</si>
  <si>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</si>
  <si>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</si>
  <si>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</si>
  <si>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</si>
  <si>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</si>
  <si>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</si>
  <si>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</si>
  <si>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</si>
  <si>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</si>
  <si>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</si>
  <si>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</si>
  <si>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</si>
  <si>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</si>
  <si>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</si>
  <si>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</si>
  <si>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</si>
  <si>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</si>
  <si>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</si>
  <si>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</si>
  <si>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</si>
  <si>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</si>
  <si>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</si>
  <si>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</si>
  <si>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</si>
  <si>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</si>
  <si>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</si>
  <si>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</si>
  <si>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</si>
  <si>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</si>
  <si>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</si>
  <si>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</si>
  <si>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</si>
  <si>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</si>
  <si>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</si>
  <si>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</si>
  <si>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</si>
  <si>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</si>
  <si>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</si>
  <si>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</si>
  <si>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</si>
  <si>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</si>
  <si>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</si>
  <si>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</si>
  <si>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</si>
  <si>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</si>
  <si>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</si>
  <si>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</si>
  <si>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</si>
  <si>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</si>
  <si>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</si>
  <si>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</si>
  <si>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</si>
  <si>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</si>
  <si>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</si>
  <si>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</si>
  <si>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</si>
  <si>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</si>
  <si>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</si>
  <si>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</si>
  <si>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</si>
  <si>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</si>
  <si>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</si>
  <si>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</si>
  <si>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</si>
  <si>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</si>
  <si>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</si>
  <si>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</si>
  <si>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</si>
  <si>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</si>
  <si>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</si>
  <si>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</si>
  <si>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</si>
  <si>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</si>
  <si>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</si>
  <si>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</si>
  <si>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</si>
  <si>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</si>
  <si>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</si>
  <si>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</si>
  <si>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</si>
  <si>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</si>
  <si>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</si>
  <si>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</si>
  <si>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</si>
  <si>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</si>
  <si>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</si>
  <si>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</si>
  <si>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</si>
  <si>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</si>
  <si>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</si>
  <si>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</si>
  <si>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</si>
  <si>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</si>
  <si>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</si>
  <si>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</si>
  <si>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</si>
  <si>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</si>
  <si>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</si>
  <si>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</si>
  <si>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</si>
  <si>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</si>
  <si>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</si>
  <si>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</si>
  <si>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</si>
  <si>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</si>
  <si>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</si>
  <si>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</si>
  <si>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</si>
  <si>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</si>
  <si>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</si>
  <si>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</si>
  <si>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</si>
  <si>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</si>
  <si>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</si>
  <si>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</si>
  <si>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</si>
  <si>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</si>
  <si>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</si>
  <si>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</si>
  <si>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</si>
  <si>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</si>
  <si>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</si>
  <si>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</si>
  <si>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</si>
  <si>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</si>
  <si>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</si>
  <si>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</si>
  <si>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</si>
  <si>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</si>
  <si>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</si>
  <si>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</si>
  <si>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</si>
  <si>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</si>
  <si>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</si>
  <si>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</si>
  <si>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</si>
  <si>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</si>
  <si>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</si>
  <si>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</si>
  <si>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</si>
  <si>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</si>
  <si>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</si>
  <si>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</si>
  <si>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</si>
  <si>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</si>
  <si>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</si>
  <si>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</si>
  <si>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</si>
  <si>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</si>
  <si>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</si>
  <si>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</si>
  <si>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</si>
  <si>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</si>
  <si>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</si>
  <si>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</si>
  <si>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</si>
  <si>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</si>
  <si>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</si>
  <si>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</si>
  <si>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</si>
  <si>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</si>
  <si>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</si>
  <si>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</si>
  <si>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</si>
  <si>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</si>
  <si>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</si>
  <si>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</si>
  <si>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</si>
  <si>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</si>
  <si>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</si>
  <si>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</si>
  <si>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</si>
  <si>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</si>
  <si>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</si>
  <si>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</si>
  <si>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</si>
  <si>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</si>
  <si>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</si>
  <si>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</si>
  <si>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</si>
  <si>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</si>
  <si>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</si>
  <si>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</si>
  <si>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</si>
  <si>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</si>
  <si>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</si>
  <si>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</si>
  <si>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</si>
  <si>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</si>
  <si>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</si>
  <si>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</si>
  <si>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</si>
  <si>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</si>
  <si>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</si>
  <si>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</si>
  <si>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</si>
  <si>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</si>
  <si>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</si>
  <si>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</si>
  <si>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</si>
  <si>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</si>
  <si>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</si>
  <si>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</si>
  <si>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</si>
  <si>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</si>
  <si>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</si>
  <si>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</si>
  <si>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</si>
  <si>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</si>
  <si>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</si>
  <si>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</si>
  <si>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</si>
  <si>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</si>
  <si>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</si>
  <si>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</si>
  <si>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</si>
  <si>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</si>
  <si>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</si>
  <si>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</si>
  <si>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</si>
  <si>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</si>
  <si>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</si>
  <si>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</si>
  <si>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</si>
  <si>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</si>
  <si>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</si>
  <si>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</si>
  <si>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</si>
  <si>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</si>
  <si>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</si>
  <si>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</si>
  <si>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</si>
  <si>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</si>
  <si>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</si>
  <si>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</si>
  <si>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</si>
  <si>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</si>
  <si>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</si>
  <si>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</si>
  <si>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</si>
  <si>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</si>
  <si>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</si>
  <si>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</si>
  <si>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</si>
  <si>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</si>
  <si>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</si>
  <si>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</si>
  <si>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</si>
  <si>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</si>
  <si>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</si>
  <si>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</si>
  <si>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</si>
  <si>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</si>
  <si>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</si>
  <si>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</si>
  <si>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</si>
  <si>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</si>
  <si>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</si>
  <si>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</si>
  <si>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</si>
  <si>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</si>
  <si>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</si>
  <si>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</si>
  <si>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</si>
  <si>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</si>
  <si>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</si>
  <si>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</si>
  <si>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</si>
  <si>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</si>
  <si>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</si>
  <si>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</si>
  <si>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</si>
  <si>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</si>
  <si>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</si>
  <si>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</si>
  <si>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</si>
  <si>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</si>
  <si>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</si>
  <si>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</si>
  <si>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</si>
  <si>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</si>
  <si>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</si>
  <si>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</si>
  <si>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</si>
  <si>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</si>
  <si>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</si>
  <si>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</si>
  <si>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</si>
  <si>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</si>
  <si>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</si>
  <si>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</si>
  <si>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</si>
  <si>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</si>
  <si>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</si>
  <si>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</si>
  <si>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</si>
  <si>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</si>
  <si>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</si>
  <si>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</si>
  <si>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</si>
  <si>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</si>
  <si>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</si>
  <si>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</si>
  <si>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</si>
  <si>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</si>
  <si>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</si>
  <si>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</si>
  <si>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</si>
  <si>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</si>
  <si>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</si>
  <si>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</si>
  <si>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</si>
  <si>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</si>
  <si>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</si>
  <si>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</si>
  <si>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</si>
  <si>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</si>
  <si>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</si>
  <si>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</si>
  <si>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</si>
  <si>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</si>
  <si>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</si>
  <si>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</si>
  <si>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</si>
  <si>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</si>
  <si>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</si>
  <si>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</si>
  <si>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</si>
  <si>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</si>
  <si>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</si>
  <si>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</si>
  <si>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</si>
  <si>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</si>
  <si>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</si>
  <si>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</si>
  <si>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</si>
  <si>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</si>
  <si>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</si>
  <si>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</si>
  <si>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</si>
  <si>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</si>
  <si>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</si>
  <si>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</si>
  <si>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</si>
  <si>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</si>
  <si>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</si>
  <si>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</si>
  <si>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</si>
  <si>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</si>
  <si>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</si>
  <si>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</si>
  <si>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</si>
  <si>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</si>
  <si>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</si>
  <si>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</si>
  <si>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</si>
  <si>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</si>
  <si>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</si>
  <si>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</si>
  <si>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</si>
  <si>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</si>
  <si>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</si>
  <si>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</si>
  <si>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</si>
  <si>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</si>
  <si>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</si>
  <si>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</si>
  <si>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</si>
  <si>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</si>
  <si>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</si>
  <si>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</si>
  <si>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</si>
  <si>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</si>
  <si>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</si>
  <si>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</si>
  <si>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</si>
  <si>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</si>
  <si>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</si>
  <si>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</si>
  <si>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</si>
  <si>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</si>
  <si>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</si>
  <si>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</si>
  <si>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</si>
  <si>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</si>
  <si>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</si>
  <si>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</si>
  <si>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</si>
  <si>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</si>
  <si>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</si>
  <si>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</si>
  <si>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</si>
  <si>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</si>
  <si>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</si>
  <si>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</si>
  <si>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</si>
  <si>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</si>
  <si>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</si>
  <si>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</si>
  <si>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</si>
  <si>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</si>
  <si>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</si>
  <si>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</si>
  <si>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</si>
  <si>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</si>
  <si>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</si>
  <si>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</si>
  <si>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</si>
  <si>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</si>
  <si>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</si>
  <si>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</si>
  <si>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</si>
  <si>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</si>
  <si>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</si>
  <si>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</si>
  <si>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</si>
  <si>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</si>
  <si>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</si>
  <si>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</si>
  <si>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</si>
  <si>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</si>
  <si>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</si>
  <si>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</si>
  <si>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</si>
  <si>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</si>
  <si>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</si>
  <si>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</si>
  <si>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</si>
  <si>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</si>
  <si>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</si>
  <si>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</si>
  <si>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</si>
  <si>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</si>
  <si>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</si>
  <si>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</si>
  <si>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</si>
  <si>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</si>
  <si>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</si>
  <si>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</si>
  <si>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</si>
  <si>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</si>
  <si>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</si>
  <si>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</si>
  <si>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</si>
  <si>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</si>
  <si>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</si>
  <si>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</si>
  <si>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</si>
  <si>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</si>
  <si>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</si>
  <si>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</si>
  <si>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</si>
  <si>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</si>
  <si>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</si>
  <si>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</si>
  <si>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</si>
  <si>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</si>
  <si>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</si>
  <si>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</si>
  <si>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</si>
  <si>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</si>
  <si>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</si>
  <si>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</si>
  <si>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</si>
  <si>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</si>
  <si>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</si>
  <si>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</si>
  <si>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</si>
  <si>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</si>
  <si>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</si>
  <si>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</si>
  <si>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</si>
  <si>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</si>
  <si>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</si>
  <si>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</si>
  <si>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</si>
  <si>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</si>
  <si>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</si>
  <si>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</si>
  <si>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</si>
  <si>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</si>
  <si>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</si>
  <si>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</si>
  <si>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</si>
  <si>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</si>
  <si>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</si>
  <si>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</si>
  <si>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</si>
  <si>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</si>
  <si>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</si>
  <si>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</si>
  <si>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</si>
  <si>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</si>
  <si>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</si>
  <si>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</si>
  <si>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</si>
  <si>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</si>
  <si>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</si>
  <si>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</si>
  <si>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</si>
  <si>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</si>
  <si>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</si>
  <si>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</si>
  <si>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</si>
  <si>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</si>
  <si>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</si>
  <si>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</si>
  <si>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</si>
  <si>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</si>
  <si>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</si>
  <si>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</si>
  <si>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</si>
  <si>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</si>
  <si>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</si>
  <si>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</si>
  <si>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</si>
  <si>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</si>
  <si>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</si>
  <si>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</si>
  <si>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</si>
  <si>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</si>
  <si>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</si>
  <si>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</si>
  <si>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</si>
  <si>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</si>
  <si>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</si>
  <si>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</si>
  <si>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</si>
  <si>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</si>
  <si>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</si>
  <si>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</si>
  <si>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</si>
  <si>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</si>
  <si>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</si>
  <si>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</si>
  <si>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</si>
  <si>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</si>
  <si>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</si>
  <si>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</si>
  <si>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</si>
  <si>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</si>
  <si>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</si>
  <si>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</si>
  <si>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</si>
  <si>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</si>
  <si>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</si>
  <si>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</si>
  <si>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</si>
  <si>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</si>
  <si>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</si>
  <si>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</si>
  <si>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</si>
  <si>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</si>
  <si>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</si>
  <si>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</si>
  <si>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</si>
  <si>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</si>
  <si>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</si>
  <si>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</si>
  <si>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</si>
  <si>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</si>
  <si>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</si>
  <si>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</si>
  <si>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</si>
  <si>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</si>
  <si>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</si>
  <si>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</si>
  <si>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</si>
  <si>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</si>
  <si>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</si>
  <si>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</si>
  <si>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</si>
  <si>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</si>
  <si>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</si>
  <si>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</si>
  <si>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</si>
  <si>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</si>
  <si>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</si>
  <si>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</si>
  <si>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</si>
  <si>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</si>
  <si>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</si>
  <si>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</si>
  <si>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</si>
  <si>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</si>
  <si>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</si>
  <si>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</si>
  <si>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</si>
  <si>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</si>
  <si>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</si>
  <si>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</si>
  <si>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</si>
  <si>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</si>
  <si>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</si>
  <si>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</si>
  <si>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</si>
  <si>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</si>
  <si>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</si>
  <si>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</si>
  <si>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</si>
  <si>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</si>
  <si>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</si>
  <si>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</si>
  <si>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</si>
  <si>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</si>
  <si>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</si>
  <si>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</si>
  <si>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</si>
  <si>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</si>
  <si>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</si>
  <si>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</si>
  <si>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</si>
  <si>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</si>
  <si>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</si>
  <si>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</si>
  <si>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</si>
  <si>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</si>
  <si>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</si>
  <si>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</si>
  <si>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</si>
  <si>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</si>
  <si>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</si>
  <si>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</si>
  <si>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</si>
  <si>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</si>
  <si>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</si>
  <si>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</si>
  <si>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</si>
  <si>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</si>
  <si>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</si>
  <si>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</si>
  <si>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</si>
  <si>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</si>
  <si>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</si>
  <si>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</si>
  <si>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</si>
  <si>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</si>
  <si>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</si>
  <si>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</si>
  <si>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</si>
  <si>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</si>
  <si>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</si>
  <si>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</si>
  <si>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</si>
  <si>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</si>
  <si>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</si>
  <si>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</si>
  <si>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</si>
  <si>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</si>
  <si>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</si>
  <si>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</si>
  <si>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</si>
  <si>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</si>
  <si>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</si>
  <si>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</si>
  <si>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</si>
  <si>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</si>
  <si>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</si>
  <si>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</si>
  <si>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</si>
  <si>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</si>
  <si>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</si>
  <si>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</si>
  <si>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</si>
  <si>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</si>
  <si>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</si>
  <si>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</si>
  <si>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</si>
  <si>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</si>
  <si>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</si>
  <si>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</si>
  <si>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</si>
  <si>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</si>
  <si>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</si>
  <si>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</si>
  <si>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</si>
  <si>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</si>
  <si>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</si>
  <si>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</si>
  <si>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</si>
  <si>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</si>
  <si>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</si>
  <si>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</si>
  <si>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</si>
  <si>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</si>
  <si>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</si>
  <si>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</si>
  <si>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</si>
  <si>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</si>
  <si>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</si>
  <si>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</si>
  <si>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</si>
  <si>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</si>
  <si>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</si>
  <si>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</si>
  <si>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</si>
  <si>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</si>
  <si>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</si>
  <si>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</si>
  <si>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</si>
  <si>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</si>
  <si>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</si>
  <si>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</si>
  <si>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</si>
  <si>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</si>
  <si>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</si>
  <si>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</si>
  <si>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</si>
  <si>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</si>
  <si>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</si>
  <si>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</si>
  <si>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</si>
  <si>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</si>
  <si>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</si>
  <si>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</si>
  <si>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</si>
  <si>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</si>
  <si>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</si>
  <si>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</si>
  <si>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</si>
  <si>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</si>
  <si>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</si>
  <si>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</si>
  <si>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</si>
  <si>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</si>
  <si>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</si>
  <si>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</si>
  <si>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</si>
  <si>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</si>
  <si>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</si>
  <si>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</si>
  <si>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</si>
  <si>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</si>
  <si>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</si>
  <si>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</si>
  <si>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</si>
  <si>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</si>
  <si>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</si>
  <si>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</si>
  <si>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</si>
  <si>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</si>
  <si>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</si>
  <si>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</si>
  <si>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</si>
  <si>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</si>
  <si>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</si>
  <si>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</si>
  <si>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</si>
  <si>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</si>
  <si>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</si>
  <si>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</si>
  <si>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</si>
  <si>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</si>
  <si>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</si>
  <si>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</si>
  <si>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</si>
  <si>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</si>
  <si>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</si>
  <si>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</si>
  <si>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</si>
  <si>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</si>
  <si>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</si>
  <si>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</si>
  <si>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</si>
  <si>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</si>
  <si>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</si>
  <si>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</si>
  <si>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</si>
  <si>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</si>
  <si>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</si>
  <si>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</si>
  <si>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</si>
  <si>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</si>
  <si>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</si>
  <si>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</si>
  <si>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</si>
  <si>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</si>
  <si>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</si>
  <si>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</si>
  <si>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</si>
  <si>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</si>
  <si>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</si>
  <si>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</si>
  <si>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</si>
  <si>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</si>
  <si>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</si>
  <si>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</si>
  <si>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</si>
  <si>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</si>
  <si>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</si>
  <si>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</si>
  <si>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</si>
  <si>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</si>
  <si>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</si>
  <si>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</si>
  <si>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</si>
  <si>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</si>
  <si>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</si>
  <si>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</si>
  <si>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</si>
  <si>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</si>
  <si>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</si>
  <si>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</si>
  <si>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</si>
  <si>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</si>
  <si>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</si>
  <si>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</si>
  <si>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</si>
  <si>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</si>
  <si>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</si>
  <si>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</si>
  <si>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</si>
  <si>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</si>
  <si>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</si>
  <si>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</si>
  <si>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</si>
  <si>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</si>
  <si>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</si>
  <si>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</si>
  <si>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</si>
  <si>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</si>
  <si>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</si>
  <si>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</si>
  <si>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</si>
  <si>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</si>
  <si>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</si>
  <si>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</si>
  <si>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</si>
  <si>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</si>
  <si>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</si>
  <si>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</si>
  <si>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</si>
  <si>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</si>
  <si>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</si>
  <si>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</si>
  <si>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</si>
  <si>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</si>
  <si>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</si>
  <si>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</si>
  <si>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</si>
  <si>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</si>
  <si>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</si>
  <si>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</si>
  <si>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</si>
  <si>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</si>
  <si>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</si>
  <si>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</si>
  <si>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</si>
  <si>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</si>
  <si>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</si>
  <si>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</si>
  <si>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</si>
  <si>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</si>
  <si>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</si>
  <si>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</si>
  <si>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</si>
  <si>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</si>
  <si>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</si>
  <si>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</si>
  <si>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</si>
  <si>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</si>
  <si>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</si>
  <si>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</si>
  <si>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</si>
  <si>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</si>
  <si>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</si>
  <si>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</si>
  <si>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</si>
  <si>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</si>
  <si>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</si>
  <si>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</si>
  <si>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</si>
  <si>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</si>
  <si>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</si>
  <si>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</si>
  <si>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</si>
  <si>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</si>
  <si>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</si>
  <si>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</si>
  <si>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</si>
  <si>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</si>
  <si>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</si>
  <si>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</si>
  <si>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</si>
  <si>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</si>
  <si>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</si>
  <si>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</si>
  <si>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</si>
  <si>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</si>
  <si>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</si>
  <si>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</si>
  <si>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</si>
  <si>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</si>
  <si>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</si>
  <si>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</si>
  <si>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</si>
  <si>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</si>
  <si>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</si>
  <si>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</si>
  <si>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</si>
  <si>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</si>
  <si>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</si>
  <si>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</si>
  <si>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</si>
  <si>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</si>
  <si>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</si>
  <si>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</si>
  <si>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</si>
  <si>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</si>
  <si>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</si>
  <si>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</si>
  <si>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</si>
  <si>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</si>
  <si>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</si>
  <si>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</si>
  <si>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</si>
  <si>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</si>
  <si>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</si>
  <si>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</si>
  <si>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</si>
  <si>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</si>
  <si>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</si>
  <si>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</si>
  <si>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</si>
  <si>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</si>
  <si>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</si>
  <si>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</si>
  <si>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</si>
  <si>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</si>
  <si>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</si>
  <si>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</si>
  <si>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</si>
  <si>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</si>
  <si>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</si>
  <si>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</si>
  <si>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</si>
  <si>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</si>
  <si>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</si>
  <si>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</si>
  <si>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</si>
  <si>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</si>
  <si>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</si>
  <si>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</si>
  <si>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</si>
  <si>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</si>
  <si>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</si>
  <si>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</si>
  <si>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</si>
  <si>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</si>
  <si>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</si>
  <si>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</si>
  <si>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</si>
  <si>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</si>
  <si>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</si>
  <si>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</si>
  <si>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</si>
  <si>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</si>
  <si>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</si>
  <si>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</si>
  <si>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</si>
  <si>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</si>
  <si>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</si>
  <si>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</si>
  <si>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</si>
  <si>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</si>
  <si>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</si>
  <si>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</si>
  <si>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</si>
  <si>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</si>
  <si>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</si>
  <si>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</si>
  <si>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</si>
  <si>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</si>
  <si>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</si>
  <si>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</si>
  <si>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</si>
  <si>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</si>
  <si>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</si>
  <si>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</si>
  <si>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</si>
  <si>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</si>
  <si>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</si>
  <si>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</si>
  <si>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</si>
  <si>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</si>
  <si>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</si>
  <si>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</si>
  <si>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</si>
  <si>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</si>
  <si>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</si>
  <si>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</si>
  <si>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</si>
  <si>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</si>
  <si>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</si>
  <si>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</si>
  <si>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</si>
  <si>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</si>
  <si>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</si>
  <si>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</si>
  <si>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</si>
  <si>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</si>
  <si>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</si>
  <si>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</si>
  <si>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</si>
  <si>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</si>
  <si>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</si>
  <si>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</si>
  <si>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</si>
  <si>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</si>
  <si>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</si>
  <si>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</si>
  <si>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</si>
  <si>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</si>
  <si>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</si>
  <si>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</si>
  <si>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</si>
  <si>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</si>
  <si>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</si>
  <si>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</si>
  <si>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</si>
  <si>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</si>
  <si>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</si>
  <si>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</si>
  <si>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</si>
  <si>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</si>
  <si>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</si>
  <si>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</si>
  <si>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</si>
  <si>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</si>
  <si>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</si>
  <si>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</si>
  <si>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</si>
  <si>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</si>
  <si>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</si>
  <si>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</si>
  <si>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</si>
  <si>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</si>
  <si>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</si>
  <si>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</si>
  <si>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</si>
  <si>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</si>
  <si>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</si>
  <si>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</si>
  <si>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</si>
  <si>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</si>
  <si>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</si>
  <si>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</si>
  <si>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</si>
  <si>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</si>
  <si>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</si>
  <si>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</si>
  <si>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</si>
  <si>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</si>
  <si>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</si>
  <si>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</si>
  <si>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</si>
  <si>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</si>
  <si>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</si>
  <si>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</si>
  <si>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</si>
  <si>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</si>
  <si>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</si>
  <si>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</si>
  <si>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</si>
  <si>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</si>
  <si>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</si>
  <si>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</si>
  <si>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</si>
  <si>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</si>
  <si>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</si>
  <si>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</si>
  <si>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</si>
  <si>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</si>
  <si>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</si>
  <si>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</si>
  <si>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</si>
  <si>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</si>
  <si>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</si>
  <si>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</si>
  <si>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</si>
  <si>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</si>
  <si>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</si>
  <si>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</si>
  <si>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</si>
  <si>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</si>
  <si>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</si>
  <si>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</si>
  <si>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</si>
  <si>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</si>
  <si>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</si>
  <si>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</si>
  <si>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</si>
  <si>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</si>
  <si>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</si>
  <si>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</si>
  <si>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</si>
  <si>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</si>
  <si>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</si>
  <si>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</si>
  <si>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</si>
  <si>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</si>
  <si>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</si>
  <si>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</si>
  <si>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</si>
  <si>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</si>
  <si>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</si>
  <si>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</si>
  <si>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</si>
  <si>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</si>
  <si>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</si>
  <si>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</si>
  <si>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</si>
  <si>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</si>
  <si>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</si>
  <si>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</si>
  <si>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</si>
  <si>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</si>
  <si>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</si>
  <si>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</si>
  <si>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</si>
  <si>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</si>
  <si>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</si>
  <si>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</si>
  <si>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</si>
  <si>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</si>
  <si>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</si>
  <si>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</si>
  <si>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</si>
  <si>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</si>
  <si>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</si>
  <si>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</si>
  <si>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</si>
  <si>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</si>
  <si>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</si>
  <si>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</si>
  <si>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</si>
  <si>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</si>
  <si>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</si>
  <si>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</si>
  <si>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</si>
  <si>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</si>
  <si>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</si>
  <si>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</si>
  <si>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</si>
  <si>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</si>
  <si>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</si>
  <si>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</si>
  <si>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</si>
  <si>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</si>
  <si>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</si>
  <si>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</si>
  <si>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</si>
  <si>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</si>
  <si>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</si>
  <si>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</si>
  <si>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</si>
  <si>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</si>
  <si>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</si>
  <si>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</si>
  <si>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</si>
  <si>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</si>
  <si>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</si>
  <si>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</si>
  <si>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</si>
  <si>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</si>
  <si>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</si>
  <si>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</si>
  <si>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</si>
  <si>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</si>
  <si>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</si>
  <si>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</si>
  <si>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</si>
  <si>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</si>
  <si>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</si>
  <si>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</si>
  <si>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</si>
  <si>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</si>
  <si>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</si>
  <si>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</si>
  <si>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</si>
  <si>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</si>
  <si>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</si>
  <si>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</si>
  <si>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</si>
  <si>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</si>
  <si>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</si>
  <si>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</si>
  <si>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</si>
  <si>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</si>
  <si>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</si>
  <si>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</si>
  <si>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</si>
  <si>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</si>
  <si>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</si>
  <si>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</si>
  <si>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</si>
  <si>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</si>
  <si>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</si>
  <si>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</si>
  <si>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</si>
  <si>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</si>
  <si>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</si>
  <si>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</si>
  <si>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</si>
  <si>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</si>
  <si>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</si>
  <si>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</si>
  <si>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</si>
  <si>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</si>
  <si>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</si>
  <si>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</si>
  <si>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</si>
  <si>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</si>
  <si>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</si>
  <si>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</si>
  <si>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</si>
  <si>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</si>
  <si>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</si>
  <si>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</si>
  <si>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</si>
  <si>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</si>
  <si>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</si>
  <si>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</si>
  <si>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</si>
  <si>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</si>
  <si>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</si>
  <si>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</si>
  <si>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</si>
  <si>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</si>
  <si>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</si>
  <si>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</si>
  <si>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</si>
  <si>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</si>
  <si>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</si>
  <si>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</si>
  <si>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</si>
  <si>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</si>
  <si>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</si>
  <si>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</si>
  <si>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</si>
  <si>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</si>
  <si>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</si>
  <si>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</si>
  <si>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</si>
  <si>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</si>
  <si>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</si>
  <si>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</si>
  <si>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</si>
  <si>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</si>
  <si>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</si>
  <si>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</si>
  <si>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</si>
  <si>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</si>
  <si>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</si>
  <si>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</si>
  <si>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</si>
  <si>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</si>
  <si>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</si>
  <si>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</si>
  <si>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</si>
  <si>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</si>
  <si>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</si>
  <si>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</si>
  <si>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</si>
  <si>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</si>
  <si>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</si>
  <si>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</si>
  <si>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</si>
  <si>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</si>
  <si>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</si>
  <si>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</si>
  <si>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</si>
  <si>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</si>
  <si>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</si>
  <si>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</si>
  <si>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</si>
  <si>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</si>
  <si>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</si>
  <si>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</si>
  <si>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</si>
  <si>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</si>
  <si>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</si>
  <si>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</si>
  <si>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</si>
  <si>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</si>
  <si>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</si>
  <si>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</si>
  <si>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</si>
  <si>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</si>
  <si>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</si>
  <si>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</si>
  <si>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</si>
  <si>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</si>
  <si>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</si>
  <si>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</si>
  <si>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</si>
  <si>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</si>
  <si>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</si>
  <si>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</si>
  <si>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</si>
  <si>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</si>
  <si>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</si>
  <si>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</si>
  <si>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</si>
  <si>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</si>
  <si>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</si>
  <si>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</si>
  <si>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</si>
  <si>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</si>
  <si>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</si>
  <si>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</si>
  <si>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</si>
  <si>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</si>
  <si>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</si>
  <si>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</si>
  <si>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</si>
  <si>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</si>
  <si>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</si>
  <si>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</si>
  <si>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</si>
  <si>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</si>
  <si>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</si>
  <si>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</si>
  <si>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</si>
  <si>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</si>
  <si>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</si>
  <si>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</si>
  <si>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</si>
  <si>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</si>
  <si>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</si>
  <si>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</si>
  <si>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</si>
  <si>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</si>
  <si>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</si>
  <si>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</si>
  <si>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</si>
  <si>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</si>
  <si>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</si>
  <si>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</si>
  <si>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</si>
  <si>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</si>
  <si>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</si>
  <si>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</si>
  <si>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</si>
  <si>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</si>
  <si>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</si>
  <si>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</si>
  <si>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</si>
  <si>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</si>
  <si>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</si>
  <si>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</si>
  <si>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</si>
  <si>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</si>
  <si>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</si>
  <si>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</si>
  <si>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</si>
  <si>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</si>
  <si>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</si>
  <si>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</si>
  <si>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</si>
  <si>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</si>
  <si>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</si>
  <si>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</si>
  <si>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</si>
  <si>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</si>
  <si>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</si>
  <si>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</si>
  <si>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</si>
  <si>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</si>
  <si>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</si>
  <si>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</si>
  <si>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</si>
  <si>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</si>
  <si>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</si>
  <si>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</si>
  <si>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</si>
  <si>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</si>
  <si>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</si>
  <si>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</si>
  <si>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</si>
  <si>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</si>
  <si>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</si>
  <si>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</si>
  <si>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</si>
  <si>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</si>
  <si>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</si>
  <si>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</si>
  <si>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</si>
  <si>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</si>
  <si>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</si>
  <si>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</si>
  <si>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</si>
  <si>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</si>
  <si>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</si>
  <si>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</si>
  <si>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</si>
  <si>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</si>
  <si>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</si>
  <si>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</si>
  <si>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</si>
  <si>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</si>
  <si>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</si>
  <si>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</si>
  <si>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</si>
  <si>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</si>
  <si>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</si>
  <si>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</si>
  <si>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</si>
  <si>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</si>
  <si>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</si>
  <si>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</si>
  <si>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</si>
  <si>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</si>
  <si>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</si>
  <si>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</si>
  <si>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</si>
  <si>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</si>
  <si>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</si>
  <si>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</si>
  <si>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</si>
  <si>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</si>
  <si>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</si>
  <si>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</si>
  <si>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</si>
  <si>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</si>
  <si>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</si>
  <si>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</si>
  <si>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</si>
  <si>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</si>
  <si>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</si>
  <si>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</si>
  <si>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</si>
  <si>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</si>
  <si>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</si>
  <si>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</si>
  <si>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</si>
  <si>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</si>
  <si>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</si>
  <si>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</si>
  <si>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</si>
  <si>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</si>
  <si>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</si>
  <si>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</si>
  <si>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</si>
  <si>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</si>
  <si>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</si>
  <si>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</si>
  <si>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</si>
  <si>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</si>
  <si>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</si>
  <si>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</si>
  <si>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</si>
  <si>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</si>
  <si>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</si>
  <si>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</si>
  <si>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</si>
  <si>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</si>
  <si>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</si>
  <si>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</si>
  <si>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</si>
  <si>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</si>
  <si>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</si>
  <si>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</si>
  <si>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</si>
  <si>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</si>
  <si>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</si>
  <si>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</si>
  <si>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</si>
  <si>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</si>
  <si>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</si>
  <si>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</si>
  <si>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</si>
  <si>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</si>
  <si>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</si>
  <si>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</si>
  <si>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</si>
  <si>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</si>
  <si>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</si>
  <si>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</si>
  <si>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</si>
  <si>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</si>
  <si>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</si>
  <si>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</si>
  <si>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</si>
  <si>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</si>
  <si>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</si>
  <si>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</si>
  <si>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</si>
  <si>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</si>
  <si>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</si>
  <si>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</si>
  <si>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</si>
  <si>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</si>
  <si>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</si>
  <si>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</si>
  <si>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</si>
  <si>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</si>
  <si>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</si>
  <si>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</si>
  <si>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</si>
  <si>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</si>
  <si>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</si>
  <si>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</si>
  <si>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</si>
  <si>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</si>
  <si>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</si>
  <si>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</si>
  <si>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</si>
  <si>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</si>
  <si>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</si>
  <si>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</si>
  <si>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</si>
  <si>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</si>
  <si>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</si>
  <si>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</si>
  <si>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</si>
  <si>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</si>
  <si>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</si>
  <si>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</si>
  <si>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</si>
  <si>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</si>
  <si>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</si>
  <si>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</si>
  <si>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</si>
  <si>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</si>
  <si>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</si>
  <si>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</si>
  <si>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</si>
  <si>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</si>
  <si>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</si>
  <si>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</si>
  <si>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</si>
  <si>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</si>
  <si>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</si>
  <si>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</si>
  <si>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</si>
  <si>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</si>
  <si>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</si>
  <si>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</si>
  <si>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</si>
  <si>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</si>
  <si>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</si>
  <si>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</si>
  <si>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</si>
  <si>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</si>
  <si>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</si>
  <si>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</si>
  <si>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</si>
  <si>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</si>
  <si>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</si>
  <si>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</si>
  <si>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</si>
  <si>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</si>
  <si>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</si>
  <si>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</si>
  <si>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</si>
  <si>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</si>
  <si>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</si>
  <si>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</si>
  <si>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</si>
  <si>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</si>
  <si>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</si>
  <si>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</si>
  <si>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</si>
  <si>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</si>
  <si>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</si>
  <si>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</si>
  <si>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</si>
  <si>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</si>
  <si>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</si>
  <si>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</si>
  <si>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</si>
  <si>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</si>
  <si>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</si>
  <si>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</si>
  <si>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</si>
  <si>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</si>
  <si>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</si>
  <si>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</si>
  <si>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</si>
  <si>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</si>
  <si>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</si>
  <si>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</si>
  <si>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</si>
  <si>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</si>
  <si>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</si>
  <si>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</si>
  <si>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</si>
  <si>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</si>
  <si>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</si>
  <si>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</si>
  <si>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</si>
  <si>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</si>
  <si>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</si>
  <si>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</si>
  <si>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</si>
  <si>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</si>
  <si>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</si>
  <si>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</si>
  <si>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</si>
  <si>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</si>
  <si>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</si>
  <si>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</si>
  <si>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</si>
  <si>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</si>
  <si>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</si>
  <si>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</si>
  <si>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</si>
  <si>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</si>
  <si>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</si>
  <si>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</si>
  <si>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</si>
  <si>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</si>
  <si>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</si>
  <si>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</si>
  <si>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</si>
  <si>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</si>
  <si>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</si>
  <si>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</si>
  <si>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</si>
  <si>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</si>
  <si>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</si>
  <si>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</si>
  <si>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</si>
  <si>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</si>
  <si>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</si>
  <si>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</si>
  <si>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</si>
  <si>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</si>
  <si>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</si>
  <si>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</si>
  <si>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</si>
  <si>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</si>
  <si>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</si>
  <si>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</si>
  <si>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</si>
  <si>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</si>
  <si>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</si>
  <si>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</si>
  <si>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</si>
  <si>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</si>
  <si>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</si>
  <si>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</si>
  <si>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</si>
  <si>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</si>
  <si>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</si>
  <si>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</si>
  <si>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</si>
  <si>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</si>
  <si>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</si>
  <si>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</si>
  <si>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</si>
  <si>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</si>
  <si>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</si>
  <si>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</si>
  <si>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</si>
  <si>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</si>
  <si>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</si>
  <si>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</si>
  <si>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</si>
  <si>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</si>
  <si>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</si>
  <si>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</si>
  <si>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</si>
  <si>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</si>
  <si>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</si>
  <si>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</si>
  <si>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</si>
  <si>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</si>
  <si>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</si>
  <si>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</si>
  <si>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</si>
  <si>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</si>
  <si>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</si>
  <si>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</si>
  <si>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</si>
  <si>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</si>
  <si>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</si>
  <si>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</si>
  <si>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</si>
  <si>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</si>
  <si>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</si>
  <si>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</si>
  <si>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</si>
  <si>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</si>
  <si>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</si>
  <si>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</si>
  <si>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</si>
  <si>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</si>
  <si>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</si>
  <si>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</si>
  <si>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</si>
  <si>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</si>
  <si>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</si>
  <si>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</si>
  <si>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</si>
  <si>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</si>
  <si>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</si>
  <si>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</si>
  <si>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</si>
  <si>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</si>
  <si>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</si>
  <si>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</si>
  <si>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</si>
  <si>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</si>
  <si>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</si>
  <si>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</si>
  <si>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</si>
  <si>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</si>
  <si>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</si>
  <si>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</si>
  <si>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</si>
  <si>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</si>
  <si>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</si>
  <si>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</si>
  <si>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</si>
  <si>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</si>
  <si>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</si>
  <si>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</si>
  <si>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</si>
  <si>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</si>
  <si>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</si>
  <si>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</si>
  <si>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</si>
  <si>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</si>
  <si>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</si>
  <si>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</si>
  <si>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</si>
  <si>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</si>
  <si>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</si>
  <si>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</si>
  <si>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</si>
  <si>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</si>
  <si>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</si>
  <si>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</si>
  <si>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</si>
  <si>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</si>
  <si>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</si>
  <si>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</si>
  <si>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</si>
  <si>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</si>
  <si>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</si>
  <si>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</si>
  <si>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</si>
  <si>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</si>
  <si>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</si>
  <si>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</si>
  <si>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</si>
  <si>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</si>
  <si>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</si>
  <si>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</si>
  <si>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</si>
  <si>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</si>
  <si>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</si>
  <si>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</si>
  <si>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</si>
  <si>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</si>
  <si>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</si>
  <si>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</si>
  <si>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</si>
  <si>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</si>
  <si>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</si>
  <si>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</si>
  <si>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</si>
  <si>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</si>
  <si>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</si>
  <si>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</si>
  <si>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</si>
  <si>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</si>
  <si>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</si>
  <si>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</si>
  <si>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</si>
  <si>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</si>
  <si>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</si>
  <si>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</si>
  <si>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</si>
  <si>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</si>
  <si>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</si>
  <si>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</si>
  <si>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</si>
  <si>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</si>
  <si>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</si>
  <si>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</si>
  <si>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</si>
  <si>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</si>
  <si>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</si>
  <si>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</si>
  <si>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</si>
  <si>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</si>
  <si>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</si>
  <si>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</si>
  <si>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</si>
  <si>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</si>
  <si>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</si>
  <si>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</si>
  <si>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</si>
  <si>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</si>
  <si>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</si>
  <si>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</si>
  <si>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</si>
  <si>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</si>
  <si>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</si>
  <si>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</si>
  <si>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</si>
  <si>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</si>
  <si>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</si>
  <si>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</si>
  <si>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</si>
  <si>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</si>
  <si>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</si>
  <si>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</si>
  <si>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</si>
  <si>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</si>
  <si>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</si>
  <si>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</si>
  <si>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</si>
  <si>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</si>
  <si>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</si>
  <si>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</si>
  <si>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</si>
  <si>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</si>
  <si>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</si>
  <si>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</si>
  <si>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</si>
  <si>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</si>
  <si>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</si>
  <si>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</si>
  <si>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</si>
  <si>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</si>
  <si>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</si>
  <si>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</si>
  <si>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</si>
  <si>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</si>
  <si>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</si>
  <si>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</si>
  <si>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</si>
  <si>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</si>
  <si>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</si>
  <si>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</si>
  <si>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</si>
  <si>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</si>
  <si>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</si>
  <si>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</si>
  <si>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</si>
  <si>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</si>
  <si>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</si>
  <si>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</si>
  <si>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</si>
  <si>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</si>
  <si>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</si>
  <si>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</si>
  <si>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</si>
  <si>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</si>
  <si>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</si>
  <si>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</si>
  <si>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</si>
  <si>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</si>
  <si>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</si>
  <si>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</si>
  <si>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</si>
  <si>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</si>
  <si>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</si>
  <si>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</si>
  <si>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</si>
  <si>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</si>
  <si>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</si>
  <si>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</si>
  <si>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</si>
  <si>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</si>
  <si>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</si>
  <si>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</si>
  <si>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</si>
  <si>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</si>
  <si>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</si>
  <si>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</si>
  <si>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</si>
  <si>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</si>
  <si>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</si>
  <si>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</si>
  <si>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</si>
  <si>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</si>
  <si>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</si>
  <si>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</si>
  <si>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</si>
  <si>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</si>
  <si>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</si>
  <si>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</si>
  <si>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</si>
  <si>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</si>
  <si>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</si>
  <si>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</si>
  <si>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</si>
  <si>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</si>
  <si>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</si>
  <si>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</si>
  <si>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</si>
  <si>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</si>
  <si>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</si>
  <si>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</si>
  <si>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</si>
  <si>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</si>
  <si>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</si>
  <si>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</si>
  <si>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</si>
  <si>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</si>
  <si>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</si>
  <si>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</si>
  <si>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</si>
  <si>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</si>
  <si>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</si>
  <si>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</si>
  <si>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</si>
  <si>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</si>
  <si>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</si>
  <si>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</si>
  <si>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</si>
  <si>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</si>
  <si>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</si>
  <si>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</si>
  <si>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</si>
  <si>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</si>
  <si>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</si>
  <si>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</si>
  <si>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</si>
  <si>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</si>
  <si>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</si>
  <si>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</si>
  <si>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</si>
  <si>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</si>
  <si>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</si>
  <si>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</si>
  <si>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</si>
  <si>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</si>
  <si>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</si>
  <si>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</si>
  <si>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</si>
  <si>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</si>
  <si>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</si>
  <si>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</si>
  <si>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</si>
  <si>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</si>
  <si>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</si>
  <si>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</si>
  <si>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</si>
  <si>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</si>
  <si>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</si>
  <si>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</si>
  <si>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</si>
  <si>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</si>
  <si>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</si>
  <si>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</si>
  <si>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</si>
  <si>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</si>
  <si>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</si>
  <si>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</si>
  <si>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</si>
  <si>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</si>
  <si>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</si>
  <si>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</si>
  <si>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</si>
  <si>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</si>
  <si>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</si>
  <si>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</si>
  <si>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</si>
  <si>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</si>
  <si>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</si>
  <si>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</si>
  <si>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</si>
  <si>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</si>
  <si>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</si>
  <si>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</si>
  <si>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</si>
  <si>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</si>
  <si>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</si>
  <si>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</si>
  <si>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</si>
  <si>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</si>
  <si>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</si>
  <si>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</si>
  <si>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</si>
  <si>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</si>
  <si>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</si>
  <si>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</si>
  <si>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</si>
  <si>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</si>
  <si>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</si>
  <si>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</si>
  <si>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</si>
  <si>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</si>
  <si>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</si>
  <si>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</si>
  <si>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</si>
  <si>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</si>
  <si>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</si>
  <si>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</si>
  <si>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</si>
  <si>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</si>
  <si>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</si>
  <si>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</si>
  <si>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</si>
  <si>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</si>
  <si>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</si>
  <si>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</si>
  <si>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</si>
  <si>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</si>
  <si>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</si>
  <si>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</si>
  <si>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</si>
  <si>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</si>
  <si>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</si>
  <si>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</si>
  <si>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</si>
  <si>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</si>
  <si>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</si>
  <si>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</si>
  <si>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</si>
  <si>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</si>
  <si>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</si>
  <si>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</si>
  <si>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</si>
  <si>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</si>
  <si>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</si>
  <si>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</si>
  <si>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</si>
  <si>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</si>
  <si>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</si>
  <si>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</si>
  <si>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</si>
  <si>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</si>
  <si>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</si>
  <si>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</si>
  <si>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</si>
  <si>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</si>
  <si>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</si>
  <si>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</si>
  <si>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</si>
  <si>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</si>
  <si>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</si>
  <si>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</si>
  <si>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</si>
  <si>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</si>
  <si>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</si>
  <si>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</si>
  <si>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</si>
  <si>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</si>
  <si>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</si>
  <si>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</si>
  <si>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</si>
  <si>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</si>
  <si>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</si>
  <si>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</si>
  <si>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</si>
  <si>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</si>
  <si>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</si>
  <si>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</si>
  <si>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</si>
  <si>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</si>
  <si>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</si>
  <si>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</si>
  <si>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</si>
  <si>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</si>
  <si>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</si>
  <si>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</si>
  <si>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</si>
  <si>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</si>
  <si>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</si>
  <si>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</si>
  <si>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</si>
  <si>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</si>
  <si>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</si>
  <si>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</si>
  <si>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</si>
  <si>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</si>
  <si>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</si>
  <si>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</si>
  <si>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</si>
  <si>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</si>
  <si>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</si>
  <si>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</si>
  <si>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</si>
  <si>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</si>
  <si>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</si>
  <si>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</si>
  <si>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</si>
  <si>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</si>
  <si>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</si>
  <si>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</si>
  <si>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</si>
  <si>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</si>
  <si>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</si>
  <si>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</si>
  <si>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</si>
  <si>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</si>
  <si>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</si>
  <si>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</si>
  <si>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</si>
  <si>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</si>
  <si>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</si>
  <si>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</si>
  <si>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</si>
  <si>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</si>
  <si>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</si>
  <si>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</si>
  <si>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</si>
  <si>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</si>
  <si>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</si>
  <si>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</si>
  <si>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</si>
  <si>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</si>
  <si>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</si>
  <si>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</si>
  <si>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</si>
  <si>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</si>
  <si>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</si>
  <si>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</si>
  <si>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</si>
  <si>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</si>
  <si>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</si>
  <si>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</si>
  <si>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</si>
  <si>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</si>
  <si>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</si>
  <si>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</si>
  <si>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</si>
  <si>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</si>
  <si>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</si>
  <si>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</si>
  <si>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</si>
  <si>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</si>
  <si>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</si>
  <si>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</si>
  <si>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</si>
  <si>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</si>
  <si>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</si>
  <si>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</si>
  <si>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</si>
  <si>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</si>
  <si>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</si>
  <si>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</si>
  <si>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</si>
  <si>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</si>
  <si>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</si>
  <si>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</si>
  <si>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</si>
  <si>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</si>
  <si>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</si>
  <si>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</si>
  <si>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</si>
  <si>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</si>
  <si>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</si>
  <si>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</si>
  <si>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</si>
  <si>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</si>
  <si>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</si>
  <si>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</si>
  <si>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</si>
  <si>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</si>
  <si>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</si>
  <si>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</si>
  <si>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</si>
  <si>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</si>
  <si>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</si>
  <si>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</si>
  <si>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</si>
  <si>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</si>
  <si>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</si>
  <si>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</si>
  <si>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</si>
  <si>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</si>
  <si>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</si>
  <si>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</si>
  <si>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</si>
  <si>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</si>
  <si>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</si>
  <si>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</si>
  <si>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</si>
  <si>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</si>
  <si>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</si>
  <si>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</si>
  <si>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</si>
  <si>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</si>
  <si>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</si>
  <si>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</si>
  <si>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</si>
  <si>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</si>
  <si>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</si>
  <si>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</si>
  <si>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</si>
  <si>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</si>
  <si>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</si>
  <si>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</si>
  <si>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</si>
  <si>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</si>
  <si>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</si>
  <si>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</si>
  <si>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</si>
  <si>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</si>
  <si>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</si>
  <si>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</si>
  <si>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</si>
  <si>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</si>
  <si>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</si>
  <si>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</si>
  <si>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</si>
  <si>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</si>
  <si>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</si>
  <si>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</si>
  <si>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</si>
  <si>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</si>
  <si>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</si>
  <si>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</si>
  <si>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</si>
  <si>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</si>
  <si>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</si>
  <si>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</si>
  <si>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</si>
  <si>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</si>
  <si>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</si>
  <si>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</si>
  <si>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</si>
  <si>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</si>
  <si>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</si>
  <si>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</si>
  <si>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</si>
  <si>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</si>
  <si>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</si>
  <si>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</si>
  <si>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</si>
  <si>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</si>
  <si>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</si>
  <si>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</si>
  <si>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</si>
  <si>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</si>
  <si>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</si>
  <si>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</si>
  <si>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</si>
  <si>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</si>
  <si>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</si>
  <si>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</si>
  <si>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</si>
  <si>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</si>
  <si>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</si>
  <si>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</si>
  <si>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</si>
  <si>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</si>
  <si>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</si>
  <si>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</si>
  <si>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</si>
  <si>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</si>
  <si>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</si>
  <si>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</si>
  <si>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</si>
  <si>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</si>
  <si>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</si>
  <si>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</si>
  <si>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</si>
  <si>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</si>
  <si>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</si>
  <si>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</si>
  <si>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</si>
  <si>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</si>
  <si>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</si>
  <si>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</si>
  <si>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</si>
  <si>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</si>
  <si>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</si>
  <si>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</si>
  <si>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</si>
  <si>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</si>
  <si>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</si>
  <si>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</si>
  <si>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</si>
  <si>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</si>
  <si>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</si>
  <si>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</si>
  <si>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</si>
  <si>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</si>
  <si>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</si>
  <si>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</si>
  <si>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</si>
  <si>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</si>
  <si>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</si>
  <si>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</si>
  <si>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</si>
  <si>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</si>
  <si>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</si>
  <si>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</si>
  <si>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</si>
  <si>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</si>
  <si>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</si>
  <si>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</si>
  <si>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</si>
  <si>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</si>
  <si>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</si>
  <si>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</si>
  <si>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</si>
  <si>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</si>
  <si>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</si>
  <si>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</si>
  <si>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</si>
  <si>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</si>
  <si>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</si>
  <si>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</si>
  <si>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</si>
  <si>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</si>
  <si>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</si>
  <si>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</si>
  <si>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</si>
  <si>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</si>
  <si>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</si>
  <si>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</si>
  <si>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</si>
  <si>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</si>
  <si>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</si>
  <si>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</si>
  <si>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</si>
  <si>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</si>
  <si>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</si>
  <si>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</si>
  <si>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</si>
  <si>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</si>
  <si>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</si>
  <si>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</si>
  <si>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</si>
  <si>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</si>
  <si>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</si>
  <si>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</si>
  <si>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</si>
  <si>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</si>
  <si>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</si>
  <si>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</si>
  <si>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</si>
  <si>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</si>
  <si>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</si>
  <si>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</si>
  <si>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</si>
  <si>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</si>
  <si>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</si>
  <si>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</si>
  <si>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</si>
  <si>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</si>
  <si>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</si>
  <si>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</si>
  <si>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</si>
  <si>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</si>
  <si>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</si>
  <si>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</si>
  <si>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</si>
  <si>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</si>
  <si>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</si>
  <si>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</si>
  <si>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</si>
  <si>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</si>
  <si>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</si>
  <si>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</si>
  <si>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</si>
  <si>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</si>
  <si>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</si>
  <si>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</si>
  <si>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</si>
  <si>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</si>
  <si>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</si>
  <si>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</si>
  <si>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</si>
  <si>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</si>
  <si>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</si>
  <si>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</si>
  <si>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</si>
  <si>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</si>
  <si>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</si>
  <si>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</si>
  <si>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</si>
  <si>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</si>
  <si>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</si>
  <si>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</si>
  <si>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</si>
  <si>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</si>
  <si>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</si>
  <si>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</si>
  <si>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</si>
  <si>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</si>
  <si>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</si>
  <si>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</si>
  <si>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</si>
  <si>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</si>
  <si>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</si>
  <si>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</si>
  <si>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</si>
  <si>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</si>
  <si>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</si>
  <si>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</si>
  <si>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</si>
  <si>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</si>
  <si>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</si>
  <si>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</si>
  <si>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</si>
  <si>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</si>
  <si>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</si>
  <si>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</si>
  <si>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</si>
  <si>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</si>
  <si>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</si>
  <si>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</si>
  <si>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</si>
  <si>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</si>
  <si>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</si>
  <si>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</si>
  <si>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</si>
  <si>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</si>
  <si>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</si>
  <si>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</si>
  <si>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</si>
  <si>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</si>
  <si>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</si>
  <si>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</si>
  <si>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</si>
  <si>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</si>
  <si>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</si>
  <si>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</si>
  <si>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</si>
  <si>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</si>
  <si>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</si>
  <si>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</si>
  <si>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</si>
  <si>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</si>
  <si>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</si>
  <si>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</si>
  <si>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</si>
  <si>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</si>
  <si>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</si>
  <si>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</si>
  <si>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</si>
  <si>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</si>
  <si>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</si>
  <si>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</si>
  <si>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</si>
  <si>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</si>
  <si>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</si>
  <si>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</si>
  <si>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</si>
  <si>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</si>
  <si>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</si>
  <si>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</si>
  <si>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</si>
  <si>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</si>
  <si>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</si>
  <si>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</si>
  <si>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</si>
  <si>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</si>
  <si>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</si>
  <si>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</si>
  <si>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</si>
  <si>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</si>
  <si>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</si>
  <si>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</si>
  <si>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</si>
  <si>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</si>
  <si>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</si>
  <si>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</si>
  <si>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</si>
  <si>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</si>
  <si>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</si>
  <si>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</si>
  <si>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</si>
  <si>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</si>
  <si>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</si>
  <si>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</si>
  <si>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</si>
  <si>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</si>
  <si>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</si>
  <si>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</si>
  <si>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</si>
  <si>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</si>
  <si>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</si>
  <si>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</si>
  <si>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</si>
  <si>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</si>
  <si>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</si>
  <si>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</si>
  <si>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</si>
  <si>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</si>
  <si>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</si>
  <si>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</si>
  <si>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</si>
  <si>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</si>
  <si>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</si>
  <si>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</si>
  <si>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</si>
  <si>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</si>
  <si>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</si>
  <si>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</si>
  <si>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</si>
  <si>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</si>
  <si>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</si>
  <si>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</si>
  <si>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</si>
  <si>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</si>
  <si>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</si>
  <si>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</si>
  <si>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</si>
  <si>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</si>
  <si>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</si>
  <si>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</si>
  <si>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</si>
  <si>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</si>
  <si>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</si>
  <si>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</si>
  <si>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</si>
  <si>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</si>
  <si>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</si>
  <si>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</si>
  <si>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</si>
  <si>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</si>
  <si>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</si>
  <si>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</si>
  <si>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</si>
  <si>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</si>
  <si>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</si>
  <si>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</si>
  <si>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</si>
  <si>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</si>
  <si>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</si>
  <si>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</si>
  <si>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</si>
  <si>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</si>
  <si>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</si>
  <si>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</si>
  <si>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</si>
  <si>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</si>
  <si>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</si>
  <si>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</si>
  <si>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</si>
  <si>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</si>
  <si>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</si>
  <si>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</si>
  <si>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</si>
  <si>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</si>
  <si>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</si>
  <si>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</si>
  <si>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</si>
  <si>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</si>
  <si>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</si>
  <si>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</si>
  <si>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</si>
  <si>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</si>
  <si>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</si>
  <si>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</si>
  <si>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</si>
  <si>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</si>
  <si>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</si>
  <si>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</si>
  <si>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</si>
  <si>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</si>
  <si>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</si>
  <si>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</si>
  <si>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</si>
  <si>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</si>
  <si>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</si>
  <si>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</si>
  <si>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</si>
  <si>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</si>
  <si>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</si>
  <si>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</si>
  <si>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</si>
  <si>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</si>
  <si>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</si>
  <si>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</si>
  <si>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</si>
  <si>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</si>
  <si>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</si>
  <si>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</si>
  <si>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</si>
  <si>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</si>
  <si>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</si>
  <si>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</si>
  <si>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</si>
  <si>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</si>
  <si>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</si>
  <si>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</si>
  <si>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</si>
  <si>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</si>
  <si>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</si>
  <si>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</si>
  <si>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</si>
  <si>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</si>
  <si>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</si>
  <si>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</si>
  <si>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</si>
  <si>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</si>
  <si>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</si>
  <si>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</si>
  <si>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</si>
  <si>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</si>
  <si>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</si>
  <si>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</si>
  <si>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</si>
  <si>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</si>
  <si>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</si>
  <si>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</si>
  <si>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</si>
  <si>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</si>
  <si>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</si>
  <si>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</si>
  <si>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</si>
  <si>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</si>
  <si>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</si>
  <si>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</si>
  <si>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</si>
  <si>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</si>
  <si>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</si>
  <si>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</si>
  <si>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</si>
  <si>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</si>
  <si>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</si>
  <si>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</si>
  <si>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</si>
  <si>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</si>
  <si>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</si>
  <si>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</si>
  <si>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</si>
  <si>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</si>
  <si>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</si>
  <si>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</si>
  <si>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</si>
  <si>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</si>
  <si>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</si>
  <si>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</si>
  <si>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</si>
  <si>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</si>
  <si>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</si>
  <si>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</si>
  <si>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</si>
  <si>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</si>
  <si>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</si>
  <si>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</si>
  <si>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</si>
  <si>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</si>
  <si>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</si>
  <si>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</si>
  <si>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</si>
  <si>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</si>
  <si>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</si>
  <si>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</si>
  <si>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</si>
  <si>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</si>
  <si>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</si>
  <si>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</si>
  <si>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</si>
  <si>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</si>
  <si>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</si>
  <si>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</si>
  <si>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</si>
  <si>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</si>
  <si>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</si>
  <si>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</si>
  <si>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</si>
  <si>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</si>
  <si>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</si>
  <si>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</si>
  <si>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</si>
  <si>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</si>
  <si>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</si>
  <si>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</si>
  <si>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</si>
  <si>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</si>
  <si>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</si>
  <si>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</si>
  <si>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</si>
  <si>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</si>
  <si>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</si>
  <si>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</si>
  <si>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</si>
  <si>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</si>
  <si>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</si>
  <si>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</si>
  <si>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</si>
  <si>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</si>
  <si>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</si>
  <si>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</si>
  <si>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</si>
  <si>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</si>
  <si>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</si>
  <si>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</si>
  <si>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</si>
  <si>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</si>
  <si>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</si>
  <si>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</si>
  <si>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</si>
  <si>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</si>
  <si>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</si>
  <si>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</si>
  <si>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</si>
  <si>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</si>
  <si>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</si>
  <si>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</si>
  <si>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</si>
  <si>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</si>
  <si>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</si>
  <si>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</si>
  <si>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</si>
  <si>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</si>
  <si>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</si>
  <si>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</si>
  <si>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</si>
  <si>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</si>
  <si>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</si>
  <si>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</si>
  <si>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</si>
  <si>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</si>
  <si>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</si>
  <si>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</si>
  <si>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</si>
  <si>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</si>
  <si>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</si>
  <si>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</si>
  <si>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</si>
  <si>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</si>
  <si>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</si>
  <si>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</si>
  <si>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</si>
  <si>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</si>
  <si>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</si>
  <si>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</si>
  <si>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</si>
  <si>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</si>
  <si>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</si>
  <si>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</si>
  <si>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</si>
  <si>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</si>
  <si>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</si>
  <si>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</si>
  <si>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</si>
  <si>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</si>
  <si>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</si>
  <si>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</si>
  <si>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</si>
  <si>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</si>
  <si>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</si>
  <si>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</si>
  <si>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</si>
  <si>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</si>
  <si>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</si>
  <si>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</si>
  <si>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</si>
  <si>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</si>
  <si>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</si>
  <si>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</si>
  <si>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</si>
  <si>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</si>
  <si>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</si>
  <si>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</si>
  <si>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</si>
  <si>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</si>
  <si>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</si>
  <si>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</si>
  <si>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</si>
  <si>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</si>
  <si>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</si>
  <si>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</si>
  <si>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</si>
  <si>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</si>
  <si>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</si>
  <si>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</si>
  <si>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</si>
  <si>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</si>
  <si>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</si>
  <si>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</si>
  <si>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</si>
  <si>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</si>
  <si>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</si>
  <si>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</si>
  <si>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</si>
  <si>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</si>
  <si>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</si>
  <si>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</si>
  <si>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</si>
  <si>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</si>
  <si>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</si>
  <si>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</si>
  <si>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</si>
  <si>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</si>
  <si>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</si>
  <si>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</si>
  <si>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</si>
  <si>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</si>
  <si>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</si>
  <si>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</si>
  <si>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</si>
  <si>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</si>
  <si>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</si>
  <si>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</si>
  <si>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</si>
  <si>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</si>
  <si>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</si>
  <si>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</si>
  <si>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</si>
  <si>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</si>
  <si>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</si>
  <si>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</si>
  <si>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</si>
  <si>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</si>
  <si>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</si>
  <si>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</si>
  <si>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</si>
  <si>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</si>
  <si>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</si>
  <si>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</si>
  <si>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</si>
  <si>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</si>
  <si>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</si>
  <si>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</si>
  <si>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</si>
  <si>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</si>
  <si>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</si>
  <si>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</si>
  <si>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</si>
  <si>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</si>
  <si>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</si>
  <si>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</si>
  <si>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</si>
  <si>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</si>
  <si>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</si>
  <si>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</si>
  <si>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</si>
  <si>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</si>
  <si>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</si>
  <si>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</si>
  <si>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</si>
  <si>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</si>
  <si>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</si>
  <si>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</si>
  <si>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</si>
  <si>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</si>
  <si>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</si>
  <si>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</si>
  <si>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</si>
  <si>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</si>
  <si>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</si>
  <si>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</si>
  <si>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</si>
  <si>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</si>
  <si>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</si>
  <si>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</si>
  <si>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</si>
  <si>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</si>
  <si>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</si>
  <si>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</si>
  <si>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</si>
  <si>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</si>
  <si>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</si>
  <si>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</si>
  <si>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</si>
  <si>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</si>
  <si>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</si>
  <si>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</si>
  <si>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</si>
  <si>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</si>
  <si>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</si>
  <si>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</si>
  <si>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</si>
  <si>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</si>
  <si>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</si>
  <si>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</si>
  <si>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</si>
  <si>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</si>
  <si>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</si>
  <si>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</si>
  <si>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</si>
  <si>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</si>
  <si>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</si>
  <si>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</si>
  <si>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</si>
  <si>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</si>
  <si>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</si>
  <si>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</si>
  <si>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</si>
  <si>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</si>
  <si>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</si>
  <si>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</si>
  <si>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</si>
  <si>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</si>
  <si>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</si>
  <si>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</si>
  <si>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</si>
  <si>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</si>
  <si>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</si>
  <si>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</si>
  <si>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</si>
  <si>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</si>
  <si>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</si>
  <si>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</si>
  <si>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</si>
  <si>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</si>
  <si>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</si>
  <si>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</si>
  <si>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</si>
  <si>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</si>
  <si>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</si>
  <si>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</si>
  <si>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</si>
  <si>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</si>
  <si>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</si>
  <si>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</si>
  <si>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</si>
  <si>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</si>
  <si>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</si>
  <si>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</si>
  <si>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</si>
  <si>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</si>
  <si>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</si>
  <si>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</si>
  <si>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</si>
  <si>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</si>
  <si>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</si>
  <si>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</si>
  <si>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</si>
  <si>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</si>
  <si>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</si>
  <si>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</si>
  <si>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</si>
  <si>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</si>
  <si>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</si>
  <si>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</si>
  <si>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</si>
  <si>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</si>
  <si>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</si>
  <si>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</si>
  <si>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</si>
  <si>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</si>
  <si>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</si>
  <si>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</si>
  <si>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</si>
  <si>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</si>
  <si>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</si>
  <si>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</si>
  <si>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</si>
  <si>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</si>
  <si>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</si>
  <si>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</si>
  <si>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</si>
  <si>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</si>
  <si>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</si>
  <si>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</si>
  <si>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</si>
  <si>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</si>
  <si>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</si>
  <si>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</si>
  <si>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</si>
  <si>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</si>
  <si>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</si>
  <si>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</si>
  <si>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</si>
  <si>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</si>
  <si>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</si>
  <si>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</si>
  <si>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</si>
  <si>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</si>
  <si>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</si>
  <si>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</si>
  <si>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</si>
  <si>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</si>
  <si>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</si>
  <si>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</si>
  <si>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</si>
  <si>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</si>
  <si>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</si>
  <si>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</si>
  <si>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</si>
  <si>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</si>
  <si>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</si>
  <si>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</si>
  <si>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</si>
  <si>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</si>
  <si>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</si>
  <si>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</si>
  <si>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</si>
  <si>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</si>
  <si>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</si>
  <si>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</si>
  <si>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</si>
  <si>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</si>
  <si>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</si>
  <si>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</si>
  <si>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</si>
  <si>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</si>
  <si>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</si>
  <si>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</si>
  <si>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</si>
  <si>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</si>
  <si>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</si>
  <si>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</si>
  <si>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</si>
  <si>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</si>
  <si>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</si>
  <si>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</si>
  <si>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</si>
  <si>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</si>
  <si>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</si>
  <si>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</si>
  <si>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</si>
  <si>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</si>
  <si>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</si>
  <si>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</si>
  <si>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</si>
  <si>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</si>
  <si>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</si>
  <si>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</si>
  <si>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</si>
  <si>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</si>
  <si>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</si>
  <si>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</si>
  <si>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</si>
  <si>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</si>
  <si>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</si>
  <si>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</si>
  <si>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</si>
  <si>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</si>
  <si>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</si>
  <si>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</si>
  <si>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</si>
  <si>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</si>
  <si>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</si>
  <si>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</si>
  <si>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</si>
  <si>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</si>
  <si>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</si>
  <si>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</si>
  <si>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</si>
  <si>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</si>
  <si>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</si>
  <si>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</si>
  <si>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</si>
  <si>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</si>
  <si>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</si>
  <si>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</si>
  <si>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</si>
  <si>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</si>
  <si>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</si>
  <si>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</si>
  <si>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</si>
  <si>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</si>
  <si>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</si>
  <si>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</si>
  <si>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</si>
  <si>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</si>
  <si>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</si>
  <si>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</si>
  <si>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</si>
  <si>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</si>
  <si>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</si>
  <si>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</si>
  <si>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</si>
  <si>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</si>
  <si>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</si>
  <si>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</si>
  <si>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</si>
  <si>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</si>
  <si>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</si>
  <si>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</si>
  <si>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</si>
  <si>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</si>
  <si>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</si>
  <si>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</si>
  <si>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</si>
  <si>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</si>
  <si>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</si>
  <si>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</si>
  <si>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</si>
  <si>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</si>
  <si>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</si>
  <si>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</si>
  <si>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</si>
  <si>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</si>
  <si>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</si>
  <si>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</si>
  <si>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</si>
  <si>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</si>
  <si>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</si>
  <si>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</si>
  <si>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</si>
  <si>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</si>
  <si>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</si>
  <si>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</si>
  <si>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</si>
  <si>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</si>
  <si>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</si>
  <si>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</si>
  <si>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</si>
  <si>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</si>
  <si>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</si>
  <si>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</si>
  <si>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</si>
  <si>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</si>
  <si>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</si>
  <si>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</si>
  <si>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</si>
  <si>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</si>
  <si>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</si>
  <si>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</si>
  <si>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</si>
  <si>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</si>
  <si>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</si>
  <si>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</si>
  <si>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</si>
  <si>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</si>
  <si>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</si>
  <si>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</si>
  <si>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</si>
  <si>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</si>
  <si>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</si>
  <si>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</si>
  <si>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</si>
  <si>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</si>
  <si>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</si>
  <si>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</si>
  <si>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</si>
  <si>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</si>
  <si>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</si>
  <si>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</si>
  <si>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</si>
  <si>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</si>
  <si>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</si>
  <si>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</si>
  <si>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</si>
  <si>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</si>
  <si>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</si>
  <si>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</si>
  <si>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</si>
  <si>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</si>
  <si>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</si>
  <si>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</si>
  <si>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</si>
  <si>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</si>
  <si>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</si>
  <si>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</si>
  <si>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</si>
  <si>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</si>
  <si>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</si>
  <si>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</si>
  <si>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</si>
  <si>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</si>
  <si>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</si>
  <si>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</si>
  <si>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</si>
  <si>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</si>
  <si>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</si>
  <si>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</si>
  <si>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</si>
  <si>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</si>
  <si>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</si>
  <si>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</si>
  <si>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</si>
  <si>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</si>
  <si>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</si>
  <si>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</si>
  <si>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</si>
  <si>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</si>
  <si>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</si>
  <si>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</si>
  <si>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</si>
  <si>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</si>
  <si>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</si>
  <si>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</si>
  <si>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</si>
  <si>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</si>
  <si>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</si>
  <si>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</si>
  <si>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</si>
  <si>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</si>
  <si>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</si>
  <si>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</si>
  <si>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</si>
  <si>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</si>
  <si>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</si>
  <si>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</si>
  <si>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</si>
  <si>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</si>
  <si>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</si>
  <si>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</si>
  <si>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</si>
  <si>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</si>
  <si>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</si>
  <si>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</si>
  <si>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</si>
  <si>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</si>
  <si>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</si>
  <si>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</si>
  <si>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</si>
  <si>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</si>
  <si>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</si>
  <si>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</si>
  <si>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</si>
  <si>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</si>
  <si>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</si>
  <si>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</si>
  <si>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</si>
  <si>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</si>
  <si>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</si>
  <si>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</si>
  <si>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</si>
  <si>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</si>
  <si>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</si>
  <si>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</si>
  <si>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</si>
  <si>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</si>
  <si>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</si>
  <si>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</si>
  <si>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</si>
  <si>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</si>
  <si>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</si>
  <si>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</si>
  <si>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</si>
  <si>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</si>
  <si>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</si>
  <si>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</si>
  <si>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</si>
  <si>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</si>
  <si>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</si>
  <si>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</si>
  <si>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</si>
  <si>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</si>
  <si>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</si>
  <si>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</si>
  <si>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</si>
  <si>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</si>
  <si>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</si>
  <si>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</si>
  <si>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</si>
  <si>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</si>
  <si>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</si>
  <si>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</si>
  <si>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</si>
  <si>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</si>
  <si>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</si>
  <si>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</si>
  <si>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</si>
  <si>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</si>
  <si>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</si>
  <si>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</si>
  <si>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</si>
  <si>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</si>
  <si>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</si>
  <si>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</si>
  <si>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</si>
  <si>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</si>
  <si>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</si>
  <si>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</si>
  <si>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</si>
  <si>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</si>
  <si>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</si>
  <si>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</si>
  <si>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</si>
  <si>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</si>
  <si>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</si>
  <si>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</si>
  <si>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</si>
  <si>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</si>
  <si>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</si>
  <si>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</si>
  <si>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</si>
  <si>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</si>
  <si>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</si>
  <si>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</si>
  <si>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</si>
  <si>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</si>
  <si>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</si>
  <si>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</si>
  <si>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</si>
  <si>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</si>
  <si>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</si>
  <si>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</si>
  <si>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</si>
  <si>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</si>
  <si>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</si>
  <si>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</si>
  <si>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</si>
  <si>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</si>
  <si>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</si>
  <si>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</si>
  <si>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</si>
  <si>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</si>
  <si>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</si>
  <si>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</si>
  <si>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</si>
  <si>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</si>
  <si>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</si>
  <si>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</si>
  <si>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</si>
  <si>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</si>
  <si>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</si>
  <si>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</si>
  <si>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</si>
  <si>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</si>
  <si>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</si>
  <si>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</si>
  <si>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</si>
  <si>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</si>
  <si>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</si>
  <si>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</si>
  <si>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</si>
  <si>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</si>
  <si>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</si>
  <si>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</si>
  <si>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</si>
  <si>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</si>
  <si>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</si>
  <si>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</si>
  <si>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</si>
  <si>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</si>
  <si>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</si>
  <si>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</si>
  <si>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</si>
  <si>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</si>
  <si>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</si>
  <si>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</si>
  <si>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</si>
  <si>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</si>
  <si>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</si>
  <si>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</si>
  <si>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</si>
  <si>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</si>
  <si>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</si>
  <si>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</si>
  <si>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</si>
  <si>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</si>
  <si>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</si>
  <si>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</si>
  <si>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</si>
  <si>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</si>
  <si>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</si>
  <si>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</si>
  <si>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</si>
  <si>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</si>
  <si>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</si>
  <si>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</si>
  <si>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</si>
  <si>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</si>
  <si>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</si>
  <si>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</si>
  <si>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</si>
  <si>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</si>
  <si>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</si>
  <si>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</si>
  <si>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</si>
  <si>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</si>
  <si>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</si>
  <si>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</si>
  <si>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</si>
  <si>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</si>
  <si>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</si>
  <si>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</si>
  <si>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</si>
  <si>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</si>
  <si>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</si>
  <si>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</si>
  <si>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</si>
  <si>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</si>
  <si>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</si>
  <si>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</si>
  <si>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</si>
  <si>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</si>
  <si>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</si>
  <si>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</si>
  <si>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</si>
  <si>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</si>
  <si>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</si>
  <si>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</si>
  <si>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</si>
  <si>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</si>
  <si>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</si>
  <si>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</si>
  <si>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</si>
  <si>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</si>
  <si>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</si>
  <si>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</si>
  <si>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</si>
  <si>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</si>
  <si>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</si>
  <si>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</si>
  <si>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</si>
  <si>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</si>
  <si>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</si>
  <si>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</si>
  <si>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</si>
  <si>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</si>
  <si>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</si>
  <si>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</si>
  <si>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</si>
  <si>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</si>
  <si>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</si>
  <si>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</si>
  <si>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</si>
  <si>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</si>
  <si>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</si>
  <si>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</si>
  <si>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</si>
  <si>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</si>
  <si>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</si>
  <si>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</si>
  <si>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</si>
  <si>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</si>
  <si>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</si>
  <si>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</si>
  <si>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</si>
  <si>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</si>
  <si>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</si>
  <si>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</si>
  <si>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</si>
  <si>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</si>
  <si>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</si>
  <si>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</si>
  <si>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</si>
  <si>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</si>
  <si>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</si>
  <si>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</si>
  <si>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</si>
  <si>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</si>
  <si>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</si>
  <si>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</si>
  <si>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</si>
  <si>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</si>
  <si>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</si>
  <si>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</si>
  <si>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</si>
  <si>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</si>
  <si>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</si>
  <si>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</si>
  <si>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</si>
  <si>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</si>
  <si>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</si>
  <si>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</si>
  <si>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</si>
  <si>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</si>
  <si>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</si>
  <si>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</si>
  <si>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</si>
  <si>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</si>
  <si>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</si>
  <si>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</si>
  <si>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</si>
  <si>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</si>
  <si>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</si>
  <si>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</si>
  <si>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</si>
  <si>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</si>
  <si>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</si>
  <si>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</si>
  <si>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</si>
  <si>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</si>
  <si>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</si>
  <si>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</si>
  <si>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</si>
  <si>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</si>
  <si>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</si>
  <si>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</si>
  <si>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</si>
  <si>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</si>
  <si>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</si>
  <si>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</si>
  <si>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</si>
  <si>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</si>
  <si>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</si>
  <si>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</si>
  <si>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</si>
  <si>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</si>
  <si>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</si>
  <si>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</si>
  <si>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</si>
  <si>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</si>
  <si>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</si>
  <si>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</si>
  <si>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</si>
  <si>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</si>
  <si>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</si>
  <si>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</si>
  <si>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</si>
  <si>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</si>
  <si>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</si>
  <si>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</si>
  <si>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</si>
  <si>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</si>
  <si>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</si>
  <si>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</si>
  <si>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</si>
  <si>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</si>
  <si>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</si>
  <si>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</si>
  <si>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</si>
  <si>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</si>
  <si>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</si>
  <si>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</si>
  <si>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</si>
  <si>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</si>
  <si>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</si>
  <si>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</si>
  <si>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</si>
  <si>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</si>
  <si>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</si>
  <si>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</si>
  <si>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</si>
  <si>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</si>
  <si>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</si>
  <si>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</si>
  <si>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</si>
  <si>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</si>
  <si>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</si>
  <si>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</si>
  <si>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</si>
  <si>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</si>
  <si>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</si>
  <si>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</si>
  <si>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</si>
  <si>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</si>
  <si>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</si>
  <si>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</si>
  <si>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</si>
  <si>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</si>
  <si>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</si>
  <si>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</si>
  <si>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</si>
  <si>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</si>
  <si>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</si>
  <si>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</si>
  <si>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</si>
  <si>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</si>
  <si>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</si>
  <si>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</si>
  <si>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</si>
  <si>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</si>
  <si>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</si>
  <si>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</si>
  <si>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</si>
  <si>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</si>
  <si>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</si>
  <si>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</si>
  <si>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</si>
  <si>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</si>
  <si>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</si>
  <si>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</si>
  <si>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</si>
  <si>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</si>
  <si>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</si>
  <si>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</si>
  <si>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</si>
  <si>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</si>
  <si>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</si>
  <si>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</si>
  <si>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</si>
  <si>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</si>
  <si>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</si>
  <si>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</si>
  <si>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</si>
  <si>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</si>
  <si>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</si>
  <si>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</si>
  <si>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</si>
  <si>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</si>
  <si>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</si>
  <si>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</si>
  <si>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</si>
  <si>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</si>
  <si>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</si>
  <si>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</si>
  <si>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</si>
  <si>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</si>
  <si>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</si>
  <si>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</si>
  <si>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</si>
  <si>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</si>
  <si>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</si>
  <si>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</si>
  <si>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</si>
  <si>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</si>
  <si>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</si>
  <si>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</si>
  <si>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</si>
  <si>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</si>
  <si>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</si>
  <si>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</si>
  <si>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</si>
  <si>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</si>
  <si>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</si>
  <si>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</si>
  <si>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</si>
  <si>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</si>
  <si>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</si>
  <si>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</si>
  <si>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</si>
  <si>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</si>
  <si>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</si>
  <si>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</si>
  <si>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</si>
  <si>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</si>
  <si>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</si>
  <si>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</si>
  <si>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</si>
  <si>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</si>
  <si>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</si>
  <si>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</si>
  <si>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</si>
  <si>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</si>
  <si>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</si>
  <si>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</si>
  <si>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</si>
  <si>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</si>
  <si>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</si>
  <si>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</si>
  <si>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</si>
  <si>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</si>
  <si>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</si>
  <si>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</si>
  <si>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</si>
  <si>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</si>
  <si>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</si>
  <si>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</si>
  <si>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</si>
  <si>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</si>
  <si>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</si>
  <si>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</si>
  <si>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</si>
  <si>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</si>
  <si>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</si>
  <si>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</si>
  <si>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</si>
  <si>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</si>
  <si>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</si>
  <si>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</si>
  <si>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</si>
  <si>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</si>
  <si>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</si>
  <si>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</si>
  <si>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</si>
  <si>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</si>
  <si>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</si>
  <si>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</si>
  <si>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</si>
  <si>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</si>
  <si>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</si>
  <si>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</si>
  <si>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</si>
  <si>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</si>
  <si>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</si>
  <si>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</si>
  <si>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</si>
  <si>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</si>
  <si>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</si>
  <si>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</si>
  <si>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</si>
  <si>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</si>
  <si>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</si>
  <si>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</si>
  <si>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</si>
  <si>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</si>
  <si>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</si>
  <si>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</si>
  <si>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</si>
  <si>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</si>
  <si>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</si>
  <si>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</si>
  <si>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</si>
  <si>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</si>
  <si>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</si>
  <si>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</si>
  <si>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</si>
  <si>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</si>
  <si>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</si>
  <si>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</si>
  <si>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</si>
  <si>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</si>
  <si>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</si>
  <si>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</si>
  <si>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</si>
  <si>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</si>
  <si>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</si>
  <si>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</si>
  <si>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</si>
  <si>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</si>
  <si>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</si>
  <si>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</si>
  <si>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</si>
  <si>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</si>
  <si>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</si>
  <si>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</si>
  <si>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</si>
  <si>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</si>
  <si>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</si>
  <si>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</si>
  <si>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</si>
  <si>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</si>
  <si>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</si>
  <si>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</si>
  <si>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</si>
  <si>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</si>
  <si>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</si>
  <si>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</si>
  <si>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</si>
  <si>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</si>
  <si>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</si>
  <si>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</si>
  <si>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</si>
  <si>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</si>
  <si>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</si>
  <si>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</si>
  <si>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</si>
  <si>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</si>
  <si>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</si>
  <si>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</si>
  <si>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</si>
  <si>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</si>
  <si>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</si>
  <si>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</si>
  <si>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</si>
  <si>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</si>
  <si>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</si>
  <si>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</si>
  <si>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</si>
  <si>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</si>
  <si>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</si>
  <si>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</si>
  <si>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</si>
  <si>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</si>
  <si>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</si>
  <si>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</si>
  <si>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</si>
  <si>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</si>
  <si>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</si>
  <si>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</si>
  <si>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</si>
  <si>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</si>
  <si>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</si>
  <si>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</si>
  <si>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</si>
  <si>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</si>
  <si>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</si>
  <si>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</si>
  <si>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</si>
  <si>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</si>
  <si>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</si>
  <si>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</si>
  <si>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</si>
  <si>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</si>
  <si>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</si>
  <si>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</si>
  <si>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</si>
  <si>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</si>
  <si>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</si>
  <si>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</si>
  <si>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</si>
  <si>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</si>
  <si>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</si>
  <si>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</si>
  <si>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</si>
  <si>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</si>
  <si>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</si>
  <si>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</si>
  <si>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</si>
  <si>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</si>
  <si>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</si>
  <si>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</si>
  <si>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</si>
  <si>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</si>
  <si>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</si>
  <si>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</si>
  <si>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</si>
  <si>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</si>
  <si>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</si>
  <si>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</si>
  <si>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</si>
  <si>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</si>
  <si>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</si>
  <si>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</si>
  <si>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</si>
  <si>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</si>
  <si>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</si>
  <si>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</si>
  <si>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</si>
  <si>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</si>
  <si>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</si>
  <si>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</si>
  <si>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</si>
  <si>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</si>
  <si>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</si>
  <si>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</si>
  <si>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</si>
  <si>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</si>
  <si>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</si>
  <si>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</si>
  <si>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</si>
  <si>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</si>
  <si>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</si>
  <si>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</si>
  <si>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</si>
  <si>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</si>
  <si>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</si>
  <si>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</si>
  <si>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</si>
  <si>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</si>
  <si>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</si>
  <si>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</si>
  <si>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</si>
  <si>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</si>
  <si>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</si>
  <si>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</si>
  <si>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</si>
  <si>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</si>
  <si>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</si>
  <si>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</si>
  <si>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</si>
  <si>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</si>
  <si>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</si>
  <si>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</si>
  <si>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</si>
  <si>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</si>
  <si>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</si>
  <si>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</si>
  <si>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</si>
  <si>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</si>
  <si>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</si>
  <si>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</si>
  <si>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</si>
  <si>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</si>
  <si>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</si>
  <si>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</si>
  <si>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</si>
  <si>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</si>
  <si>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</si>
  <si>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</si>
  <si>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</si>
  <si>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</si>
  <si>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</si>
  <si>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</si>
  <si>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</si>
  <si>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</si>
  <si>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</si>
  <si>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</si>
  <si>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</si>
  <si>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</si>
  <si>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</si>
  <si>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</si>
  <si>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</si>
  <si>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</si>
  <si>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</si>
  <si>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</si>
  <si>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</si>
  <si>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</si>
  <si>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</si>
  <si>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</si>
  <si>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</si>
  <si>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</si>
  <si>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</si>
  <si>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</si>
  <si>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</si>
  <si>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</si>
  <si>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</si>
  <si>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</si>
  <si>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</si>
  <si>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</si>
  <si>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</si>
  <si>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</si>
  <si>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</si>
  <si>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</si>
  <si>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</si>
  <si>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</si>
  <si>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</si>
  <si>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</si>
  <si>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</si>
  <si>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</si>
  <si>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</si>
  <si>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</si>
  <si>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</si>
  <si>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</si>
  <si>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</si>
  <si>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</si>
  <si>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</si>
  <si>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</si>
  <si>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</si>
  <si>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</si>
  <si>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</si>
  <si>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</si>
  <si>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</si>
  <si>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</si>
  <si>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</si>
  <si>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</si>
  <si>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</si>
  <si>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</si>
  <si>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</si>
  <si>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</si>
  <si>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</si>
  <si>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</si>
  <si>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</si>
  <si>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</si>
  <si>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</si>
  <si>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</si>
  <si>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</si>
  <si>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</si>
  <si>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</si>
  <si>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</si>
  <si>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</si>
  <si>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</si>
  <si>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</si>
  <si>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</si>
  <si>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</si>
  <si>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</si>
  <si>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</si>
  <si>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</si>
  <si>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</si>
  <si>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</si>
  <si>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</si>
  <si>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</si>
  <si>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</si>
  <si>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</si>
  <si>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</si>
  <si>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</si>
  <si>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</si>
  <si>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</si>
  <si>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</si>
  <si>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</si>
  <si>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</si>
  <si>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</si>
  <si>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</si>
  <si>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</si>
  <si>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</si>
  <si>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</si>
  <si>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</si>
  <si>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</si>
  <si>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</si>
  <si>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</si>
  <si>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</si>
  <si>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</si>
  <si>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</si>
  <si>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</si>
  <si>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</si>
  <si>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</si>
  <si>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</si>
  <si>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</si>
  <si>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</si>
  <si>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</si>
  <si>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</si>
  <si>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</si>
  <si>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</si>
  <si>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</si>
  <si>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</si>
  <si>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</si>
  <si>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</si>
  <si>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</si>
  <si>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</si>
  <si>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</si>
  <si>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</si>
  <si>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</si>
  <si>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</si>
  <si>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</si>
  <si>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</si>
  <si>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</si>
  <si>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</si>
  <si>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</si>
  <si>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</si>
  <si>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</si>
  <si>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</si>
  <si>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</si>
  <si>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</si>
  <si>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</si>
  <si>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</si>
  <si>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</si>
  <si>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</si>
  <si>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</si>
  <si>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</si>
  <si>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</si>
  <si>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</si>
  <si>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</si>
  <si>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</si>
  <si>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</si>
  <si>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</si>
  <si>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</si>
  <si>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</si>
  <si>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</si>
  <si>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</si>
  <si>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</si>
  <si>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</si>
  <si>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</si>
  <si>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</si>
  <si>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</si>
  <si>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</si>
  <si>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</si>
  <si>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</si>
  <si>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</si>
  <si>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</si>
  <si>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</si>
  <si>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</si>
  <si>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</si>
  <si>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</si>
  <si>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</si>
  <si>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</si>
  <si>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</si>
  <si>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</si>
  <si>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</si>
  <si>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</si>
  <si>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</si>
  <si>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</si>
  <si>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</si>
  <si>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</si>
  <si>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</si>
  <si>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</si>
  <si>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</si>
  <si>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</si>
  <si>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</si>
  <si>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</si>
  <si>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</si>
  <si>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</si>
  <si>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</si>
  <si>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</si>
  <si>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</si>
  <si>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</si>
  <si>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</si>
  <si>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</si>
  <si>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</si>
  <si>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</si>
  <si>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</si>
  <si>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</si>
  <si>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</si>
  <si>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</si>
  <si>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</si>
  <si>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</si>
  <si>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</si>
  <si>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</si>
  <si>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</si>
  <si>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</si>
  <si>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</si>
  <si>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</si>
  <si>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</si>
  <si>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</si>
  <si>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</si>
  <si>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</si>
  <si>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</si>
  <si>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</si>
  <si>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</si>
  <si>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</si>
  <si>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</si>
  <si>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</si>
  <si>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</si>
  <si>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</si>
  <si>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</si>
  <si>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</si>
  <si>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</si>
  <si>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</si>
  <si>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</si>
  <si>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</si>
  <si>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</si>
  <si>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</si>
  <si>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</si>
  <si>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</si>
  <si>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</si>
  <si>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</si>
  <si>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</si>
  <si>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</si>
  <si>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</si>
  <si>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</si>
  <si>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</si>
  <si>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</si>
  <si>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</si>
  <si>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</si>
  <si>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</si>
  <si>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</si>
  <si>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</si>
  <si>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</si>
  <si>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</si>
  <si>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</si>
  <si>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</si>
  <si>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</si>
  <si>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</si>
  <si>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</si>
  <si>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</si>
  <si>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</si>
  <si>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</si>
  <si>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</si>
  <si>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</si>
  <si>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</si>
  <si>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</si>
  <si>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</si>
  <si>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</si>
  <si>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</si>
  <si>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</si>
  <si>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</si>
  <si>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</si>
  <si>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</si>
  <si>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</si>
  <si>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</si>
  <si>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</si>
  <si>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</si>
  <si>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</si>
  <si>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</si>
  <si>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</si>
  <si>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</si>
  <si>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</si>
  <si>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</si>
  <si>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</si>
  <si>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</si>
  <si>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</si>
  <si>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</si>
  <si>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</si>
  <si>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</si>
  <si>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</si>
  <si>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</si>
  <si>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</si>
  <si>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</si>
  <si>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</si>
  <si>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</si>
  <si>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</si>
  <si>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</si>
  <si>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</si>
  <si>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</si>
  <si>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</si>
  <si>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</si>
  <si>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</si>
  <si>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</si>
  <si>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</si>
  <si>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</si>
  <si>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</si>
  <si>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</si>
  <si>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</si>
  <si>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</si>
  <si>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</si>
  <si>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</si>
  <si>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</si>
  <si>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</si>
  <si>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</si>
  <si>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</si>
  <si>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</si>
  <si>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</si>
  <si>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</si>
  <si>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</si>
  <si>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</si>
  <si>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</si>
  <si>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</si>
  <si>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</si>
  <si>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</si>
  <si>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</si>
  <si>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</si>
  <si>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</si>
  <si>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</si>
  <si>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</si>
  <si>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</si>
  <si>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</si>
  <si>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</si>
  <si>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</si>
  <si>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</si>
  <si>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</si>
  <si>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</si>
  <si>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</si>
  <si>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</si>
  <si>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</si>
  <si>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</si>
  <si>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</si>
  <si>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</si>
  <si>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</si>
  <si>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</si>
  <si>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</si>
  <si>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</si>
  <si>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</si>
  <si>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</si>
  <si>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</si>
  <si>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</si>
  <si>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</si>
  <si>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</si>
  <si>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</si>
  <si>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</si>
  <si>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</si>
  <si>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</si>
  <si>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</si>
  <si>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</si>
  <si>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</si>
  <si>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</si>
  <si>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</si>
  <si>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</si>
  <si>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</si>
  <si>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</si>
  <si>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</si>
  <si>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</si>
  <si>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</si>
  <si>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</si>
  <si>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</si>
  <si>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</si>
  <si>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</si>
  <si>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</si>
  <si>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</si>
  <si>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</si>
  <si>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</si>
  <si>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</si>
  <si>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</si>
  <si>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</si>
  <si>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</si>
  <si>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</si>
  <si>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</si>
  <si>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</si>
  <si>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</si>
  <si>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</si>
  <si>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</si>
  <si>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</si>
  <si>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</si>
  <si>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</si>
  <si>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</si>
  <si>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</si>
  <si>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</si>
  <si>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</si>
  <si>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</si>
  <si>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</si>
  <si>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</si>
  <si>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</si>
  <si>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</si>
  <si>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</si>
  <si>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</si>
  <si>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</si>
  <si>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</si>
  <si>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</si>
  <si>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</si>
  <si>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</si>
  <si>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</si>
  <si>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</si>
  <si>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</si>
  <si>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</si>
  <si>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</si>
  <si>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</si>
  <si>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</si>
  <si>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</si>
  <si>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</si>
  <si>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</si>
  <si>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</si>
  <si>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</si>
  <si>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</si>
  <si>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</si>
  <si>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</si>
  <si>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</si>
  <si>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</si>
  <si>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</si>
  <si>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</si>
  <si>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</si>
  <si>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</si>
  <si>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</si>
  <si>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</si>
  <si>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</si>
  <si>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</si>
  <si>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</si>
  <si>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</si>
  <si>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</si>
  <si>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</si>
  <si>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</si>
  <si>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</si>
  <si>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</si>
  <si>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</si>
  <si>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</si>
  <si>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</si>
  <si>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</si>
  <si>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</si>
  <si>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</si>
  <si>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</si>
  <si>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</si>
  <si>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</si>
  <si>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</si>
  <si>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</si>
  <si>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</si>
  <si>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</si>
  <si>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</si>
  <si>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</si>
  <si>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</si>
  <si>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</si>
  <si>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</si>
  <si>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</si>
  <si>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</si>
  <si>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</si>
  <si>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</si>
  <si>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</si>
  <si>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</si>
  <si>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</si>
  <si>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</si>
  <si>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</si>
  <si>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</si>
  <si>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</si>
  <si>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</si>
  <si>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</si>
  <si>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</si>
  <si>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</si>
  <si>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</si>
  <si>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</si>
  <si>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</si>
  <si>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</si>
  <si>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</si>
  <si>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</si>
  <si>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</si>
  <si>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</si>
  <si>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</si>
  <si>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</si>
  <si>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</si>
  <si>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</si>
  <si>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</si>
  <si>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</si>
  <si>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</si>
  <si>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</si>
  <si>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</si>
  <si>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</si>
  <si>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</si>
  <si>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</si>
  <si>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</si>
  <si>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</si>
  <si>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</si>
  <si>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</si>
  <si>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</si>
  <si>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</si>
  <si>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</si>
  <si>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</si>
  <si>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</si>
  <si>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</si>
  <si>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</si>
  <si>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</si>
  <si>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</si>
  <si>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</si>
  <si>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</si>
  <si>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</si>
  <si>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</si>
  <si>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</si>
  <si>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</si>
  <si>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</si>
  <si>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</si>
  <si>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</si>
  <si>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</si>
  <si>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</si>
  <si>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</si>
  <si>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</si>
  <si>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</si>
  <si>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</si>
  <si>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</si>
  <si>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</si>
  <si>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</si>
  <si>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</si>
  <si>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</si>
  <si>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</si>
  <si>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</si>
  <si>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</si>
  <si>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</si>
  <si>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</si>
  <si>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</si>
  <si>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</si>
  <si>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</si>
  <si>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</si>
  <si>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</si>
  <si>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</si>
  <si>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</si>
  <si>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</si>
  <si>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</si>
  <si>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</si>
  <si>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</si>
  <si>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</si>
  <si>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</si>
  <si>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</si>
  <si>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</si>
  <si>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</si>
  <si>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</si>
  <si>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</si>
  <si>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</si>
  <si>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</si>
  <si>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</si>
  <si>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</si>
  <si>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</si>
  <si>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</si>
  <si>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</si>
  <si>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</si>
  <si>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</si>
  <si>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</si>
  <si>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</si>
  <si>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</si>
  <si>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</si>
  <si>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</si>
  <si>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</si>
  <si>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</si>
  <si>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</si>
  <si>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</si>
  <si>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</si>
  <si>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</si>
  <si>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</si>
  <si>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</si>
  <si>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</si>
  <si>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</si>
  <si>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</si>
  <si>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</si>
  <si>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</si>
  <si>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</si>
  <si>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</si>
  <si>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</si>
  <si>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</si>
  <si>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</si>
  <si>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</si>
  <si>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</si>
  <si>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</si>
  <si>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</si>
  <si>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</si>
  <si>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</si>
  <si>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</si>
  <si>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</si>
  <si>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</si>
  <si>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</si>
  <si>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</si>
  <si>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</si>
  <si>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</si>
  <si>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</si>
  <si>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</si>
  <si>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</si>
  <si>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</si>
  <si>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</si>
  <si>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</si>
  <si>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</si>
  <si>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</si>
  <si>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</si>
  <si>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</si>
  <si>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</si>
  <si>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</si>
  <si>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</si>
  <si>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</si>
  <si>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</si>
  <si>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</si>
  <si>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</si>
  <si>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</si>
  <si>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</si>
  <si>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</si>
  <si>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</si>
  <si>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</si>
  <si>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</si>
  <si>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</si>
  <si>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</si>
  <si>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</si>
  <si>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</si>
  <si>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</si>
  <si>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</si>
  <si>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</si>
  <si>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</si>
  <si>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</si>
  <si>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</si>
  <si>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</si>
  <si>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</si>
  <si>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</si>
  <si>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</si>
  <si>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</si>
  <si>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</si>
  <si>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</si>
  <si>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</si>
  <si>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</si>
  <si>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</si>
  <si>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</si>
  <si>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</si>
  <si>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</si>
  <si>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</si>
  <si>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</si>
  <si>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</si>
  <si>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</si>
  <si>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</si>
  <si>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</si>
  <si>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</si>
  <si>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</si>
  <si>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</si>
  <si>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</si>
  <si>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</si>
  <si>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</si>
  <si>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</si>
  <si>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</si>
  <si>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</si>
  <si>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</si>
  <si>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</si>
  <si>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</si>
  <si>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</si>
  <si>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</si>
  <si>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</si>
  <si>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</si>
  <si>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</si>
  <si>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</si>
  <si>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</si>
  <si>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</si>
  <si>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</si>
  <si>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</si>
  <si>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</si>
  <si>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</si>
  <si>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</si>
  <si>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</si>
  <si>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</si>
  <si>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</si>
  <si>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</si>
  <si>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</si>
  <si>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</si>
  <si>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</si>
  <si>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</si>
  <si>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</si>
  <si>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</si>
  <si>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</si>
  <si>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</si>
  <si>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</si>
  <si>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</si>
  <si>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</si>
  <si>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</si>
  <si>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</si>
  <si>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</si>
  <si>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</si>
  <si>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</si>
  <si>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</si>
  <si>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</si>
  <si>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</si>
  <si>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</si>
  <si>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</si>
  <si>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</si>
  <si>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</si>
  <si>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</si>
  <si>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</si>
  <si>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</si>
  <si>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</si>
  <si>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</si>
  <si>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</si>
  <si>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</si>
  <si>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</si>
  <si>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</si>
  <si>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</si>
  <si>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</si>
  <si>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</si>
  <si>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</si>
  <si>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</si>
  <si>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</si>
  <si>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</si>
  <si>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</si>
  <si>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</si>
  <si>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</si>
  <si>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</si>
  <si>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</si>
  <si>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</si>
  <si>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</si>
  <si>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</si>
  <si>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</si>
  <si>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</si>
  <si>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</si>
  <si>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</si>
  <si>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</si>
  <si>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</si>
  <si>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</si>
  <si>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</si>
  <si>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</si>
  <si>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</si>
  <si>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</si>
  <si>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</si>
  <si>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</si>
  <si>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</si>
  <si>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</si>
  <si>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</si>
  <si>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</si>
  <si>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</si>
  <si>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</si>
  <si>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</si>
  <si>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</si>
  <si>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</si>
  <si>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</si>
  <si>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</si>
  <si>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</si>
  <si>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</si>
  <si>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</si>
  <si>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</si>
  <si>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</si>
  <si>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</si>
  <si>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</si>
  <si>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</si>
  <si>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</si>
  <si>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</si>
  <si>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</si>
  <si>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</si>
  <si>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</si>
  <si>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</si>
  <si>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</si>
  <si>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</si>
  <si>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</si>
  <si>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</si>
  <si>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</si>
  <si>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</si>
  <si>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</si>
  <si>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</si>
  <si>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</si>
  <si>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</si>
  <si>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</si>
  <si>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</si>
  <si>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</si>
  <si>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</si>
  <si>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</si>
  <si>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</si>
  <si>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</si>
  <si>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</si>
  <si>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</si>
  <si>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</si>
  <si>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</si>
  <si>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</si>
  <si>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</si>
  <si>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</si>
  <si>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</si>
  <si>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</si>
  <si>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</si>
  <si>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</si>
  <si>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</si>
  <si>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</si>
  <si>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</si>
  <si>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</si>
  <si>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</si>
  <si>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</si>
  <si>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</si>
  <si>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</si>
  <si>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</si>
  <si>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</si>
  <si>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</si>
  <si>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</si>
  <si>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</si>
  <si>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</si>
  <si>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</si>
  <si>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</si>
  <si>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</si>
  <si>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</si>
  <si>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</si>
  <si>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</si>
  <si>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</si>
  <si>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</si>
  <si>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</si>
  <si>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</si>
  <si>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</si>
  <si>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</si>
  <si>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</si>
  <si>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</si>
  <si>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</si>
  <si>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</si>
  <si>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</si>
  <si>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</si>
  <si>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</si>
  <si>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</si>
  <si>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</si>
  <si>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</si>
  <si>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</si>
  <si>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</si>
  <si>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</si>
  <si>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</si>
  <si>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</si>
  <si>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</si>
  <si>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</si>
  <si>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</si>
  <si>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</si>
  <si>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</si>
  <si>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</si>
  <si>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</si>
  <si>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</si>
  <si>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</si>
  <si>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</si>
  <si>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</si>
  <si>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</si>
  <si>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</si>
  <si>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</si>
  <si>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</si>
  <si>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</si>
  <si>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</si>
  <si>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</si>
  <si>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</si>
  <si>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</si>
  <si>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</si>
  <si>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</si>
  <si>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</si>
  <si>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</si>
  <si>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</si>
  <si>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</si>
  <si>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</si>
  <si>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</si>
  <si>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</si>
  <si>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</si>
  <si>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</si>
  <si>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</si>
  <si>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</si>
  <si>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</si>
  <si>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</si>
  <si>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</si>
  <si>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</si>
  <si>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</si>
  <si>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</si>
  <si>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</si>
  <si>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</si>
  <si>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</si>
  <si>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</si>
  <si>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</si>
  <si>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</si>
  <si>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</si>
  <si>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</si>
  <si>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</si>
  <si>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</si>
  <si>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</si>
  <si>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</si>
  <si>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</si>
  <si>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</si>
  <si>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</si>
  <si>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</si>
  <si>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</si>
  <si>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</si>
  <si>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</si>
  <si>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</si>
  <si>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</si>
  <si>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</si>
  <si>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</si>
  <si>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</si>
  <si>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</si>
  <si>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</si>
  <si>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</si>
  <si>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</si>
  <si>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</si>
  <si>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</si>
  <si>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</si>
  <si>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</si>
  <si>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</si>
  <si>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</si>
  <si>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</si>
  <si>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</si>
  <si>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</si>
  <si>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</si>
  <si>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</si>
  <si>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</si>
  <si>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</si>
  <si>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</si>
  <si>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</si>
  <si>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</si>
  <si>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</si>
  <si>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</si>
  <si>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</si>
  <si>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</si>
  <si>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</si>
  <si>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</si>
  <si>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</si>
  <si>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</si>
  <si>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</si>
  <si>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</si>
  <si>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</si>
  <si>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</si>
  <si>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</si>
  <si>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</si>
  <si>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</si>
  <si>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</si>
  <si>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</si>
  <si>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</si>
  <si>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</si>
  <si>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</si>
  <si>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</si>
  <si>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</si>
  <si>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</si>
  <si>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</si>
  <si>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</si>
  <si>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</si>
  <si>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</si>
  <si>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</si>
  <si>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</si>
  <si>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</si>
  <si>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</si>
  <si>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</si>
  <si>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</si>
  <si>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</si>
  <si>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</si>
  <si>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</si>
  <si>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</si>
  <si>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</si>
  <si>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</si>
  <si>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</si>
  <si>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</si>
  <si>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</si>
  <si>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</si>
  <si>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</si>
  <si>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</si>
  <si>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</si>
  <si>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</si>
  <si>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</si>
  <si>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</si>
  <si>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</si>
  <si>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</si>
  <si>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</si>
  <si>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</si>
  <si>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</si>
  <si>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</si>
  <si>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</si>
  <si>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</si>
  <si>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</si>
  <si>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</si>
  <si>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</si>
  <si>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</si>
  <si>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</si>
  <si>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</si>
  <si>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</si>
  <si>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</si>
  <si>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</si>
  <si>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</si>
  <si>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</si>
  <si>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</si>
  <si>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</si>
  <si>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</si>
  <si>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</si>
  <si>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</si>
  <si>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</si>
  <si>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</si>
  <si>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</si>
  <si>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</si>
  <si>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</si>
  <si>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</si>
  <si>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</si>
  <si>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</si>
  <si>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</si>
  <si>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</si>
  <si>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</si>
  <si>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</si>
  <si>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</si>
  <si>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</si>
  <si>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</si>
  <si>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</si>
  <si>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</si>
  <si>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</si>
  <si>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</si>
  <si>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</si>
  <si>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</si>
  <si>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</si>
  <si>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</si>
  <si>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</si>
  <si>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</si>
  <si>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</si>
  <si>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</si>
  <si>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</si>
  <si>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</si>
  <si>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</si>
  <si>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</si>
  <si>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</si>
  <si>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</si>
  <si>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</si>
  <si>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</si>
  <si>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</si>
  <si>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</si>
  <si>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</si>
  <si>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</si>
  <si>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</si>
  <si>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</si>
  <si>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</si>
  <si>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</si>
  <si>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</si>
  <si>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</si>
  <si>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</si>
  <si>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</si>
  <si>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</si>
  <si>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</si>
  <si>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</si>
  <si>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</si>
  <si>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</si>
  <si>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</si>
  <si>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</si>
  <si>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</si>
  <si>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</si>
  <si>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</si>
  <si>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</si>
  <si>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</si>
  <si>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</si>
  <si>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</si>
  <si>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</si>
  <si>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</si>
  <si>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</si>
  <si>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</si>
  <si>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</si>
  <si>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</si>
  <si>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</si>
  <si>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</si>
  <si>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</si>
  <si>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</si>
  <si>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</si>
  <si>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</si>
  <si>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</si>
  <si>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</si>
  <si>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</si>
  <si>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</si>
  <si>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</si>
  <si>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</si>
  <si>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</si>
  <si>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</si>
  <si>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</si>
  <si>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</si>
  <si>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</si>
  <si>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</si>
  <si>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</si>
  <si>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</si>
  <si>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</si>
  <si>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</si>
  <si>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</si>
  <si>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</si>
  <si>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</si>
  <si>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</si>
  <si>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</si>
  <si>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</si>
  <si>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</si>
  <si>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</si>
  <si>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</si>
  <si>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</si>
  <si>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</si>
  <si>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</si>
  <si>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</si>
  <si>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</si>
  <si>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</si>
  <si>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</si>
  <si>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</si>
  <si>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</si>
  <si>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</si>
  <si>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</si>
  <si>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</si>
  <si>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</si>
  <si>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</si>
  <si>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</si>
  <si>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</si>
  <si>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</si>
  <si>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</si>
  <si>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</si>
  <si>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</si>
  <si>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</si>
  <si>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</si>
  <si>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</si>
  <si>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</si>
  <si>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</si>
  <si>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</si>
  <si>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</si>
  <si>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</si>
  <si>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</si>
  <si>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</si>
  <si>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</si>
  <si>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</si>
  <si>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</si>
  <si>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</si>
  <si>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</si>
  <si>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</si>
  <si>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</si>
  <si>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</si>
  <si>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</si>
  <si>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</si>
  <si>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</si>
  <si>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</si>
  <si>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</si>
  <si>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</si>
  <si>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</si>
  <si>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</si>
  <si>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</si>
  <si>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</si>
  <si>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</si>
  <si>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</si>
  <si>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</si>
  <si>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</si>
  <si>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</si>
  <si>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</si>
  <si>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</si>
  <si>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</si>
  <si>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</si>
  <si>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</si>
  <si>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</si>
  <si>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</si>
  <si>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</si>
  <si>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</si>
  <si>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</si>
  <si>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</si>
  <si>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</si>
  <si>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</si>
  <si>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</si>
  <si>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</si>
  <si>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</si>
  <si>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</si>
  <si>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</si>
  <si>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</si>
  <si>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</si>
  <si>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</si>
  <si>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</si>
  <si>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</si>
  <si>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</si>
  <si>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</si>
  <si>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</si>
  <si>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</si>
  <si>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</si>
  <si>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</si>
  <si>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</si>
  <si>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</si>
  <si>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</si>
  <si>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</si>
  <si>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</si>
  <si>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</si>
  <si>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</si>
  <si>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</si>
  <si>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</si>
  <si>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</si>
  <si>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</si>
  <si>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</si>
  <si>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</si>
  <si>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</si>
  <si>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</si>
  <si>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</si>
  <si>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</si>
  <si>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</si>
  <si>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</si>
  <si>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</si>
  <si>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</si>
  <si>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</si>
  <si>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</si>
  <si>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</si>
  <si>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</si>
  <si>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</si>
  <si>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</si>
  <si>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</si>
  <si>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</si>
  <si>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</si>
  <si>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</si>
  <si>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</si>
  <si>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</si>
  <si>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</si>
  <si>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</si>
  <si>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</si>
  <si>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</si>
  <si>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</si>
  <si>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</si>
  <si>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</si>
  <si>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</si>
  <si>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</si>
  <si>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</si>
  <si>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</si>
  <si>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</si>
  <si>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</si>
  <si>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</si>
  <si>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</si>
  <si>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</si>
  <si>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</si>
  <si>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</si>
  <si>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</si>
  <si>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</si>
  <si>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</si>
  <si>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</si>
  <si>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</si>
  <si>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</si>
  <si>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</si>
  <si>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</si>
  <si>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</si>
  <si>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</si>
  <si>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</si>
  <si>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</si>
  <si>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</si>
  <si>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</si>
  <si>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</si>
  <si>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</si>
  <si>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</si>
  <si>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</si>
  <si>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</si>
  <si>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</si>
  <si>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</si>
  <si>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</si>
  <si>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</si>
  <si>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</si>
  <si>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</si>
  <si>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</si>
  <si>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</si>
  <si>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</si>
  <si>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</si>
  <si>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</si>
  <si>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</si>
  <si>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</si>
  <si>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</si>
  <si>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</si>
  <si>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</si>
  <si>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</si>
  <si>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</si>
  <si>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</si>
  <si>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</si>
  <si>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</si>
  <si>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</si>
  <si>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</si>
  <si>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</si>
  <si>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</si>
  <si>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</si>
  <si>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</si>
  <si>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</si>
  <si>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</si>
  <si>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</si>
  <si>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</si>
  <si>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</si>
  <si>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</si>
  <si>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</si>
  <si>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</si>
  <si>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</si>
  <si>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</si>
  <si>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</si>
  <si>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</si>
  <si>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</si>
  <si>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</si>
  <si>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</si>
  <si>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</si>
  <si>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</si>
  <si>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</si>
  <si>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</si>
  <si>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</si>
  <si>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</si>
  <si>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</si>
  <si>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</si>
  <si>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</si>
  <si>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</si>
  <si>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</si>
  <si>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</si>
  <si>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</si>
  <si>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</si>
  <si>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</si>
  <si>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</si>
  <si>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</si>
  <si>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</si>
  <si>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</si>
  <si>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</si>
  <si>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</si>
  <si>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</si>
  <si>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</si>
  <si>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</si>
  <si>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</si>
  <si>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</si>
  <si>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</si>
  <si>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</si>
  <si>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</si>
  <si>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</si>
  <si>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</si>
  <si>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</si>
  <si>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</si>
  <si>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</si>
  <si>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</si>
  <si>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</si>
  <si>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</si>
  <si>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</si>
  <si>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</si>
  <si>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</si>
  <si>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</si>
  <si>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</si>
  <si>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</si>
  <si>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</si>
  <si>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</si>
  <si>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</si>
  <si>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</si>
  <si>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</si>
  <si>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</si>
  <si>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</si>
  <si>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</si>
  <si>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</si>
  <si>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</si>
  <si>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</si>
  <si>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</si>
  <si>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</si>
  <si>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</si>
  <si>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</si>
  <si>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</si>
  <si>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</si>
  <si>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</si>
  <si>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</si>
  <si>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</si>
  <si>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</si>
  <si>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</si>
  <si>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</si>
  <si>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</si>
  <si>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</si>
  <si>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</si>
  <si>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</si>
  <si>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</si>
  <si>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</si>
  <si>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</si>
  <si>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</si>
  <si>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</si>
  <si>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</si>
  <si>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</si>
  <si>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</si>
  <si>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</si>
  <si>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</si>
  <si>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</si>
  <si>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</si>
  <si>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</si>
  <si>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</si>
  <si>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</si>
  <si>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</si>
  <si>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</si>
  <si>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</si>
  <si>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</si>
  <si>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</si>
  <si>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</si>
  <si>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</si>
  <si>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</si>
  <si>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</si>
  <si>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</si>
  <si>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</si>
  <si>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</si>
  <si>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</si>
  <si>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</si>
  <si>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</si>
  <si>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</si>
  <si>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</si>
  <si>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</si>
  <si>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</si>
  <si>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</si>
  <si>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</si>
  <si>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</si>
  <si>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</si>
  <si>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</si>
  <si>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</si>
  <si>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</si>
  <si>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</si>
  <si>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</si>
  <si>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</si>
  <si>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</si>
  <si>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</si>
  <si>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</si>
  <si>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</si>
  <si>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</si>
  <si>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</si>
  <si>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</si>
  <si>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</si>
  <si>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</si>
  <si>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</si>
  <si>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</si>
  <si>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</si>
  <si>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</si>
  <si>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</si>
  <si>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</si>
  <si>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</si>
  <si>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</si>
  <si>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</si>
  <si>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</si>
  <si>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</si>
  <si>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</si>
  <si>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</si>
  <si>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</si>
  <si>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</si>
  <si>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</si>
  <si>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</si>
  <si>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</si>
  <si>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</si>
  <si>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</si>
  <si>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</si>
  <si>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</si>
  <si>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</si>
  <si>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</si>
  <si>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</si>
  <si>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</si>
  <si>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</si>
  <si>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</si>
  <si>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</si>
  <si>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</si>
  <si>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</si>
  <si>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</si>
  <si>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</si>
  <si>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</si>
  <si>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</si>
  <si>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</si>
  <si>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</si>
  <si>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</si>
  <si>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</si>
  <si>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</si>
  <si>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</si>
  <si>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</si>
  <si>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</si>
  <si>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</si>
  <si>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</si>
  <si>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</si>
  <si>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</si>
  <si>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</si>
  <si>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</si>
  <si>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</si>
  <si>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</si>
  <si>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</si>
  <si>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</si>
  <si>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</si>
  <si>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</si>
  <si>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</si>
  <si>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</si>
  <si>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</si>
  <si>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</si>
  <si>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</si>
  <si>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</si>
  <si>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</si>
  <si>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</si>
  <si>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</si>
  <si>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</si>
  <si>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</si>
  <si>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</si>
  <si>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</si>
  <si>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</si>
  <si>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</si>
  <si>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</si>
  <si>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</si>
  <si>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</si>
  <si>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</si>
  <si>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</si>
  <si>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</si>
  <si>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</si>
  <si>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</si>
  <si>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</si>
  <si>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</si>
  <si>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</si>
  <si>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</si>
  <si>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</si>
  <si>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</si>
  <si>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</si>
  <si>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</si>
  <si>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</si>
  <si>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</si>
  <si>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</si>
  <si>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</si>
  <si>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</si>
  <si>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</si>
  <si>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</si>
  <si>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</si>
  <si>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</si>
  <si>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</si>
  <si>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</si>
  <si>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</si>
  <si>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</si>
  <si>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</si>
  <si>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</si>
  <si>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</si>
  <si>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</si>
  <si>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</si>
  <si>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</si>
  <si>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</si>
  <si>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</si>
  <si>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</si>
  <si>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</si>
  <si>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</si>
  <si>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</si>
  <si>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</si>
  <si>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</si>
  <si>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</si>
  <si>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</si>
  <si>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</si>
  <si>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</si>
  <si>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</si>
  <si>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</si>
  <si>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</si>
  <si>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</si>
  <si>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</si>
  <si>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</si>
  <si>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</si>
  <si>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</si>
  <si>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</si>
  <si>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</si>
  <si>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</si>
  <si>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</si>
  <si>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</si>
  <si>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</si>
  <si>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</si>
  <si>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</si>
  <si>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</si>
  <si>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</si>
  <si>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</si>
  <si>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</si>
  <si>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</si>
  <si>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</si>
  <si>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</si>
  <si>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</si>
  <si>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</si>
  <si>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</si>
  <si>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</si>
  <si>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</si>
  <si>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</si>
  <si>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</si>
  <si>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</si>
  <si>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</si>
  <si>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</si>
  <si>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</si>
  <si>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</si>
  <si>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</si>
  <si>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</si>
  <si>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</si>
  <si>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</si>
  <si>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</si>
  <si>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</si>
  <si>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</si>
  <si>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</si>
  <si>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</si>
  <si>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</si>
  <si>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</si>
  <si>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</si>
  <si>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</si>
  <si>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</si>
  <si>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</si>
  <si>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</si>
  <si>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</si>
  <si>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</si>
  <si>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</si>
  <si>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</si>
  <si>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</si>
  <si>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</si>
  <si>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</si>
  <si>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</si>
  <si>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</si>
  <si>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</si>
  <si>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</si>
  <si>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</si>
  <si>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</si>
  <si>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</si>
  <si>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</si>
  <si>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</si>
  <si>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</si>
  <si>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</si>
  <si>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</si>
  <si>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</si>
  <si>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</si>
  <si>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</si>
  <si>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</si>
  <si>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</si>
  <si>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</si>
  <si>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</si>
  <si>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</si>
  <si>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</si>
  <si>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</si>
  <si>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</si>
  <si>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</si>
  <si>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</si>
  <si>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</si>
  <si>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</si>
  <si>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</si>
  <si>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</si>
  <si>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</si>
  <si>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</si>
  <si>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</si>
  <si>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</si>
  <si>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</si>
  <si>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</si>
  <si>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</si>
  <si>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</si>
  <si>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</si>
  <si>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</si>
  <si>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</si>
  <si>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</si>
  <si>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</si>
  <si>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</si>
  <si>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</si>
  <si>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</si>
  <si>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</si>
  <si>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</si>
  <si>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</si>
  <si>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</si>
  <si>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</si>
  <si>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</si>
  <si>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</si>
  <si>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</si>
  <si>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</si>
  <si>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</si>
  <si>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</si>
  <si>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</si>
  <si>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</si>
  <si>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</si>
  <si>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</si>
  <si>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</si>
  <si>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</si>
  <si>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</si>
  <si>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</si>
  <si>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</si>
  <si>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</si>
  <si>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</si>
  <si>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</si>
  <si>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</si>
  <si>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</si>
  <si>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</si>
  <si>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</si>
  <si>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</si>
  <si>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</si>
  <si>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</si>
  <si>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</si>
  <si>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</si>
  <si>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</si>
  <si>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</si>
  <si>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</si>
  <si>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</si>
  <si>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</si>
  <si>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</si>
  <si>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</si>
  <si>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</si>
  <si>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</si>
  <si>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</si>
  <si>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</si>
  <si>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</si>
  <si>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</si>
  <si>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</si>
  <si>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</si>
  <si>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</si>
  <si>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</si>
  <si>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</si>
  <si>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</si>
  <si>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</si>
  <si>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</si>
  <si>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</si>
  <si>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</si>
  <si>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</si>
  <si>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</si>
  <si>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</si>
  <si>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</si>
  <si>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</si>
  <si>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</si>
  <si>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</si>
  <si>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</si>
  <si>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</si>
  <si>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</si>
  <si>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</si>
  <si>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</si>
  <si>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</si>
  <si>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</si>
  <si>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</si>
  <si>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</si>
  <si>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</si>
  <si>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</si>
  <si>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</si>
  <si>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</si>
  <si>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</si>
  <si>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</si>
  <si>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</si>
  <si>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</si>
  <si>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</si>
  <si>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</si>
  <si>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</si>
  <si>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</si>
  <si>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</si>
  <si>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</si>
  <si>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</si>
  <si>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</si>
  <si>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</si>
  <si>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</si>
  <si>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</si>
  <si>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</si>
  <si>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</si>
  <si>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</si>
  <si>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</si>
  <si>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</si>
  <si>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</si>
  <si>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</si>
  <si>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</si>
  <si>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</si>
  <si>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</si>
  <si>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</si>
  <si>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</si>
  <si>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</si>
  <si>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</si>
  <si>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</si>
  <si>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</si>
  <si>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</si>
  <si>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</si>
  <si>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</si>
  <si>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</si>
  <si>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</si>
  <si>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</si>
  <si>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</si>
  <si>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</si>
  <si>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</si>
  <si>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</si>
  <si>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</si>
  <si>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</si>
  <si>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</si>
  <si>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</si>
  <si>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</si>
  <si>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</si>
  <si>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</si>
  <si>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</si>
  <si>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</si>
  <si>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</si>
  <si>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</si>
  <si>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</si>
  <si>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</si>
  <si>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</si>
  <si>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</si>
  <si>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</si>
  <si>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</si>
  <si>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</si>
  <si>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</si>
  <si>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</si>
  <si>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</si>
  <si>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</si>
  <si>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</si>
  <si>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</si>
  <si>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</si>
  <si>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</si>
  <si>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</si>
  <si>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</si>
  <si>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</si>
  <si>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</si>
  <si>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</si>
  <si>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</si>
  <si>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</si>
  <si>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</si>
  <si>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</si>
  <si>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</si>
  <si>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</si>
  <si>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</si>
  <si>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</si>
  <si>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</si>
  <si>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</si>
  <si>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</si>
  <si>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</si>
  <si>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</si>
  <si>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</si>
  <si>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</si>
  <si>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</si>
  <si>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</si>
  <si>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</si>
  <si>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</si>
  <si>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</si>
  <si>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</si>
  <si>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</si>
  <si>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</si>
  <si>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</si>
  <si>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</si>
  <si>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</si>
  <si>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</si>
  <si>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</si>
  <si>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</si>
  <si>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</si>
  <si>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</si>
  <si>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</si>
  <si>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</si>
  <si>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</si>
  <si>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</si>
  <si>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</si>
  <si>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</si>
  <si>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</si>
  <si>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</si>
  <si>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</si>
  <si>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</si>
  <si>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</si>
  <si>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</si>
  <si>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</si>
  <si>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</si>
  <si>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</si>
  <si>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</si>
  <si>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</si>
  <si>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</si>
  <si>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</si>
  <si>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</si>
  <si>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</si>
  <si>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</si>
  <si>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</si>
  <si>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</si>
  <si>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</si>
  <si>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</si>
  <si>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</si>
  <si>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</si>
  <si>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</si>
  <si>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</si>
  <si>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</si>
  <si>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</si>
  <si>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</si>
  <si>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</si>
  <si>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</si>
  <si>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</si>
  <si>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</si>
  <si>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</si>
  <si>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</si>
  <si>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</si>
  <si>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</si>
  <si>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</si>
  <si>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</si>
  <si>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</si>
  <si>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</si>
  <si>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</si>
  <si>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</si>
  <si>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</si>
  <si>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</si>
  <si>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</si>
  <si>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</si>
  <si>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</si>
  <si>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</si>
  <si>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</si>
  <si>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</si>
  <si>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</si>
  <si>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</si>
  <si>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</si>
  <si>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</si>
  <si>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</si>
  <si>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</si>
  <si>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</si>
  <si>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</si>
  <si>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</si>
  <si>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</si>
  <si>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</si>
  <si>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</si>
  <si>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</si>
  <si>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</si>
  <si>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</si>
  <si>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</si>
  <si>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</si>
  <si>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</si>
  <si>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</si>
  <si>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</si>
  <si>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</si>
  <si>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</si>
  <si>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</si>
  <si>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</si>
  <si>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</si>
  <si>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</si>
  <si>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</si>
  <si>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</si>
  <si>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</si>
  <si>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</si>
  <si>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</si>
  <si>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</si>
  <si>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</si>
  <si>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</si>
  <si>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</si>
  <si>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</si>
  <si>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</si>
  <si>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</si>
  <si>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</si>
  <si>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</si>
  <si>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</si>
  <si>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</si>
  <si>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</si>
  <si>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</si>
  <si>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</si>
  <si>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</si>
  <si>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</si>
  <si>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</si>
  <si>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</si>
  <si>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</si>
  <si>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</si>
  <si>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</si>
  <si>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</si>
  <si>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</si>
  <si>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</si>
  <si>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</si>
  <si>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</si>
  <si>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</si>
  <si>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</si>
  <si>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</si>
  <si>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</si>
  <si>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</si>
  <si>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</si>
  <si>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</si>
  <si>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</si>
  <si>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</si>
  <si>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</si>
  <si>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</si>
  <si>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</si>
  <si>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</si>
  <si>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</si>
  <si>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</si>
  <si>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</si>
  <si>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</si>
  <si>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</si>
  <si>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</si>
  <si>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</si>
  <si>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</si>
  <si>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</si>
  <si>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</si>
  <si>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</si>
  <si>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</si>
  <si>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</si>
  <si>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</si>
  <si>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</si>
  <si>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</si>
  <si>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</si>
  <si>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</si>
  <si>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</si>
  <si>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</si>
  <si>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</si>
  <si>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</si>
  <si>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</si>
  <si>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</si>
  <si>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</si>
  <si>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</si>
  <si>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</si>
  <si>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</si>
  <si>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</si>
  <si>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</si>
  <si>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</si>
  <si>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</si>
  <si>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</si>
  <si>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</si>
  <si>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</si>
  <si>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</si>
  <si>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</si>
  <si>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</si>
  <si>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</si>
  <si>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</si>
  <si>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</si>
  <si>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</si>
  <si>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</si>
  <si>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</si>
  <si>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</si>
  <si>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</si>
  <si>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</si>
  <si>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</si>
  <si>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</si>
  <si>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</si>
  <si>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</si>
  <si>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</si>
  <si>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</si>
  <si>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</si>
  <si>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</si>
  <si>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</si>
  <si>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</si>
  <si>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</si>
  <si>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</si>
  <si>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</si>
  <si>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</si>
  <si>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</si>
  <si>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</si>
  <si>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</si>
  <si>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</si>
  <si>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</si>
  <si>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</si>
  <si>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</si>
  <si>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</si>
  <si>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</si>
  <si>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</si>
  <si>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</si>
  <si>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</si>
  <si>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</si>
  <si>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</si>
  <si>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</si>
  <si>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</si>
  <si>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</si>
  <si>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</si>
  <si>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</si>
  <si>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</si>
  <si>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</si>
  <si>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</si>
  <si>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</si>
  <si>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</si>
  <si>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</si>
  <si>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</si>
  <si>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</si>
  <si>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</si>
  <si>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</si>
  <si>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</si>
  <si>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</si>
  <si>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</si>
  <si>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</si>
  <si>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</si>
  <si>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</si>
  <si>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</si>
  <si>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</si>
  <si>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</si>
  <si>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</si>
  <si>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</si>
  <si>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</si>
  <si>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</si>
  <si>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</si>
  <si>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</si>
  <si>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</si>
  <si>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</si>
  <si>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</si>
  <si>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</si>
  <si>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</si>
  <si>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</si>
  <si>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</si>
  <si>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</si>
  <si>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</si>
  <si>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</si>
  <si>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</si>
  <si>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</si>
  <si>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</si>
  <si>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</si>
  <si>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</si>
  <si>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</si>
  <si>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</si>
  <si>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</si>
  <si>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</si>
  <si>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</si>
  <si>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</si>
  <si>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</si>
  <si>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</si>
  <si>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</si>
  <si>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</si>
  <si>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</si>
  <si>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</si>
  <si>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</si>
  <si>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</si>
  <si>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</si>
  <si>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</si>
  <si>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</si>
  <si>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</si>
  <si>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</si>
  <si>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</si>
  <si>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</si>
  <si>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</si>
  <si>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</si>
  <si>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</si>
  <si>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</si>
  <si>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</si>
  <si>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</si>
  <si>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</si>
  <si>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</si>
  <si>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</si>
  <si>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</si>
  <si>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</si>
  <si>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</si>
  <si>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</si>
  <si>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</si>
  <si>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</si>
  <si>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</si>
  <si>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</si>
  <si>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</si>
  <si>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</si>
  <si>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</si>
  <si>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</si>
  <si>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</si>
  <si>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</si>
  <si>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</si>
  <si>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</si>
  <si>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</si>
  <si>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</si>
  <si>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</si>
  <si>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</si>
  <si>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</si>
  <si>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</si>
  <si>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</si>
  <si>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</si>
  <si>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</si>
  <si>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</si>
  <si>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</si>
  <si>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</si>
  <si>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</si>
  <si>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</si>
  <si>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</si>
  <si>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</si>
  <si>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</si>
  <si>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</si>
  <si>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</si>
  <si>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</si>
  <si>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</si>
  <si>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</si>
  <si>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</si>
  <si>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</si>
  <si>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</si>
  <si>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</si>
  <si>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</si>
  <si>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</si>
  <si>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</si>
  <si>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</si>
  <si>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</si>
  <si>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</si>
  <si>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</si>
  <si>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</si>
  <si>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</si>
  <si>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</si>
  <si>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</si>
  <si>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</si>
  <si>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</si>
  <si>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</si>
  <si>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</si>
  <si>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</si>
  <si>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</si>
  <si>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</si>
  <si>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</si>
  <si>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</si>
  <si>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</si>
  <si>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</si>
  <si>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</si>
  <si>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</si>
  <si>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</si>
  <si>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</si>
  <si>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</si>
  <si>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</si>
  <si>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</si>
  <si>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</si>
  <si>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</si>
  <si>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</si>
  <si>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</si>
  <si>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</si>
  <si>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</si>
  <si>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</si>
  <si>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</si>
  <si>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</si>
  <si>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</si>
  <si>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</si>
  <si>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</si>
  <si>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</si>
  <si>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</si>
  <si>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</si>
  <si>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</si>
  <si>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</si>
  <si>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</si>
  <si>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</si>
  <si>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</si>
  <si>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</si>
  <si>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</si>
  <si>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</si>
  <si>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</si>
  <si>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</si>
  <si>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</si>
  <si>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</si>
  <si>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</si>
  <si>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</si>
  <si>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</si>
  <si>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</si>
  <si>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</si>
  <si>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</si>
  <si>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</si>
  <si>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</si>
  <si>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</si>
  <si>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</si>
  <si>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</si>
  <si>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</si>
  <si>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</si>
  <si>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</si>
  <si>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</si>
  <si>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</si>
  <si>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</si>
  <si>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</si>
  <si>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</si>
  <si>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</si>
  <si>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</si>
  <si>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</si>
  <si>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</si>
  <si>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</si>
  <si>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</si>
  <si>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</si>
  <si>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</si>
  <si>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</si>
  <si>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</si>
  <si>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</si>
  <si>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</si>
  <si>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</si>
  <si>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</si>
  <si>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</si>
  <si>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</si>
  <si>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</si>
  <si>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</si>
  <si>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</si>
  <si>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</si>
  <si>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</si>
  <si>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</si>
  <si>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</si>
  <si>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</si>
  <si>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</si>
  <si>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</si>
  <si>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</si>
  <si>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</si>
  <si>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</si>
  <si>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</si>
  <si>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</si>
  <si>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</si>
  <si>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</si>
  <si>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</si>
  <si>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</si>
  <si>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</si>
  <si>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</si>
  <si>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</si>
  <si>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</si>
  <si>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</si>
  <si>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</si>
  <si>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</si>
  <si>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</si>
  <si>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</si>
  <si>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</si>
  <si>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</si>
  <si>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</si>
  <si>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</si>
  <si>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</si>
  <si>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</si>
  <si>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</si>
  <si>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</si>
  <si>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</si>
  <si>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</si>
  <si>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</si>
  <si>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</si>
  <si>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</si>
  <si>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</si>
  <si>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</si>
  <si>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</si>
  <si>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</si>
  <si>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</si>
  <si>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</si>
  <si>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</si>
  <si>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</si>
  <si>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</si>
  <si>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</si>
  <si>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</si>
  <si>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</si>
  <si>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</si>
  <si>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</si>
  <si>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</si>
  <si>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</si>
  <si>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</si>
  <si>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</si>
  <si>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</si>
  <si>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</si>
  <si>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</si>
  <si>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</si>
  <si>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</si>
  <si>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</si>
  <si>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</si>
  <si>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</si>
  <si>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</si>
  <si>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</si>
  <si>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</si>
  <si>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</si>
  <si>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</si>
  <si>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</si>
  <si>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</si>
  <si>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</si>
  <si>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</si>
  <si>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</si>
  <si>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</si>
  <si>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</si>
  <si>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</si>
  <si>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</si>
  <si>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</si>
  <si>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</si>
  <si>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</si>
  <si>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</si>
  <si>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</si>
  <si>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</si>
  <si>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</si>
  <si>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</si>
  <si>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</si>
  <si>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</si>
  <si>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</si>
  <si>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</si>
  <si>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</si>
  <si>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</si>
  <si>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</si>
  <si>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</si>
  <si>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</si>
  <si>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</si>
  <si>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</si>
  <si>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</si>
  <si>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</si>
  <si>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</si>
  <si>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</si>
  <si>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</si>
  <si>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</si>
  <si>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</si>
  <si>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</si>
  <si>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</si>
  <si>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</si>
  <si>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</si>
  <si>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</si>
  <si>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</si>
  <si>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</si>
  <si>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</si>
  <si>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</si>
  <si>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</si>
  <si>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</si>
  <si>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</si>
  <si>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</si>
  <si>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</si>
  <si>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</si>
  <si>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</si>
  <si>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</si>
  <si>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</si>
  <si>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</si>
  <si>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</si>
  <si>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</si>
  <si>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</si>
  <si>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</si>
  <si>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</si>
  <si>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</si>
  <si>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</si>
  <si>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</si>
  <si>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</si>
  <si>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</si>
  <si>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</si>
  <si>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</si>
  <si>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</si>
  <si>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</si>
  <si>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</si>
  <si>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</si>
  <si>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</si>
  <si>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</si>
  <si>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</si>
  <si>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</si>
  <si>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</si>
  <si>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</si>
  <si>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</si>
  <si>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</si>
  <si>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</si>
  <si>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</si>
  <si>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</si>
  <si>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</si>
  <si>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</si>
  <si>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</si>
  <si>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</si>
  <si>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</si>
  <si>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</si>
  <si>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</si>
  <si>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</si>
  <si>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</si>
  <si>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</si>
  <si>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</si>
  <si>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</si>
  <si>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</si>
  <si>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</si>
  <si>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</si>
  <si>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</si>
  <si>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</si>
  <si>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</si>
  <si>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</si>
  <si>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</si>
  <si>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</si>
  <si>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</si>
  <si>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</si>
  <si>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</si>
  <si>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</si>
  <si>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</si>
  <si>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</si>
  <si>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</si>
  <si>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</si>
  <si>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</si>
  <si>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</si>
  <si>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</si>
  <si>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</si>
  <si>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</si>
  <si>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</si>
  <si>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</si>
  <si>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</si>
  <si>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</si>
  <si>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</si>
  <si>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</si>
  <si>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</si>
  <si>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</si>
  <si>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</si>
  <si>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</si>
  <si>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</si>
  <si>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</si>
  <si>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</si>
  <si>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</si>
  <si>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</si>
  <si>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</si>
  <si>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</si>
  <si>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</si>
  <si>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</si>
  <si>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</si>
  <si>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</si>
  <si>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</si>
  <si>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</si>
  <si>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</si>
  <si>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</si>
  <si>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</si>
  <si>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</si>
  <si>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</si>
  <si>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</si>
  <si>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</si>
  <si>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</si>
  <si>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</si>
  <si>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</si>
  <si>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</si>
  <si>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</si>
  <si>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</si>
  <si>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</si>
  <si>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</si>
  <si>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</si>
  <si>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</si>
  <si>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</si>
  <si>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</si>
  <si>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</si>
  <si>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</si>
  <si>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</si>
  <si>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</si>
  <si>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</si>
  <si>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</si>
  <si>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</si>
  <si>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</si>
  <si>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</si>
  <si>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</si>
  <si>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</si>
  <si>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</si>
  <si>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</si>
  <si>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</si>
  <si>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</si>
  <si>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</si>
  <si>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</si>
  <si>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</si>
  <si>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</si>
  <si>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</si>
  <si>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</si>
  <si>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</si>
  <si>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</si>
  <si>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</si>
  <si>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</si>
  <si>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</si>
  <si>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</si>
  <si>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</si>
  <si>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</si>
  <si>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</si>
  <si>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</si>
  <si>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</si>
  <si>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</si>
  <si>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</si>
  <si>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</si>
  <si>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</si>
  <si>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</si>
  <si>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</si>
  <si>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</si>
  <si>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</si>
  <si>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</si>
  <si>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</si>
  <si>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</si>
  <si>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</si>
  <si>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</si>
  <si>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</si>
  <si>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</si>
  <si>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</si>
  <si>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</si>
  <si>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</si>
  <si>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</si>
  <si>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</si>
  <si>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</si>
  <si>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</si>
  <si>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</si>
  <si>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</si>
  <si>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</si>
  <si>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</si>
  <si>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</si>
  <si>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</si>
  <si>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</si>
  <si>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</si>
  <si>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</si>
  <si>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</si>
  <si>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</si>
  <si>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</si>
  <si>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</si>
  <si>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</si>
  <si>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</si>
  <si>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</si>
  <si>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</si>
  <si>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</si>
  <si>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</si>
  <si>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</si>
  <si>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</si>
  <si>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</si>
  <si>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</si>
  <si>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</si>
  <si>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</si>
  <si>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</si>
  <si>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</si>
  <si>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</si>
  <si>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</si>
  <si>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</si>
  <si>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</si>
  <si>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</si>
  <si>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</si>
  <si>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</si>
  <si>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</si>
  <si>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</si>
  <si>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</si>
  <si>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</si>
  <si>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</si>
  <si>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</si>
  <si>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</si>
  <si>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</si>
  <si>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</si>
  <si>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</si>
  <si>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</si>
  <si>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</si>
  <si>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</si>
  <si>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</si>
  <si>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</si>
  <si>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</si>
  <si>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</si>
  <si>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</si>
  <si>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</si>
  <si>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</si>
  <si>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</si>
  <si>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</si>
  <si>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</si>
  <si>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</si>
  <si>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</si>
  <si>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</si>
  <si>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</si>
  <si>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</si>
  <si>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</si>
  <si>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</si>
  <si>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</si>
  <si>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</si>
  <si>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</si>
  <si>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</si>
  <si>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</si>
  <si>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</si>
  <si>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</si>
  <si>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</si>
  <si>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</si>
  <si>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</si>
  <si>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</si>
  <si>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</si>
  <si>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</si>
  <si>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</si>
  <si>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</si>
  <si>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</si>
  <si>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</si>
  <si>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</si>
  <si>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</si>
  <si>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</si>
  <si>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</si>
  <si>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</si>
  <si>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</si>
  <si>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</si>
  <si>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</si>
  <si>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</si>
  <si>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</si>
  <si>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</si>
  <si>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</si>
  <si>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</si>
  <si>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</si>
  <si>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</si>
  <si>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</si>
  <si>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</si>
  <si>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</si>
  <si>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</si>
  <si>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</si>
  <si>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</si>
  <si>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</si>
  <si>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</si>
  <si>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</si>
  <si>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</si>
  <si>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</si>
  <si>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</si>
  <si>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</si>
  <si>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</si>
  <si>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</si>
  <si>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</si>
  <si>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</si>
  <si>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</si>
  <si>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</si>
  <si>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</si>
  <si>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</si>
  <si>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</si>
  <si>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</si>
  <si>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</si>
  <si>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</si>
  <si>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</si>
  <si>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</si>
  <si>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</si>
  <si>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</si>
  <si>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</si>
  <si>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</si>
  <si>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</si>
  <si>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</si>
  <si>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</si>
  <si>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</si>
  <si>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</si>
  <si>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</si>
  <si>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</si>
  <si>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</si>
  <si>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</si>
  <si>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</si>
  <si>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</si>
  <si>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</si>
  <si>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</si>
  <si>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</si>
  <si>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</si>
  <si>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</si>
  <si>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</si>
  <si>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</si>
  <si>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</si>
  <si>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</si>
  <si>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</si>
  <si>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</si>
  <si>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</si>
  <si>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</si>
  <si>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</si>
  <si>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</si>
  <si>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</si>
  <si>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</si>
  <si>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</si>
  <si>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</si>
  <si>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</si>
  <si>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</si>
  <si>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</si>
  <si>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</si>
  <si>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</si>
  <si>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</si>
  <si>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</si>
  <si>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</si>
  <si>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</si>
  <si>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</si>
  <si>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</si>
  <si>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</si>
  <si>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</si>
  <si>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</si>
  <si>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</si>
  <si>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</si>
  <si>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</si>
  <si>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</si>
  <si>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</si>
  <si>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</si>
  <si>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</si>
  <si>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</si>
  <si>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</si>
  <si>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</si>
  <si>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</si>
  <si>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</si>
  <si>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</si>
  <si>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</si>
  <si>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</si>
  <si>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</si>
  <si>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</si>
  <si>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</si>
  <si>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</si>
  <si>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</si>
  <si>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</si>
  <si>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</si>
  <si>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</si>
  <si>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</si>
  <si>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</si>
  <si>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</si>
  <si>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</si>
  <si>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</si>
  <si>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</si>
  <si>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</si>
  <si>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</si>
  <si>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</si>
  <si>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</si>
  <si>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</si>
  <si>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</si>
  <si>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</si>
  <si>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</si>
  <si>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</si>
  <si>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</si>
  <si>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</si>
  <si>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</si>
  <si>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</si>
  <si>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</si>
  <si>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</si>
  <si>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</si>
  <si>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</si>
  <si>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</si>
  <si>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</si>
  <si>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</si>
  <si>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</si>
  <si>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</si>
  <si>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</si>
  <si>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</si>
  <si>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</si>
  <si>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</si>
  <si>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</si>
  <si>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</si>
  <si>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</si>
  <si>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</si>
  <si>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</si>
  <si>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</si>
  <si>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</si>
  <si>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</si>
  <si>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</si>
  <si>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</si>
  <si>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</si>
  <si>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</si>
  <si>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</si>
  <si>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</si>
  <si>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</si>
  <si>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</si>
  <si>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</si>
  <si>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</si>
  <si>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</si>
  <si>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</si>
  <si>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</si>
  <si>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</si>
  <si>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</si>
  <si>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</si>
  <si>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</si>
  <si>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</si>
  <si>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</si>
  <si>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</si>
  <si>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</si>
  <si>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</si>
  <si>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</si>
  <si>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</si>
  <si>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</si>
  <si>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</si>
  <si>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</si>
  <si>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</si>
  <si>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</si>
  <si>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</si>
  <si>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</si>
  <si>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</si>
  <si>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</si>
  <si>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</si>
  <si>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</si>
  <si>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</si>
  <si>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</si>
  <si>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</si>
  <si>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</si>
  <si>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</si>
  <si>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</si>
  <si>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</si>
  <si>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</si>
  <si>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</si>
  <si>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</si>
  <si>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</si>
  <si>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</si>
  <si>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</si>
  <si>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</si>
  <si>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</si>
  <si>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</si>
  <si>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</si>
  <si>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</si>
  <si>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</si>
  <si>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</si>
  <si>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</si>
  <si>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</si>
  <si>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</si>
  <si>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</si>
  <si>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</si>
  <si>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</si>
  <si>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</si>
  <si>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</si>
  <si>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</si>
  <si>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</si>
  <si>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</si>
  <si>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</si>
  <si>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</si>
  <si>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</si>
  <si>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</si>
  <si>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</si>
  <si>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</si>
  <si>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</si>
  <si>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</si>
  <si>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</si>
  <si>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</si>
  <si>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</si>
  <si>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</si>
  <si>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</si>
  <si>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</si>
  <si>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</si>
  <si>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</si>
  <si>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</si>
  <si>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</si>
  <si>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</si>
  <si>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</si>
  <si>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</si>
  <si>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</si>
  <si>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</si>
  <si>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</si>
  <si>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</si>
  <si>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</si>
  <si>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</si>
  <si>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</si>
  <si>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</si>
  <si>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</si>
  <si>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</si>
  <si>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</si>
  <si>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</si>
  <si>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</si>
  <si>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</si>
  <si>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</si>
  <si>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</si>
  <si>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</si>
  <si>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</si>
  <si>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</si>
  <si>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</si>
  <si>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</si>
  <si>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</si>
  <si>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</si>
  <si>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</si>
  <si>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</si>
  <si>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</si>
  <si>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</si>
  <si>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</si>
  <si>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</si>
  <si>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</si>
  <si>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</si>
  <si>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</si>
  <si>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</si>
  <si>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</si>
  <si>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</si>
  <si>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</si>
  <si>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</si>
  <si>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</si>
  <si>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</si>
  <si>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</si>
  <si>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</si>
  <si>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</si>
  <si>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</si>
  <si>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</si>
  <si>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</si>
  <si>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</si>
  <si>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</si>
  <si>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</si>
  <si>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</si>
  <si>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</si>
  <si>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</si>
  <si>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</si>
  <si>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</si>
  <si>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</si>
  <si>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</si>
  <si>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</si>
  <si>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</si>
  <si>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</si>
  <si>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</si>
  <si>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</si>
  <si>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</si>
  <si>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</si>
  <si>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</si>
  <si>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</si>
  <si>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</si>
  <si>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</si>
  <si>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</si>
  <si>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</si>
  <si>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</si>
  <si>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</si>
  <si>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</si>
  <si>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</si>
  <si>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</si>
  <si>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</si>
  <si>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</si>
  <si>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</si>
  <si>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</si>
  <si>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</si>
  <si>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</si>
  <si>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</si>
  <si>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</si>
  <si>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</si>
  <si>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</si>
  <si>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</si>
  <si>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</si>
  <si>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</si>
  <si>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</si>
  <si>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</si>
  <si>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</si>
  <si>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</si>
  <si>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</si>
  <si>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</si>
  <si>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</si>
  <si>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</si>
  <si>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</si>
  <si>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</si>
  <si>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Arrugó como frenada'e gusano.</t>
  </si>
  <si>
    <t>Abandonó, tiró la toalla, hasta acá llegó.</t>
  </si>
  <si>
    <t>32/02/2045</t>
  </si>
  <si>
    <t>31/02/2011</t>
  </si>
  <si>
    <t>CREDITO ENTREGADO</t>
  </si>
  <si>
    <t>CREDITO FALTANTE</t>
  </si>
  <si>
    <t>QUE TE</t>
  </si>
  <si>
    <t>IMPORTA</t>
  </si>
  <si>
    <t>30/02/2026</t>
  </si>
  <si>
    <t>Demasiado flaca.</t>
  </si>
  <si>
    <t>Demasiado gordo.</t>
  </si>
  <si>
    <t>Demasiado linda, tiene que ser modelo, no Muqui.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</si>
</sst>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  <font>
      <b/>
      <u/>
      <sz val="2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2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1" fillId="4" borderId="2" xfId="1" applyFont="1" applyFill="1" applyBorder="1" applyAlignment="1" applyProtection="1">
      <alignment horizontal="center"/>
    </xf>
    <xf numFmtId="0" fontId="9" fillId="4" borderId="2" xfId="0" applyFont="1" applyFill="1" applyBorder="1" applyAlignment="1" applyProtection="1">
      <alignment horizontal="center"/>
    </xf>
    <xf numFmtId="0" fontId="9" fillId="4" borderId="7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3" borderId="7" xfId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1" fillId="0" borderId="2" xfId="0" applyFont="1" applyBorder="1"/>
    <xf numFmtId="0" fontId="19" fillId="0" borderId="2" xfId="2" applyFont="1" applyBorder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sqref="A1:B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39"/>
    <col min="6" max="6" width="13.140625" style="39" bestFit="1" customWidth="1"/>
    <col min="7" max="8" width="11.42578125" style="39"/>
    <col min="9" max="9" width="13.140625" style="39" bestFit="1" customWidth="1"/>
    <col min="10" max="11" width="11.42578125" style="39"/>
    <col min="12" max="12" width="13.140625" style="39" bestFit="1" customWidth="1"/>
    <col min="13" max="14" width="11.42578125" style="39"/>
    <col min="15" max="15" width="13.140625" style="39" bestFit="1" customWidth="1"/>
    <col min="16" max="16" width="11.42578125" style="39"/>
    <col min="17" max="17" width="11.42578125" style="8"/>
    <col min="18" max="18" width="13.140625" style="8" bestFit="1" customWidth="1"/>
    <col min="19" max="19" width="11.42578125" style="8"/>
    <col min="20" max="20" width="19.42578125" style="8" customWidth="1"/>
    <col min="21" max="21" width="20.140625" style="8" customWidth="1"/>
    <col min="22" max="22" width="18" style="8" customWidth="1"/>
    <col min="23" max="23" width="69.140625" style="8" customWidth="1"/>
    <col min="24" max="16384" width="11.42578125" style="8"/>
  </cols>
  <sheetData>
    <row r="1" spans="1:23" s="7" customFormat="1" ht="53.25" customHeight="1" x14ac:dyDescent="0.5">
      <c r="A1" s="71" t="s">
        <v>9132</v>
      </c>
      <c r="B1" s="71"/>
      <c r="C1" s="14" t="s">
        <v>15</v>
      </c>
      <c r="D1" s="14"/>
      <c r="E1" s="47" t="s">
        <v>9150</v>
      </c>
      <c r="F1" s="51">
        <v>25000</v>
      </c>
      <c r="G1" s="52"/>
      <c r="H1" s="47" t="s">
        <v>9150</v>
      </c>
      <c r="I1" s="51">
        <v>22000</v>
      </c>
      <c r="J1" s="52"/>
      <c r="K1" s="47" t="s">
        <v>9150</v>
      </c>
      <c r="L1" s="51">
        <v>20000</v>
      </c>
      <c r="M1" s="52"/>
      <c r="N1" s="47" t="s">
        <v>9144</v>
      </c>
      <c r="O1" s="48">
        <v>72000</v>
      </c>
      <c r="P1" s="46"/>
      <c r="Q1" s="47" t="s">
        <v>9145</v>
      </c>
      <c r="R1" s="48">
        <v>70000</v>
      </c>
      <c r="S1" s="46"/>
    </row>
    <row r="2" spans="1:23" s="7" customFormat="1" ht="33" customHeight="1" x14ac:dyDescent="0.35">
      <c r="A2" s="11"/>
      <c r="B2" s="11"/>
      <c r="C2" s="12"/>
      <c r="D2" s="5" t="s">
        <v>18</v>
      </c>
      <c r="E2" s="72" t="s">
        <v>1704</v>
      </c>
      <c r="F2" s="73"/>
      <c r="G2" s="74"/>
      <c r="H2" s="72" t="s">
        <v>1837</v>
      </c>
      <c r="I2" s="73"/>
      <c r="J2" s="74"/>
      <c r="K2" s="72" t="s">
        <v>1819</v>
      </c>
      <c r="L2" s="73"/>
      <c r="M2" s="74"/>
      <c r="N2" s="72" t="s">
        <v>1003</v>
      </c>
      <c r="O2" s="73"/>
      <c r="P2" s="74"/>
      <c r="Q2" s="68" t="s">
        <v>1001</v>
      </c>
      <c r="R2" s="69"/>
      <c r="S2" s="70"/>
      <c r="T2" s="34"/>
      <c r="U2" s="49"/>
      <c r="V2" s="49"/>
    </row>
    <row r="3" spans="1:23" s="7" customFormat="1" ht="42" customHeight="1" x14ac:dyDescent="0.35">
      <c r="A3" s="11"/>
      <c r="B3" s="11"/>
      <c r="C3" s="13"/>
      <c r="D3" s="4" t="s">
        <v>16</v>
      </c>
      <c r="E3" s="75" t="str">
        <f>IF(E2="","",VLOOKUP(E2,CODIGOS!$A$2:$C$5003,2,FALSE))</f>
        <v>REMERA MC SIN CIERRE AZUL 3XS/2XL RER</v>
      </c>
      <c r="F3" s="76"/>
      <c r="G3" s="77"/>
      <c r="H3" s="75" t="str">
        <f>IF(H2="","",VLOOKUP(H2,CODIGOS!$A$2:$C$5003,2,FALSE))</f>
        <v>CHOMBA MC CIERRE NE 3XL/5XL RER</v>
      </c>
      <c r="I3" s="76"/>
      <c r="J3" s="77"/>
      <c r="K3" s="75" t="str">
        <f>IF(K2="","",VLOOKUP(K2,CODIGOS!$A$2:$C$5003,2,FALSE))</f>
        <v>CHOMBA MC CIERRE NE 3XS/2XL RER</v>
      </c>
      <c r="L3" s="76"/>
      <c r="M3" s="77"/>
      <c r="N3" s="75" t="str">
        <f>IF(N2="","",VLOOKUP(N2,CODIGOS!$A$2:$C$5003,2,FALSE))</f>
        <v>BOMB AMER RIP NEGRA 50/54 RER</v>
      </c>
      <c r="O3" s="76"/>
      <c r="P3" s="77"/>
      <c r="Q3" s="65" t="str">
        <f>IF(Q2="","",VLOOKUP(Q2,CODIGOS!$A$2:$C$5003,2,FALSE))</f>
        <v>BOMB AMER RIP NEGRA 34/48 RER</v>
      </c>
      <c r="R3" s="66"/>
      <c r="S3" s="67"/>
      <c r="T3" s="35"/>
      <c r="U3" s="50"/>
      <c r="V3" s="50"/>
    </row>
    <row r="4" spans="1:23" x14ac:dyDescent="0.25">
      <c r="A4" s="40" t="s">
        <v>9139</v>
      </c>
      <c r="B4" s="40" t="s">
        <v>9</v>
      </c>
      <c r="C4" s="40" t="s">
        <v>9116</v>
      </c>
      <c r="D4" s="40" t="s">
        <v>9117</v>
      </c>
      <c r="E4" s="41" t="s">
        <v>8979</v>
      </c>
      <c r="F4" s="41" t="s">
        <v>8980</v>
      </c>
      <c r="G4" s="42" t="s">
        <v>8981</v>
      </c>
      <c r="H4" s="41" t="s">
        <v>8979</v>
      </c>
      <c r="I4" s="41" t="s">
        <v>8980</v>
      </c>
      <c r="J4" s="42" t="s">
        <v>8981</v>
      </c>
      <c r="K4" s="41" t="s">
        <v>8979</v>
      </c>
      <c r="L4" s="41" t="s">
        <v>8980</v>
      </c>
      <c r="M4" s="42" t="s">
        <v>8981</v>
      </c>
      <c r="N4" s="41" t="s">
        <v>8979</v>
      </c>
      <c r="O4" s="41" t="s">
        <v>8980</v>
      </c>
      <c r="P4" s="42" t="s">
        <v>8981</v>
      </c>
      <c r="Q4" s="43" t="s">
        <v>8979</v>
      </c>
      <c r="R4" s="43" t="s">
        <v>8980</v>
      </c>
      <c r="S4" s="44" t="s">
        <v>8981</v>
      </c>
      <c r="T4" s="44" t="s">
        <v>9141</v>
      </c>
      <c r="U4" s="44" t="s">
        <v>9146</v>
      </c>
      <c r="V4" s="44" t="s">
        <v>9147</v>
      </c>
      <c r="W4" s="44" t="s">
        <v>9140</v>
      </c>
    </row>
    <row r="5" spans="1:23" s="39" customFormat="1" x14ac:dyDescent="0.25">
      <c r="A5" s="24" t="s">
        <v>9138</v>
      </c>
      <c r="B5" s="25">
        <v>45796216</v>
      </c>
      <c r="C5" s="26" t="s">
        <v>9121</v>
      </c>
      <c r="D5" s="27" t="s">
        <v>9122</v>
      </c>
      <c r="E5" s="24" t="s">
        <v>6</v>
      </c>
      <c r="F5" s="28" t="s">
        <v>9095</v>
      </c>
      <c r="G5" s="30">
        <v>1</v>
      </c>
      <c r="H5" s="24"/>
      <c r="I5" s="28"/>
      <c r="J5" s="45"/>
      <c r="K5" s="24" t="s">
        <v>0</v>
      </c>
      <c r="L5" s="28"/>
      <c r="M5" s="30">
        <v>1</v>
      </c>
      <c r="N5" s="24" t="s">
        <v>0</v>
      </c>
      <c r="O5" s="28"/>
      <c r="P5" s="30">
        <v>1</v>
      </c>
      <c r="Q5" s="24" t="s">
        <v>11</v>
      </c>
      <c r="R5" s="28"/>
      <c r="S5" s="30">
        <v>1</v>
      </c>
      <c r="T5" s="36">
        <f>$G$5*$F$1+$J$5*$I$1+$M$5*$L$1+$P$5*$O$1+$S$5*$R$1</f>
        <v>187000</v>
      </c>
      <c r="U5" s="36">
        <f>$G$5*$F$1+0*$I$1+$M$5*$L$1+$P$5*$O$1+$S$5*$R$1</f>
        <v>187000</v>
      </c>
      <c r="V5" s="36">
        <f>$T$5-$U$5</f>
        <v>0</v>
      </c>
      <c r="W5" s="29" t="s">
        <v>9151</v>
      </c>
    </row>
    <row r="6" spans="1:23" s="15" customFormat="1" x14ac:dyDescent="0.25">
      <c r="A6" s="53" t="s">
        <v>9136</v>
      </c>
      <c r="B6" s="54">
        <v>12345678</v>
      </c>
      <c r="C6" s="55" t="s">
        <v>9148</v>
      </c>
      <c r="D6" s="56" t="s">
        <v>9149</v>
      </c>
      <c r="E6" s="57" t="s">
        <v>4</v>
      </c>
      <c r="F6" s="58" t="s">
        <v>9095</v>
      </c>
      <c r="G6" s="59">
        <v>1</v>
      </c>
      <c r="H6" s="57"/>
      <c r="I6" s="58"/>
      <c r="J6" s="60"/>
      <c r="K6" s="57" t="s">
        <v>10</v>
      </c>
      <c r="L6" s="58"/>
      <c r="M6" s="59">
        <v>2</v>
      </c>
      <c r="N6" s="57" t="s">
        <v>2</v>
      </c>
      <c r="O6" s="58"/>
      <c r="P6" s="60">
        <v>3</v>
      </c>
      <c r="Q6" s="57" t="s">
        <v>13</v>
      </c>
      <c r="R6" s="58"/>
      <c r="S6" s="59">
        <v>3</v>
      </c>
      <c r="T6" s="61">
        <f>$G$6*$F$1+$J$6*$I$1+$M$6*$L$1+$P$6*$O$1+$S$6*$R$1</f>
        <v>491000</v>
      </c>
      <c r="U6" s="61">
        <f>$G$6*$F$1+0*$I$1+$M$6*$L$1+0*$O$1+$S$6*$R$1</f>
        <v>275000</v>
      </c>
      <c r="V6" s="61">
        <f>$T$6-$U$6</f>
        <v>216000</v>
      </c>
      <c r="W6" s="62" t="s">
        <v>9153</v>
      </c>
    </row>
    <row r="7" spans="1:23" s="15" customFormat="1" x14ac:dyDescent="0.25">
      <c r="A7" s="24" t="s">
        <v>9138</v>
      </c>
      <c r="B7" s="25">
        <v>70561456</v>
      </c>
      <c r="C7" s="26" t="s">
        <v>9124</v>
      </c>
      <c r="D7" s="27" t="s">
        <v>9125</v>
      </c>
      <c r="E7" s="24" t="s">
        <v>3</v>
      </c>
      <c r="F7" s="28" t="s">
        <v>9095</v>
      </c>
      <c r="G7" s="30">
        <v>1</v>
      </c>
      <c r="H7" s="24"/>
      <c r="I7" s="28"/>
      <c r="J7" s="45"/>
      <c r="K7" s="24" t="s">
        <v>5</v>
      </c>
      <c r="L7" s="28"/>
      <c r="M7" s="45">
        <v>1</v>
      </c>
      <c r="N7" s="24" t="s">
        <v>5</v>
      </c>
      <c r="O7" s="28"/>
      <c r="P7" s="45">
        <v>1</v>
      </c>
      <c r="Q7" s="24" t="s">
        <v>14</v>
      </c>
      <c r="R7" s="28"/>
      <c r="S7" s="30">
        <v>1</v>
      </c>
      <c r="T7" s="36">
        <f>$G$7*$F$1+$J$7*$I$1+$M$7*$L$1+$P$7*$O$1+$S$7*$R$1</f>
        <v>187000</v>
      </c>
      <c r="U7" s="36">
        <f>$G$7*$F$1+0*$I$1+0*$L$1+0*$O$1+$S$7*$R$1</f>
        <v>95000</v>
      </c>
      <c r="V7" s="36">
        <f>$T$7-$U$7</f>
        <v>92000</v>
      </c>
      <c r="W7" s="29" t="s">
        <v>9143</v>
      </c>
    </row>
    <row r="8" spans="1:23" s="15" customFormat="1" x14ac:dyDescent="0.25">
      <c r="A8" s="24" t="s">
        <v>9138</v>
      </c>
      <c r="B8" s="25">
        <v>37137843</v>
      </c>
      <c r="C8" s="26" t="s">
        <v>9118</v>
      </c>
      <c r="D8" s="27" t="s">
        <v>9119</v>
      </c>
      <c r="E8" s="24" t="s">
        <v>2</v>
      </c>
      <c r="F8" s="28" t="s">
        <v>9095</v>
      </c>
      <c r="G8" s="30">
        <v>1</v>
      </c>
      <c r="H8" s="24" t="s">
        <v>11</v>
      </c>
      <c r="I8" s="28"/>
      <c r="J8" s="30">
        <v>1</v>
      </c>
      <c r="K8" s="24"/>
      <c r="L8" s="28"/>
      <c r="M8" s="30">
        <v>1</v>
      </c>
      <c r="N8" s="24" t="s">
        <v>3</v>
      </c>
      <c r="O8" s="28"/>
      <c r="P8" s="45">
        <v>1</v>
      </c>
      <c r="Q8" s="24" t="s">
        <v>1</v>
      </c>
      <c r="R8" s="28"/>
      <c r="S8" s="30">
        <v>1</v>
      </c>
      <c r="T8" s="36">
        <f>$G$8*$F$1+$J$8*$I$1+$M$8*$L$1+$P$8*$O$1+$S$8*$R$1</f>
        <v>209000</v>
      </c>
      <c r="U8" s="36">
        <f>$G$8*$F$1+$J$8*$I$1+$M$8*$L$1+0*$O$1+$S$8*$R$1</f>
        <v>137000</v>
      </c>
      <c r="V8" s="36">
        <f>$T$8-$U$8</f>
        <v>72000</v>
      </c>
      <c r="W8" s="29" t="s">
        <v>9142</v>
      </c>
    </row>
    <row r="9" spans="1:23" x14ac:dyDescent="0.25">
      <c r="A9" s="37" t="s">
        <v>9138</v>
      </c>
      <c r="B9" s="31">
        <v>45766296</v>
      </c>
      <c r="C9" s="32" t="s">
        <v>9120</v>
      </c>
      <c r="D9" s="33" t="s">
        <v>9123</v>
      </c>
      <c r="E9" s="24" t="s">
        <v>5</v>
      </c>
      <c r="F9" s="28" t="s">
        <v>9095</v>
      </c>
      <c r="G9" s="30">
        <v>1</v>
      </c>
      <c r="H9" s="24" t="s">
        <v>13</v>
      </c>
      <c r="I9" s="28"/>
      <c r="J9" s="30">
        <v>1</v>
      </c>
      <c r="K9" s="24"/>
      <c r="L9" s="28"/>
      <c r="M9" s="30">
        <v>1</v>
      </c>
      <c r="N9" s="24" t="s">
        <v>1</v>
      </c>
      <c r="O9" s="28"/>
      <c r="P9" s="30">
        <v>1</v>
      </c>
      <c r="Q9" s="24" t="s">
        <v>12</v>
      </c>
      <c r="R9" s="28"/>
      <c r="S9" s="30">
        <v>1</v>
      </c>
      <c r="T9" s="36">
        <f>$G$9*$F$1+$J$9*$I$1+$M$9*$L$1+$P$9*$O$1+$S$9*$R$1</f>
        <v>209000</v>
      </c>
      <c r="U9" s="36">
        <f>$G$9*$F$1+$J$9*$I$1+$M$9*$L$1+$P$9*$O$1+$S$9*$R$1</f>
        <v>209000</v>
      </c>
      <c r="V9" s="36">
        <f>$T$9-$U$9</f>
        <v>0</v>
      </c>
      <c r="W9" s="29" t="s">
        <v>9152</v>
      </c>
    </row>
    <row r="10" spans="1:23" x14ac:dyDescent="0.25">
      <c r="C10" s="20"/>
      <c r="D10" s="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7"/>
      <c r="R10" s="7"/>
      <c r="S10" s="7"/>
      <c r="T10" s="7"/>
      <c r="U10" s="7"/>
      <c r="V10" s="7"/>
    </row>
    <row r="11" spans="1:23" x14ac:dyDescent="0.25">
      <c r="A11" s="19" t="s">
        <v>9133</v>
      </c>
      <c r="B11" s="23">
        <f>COUNTIF(A5:A9,"=Activo")</f>
        <v>4</v>
      </c>
    </row>
    <row r="12" spans="1:23" x14ac:dyDescent="0.25">
      <c r="A12" s="21" t="s">
        <v>9134</v>
      </c>
      <c r="B12" s="22">
        <f>COUNTIF(A5:A9,"=Inactivo")</f>
        <v>1</v>
      </c>
    </row>
    <row r="13" spans="1:23" x14ac:dyDescent="0.25">
      <c r="A13" s="21" t="s">
        <v>9135</v>
      </c>
      <c r="B13" s="22">
        <f>COUNTA(B5:B9)</f>
        <v>5</v>
      </c>
    </row>
  </sheetData>
  <sheetProtection sort="0" autoFilter="0"/>
  <mergeCells count="11">
    <mergeCell ref="Q3:S3"/>
    <mergeCell ref="Q2:S2"/>
    <mergeCell ref="A1:B1"/>
    <mergeCell ref="N2:P2"/>
    <mergeCell ref="N3:P3"/>
    <mergeCell ref="K2:M2"/>
    <mergeCell ref="K3:M3"/>
    <mergeCell ref="H2:J2"/>
    <mergeCell ref="H3:J3"/>
    <mergeCell ref="E2:G2"/>
    <mergeCell ref="E3:G3"/>
  </mergeCells>
  <conditionalFormatting sqref="Q2:Q3 B4:D9 Q4:W9">
    <cfRule type="cellIs" priority="5599" stopIfTrue="1" operator="equal">
      <formula>"="</formula>
    </cfRule>
    <cfRule type="cellIs" priority="5600" stopIfTrue="1" operator="equal">
      <formula>"="</formula>
    </cfRule>
  </conditionalFormatting>
  <conditionalFormatting sqref="A5:D9 Q5:W9">
    <cfRule type="cellIs" priority="5601" stopIfTrue="1" operator="equal">
      <formula>"="</formula>
    </cfRule>
    <cfRule type="cellIs" priority="5607" stopIfTrue="1" operator="equal">
      <formula>"="</formula>
    </cfRule>
    <cfRule type="cellIs" priority="5615" stopIfTrue="1" operator="equal">
      <formula>"="</formula>
    </cfRule>
    <cfRule type="cellIs" priority="5620" stopIfTrue="1" operator="equal">
      <formula>"&lt;&gt;"""</formula>
    </cfRule>
    <cfRule type="cellIs" priority="5624" stopIfTrue="1" operator="equal">
      <formula>"&lt;&gt;"""</formula>
    </cfRule>
    <cfRule type="cellIs" priority="5626" stopIfTrue="1" operator="notEqual">
      <formula>"="</formula>
    </cfRule>
    <cfRule type="cellIs" priority="5630" stopIfTrue="1" operator="notEqual">
      <formula>"="</formula>
    </cfRule>
  </conditionalFormatting>
  <conditionalFormatting sqref="A5:D9 Q5:W9">
    <cfRule type="cellIs" priority="5602" stopIfTrue="1" operator="equal">
      <formula>"="</formula>
    </cfRule>
    <cfRule type="cellIs" priority="5606" stopIfTrue="1" operator="equal">
      <formula>"="</formula>
    </cfRule>
    <cfRule type="cellIs" priority="5614" stopIfTrue="1" operator="equal">
      <formula>"="</formula>
    </cfRule>
    <cfRule type="cellIs" priority="5616" stopIfTrue="1" operator="equal">
      <formula>"="</formula>
    </cfRule>
    <cfRule type="cellIs" priority="5621" stopIfTrue="1" operator="equal">
      <formula>"&lt;&gt;"""</formula>
    </cfRule>
    <cfRule type="cellIs" priority="5623" stopIfTrue="1" operator="equal">
      <formula>"&lt;&gt;"""</formula>
    </cfRule>
    <cfRule type="cellIs" priority="5631" stopIfTrue="1" operator="notEqual">
      <formula>7</formula>
    </cfRule>
  </conditionalFormatting>
  <conditionalFormatting sqref="A5:D9 Q5:W9">
    <cfRule type="cellIs" priority="5603" stopIfTrue="1" operator="equal">
      <formula>"="</formula>
    </cfRule>
    <cfRule type="cellIs" priority="5605" stopIfTrue="1" operator="equal">
      <formula>"="</formula>
    </cfRule>
    <cfRule type="cellIs" priority="5613" stopIfTrue="1" operator="equal">
      <formula>"="</formula>
    </cfRule>
    <cfRule type="cellIs" priority="5617" stopIfTrue="1" operator="equal">
      <formula>"="</formula>
    </cfRule>
  </conditionalFormatting>
  <conditionalFormatting sqref="A5:D9 Q5:W9">
    <cfRule type="cellIs" priority="5604" stopIfTrue="1" operator="equal">
      <formula>"="</formula>
    </cfRule>
    <cfRule type="cellIs" priority="5612" stopIfTrue="1" operator="equal">
      <formula>"="</formula>
    </cfRule>
    <cfRule type="cellIs" priority="5618" stopIfTrue="1" operator="equal">
      <formula>"="</formula>
    </cfRule>
  </conditionalFormatting>
  <conditionalFormatting sqref="A5:D9 Q5:W9">
    <cfRule type="cellIs" priority="5608" stopIfTrue="1" operator="equal">
      <formula>"="</formula>
    </cfRule>
    <cfRule type="cellIs" priority="5609" stopIfTrue="1" operator="equal">
      <formula>"="</formula>
    </cfRule>
    <cfRule type="cellIs" priority="5610" stopIfTrue="1" operator="equal">
      <formula>"="</formula>
    </cfRule>
    <cfRule type="cellIs" priority="5611" stopIfTrue="1" operator="equal">
      <formula>"="</formula>
    </cfRule>
    <cfRule type="cellIs" priority="5619" stopIfTrue="1" operator="equal">
      <formula>"="</formula>
    </cfRule>
  </conditionalFormatting>
  <conditionalFormatting sqref="A5:D9 Q5:W9">
    <cfRule type="cellIs" priority="5622" stopIfTrue="1" operator="equal">
      <formula>"&lt;&gt;"""</formula>
    </cfRule>
  </conditionalFormatting>
  <conditionalFormatting sqref="A5:D9 Q5:W9">
    <cfRule type="cellIs" priority="5625" stopIfTrue="1" operator="equal">
      <formula>"&lt;&gt;"""</formula>
    </cfRule>
    <cfRule type="cellIs" priority="5627" stopIfTrue="1" operator="notEqual">
      <formula>"="</formula>
    </cfRule>
    <cfRule type="cellIs" priority="5629" stopIfTrue="1" operator="notEqual">
      <formula>"="</formula>
    </cfRule>
    <cfRule type="cellIs" priority="5632" stopIfTrue="1" operator="notEqual">
      <formula>7</formula>
    </cfRule>
  </conditionalFormatting>
  <conditionalFormatting sqref="A5:D9 Q5:W9">
    <cfRule type="cellIs" priority="5628" stopIfTrue="1" operator="notEqual">
      <formula>"="</formula>
    </cfRule>
    <cfRule type="cellIs" priority="5633" stopIfTrue="1" operator="notEqual">
      <formula>7</formula>
    </cfRule>
  </conditionalFormatting>
  <conditionalFormatting sqref="A4:A9">
    <cfRule type="cellIs" priority="5634" stopIfTrue="1" operator="notEqual">
      <formula>7</formula>
    </cfRule>
  </conditionalFormatting>
  <conditionalFormatting sqref="N2:N3 N4:P9">
    <cfRule type="cellIs" priority="211" stopIfTrue="1" operator="equal">
      <formula>"="</formula>
    </cfRule>
    <cfRule type="cellIs" priority="212" stopIfTrue="1" operator="equal">
      <formula>"="</formula>
    </cfRule>
  </conditionalFormatting>
  <conditionalFormatting sqref="N5:P9">
    <cfRule type="cellIs" priority="213" stopIfTrue="1" operator="equal">
      <formula>"="</formula>
    </cfRule>
    <cfRule type="cellIs" priority="219" stopIfTrue="1" operator="equal">
      <formula>"="</formula>
    </cfRule>
    <cfRule type="cellIs" priority="227" stopIfTrue="1" operator="equal">
      <formula>"="</formula>
    </cfRule>
    <cfRule type="cellIs" priority="232" stopIfTrue="1" operator="equal">
      <formula>"&lt;&gt;"""</formula>
    </cfRule>
    <cfRule type="cellIs" priority="236" stopIfTrue="1" operator="equal">
      <formula>"&lt;&gt;"""</formula>
    </cfRule>
    <cfRule type="cellIs" priority="238" stopIfTrue="1" operator="notEqual">
      <formula>"="</formula>
    </cfRule>
    <cfRule type="cellIs" priority="242" stopIfTrue="1" operator="notEqual">
      <formula>"="</formula>
    </cfRule>
  </conditionalFormatting>
  <conditionalFormatting sqref="N5:P9">
    <cfRule type="cellIs" priority="214" stopIfTrue="1" operator="equal">
      <formula>"="</formula>
    </cfRule>
    <cfRule type="cellIs" priority="218" stopIfTrue="1" operator="equal">
      <formula>"="</formula>
    </cfRule>
    <cfRule type="cellIs" priority="226" stopIfTrue="1" operator="equal">
      <formula>"="</formula>
    </cfRule>
    <cfRule type="cellIs" priority="228" stopIfTrue="1" operator="equal">
      <formula>"="</formula>
    </cfRule>
    <cfRule type="cellIs" priority="233" stopIfTrue="1" operator="equal">
      <formula>"&lt;&gt;"""</formula>
    </cfRule>
    <cfRule type="cellIs" priority="235" stopIfTrue="1" operator="equal">
      <formula>"&lt;&gt;"""</formula>
    </cfRule>
    <cfRule type="cellIs" priority="243" stopIfTrue="1" operator="notEqual">
      <formula>7</formula>
    </cfRule>
  </conditionalFormatting>
  <conditionalFormatting sqref="N5:P9">
    <cfRule type="cellIs" priority="215" stopIfTrue="1" operator="equal">
      <formula>"="</formula>
    </cfRule>
    <cfRule type="cellIs" priority="217" stopIfTrue="1" operator="equal">
      <formula>"="</formula>
    </cfRule>
    <cfRule type="cellIs" priority="225" stopIfTrue="1" operator="equal">
      <formula>"="</formula>
    </cfRule>
    <cfRule type="cellIs" priority="229" stopIfTrue="1" operator="equal">
      <formula>"="</formula>
    </cfRule>
  </conditionalFormatting>
  <conditionalFormatting sqref="N5:P9">
    <cfRule type="cellIs" priority="216" stopIfTrue="1" operator="equal">
      <formula>"="</formula>
    </cfRule>
    <cfRule type="cellIs" priority="224" stopIfTrue="1" operator="equal">
      <formula>"="</formula>
    </cfRule>
    <cfRule type="cellIs" priority="230" stopIfTrue="1" operator="equal">
      <formula>"="</formula>
    </cfRule>
  </conditionalFormatting>
  <conditionalFormatting sqref="N5:P9">
    <cfRule type="cellIs" priority="220" stopIfTrue="1" operator="equal">
      <formula>"="</formula>
    </cfRule>
    <cfRule type="cellIs" priority="221" stopIfTrue="1" operator="equal">
      <formula>"="</formula>
    </cfRule>
    <cfRule type="cellIs" priority="222" stopIfTrue="1" operator="equal">
      <formula>"="</formula>
    </cfRule>
    <cfRule type="cellIs" priority="223" stopIfTrue="1" operator="equal">
      <formula>"="</formula>
    </cfRule>
    <cfRule type="cellIs" priority="231" stopIfTrue="1" operator="equal">
      <formula>"="</formula>
    </cfRule>
  </conditionalFormatting>
  <conditionalFormatting sqref="N5:P9">
    <cfRule type="cellIs" priority="234" stopIfTrue="1" operator="equal">
      <formula>"&lt;&gt;"""</formula>
    </cfRule>
  </conditionalFormatting>
  <conditionalFormatting sqref="N5:P9">
    <cfRule type="cellIs" priority="237" stopIfTrue="1" operator="equal">
      <formula>"&lt;&gt;"""</formula>
    </cfRule>
    <cfRule type="cellIs" priority="239" stopIfTrue="1" operator="notEqual">
      <formula>"="</formula>
    </cfRule>
    <cfRule type="cellIs" priority="241" stopIfTrue="1" operator="notEqual">
      <formula>"="</formula>
    </cfRule>
    <cfRule type="cellIs" priority="244" stopIfTrue="1" operator="notEqual">
      <formula>7</formula>
    </cfRule>
  </conditionalFormatting>
  <conditionalFormatting sqref="N5:P9">
    <cfRule type="cellIs" priority="240" stopIfTrue="1" operator="notEqual">
      <formula>"="</formula>
    </cfRule>
    <cfRule type="cellIs" priority="245" stopIfTrue="1" operator="notEqual">
      <formula>7</formula>
    </cfRule>
  </conditionalFormatting>
  <conditionalFormatting sqref="K2:K3 K4:M9">
    <cfRule type="cellIs" priority="141" stopIfTrue="1" operator="equal">
      <formula>"="</formula>
    </cfRule>
    <cfRule type="cellIs" priority="142" stopIfTrue="1" operator="equal">
      <formula>"="</formula>
    </cfRule>
  </conditionalFormatting>
  <conditionalFormatting sqref="K5:M9">
    <cfRule type="cellIs" priority="143" stopIfTrue="1" operator="equal">
      <formula>"="</formula>
    </cfRule>
    <cfRule type="cellIs" priority="149" stopIfTrue="1" operator="equal">
      <formula>"="</formula>
    </cfRule>
    <cfRule type="cellIs" priority="157" stopIfTrue="1" operator="equal">
      <formula>"="</formula>
    </cfRule>
    <cfRule type="cellIs" priority="162" stopIfTrue="1" operator="equal">
      <formula>"&lt;&gt;"""</formula>
    </cfRule>
    <cfRule type="cellIs" priority="166" stopIfTrue="1" operator="equal">
      <formula>"&lt;&gt;"""</formula>
    </cfRule>
    <cfRule type="cellIs" priority="168" stopIfTrue="1" operator="notEqual">
      <formula>"="</formula>
    </cfRule>
    <cfRule type="cellIs" priority="172" stopIfTrue="1" operator="notEqual">
      <formula>"="</formula>
    </cfRule>
  </conditionalFormatting>
  <conditionalFormatting sqref="K5:M9">
    <cfRule type="cellIs" priority="144" stopIfTrue="1" operator="equal">
      <formula>"="</formula>
    </cfRule>
    <cfRule type="cellIs" priority="148" stopIfTrue="1" operator="equal">
      <formula>"="</formula>
    </cfRule>
    <cfRule type="cellIs" priority="156" stopIfTrue="1" operator="equal">
      <formula>"="</formula>
    </cfRule>
    <cfRule type="cellIs" priority="158" stopIfTrue="1" operator="equal">
      <formula>"="</formula>
    </cfRule>
    <cfRule type="cellIs" priority="163" stopIfTrue="1" operator="equal">
      <formula>"&lt;&gt;"""</formula>
    </cfRule>
    <cfRule type="cellIs" priority="165" stopIfTrue="1" operator="equal">
      <formula>"&lt;&gt;"""</formula>
    </cfRule>
    <cfRule type="cellIs" priority="173" stopIfTrue="1" operator="notEqual">
      <formula>7</formula>
    </cfRule>
  </conditionalFormatting>
  <conditionalFormatting sqref="K5:M9">
    <cfRule type="cellIs" priority="145" stopIfTrue="1" operator="equal">
      <formula>"="</formula>
    </cfRule>
    <cfRule type="cellIs" priority="147" stopIfTrue="1" operator="equal">
      <formula>"="</formula>
    </cfRule>
    <cfRule type="cellIs" priority="155" stopIfTrue="1" operator="equal">
      <formula>"="</formula>
    </cfRule>
    <cfRule type="cellIs" priority="159" stopIfTrue="1" operator="equal">
      <formula>"="</formula>
    </cfRule>
  </conditionalFormatting>
  <conditionalFormatting sqref="K5:M9">
    <cfRule type="cellIs" priority="146" stopIfTrue="1" operator="equal">
      <formula>"="</formula>
    </cfRule>
    <cfRule type="cellIs" priority="154" stopIfTrue="1" operator="equal">
      <formula>"="</formula>
    </cfRule>
    <cfRule type="cellIs" priority="160" stopIfTrue="1" operator="equal">
      <formula>"="</formula>
    </cfRule>
  </conditionalFormatting>
  <conditionalFormatting sqref="K5:M9">
    <cfRule type="cellIs" priority="150" stopIfTrue="1" operator="equal">
      <formula>"="</formula>
    </cfRule>
    <cfRule type="cellIs" priority="151" stopIfTrue="1" operator="equal">
      <formula>"="</formula>
    </cfRule>
    <cfRule type="cellIs" priority="152" stopIfTrue="1" operator="equal">
      <formula>"="</formula>
    </cfRule>
    <cfRule type="cellIs" priority="153" stopIfTrue="1" operator="equal">
      <formula>"="</formula>
    </cfRule>
    <cfRule type="cellIs" priority="161" stopIfTrue="1" operator="equal">
      <formula>"="</formula>
    </cfRule>
  </conditionalFormatting>
  <conditionalFormatting sqref="K5:M9">
    <cfRule type="cellIs" priority="164" stopIfTrue="1" operator="equal">
      <formula>"&lt;&gt;"""</formula>
    </cfRule>
  </conditionalFormatting>
  <conditionalFormatting sqref="K5:M9">
    <cfRule type="cellIs" priority="167" stopIfTrue="1" operator="equal">
      <formula>"&lt;&gt;"""</formula>
    </cfRule>
    <cfRule type="cellIs" priority="169" stopIfTrue="1" operator="notEqual">
      <formula>"="</formula>
    </cfRule>
    <cfRule type="cellIs" priority="171" stopIfTrue="1" operator="notEqual">
      <formula>"="</formula>
    </cfRule>
    <cfRule type="cellIs" priority="174" stopIfTrue="1" operator="notEqual">
      <formula>7</formula>
    </cfRule>
  </conditionalFormatting>
  <conditionalFormatting sqref="K5:M9">
    <cfRule type="cellIs" priority="170" stopIfTrue="1" operator="notEqual">
      <formula>"="</formula>
    </cfRule>
    <cfRule type="cellIs" priority="175" stopIfTrue="1" operator="notEqual">
      <formula>7</formula>
    </cfRule>
  </conditionalFormatting>
  <conditionalFormatting sqref="H2:H3 H4:J9">
    <cfRule type="cellIs" priority="71" stopIfTrue="1" operator="equal">
      <formula>"="</formula>
    </cfRule>
    <cfRule type="cellIs" priority="72" stopIfTrue="1" operator="equal">
      <formula>"="</formula>
    </cfRule>
  </conditionalFormatting>
  <conditionalFormatting sqref="H5:J9">
    <cfRule type="cellIs" priority="73" stopIfTrue="1" operator="equal">
      <formula>"="</formula>
    </cfRule>
    <cfRule type="cellIs" priority="79" stopIfTrue="1" operator="equal">
      <formula>"="</formula>
    </cfRule>
    <cfRule type="cellIs" priority="87" stopIfTrue="1" operator="equal">
      <formula>"="</formula>
    </cfRule>
    <cfRule type="cellIs" priority="92" stopIfTrue="1" operator="equal">
      <formula>"&lt;&gt;"""</formula>
    </cfRule>
    <cfRule type="cellIs" priority="96" stopIfTrue="1" operator="equal">
      <formula>"&lt;&gt;"""</formula>
    </cfRule>
    <cfRule type="cellIs" priority="98" stopIfTrue="1" operator="notEqual">
      <formula>"="</formula>
    </cfRule>
    <cfRule type="cellIs" priority="102" stopIfTrue="1" operator="notEqual">
      <formula>"="</formula>
    </cfRule>
  </conditionalFormatting>
  <conditionalFormatting sqref="H5:J9">
    <cfRule type="cellIs" priority="74" stopIfTrue="1" operator="equal">
      <formula>"="</formula>
    </cfRule>
    <cfRule type="cellIs" priority="78" stopIfTrue="1" operator="equal">
      <formula>"="</formula>
    </cfRule>
    <cfRule type="cellIs" priority="86" stopIfTrue="1" operator="equal">
      <formula>"="</formula>
    </cfRule>
    <cfRule type="cellIs" priority="88" stopIfTrue="1" operator="equal">
      <formula>"="</formula>
    </cfRule>
    <cfRule type="cellIs" priority="93" stopIfTrue="1" operator="equal">
      <formula>"&lt;&gt;"""</formula>
    </cfRule>
    <cfRule type="cellIs" priority="95" stopIfTrue="1" operator="equal">
      <formula>"&lt;&gt;"""</formula>
    </cfRule>
    <cfRule type="cellIs" priority="103" stopIfTrue="1" operator="notEqual">
      <formula>7</formula>
    </cfRule>
  </conditionalFormatting>
  <conditionalFormatting sqref="H5:J9">
    <cfRule type="cellIs" priority="75" stopIfTrue="1" operator="equal">
      <formula>"="</formula>
    </cfRule>
    <cfRule type="cellIs" priority="77" stopIfTrue="1" operator="equal">
      <formula>"="</formula>
    </cfRule>
    <cfRule type="cellIs" priority="85" stopIfTrue="1" operator="equal">
      <formula>"="</formula>
    </cfRule>
    <cfRule type="cellIs" priority="89" stopIfTrue="1" operator="equal">
      <formula>"="</formula>
    </cfRule>
  </conditionalFormatting>
  <conditionalFormatting sqref="H5:J9">
    <cfRule type="cellIs" priority="76" stopIfTrue="1" operator="equal">
      <formula>"="</formula>
    </cfRule>
    <cfRule type="cellIs" priority="84" stopIfTrue="1" operator="equal">
      <formula>"="</formula>
    </cfRule>
    <cfRule type="cellIs" priority="90" stopIfTrue="1" operator="equal">
      <formula>"="</formula>
    </cfRule>
  </conditionalFormatting>
  <conditionalFormatting sqref="H5:J9">
    <cfRule type="cellIs" priority="80" stopIfTrue="1" operator="equal">
      <formula>"="</formula>
    </cfRule>
    <cfRule type="cellIs" priority="81" stopIfTrue="1" operator="equal">
      <formula>"="</formula>
    </cfRule>
    <cfRule type="cellIs" priority="82" stopIfTrue="1" operator="equal">
      <formula>"="</formula>
    </cfRule>
    <cfRule type="cellIs" priority="83" stopIfTrue="1" operator="equal">
      <formula>"="</formula>
    </cfRule>
    <cfRule type="cellIs" priority="91" stopIfTrue="1" operator="equal">
      <formula>"="</formula>
    </cfRule>
  </conditionalFormatting>
  <conditionalFormatting sqref="H5:J9">
    <cfRule type="cellIs" priority="94" stopIfTrue="1" operator="equal">
      <formula>"&lt;&gt;"""</formula>
    </cfRule>
  </conditionalFormatting>
  <conditionalFormatting sqref="H5:J9">
    <cfRule type="cellIs" priority="97" stopIfTrue="1" operator="equal">
      <formula>"&lt;&gt;"""</formula>
    </cfRule>
    <cfRule type="cellIs" priority="99" stopIfTrue="1" operator="notEqual">
      <formula>"="</formula>
    </cfRule>
    <cfRule type="cellIs" priority="101" stopIfTrue="1" operator="notEqual">
      <formula>"="</formula>
    </cfRule>
    <cfRule type="cellIs" priority="104" stopIfTrue="1" operator="notEqual">
      <formula>7</formula>
    </cfRule>
  </conditionalFormatting>
  <conditionalFormatting sqref="H5:J9">
    <cfRule type="cellIs" priority="100" stopIfTrue="1" operator="notEqual">
      <formula>"="</formula>
    </cfRule>
    <cfRule type="cellIs" priority="105" stopIfTrue="1" operator="notEqual">
      <formula>7</formula>
    </cfRule>
  </conditionalFormatting>
  <conditionalFormatting sqref="E2:E3 E4:G9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E5:G9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E5:G9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E5:G9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E5:G9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E5:G9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E5:G9">
    <cfRule type="cellIs" priority="24" stopIfTrue="1" operator="equal">
      <formula>"&lt;&gt;"""</formula>
    </cfRule>
  </conditionalFormatting>
  <conditionalFormatting sqref="E5:G9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E5:G9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4">
    <dataValidation type="list" allowBlank="1" showInputMessage="1" showErrorMessage="1" sqref="E2:S2">
      <formula1>Codigos</formula1>
    </dataValidation>
    <dataValidation type="list" allowBlank="1" showInputMessage="1" showErrorMessage="1" sqref="Q5:Q9 N5:N8 K5:K8 H5:H8 E5:E9 G9:K9 M9:N9 P9">
      <formula1>Talle</formula1>
    </dataValidation>
    <dataValidation type="list" allowBlank="1" showInputMessage="1" showErrorMessage="1" sqref="F5:F9 O5:O9 L5:L9 I5:I8 R5:R9">
      <formula1>Color</formula1>
    </dataValidation>
    <dataValidation type="list" allowBlank="1" showInputMessage="1" showErrorMessage="1" sqref="A5:A9">
      <formula1>Estado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1:E45"/>
  <sheetViews>
    <sheetView workbookViewId="0">
      <selection activeCell="S8" sqref="S8"/>
    </sheetView>
  </sheetViews>
  <sheetFormatPr baseColWidth="10" defaultRowHeight="15" x14ac:dyDescent="0.25"/>
  <cols>
    <col min="1" max="1" width="6" bestFit="1" customWidth="1"/>
    <col min="2" max="2" width="8.5703125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ht="31.5" x14ac:dyDescent="0.5">
      <c r="A1" s="78" t="s">
        <v>9127</v>
      </c>
      <c r="B1" s="78"/>
      <c r="C1" s="79"/>
      <c r="D1" s="78"/>
      <c r="E1" s="64">
        <v>2101550</v>
      </c>
    </row>
    <row r="2" spans="1:5" ht="18.75" x14ac:dyDescent="0.3">
      <c r="A2" s="80" t="s">
        <v>1705</v>
      </c>
      <c r="B2" s="81"/>
      <c r="C2" s="81"/>
      <c r="D2" s="81"/>
      <c r="E2" s="81"/>
    </row>
    <row r="3" spans="1:5" x14ac:dyDescent="0.25">
      <c r="A3" s="63" t="s">
        <v>8979</v>
      </c>
      <c r="B3" s="63" t="s">
        <v>8980</v>
      </c>
      <c r="C3" s="63" t="s">
        <v>9128</v>
      </c>
      <c r="D3" s="63" t="s">
        <v>9129</v>
      </c>
      <c r="E3" s="63" t="s">
        <v>9130</v>
      </c>
    </row>
    <row r="4" spans="1:5" x14ac:dyDescent="0.25">
      <c r="A4" s="18" t="s">
        <v>6</v>
      </c>
      <c r="B4" s="18" t="s">
        <v>9095</v>
      </c>
      <c r="C4" s="18">
        <v>1</v>
      </c>
      <c r="D4" s="18">
        <v>1</v>
      </c>
      <c r="E4" s="18"/>
    </row>
    <row r="5" spans="1:5" x14ac:dyDescent="0.25">
      <c r="A5" s="18" t="s">
        <v>3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 t="s">
        <v>2</v>
      </c>
      <c r="B6" s="18" t="s">
        <v>9095</v>
      </c>
      <c r="C6" s="18">
        <v>1</v>
      </c>
      <c r="D6" s="18">
        <v>1</v>
      </c>
      <c r="E6" s="18"/>
    </row>
    <row r="7" spans="1:5" x14ac:dyDescent="0.25">
      <c r="A7" s="18" t="s">
        <v>5</v>
      </c>
      <c r="B7" s="18" t="s">
        <v>9095</v>
      </c>
      <c r="C7" s="18">
        <v>1</v>
      </c>
      <c r="D7" s="18">
        <v>1</v>
      </c>
      <c r="E7" s="18"/>
    </row>
    <row r="8" spans="1:5" x14ac:dyDescent="0.25">
      <c r="A8" s="18"/>
      <c r="B8" s="63" t="s">
        <v>9131</v>
      </c>
      <c r="C8" s="63">
        <f>SUM(C4:C7)</f>
        <v>4</v>
      </c>
      <c r="D8" s="63">
        <f>SUM(D4:D7)</f>
        <v>4</v>
      </c>
      <c r="E8" s="63">
        <f>SUM(E4:E7)</f>
        <v>0</v>
      </c>
    </row>
    <row r="11" spans="1:5" ht="31.5" x14ac:dyDescent="0.5">
      <c r="A11" s="78" t="s">
        <v>9127</v>
      </c>
      <c r="B11" s="78"/>
      <c r="C11" s="79"/>
      <c r="D11" s="78"/>
      <c r="E11" s="64">
        <v>2101999</v>
      </c>
    </row>
    <row r="12" spans="1:5" ht="18.75" x14ac:dyDescent="0.3">
      <c r="A12" s="80" t="s">
        <v>1838</v>
      </c>
      <c r="B12" s="81"/>
      <c r="C12" s="81"/>
      <c r="D12" s="81"/>
      <c r="E12" s="81"/>
    </row>
    <row r="13" spans="1:5" x14ac:dyDescent="0.25">
      <c r="A13" s="63" t="s">
        <v>8979</v>
      </c>
      <c r="B13" s="63" t="s">
        <v>8980</v>
      </c>
      <c r="C13" s="63" t="s">
        <v>9128</v>
      </c>
      <c r="D13" s="63" t="s">
        <v>9129</v>
      </c>
      <c r="E13" s="63" t="s">
        <v>9130</v>
      </c>
    </row>
    <row r="14" spans="1:5" x14ac:dyDescent="0.25">
      <c r="A14" s="18" t="s">
        <v>11</v>
      </c>
      <c r="B14" s="18"/>
      <c r="C14" s="18">
        <v>1</v>
      </c>
      <c r="D14" s="18">
        <v>1</v>
      </c>
      <c r="E14" s="18"/>
    </row>
    <row r="15" spans="1:5" x14ac:dyDescent="0.25">
      <c r="A15" s="18" t="s">
        <v>13</v>
      </c>
      <c r="B15" s="18"/>
      <c r="C15" s="18">
        <v>1</v>
      </c>
      <c r="D15" s="18">
        <v>1</v>
      </c>
      <c r="E15" s="18"/>
    </row>
    <row r="16" spans="1:5" x14ac:dyDescent="0.25">
      <c r="A16" s="18"/>
      <c r="B16" s="63" t="s">
        <v>9131</v>
      </c>
      <c r="C16" s="63">
        <f>SUM(C14:C15)</f>
        <v>2</v>
      </c>
      <c r="D16" s="63">
        <f>SUM(D14:D15)</f>
        <v>2</v>
      </c>
      <c r="E16" s="63">
        <f>SUM(E14:E15)</f>
        <v>0</v>
      </c>
    </row>
    <row r="19" spans="1:5" ht="31.5" x14ac:dyDescent="0.5">
      <c r="A19" s="78" t="s">
        <v>9127</v>
      </c>
      <c r="B19" s="78"/>
      <c r="C19" s="79"/>
      <c r="D19" s="78"/>
      <c r="E19" s="64">
        <v>2101900</v>
      </c>
    </row>
    <row r="20" spans="1:5" ht="18.75" x14ac:dyDescent="0.3">
      <c r="A20" s="80" t="s">
        <v>1820</v>
      </c>
      <c r="B20" s="81"/>
      <c r="C20" s="81"/>
      <c r="D20" s="81"/>
      <c r="E20" s="81"/>
    </row>
    <row r="21" spans="1:5" x14ac:dyDescent="0.25">
      <c r="A21" s="63" t="s">
        <v>8979</v>
      </c>
      <c r="B21" s="63" t="s">
        <v>8980</v>
      </c>
      <c r="C21" s="63" t="s">
        <v>9128</v>
      </c>
      <c r="D21" s="63" t="s">
        <v>9129</v>
      </c>
      <c r="E21" s="63" t="s">
        <v>9130</v>
      </c>
    </row>
    <row r="22" spans="1:5" x14ac:dyDescent="0.25">
      <c r="A22" s="18" t="s">
        <v>0</v>
      </c>
      <c r="B22" s="18"/>
      <c r="C22" s="18">
        <v>1</v>
      </c>
      <c r="D22" s="18">
        <v>1</v>
      </c>
      <c r="E22" s="18"/>
    </row>
    <row r="23" spans="1:5" x14ac:dyDescent="0.25">
      <c r="A23" s="18" t="s">
        <v>5</v>
      </c>
      <c r="B23" s="18"/>
      <c r="C23" s="18">
        <v>1</v>
      </c>
      <c r="D23" s="18"/>
      <c r="E23" s="18">
        <v>1</v>
      </c>
    </row>
    <row r="24" spans="1:5" x14ac:dyDescent="0.25">
      <c r="A24" s="18"/>
      <c r="B24" s="18"/>
      <c r="C24" s="18">
        <v>2</v>
      </c>
      <c r="D24" s="18">
        <v>2</v>
      </c>
      <c r="E24" s="18"/>
    </row>
    <row r="25" spans="1:5" x14ac:dyDescent="0.25">
      <c r="A25" s="18"/>
      <c r="B25" s="63" t="s">
        <v>9131</v>
      </c>
      <c r="C25" s="63">
        <f>SUM(C22:C24)</f>
        <v>4</v>
      </c>
      <c r="D25" s="63">
        <f>SUM(D22:D24)</f>
        <v>3</v>
      </c>
      <c r="E25" s="63">
        <f>SUM(E22:E24)</f>
        <v>1</v>
      </c>
    </row>
    <row r="28" spans="1:5" ht="31.5" x14ac:dyDescent="0.5">
      <c r="A28" s="78" t="s">
        <v>9127</v>
      </c>
      <c r="B28" s="78"/>
      <c r="C28" s="79"/>
      <c r="D28" s="78"/>
      <c r="E28" s="64">
        <v>1120859</v>
      </c>
    </row>
    <row r="29" spans="1:5" ht="18.75" x14ac:dyDescent="0.3">
      <c r="A29" s="80" t="s">
        <v>1004</v>
      </c>
      <c r="B29" s="81"/>
      <c r="C29" s="81"/>
      <c r="D29" s="81"/>
      <c r="E29" s="81"/>
    </row>
    <row r="30" spans="1:5" x14ac:dyDescent="0.25">
      <c r="A30" s="63" t="s">
        <v>8979</v>
      </c>
      <c r="B30" s="63" t="s">
        <v>8980</v>
      </c>
      <c r="C30" s="63" t="s">
        <v>9128</v>
      </c>
      <c r="D30" s="63" t="s">
        <v>9129</v>
      </c>
      <c r="E30" s="63" t="s">
        <v>9130</v>
      </c>
    </row>
    <row r="31" spans="1:5" x14ac:dyDescent="0.25">
      <c r="A31" s="18" t="s">
        <v>3</v>
      </c>
      <c r="B31" s="18"/>
      <c r="C31" s="18">
        <v>1</v>
      </c>
      <c r="D31" s="18"/>
      <c r="E31" s="18">
        <v>1</v>
      </c>
    </row>
    <row r="32" spans="1:5" x14ac:dyDescent="0.25">
      <c r="A32" s="18" t="s">
        <v>1</v>
      </c>
      <c r="B32" s="18"/>
      <c r="C32" s="18">
        <v>1</v>
      </c>
      <c r="D32" s="18">
        <v>1</v>
      </c>
      <c r="E32" s="18"/>
    </row>
    <row r="33" spans="1:5" x14ac:dyDescent="0.25">
      <c r="A33" s="18" t="s">
        <v>0</v>
      </c>
      <c r="B33" s="18"/>
      <c r="C33" s="18">
        <v>1</v>
      </c>
      <c r="D33" s="18">
        <v>1</v>
      </c>
      <c r="E33" s="18"/>
    </row>
    <row r="34" spans="1:5" x14ac:dyDescent="0.25">
      <c r="A34" s="18" t="s">
        <v>5</v>
      </c>
      <c r="B34" s="18"/>
      <c r="C34" s="18">
        <v>1</v>
      </c>
      <c r="D34" s="18"/>
      <c r="E34" s="18">
        <v>1</v>
      </c>
    </row>
    <row r="35" spans="1:5" x14ac:dyDescent="0.25">
      <c r="A35" s="18"/>
      <c r="B35" s="63" t="s">
        <v>9131</v>
      </c>
      <c r="C35" s="63">
        <f>SUM(C31:C34)</f>
        <v>4</v>
      </c>
      <c r="D35" s="63">
        <f>SUM(D31:D34)</f>
        <v>2</v>
      </c>
      <c r="E35" s="63">
        <f>SUM(E31:E34)</f>
        <v>2</v>
      </c>
    </row>
    <row r="38" spans="1:5" ht="31.5" x14ac:dyDescent="0.5">
      <c r="A38" s="78" t="s">
        <v>9127</v>
      </c>
      <c r="B38" s="78"/>
      <c r="C38" s="79"/>
      <c r="D38" s="78"/>
      <c r="E38" s="64">
        <v>1120858</v>
      </c>
    </row>
    <row r="39" spans="1:5" ht="18.75" x14ac:dyDescent="0.3">
      <c r="A39" s="80" t="s">
        <v>1002</v>
      </c>
      <c r="B39" s="81"/>
      <c r="C39" s="81"/>
      <c r="D39" s="81"/>
      <c r="E39" s="81"/>
    </row>
    <row r="40" spans="1:5" x14ac:dyDescent="0.25">
      <c r="A40" s="63" t="s">
        <v>8979</v>
      </c>
      <c r="B40" s="63" t="s">
        <v>8980</v>
      </c>
      <c r="C40" s="63" t="s">
        <v>9128</v>
      </c>
      <c r="D40" s="63" t="s">
        <v>9129</v>
      </c>
      <c r="E40" s="63" t="s">
        <v>9130</v>
      </c>
    </row>
    <row r="41" spans="1:5" x14ac:dyDescent="0.25">
      <c r="A41" s="18" t="s">
        <v>1</v>
      </c>
      <c r="B41" s="18"/>
      <c r="C41" s="18">
        <v>1</v>
      </c>
      <c r="D41" s="18">
        <v>1</v>
      </c>
      <c r="E41" s="18"/>
    </row>
    <row r="42" spans="1:5" x14ac:dyDescent="0.25">
      <c r="A42" s="18" t="s">
        <v>11</v>
      </c>
      <c r="B42" s="18"/>
      <c r="C42" s="18">
        <v>1</v>
      </c>
      <c r="D42" s="18">
        <v>1</v>
      </c>
      <c r="E42" s="18"/>
    </row>
    <row r="43" spans="1:5" x14ac:dyDescent="0.25">
      <c r="A43" s="18" t="s">
        <v>12</v>
      </c>
      <c r="B43" s="18"/>
      <c r="C43" s="18">
        <v>1</v>
      </c>
      <c r="D43" s="18">
        <v>1</v>
      </c>
      <c r="E43" s="18"/>
    </row>
    <row r="44" spans="1:5" x14ac:dyDescent="0.25">
      <c r="A44" s="18" t="s">
        <v>14</v>
      </c>
      <c r="B44" s="18"/>
      <c r="C44" s="18">
        <v>1</v>
      </c>
      <c r="D44" s="18">
        <v>1</v>
      </c>
      <c r="E44" s="18"/>
    </row>
    <row r="45" spans="1:5" x14ac:dyDescent="0.25">
      <c r="A45" s="18"/>
      <c r="B45" s="63" t="s">
        <v>9131</v>
      </c>
      <c r="C45" s="63">
        <f>SUM(C41:C44)</f>
        <v>4</v>
      </c>
      <c r="D45" s="63">
        <f>SUM(D41:D44)</f>
        <v>4</v>
      </c>
      <c r="E45" s="63">
        <f>SUM(E41:E44)</f>
        <v>0</v>
      </c>
    </row>
  </sheetData>
  <sheetProtection sort="0" autoFilter="0"/>
  <mergeCells count="10">
    <mergeCell ref="A28:D28"/>
    <mergeCell ref="A29:E29"/>
    <mergeCell ref="A38:D38"/>
    <mergeCell ref="A39:E39"/>
    <mergeCell ref="A1:D1"/>
    <mergeCell ref="A2:E2"/>
    <mergeCell ref="A11:D11"/>
    <mergeCell ref="A12:E12"/>
    <mergeCell ref="A19:D19"/>
    <mergeCell ref="A20:E20"/>
  </mergeCells>
  <hyperlinks>
    <hyperlink ref="E1" location="LISTADO!E2" display="LISTADO!E2"/>
    <hyperlink ref="E11" location="LISTADO!H2" display="LISTADO!H2"/>
    <hyperlink ref="E19" location="LISTADO!K2" display="LISTADO!K2"/>
    <hyperlink ref="E28" location="LISTADO!N2" display="LISTADO!N2"/>
    <hyperlink ref="E38" location="LISTADO!Q2" display="LISTADO!Q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E9"/>
  <sheetViews>
    <sheetView workbookViewId="0">
      <selection activeCell="D23" sqref="D23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64">
        <v>2101550</v>
      </c>
    </row>
    <row r="3" spans="1:5" ht="18.75" x14ac:dyDescent="0.3">
      <c r="A3" s="80" t="s">
        <v>1705</v>
      </c>
      <c r="B3" s="81"/>
      <c r="C3" s="81"/>
      <c r="D3" s="81"/>
      <c r="E3" s="81"/>
    </row>
    <row r="4" spans="1:5" x14ac:dyDescent="0.25">
      <c r="A4" s="63" t="s">
        <v>8979</v>
      </c>
      <c r="B4" s="63" t="s">
        <v>8980</v>
      </c>
      <c r="C4" s="63" t="s">
        <v>9128</v>
      </c>
      <c r="D4" s="63" t="s">
        <v>9129</v>
      </c>
      <c r="E4" s="63" t="s">
        <v>9130</v>
      </c>
    </row>
    <row r="5" spans="1:5" x14ac:dyDescent="0.25">
      <c r="A5" s="18" t="s">
        <v>6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 t="s">
        <v>3</v>
      </c>
      <c r="B6" s="18" t="s">
        <v>9095</v>
      </c>
      <c r="C6" s="18">
        <v>1</v>
      </c>
      <c r="D6" s="18">
        <v>1</v>
      </c>
      <c r="E6" s="18"/>
    </row>
    <row r="7" spans="1:5" x14ac:dyDescent="0.25">
      <c r="A7" s="18" t="s">
        <v>2</v>
      </c>
      <c r="B7" s="18" t="s">
        <v>9095</v>
      </c>
      <c r="C7" s="18">
        <v>1</v>
      </c>
      <c r="D7" s="18">
        <v>1</v>
      </c>
      <c r="E7" s="18"/>
    </row>
    <row r="8" spans="1:5" x14ac:dyDescent="0.25">
      <c r="A8" s="18" t="s">
        <v>5</v>
      </c>
      <c r="B8" s="18" t="s">
        <v>9095</v>
      </c>
      <c r="C8" s="18">
        <v>1</v>
      </c>
      <c r="D8" s="18">
        <v>1</v>
      </c>
      <c r="E8" s="18"/>
    </row>
    <row r="9" spans="1:5" x14ac:dyDescent="0.25">
      <c r="A9" s="18"/>
      <c r="B9" s="63" t="s">
        <v>9131</v>
      </c>
      <c r="C9" s="63">
        <f>SUM(C5:C8)</f>
        <v>4</v>
      </c>
      <c r="D9" s="63">
        <f>SUM(D5:D8)</f>
        <v>4</v>
      </c>
      <c r="E9" s="63">
        <f>SUM(E5:E8)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E7"/>
  <sheetViews>
    <sheetView workbookViewId="0">
      <selection activeCell="E25" sqref="E25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64">
        <v>2101999</v>
      </c>
    </row>
    <row r="3" spans="1:5" ht="18.75" x14ac:dyDescent="0.3">
      <c r="A3" s="80" t="s">
        <v>1838</v>
      </c>
      <c r="B3" s="81"/>
      <c r="C3" s="81"/>
      <c r="D3" s="81"/>
      <c r="E3" s="81"/>
    </row>
    <row r="4" spans="1:5" x14ac:dyDescent="0.25">
      <c r="A4" s="63" t="s">
        <v>8979</v>
      </c>
      <c r="B4" s="63" t="s">
        <v>8980</v>
      </c>
      <c r="C4" s="63" t="s">
        <v>9128</v>
      </c>
      <c r="D4" s="63" t="s">
        <v>9129</v>
      </c>
      <c r="E4" s="63" t="s">
        <v>9130</v>
      </c>
    </row>
    <row r="5" spans="1:5" x14ac:dyDescent="0.25">
      <c r="A5" s="18" t="s">
        <v>11</v>
      </c>
      <c r="B5" s="18"/>
      <c r="C5" s="18">
        <v>1</v>
      </c>
      <c r="D5" s="18">
        <v>1</v>
      </c>
      <c r="E5" s="18"/>
    </row>
    <row r="6" spans="1:5" x14ac:dyDescent="0.25">
      <c r="A6" s="18" t="s">
        <v>13</v>
      </c>
      <c r="B6" s="18"/>
      <c r="C6" s="18">
        <v>1</v>
      </c>
      <c r="D6" s="18">
        <v>1</v>
      </c>
      <c r="E6" s="18"/>
    </row>
    <row r="7" spans="1:5" x14ac:dyDescent="0.25">
      <c r="A7" s="18"/>
      <c r="B7" s="63" t="s">
        <v>9131</v>
      </c>
      <c r="C7" s="63">
        <f>SUM(C5:C6)</f>
        <v>2</v>
      </c>
      <c r="D7" s="63">
        <f>SUM(D5:D6)</f>
        <v>2</v>
      </c>
      <c r="E7" s="63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11" display="&lt;&lt;-  Ir al Resume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64">
        <v>2101900</v>
      </c>
    </row>
    <row r="3" spans="1:5" ht="18.75" x14ac:dyDescent="0.3">
      <c r="A3" s="80" t="s">
        <v>1820</v>
      </c>
      <c r="B3" s="81"/>
      <c r="C3" s="81"/>
      <c r="D3" s="81"/>
      <c r="E3" s="81"/>
    </row>
    <row r="4" spans="1:5" x14ac:dyDescent="0.25">
      <c r="A4" s="63" t="s">
        <v>8979</v>
      </c>
      <c r="B4" s="63" t="s">
        <v>8980</v>
      </c>
      <c r="C4" s="63" t="s">
        <v>9128</v>
      </c>
      <c r="D4" s="63" t="s">
        <v>9129</v>
      </c>
      <c r="E4" s="63" t="s">
        <v>9130</v>
      </c>
    </row>
    <row r="5" spans="1:5" x14ac:dyDescent="0.25">
      <c r="A5" s="18" t="s">
        <v>0</v>
      </c>
      <c r="B5" s="18"/>
      <c r="C5" s="18">
        <v>1</v>
      </c>
      <c r="D5" s="18">
        <v>1</v>
      </c>
      <c r="E5" s="18"/>
    </row>
    <row r="6" spans="1:5" x14ac:dyDescent="0.25">
      <c r="A6" s="18" t="s">
        <v>5</v>
      </c>
      <c r="B6" s="18"/>
      <c r="C6" s="18">
        <v>1</v>
      </c>
      <c r="D6" s="18"/>
      <c r="E6" s="18">
        <v>1</v>
      </c>
    </row>
    <row r="7" spans="1:5" x14ac:dyDescent="0.25">
      <c r="A7" s="18"/>
      <c r="B7" s="18"/>
      <c r="C7" s="18">
        <v>2</v>
      </c>
      <c r="D7" s="18">
        <v>2</v>
      </c>
      <c r="E7" s="18"/>
    </row>
    <row r="8" spans="1:5" x14ac:dyDescent="0.25">
      <c r="A8" s="18"/>
      <c r="B8" s="63" t="s">
        <v>9131</v>
      </c>
      <c r="C8" s="63">
        <f>SUM(C5:C7)</f>
        <v>4</v>
      </c>
      <c r="D8" s="63">
        <f>SUM(D5:D7)</f>
        <v>3</v>
      </c>
      <c r="E8" s="63">
        <f>SUM(E5:E7)</f>
        <v>1</v>
      </c>
    </row>
  </sheetData>
  <sheetProtection sort="0" autoFilter="0"/>
  <mergeCells count="2">
    <mergeCell ref="A2:D2"/>
    <mergeCell ref="A3:E3"/>
  </mergeCells>
  <hyperlinks>
    <hyperlink ref="E2" location="LISTADO!K2" display="LISTADO!K2"/>
    <hyperlink ref="A1" location="FALTANTES!E19" display="&lt;&lt;-  Ir al Resume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64">
        <v>1120859</v>
      </c>
    </row>
    <row r="3" spans="1:5" ht="18.75" x14ac:dyDescent="0.3">
      <c r="A3" s="80" t="s">
        <v>1004</v>
      </c>
      <c r="B3" s="81"/>
      <c r="C3" s="81"/>
      <c r="D3" s="81"/>
      <c r="E3" s="81"/>
    </row>
    <row r="4" spans="1:5" x14ac:dyDescent="0.25">
      <c r="A4" s="63" t="s">
        <v>8979</v>
      </c>
      <c r="B4" s="63" t="s">
        <v>8980</v>
      </c>
      <c r="C4" s="63" t="s">
        <v>9128</v>
      </c>
      <c r="D4" s="63" t="s">
        <v>9129</v>
      </c>
      <c r="E4" s="63" t="s">
        <v>9130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/>
      <c r="C6" s="18">
        <v>1</v>
      </c>
      <c r="D6" s="18">
        <v>1</v>
      </c>
      <c r="E6" s="18"/>
    </row>
    <row r="7" spans="1:5" x14ac:dyDescent="0.25">
      <c r="A7" s="18" t="s">
        <v>0</v>
      </c>
      <c r="B7" s="18"/>
      <c r="C7" s="18">
        <v>1</v>
      </c>
      <c r="D7" s="18">
        <v>1</v>
      </c>
      <c r="E7" s="18"/>
    </row>
    <row r="8" spans="1:5" x14ac:dyDescent="0.25">
      <c r="A8" s="18" t="s">
        <v>5</v>
      </c>
      <c r="B8" s="18"/>
      <c r="C8" s="18">
        <v>1</v>
      </c>
      <c r="D8" s="18"/>
      <c r="E8" s="18">
        <v>1</v>
      </c>
    </row>
    <row r="9" spans="1:5" x14ac:dyDescent="0.25">
      <c r="A9" s="18"/>
      <c r="B9" s="63" t="s">
        <v>9131</v>
      </c>
      <c r="C9" s="63">
        <f>SUM(C5:C8)</f>
        <v>4</v>
      </c>
      <c r="D9" s="63">
        <f>SUM(D5:D8)</f>
        <v>2</v>
      </c>
      <c r="E9" s="63">
        <f>SUM(E5:E8)</f>
        <v>2</v>
      </c>
    </row>
  </sheetData>
  <sheetProtection sort="0" autoFilter="0"/>
  <mergeCells count="2">
    <mergeCell ref="A2:D2"/>
    <mergeCell ref="A3:E3"/>
  </mergeCells>
  <hyperlinks>
    <hyperlink ref="E2" location="LISTADO!N2" display="LISTADO!N2"/>
    <hyperlink ref="A1" location="FALTANTES!E28" display="&lt;&lt;-  Ir al Resume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64">
        <v>1120858</v>
      </c>
    </row>
    <row r="3" spans="1:5" ht="18.75" x14ac:dyDescent="0.3">
      <c r="A3" s="80" t="s">
        <v>1002</v>
      </c>
      <c r="B3" s="81"/>
      <c r="C3" s="81"/>
      <c r="D3" s="81"/>
      <c r="E3" s="81"/>
    </row>
    <row r="4" spans="1:5" x14ac:dyDescent="0.25">
      <c r="A4" s="63" t="s">
        <v>8979</v>
      </c>
      <c r="B4" s="63" t="s">
        <v>8980</v>
      </c>
      <c r="C4" s="63" t="s">
        <v>9128</v>
      </c>
      <c r="D4" s="63" t="s">
        <v>9129</v>
      </c>
      <c r="E4" s="63" t="s">
        <v>9130</v>
      </c>
    </row>
    <row r="5" spans="1:5" x14ac:dyDescent="0.25">
      <c r="A5" s="18" t="s">
        <v>1</v>
      </c>
      <c r="B5" s="18"/>
      <c r="C5" s="18">
        <v>1</v>
      </c>
      <c r="D5" s="18">
        <v>1</v>
      </c>
      <c r="E5" s="18"/>
    </row>
    <row r="6" spans="1:5" x14ac:dyDescent="0.25">
      <c r="A6" s="18" t="s">
        <v>11</v>
      </c>
      <c r="B6" s="18"/>
      <c r="C6" s="18">
        <v>1</v>
      </c>
      <c r="D6" s="18">
        <v>1</v>
      </c>
      <c r="E6" s="18"/>
    </row>
    <row r="7" spans="1:5" x14ac:dyDescent="0.25">
      <c r="A7" s="18" t="s">
        <v>12</v>
      </c>
      <c r="B7" s="18"/>
      <c r="C7" s="18">
        <v>1</v>
      </c>
      <c r="D7" s="18">
        <v>1</v>
      </c>
      <c r="E7" s="18"/>
    </row>
    <row r="8" spans="1:5" x14ac:dyDescent="0.25">
      <c r="A8" s="18" t="s">
        <v>14</v>
      </c>
      <c r="B8" s="18"/>
      <c r="C8" s="18">
        <v>1</v>
      </c>
      <c r="D8" s="18">
        <v>1</v>
      </c>
      <c r="E8" s="18"/>
    </row>
    <row r="9" spans="1:5" x14ac:dyDescent="0.25">
      <c r="A9" s="18"/>
      <c r="B9" s="63" t="s">
        <v>9131</v>
      </c>
      <c r="C9" s="63">
        <f>SUM(C5:C8)</f>
        <v>4</v>
      </c>
      <c r="D9" s="63">
        <f>SUM(D5:D8)</f>
        <v>4</v>
      </c>
      <c r="E9" s="63">
        <f>SUM(E5:E8)</f>
        <v>0</v>
      </c>
    </row>
  </sheetData>
  <sheetProtection sort="0" autoFilter="0"/>
  <mergeCells count="2">
    <mergeCell ref="A2:D2"/>
    <mergeCell ref="A3:E3"/>
  </mergeCells>
  <hyperlinks>
    <hyperlink ref="E2" location="LISTADO!Q2" display="LISTADO!Q2"/>
    <hyperlink ref="A1" location="FALTANTES!E38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LISTADO</vt:lpstr>
      <vt:lpstr>CODIGOS</vt:lpstr>
      <vt:lpstr>VARIANTES</vt:lpstr>
      <vt:lpstr>FALTANTES</vt:lpstr>
      <vt:lpstr>2101550</vt:lpstr>
      <vt:lpstr>2101999</vt:lpstr>
      <vt:lpstr>2101900</vt:lpstr>
      <vt:lpstr>1120859</vt:lpstr>
      <vt:lpstr>1120858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2025-08-01T20:17:04Z</dcterms:modified>
</cp:coreProperties>
</file>