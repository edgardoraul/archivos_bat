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225" r:id="rId4"/>
    <sheet name="8703400" sheetId="226" r:id="rId5"/>
    <sheet name="1120858" sheetId="227" r:id="rId6"/>
    <sheet name="1120859" sheetId="228" r:id="rId7"/>
    <sheet name="1120862" sheetId="229" r:id="rId8"/>
    <sheet name="2101495" sheetId="230" r:id="rId9"/>
    <sheet name="2101499" sheetId="231" r:id="rId10"/>
  </sheets>
  <functionGroups builtInGroupCount="18"/>
  <definedNames>
    <definedName name="_xlnm._FilterDatabase" localSheetId="0" hidden="1">LISTADO!$A$1:$S$9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2" i="225" l="1"/>
  <c r="D52" i="225"/>
  <c r="C52" i="225"/>
  <c r="E6" i="231"/>
  <c r="D6" i="231"/>
  <c r="C6" i="231"/>
  <c r="E44" i="225"/>
  <c r="D44" i="225"/>
  <c r="C44" i="225"/>
  <c r="E9" i="230"/>
  <c r="D9" i="230"/>
  <c r="C9" i="230"/>
  <c r="E33" i="225"/>
  <c r="D33" i="225"/>
  <c r="C33" i="225"/>
  <c r="E6" i="229"/>
  <c r="D6" i="229"/>
  <c r="C6" i="229"/>
  <c r="E25" i="225"/>
  <c r="D25" i="225"/>
  <c r="C25" i="225"/>
  <c r="E6" i="228"/>
  <c r="D6" i="228"/>
  <c r="C6" i="228"/>
  <c r="E17" i="225"/>
  <c r="D17" i="225"/>
  <c r="C17" i="225"/>
  <c r="E8" i="227"/>
  <c r="D8" i="227"/>
  <c r="C8" i="227"/>
  <c r="E7" i="225"/>
  <c r="D7" i="225"/>
  <c r="C7" i="225"/>
  <c r="E8" i="226"/>
  <c r="D8" i="226"/>
  <c r="C8" i="226"/>
  <c r="B10" i="11" l="1"/>
  <c r="E3" i="11" l="1"/>
  <c r="H3" i="11" l="1"/>
  <c r="K3" i="11"/>
  <c r="B4617" i="92" l="1"/>
  <c r="N3" i="11" l="1"/>
  <c r="Q3" i="11"/>
  <c r="T3" i="11" l="1"/>
</calcChain>
</file>

<file path=xl/sharedStrings.xml><?xml version="1.0" encoding="utf-8"?>
<sst xmlns="http://schemas.openxmlformats.org/spreadsheetml/2006/main" count="12030" uniqueCount="9138">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</sst>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2" fillId="3" borderId="7" xfId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4" fillId="0" borderId="0" xfId="2"/>
    <xf numFmtId="0" fontId="0" fillId="0" borderId="2" xfId="0" applyBorder="1"/>
    <xf numFmtId="0" fontId="14" fillId="0" borderId="2" xfId="2" applyBorder="1"/>
    <xf numFmtId="0" fontId="1" fillId="0" borderId="2" xfId="0" applyFont="1" applyBorder="1"/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5" fillId="0" borderId="2" xfId="0" applyFont="1" applyBorder="1"/>
    <xf numFmtId="0" fontId="1" fillId="0" borderId="2" xfId="0" applyFont="1" applyBorder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6"/>
  <sheetViews>
    <sheetView tabSelected="1" zoomScaleNormal="100" workbookViewId="0">
      <pane xSplit="4" ySplit="4" topLeftCell="N5" activePane="bottomRight" state="frozen"/>
      <selection activeCell="F20" sqref="F20"/>
      <selection pane="topRight" activeCell="F20" sqref="F20"/>
      <selection pane="bottomLeft" activeCell="F20" sqref="F20"/>
      <selection pane="bottomRight" activeCell="D18" sqref="D18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6384" width="11.42578125" style="11"/>
  </cols>
  <sheetData>
    <row r="1" spans="1:23" s="8" customFormat="1" ht="53.25" customHeight="1" x14ac:dyDescent="0.5">
      <c r="A1" s="41" t="s">
        <v>17</v>
      </c>
      <c r="B1" s="41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20"/>
      <c r="S1" s="17"/>
      <c r="T1" s="17"/>
    </row>
    <row r="2" spans="1:23" s="8" customFormat="1" ht="33" customHeight="1" x14ac:dyDescent="0.35">
      <c r="A2" s="15"/>
      <c r="B2" s="15"/>
      <c r="C2" s="18"/>
      <c r="D2" s="6" t="s">
        <v>21</v>
      </c>
      <c r="E2" s="38" t="s">
        <v>7646</v>
      </c>
      <c r="F2" s="39"/>
      <c r="G2" s="40"/>
      <c r="H2" s="38" t="s">
        <v>1004</v>
      </c>
      <c r="I2" s="39"/>
      <c r="J2" s="40"/>
      <c r="K2" s="38" t="s">
        <v>1006</v>
      </c>
      <c r="L2" s="39"/>
      <c r="M2" s="40"/>
      <c r="N2" s="38" t="s">
        <v>1012</v>
      </c>
      <c r="O2" s="39"/>
      <c r="P2" s="40"/>
      <c r="Q2" s="38" t="s">
        <v>1675</v>
      </c>
      <c r="R2" s="39"/>
      <c r="S2" s="40"/>
      <c r="T2" s="38" t="s">
        <v>1683</v>
      </c>
      <c r="U2" s="39"/>
      <c r="V2" s="40"/>
      <c r="W2" s="24"/>
    </row>
    <row r="3" spans="1:23" s="8" customFormat="1" ht="42" customHeight="1" x14ac:dyDescent="0.35">
      <c r="A3" s="15"/>
      <c r="B3" s="15"/>
      <c r="C3" s="19"/>
      <c r="D3" s="5" t="s">
        <v>19</v>
      </c>
      <c r="E3" s="35" t="str">
        <f>IF(E2="","",VLOOKUP(E2,CODIGOS!$A$2:$C$5003,2,FALSE))</f>
        <v>PIST. EXTERNA KYDEX BERETTA/TAU9MM KY40E</v>
      </c>
      <c r="F3" s="36"/>
      <c r="G3" s="37"/>
      <c r="H3" s="35" t="str">
        <f>IF(H2="","",VLOOKUP(H2,CODIGOS!$A$2:$C$5003,2,FALSE))</f>
        <v>BOMB AMER RIP NEGRA 34/48 RER</v>
      </c>
      <c r="I3" s="36"/>
      <c r="J3" s="37"/>
      <c r="K3" s="35" t="str">
        <f>IF(K2="","",VLOOKUP(K2,CODIGOS!$A$2:$C$5003,2,FALSE))</f>
        <v>BOMB AMER RIP NEGRA 50/54 RER</v>
      </c>
      <c r="L3" s="36"/>
      <c r="M3" s="37"/>
      <c r="N3" s="35" t="str">
        <f>IF(N2="","",VLOOKUP(N2,CODIGOS!$A$2:$C$5003,2,FALSE))</f>
        <v>BOMB AMER RIP NEGRA 56/60 RER</v>
      </c>
      <c r="O3" s="36"/>
      <c r="P3" s="37"/>
      <c r="Q3" s="35" t="str">
        <f>IF(Q2="","",VLOOKUP(Q2,CODIGOS!$A$2:$C$5003,2,FALSE))</f>
        <v>CHOMBA MC CIERRE AZ 3XS/2XL RER</v>
      </c>
      <c r="R3" s="36"/>
      <c r="S3" s="37"/>
      <c r="T3" s="35" t="str">
        <f>IF(T2="","",VLOOKUP(T2,CODIGOS!$A$2:$C$5003,2,FALSE))</f>
        <v>CHOMBA MC CIERRE AZ 3XL/5XL RER</v>
      </c>
      <c r="U3" s="36"/>
      <c r="V3" s="37"/>
      <c r="W3" s="24"/>
    </row>
    <row r="4" spans="1:23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9" t="s">
        <v>8982</v>
      </c>
      <c r="U4" s="9" t="s">
        <v>8983</v>
      </c>
      <c r="V4" s="10" t="s">
        <v>8984</v>
      </c>
      <c r="W4" s="24"/>
    </row>
    <row r="5" spans="1:23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 t="s">
        <v>9108</v>
      </c>
      <c r="F5" s="23"/>
      <c r="G5" s="27">
        <v>3</v>
      </c>
      <c r="H5" s="26">
        <v>44</v>
      </c>
      <c r="I5" s="23"/>
      <c r="J5" s="29">
        <v>2</v>
      </c>
      <c r="K5" s="26"/>
      <c r="L5" s="23"/>
      <c r="M5" s="27"/>
      <c r="N5" s="26"/>
      <c r="O5" s="23"/>
      <c r="P5" s="27"/>
      <c r="Q5" s="26" t="s">
        <v>1</v>
      </c>
      <c r="R5" s="23"/>
      <c r="S5" s="29">
        <v>2</v>
      </c>
      <c r="T5" s="26"/>
      <c r="U5" s="23"/>
      <c r="V5" s="27"/>
      <c r="W5" s="24"/>
    </row>
    <row r="6" spans="1:23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 t="s">
        <v>9107</v>
      </c>
      <c r="F6" s="23"/>
      <c r="G6" s="29">
        <v>3</v>
      </c>
      <c r="H6" s="26">
        <v>46</v>
      </c>
      <c r="I6" s="23"/>
      <c r="J6" s="29">
        <v>2</v>
      </c>
      <c r="K6" s="26"/>
      <c r="L6" s="23"/>
      <c r="M6" s="27"/>
      <c r="N6" s="26"/>
      <c r="O6" s="23"/>
      <c r="P6" s="27"/>
      <c r="Q6" s="26" t="s">
        <v>0</v>
      </c>
      <c r="R6" s="23" t="s">
        <v>9098</v>
      </c>
      <c r="S6" s="29">
        <v>3</v>
      </c>
      <c r="T6" s="26"/>
      <c r="U6" s="23"/>
      <c r="V6" s="27"/>
      <c r="W6" s="24"/>
    </row>
    <row r="7" spans="1:23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 t="s">
        <v>9106</v>
      </c>
      <c r="F7" s="23"/>
      <c r="G7" s="29">
        <v>2</v>
      </c>
      <c r="H7" s="26">
        <v>48</v>
      </c>
      <c r="I7" s="23"/>
      <c r="J7" s="29">
        <v>2</v>
      </c>
      <c r="K7" s="26"/>
      <c r="L7" s="23"/>
      <c r="M7" s="27"/>
      <c r="N7" s="26"/>
      <c r="O7" s="23"/>
      <c r="P7" s="27"/>
      <c r="Q7" s="26" t="s">
        <v>2</v>
      </c>
      <c r="R7" s="23"/>
      <c r="S7" s="29">
        <v>2</v>
      </c>
      <c r="T7" s="26"/>
      <c r="U7" s="23"/>
      <c r="V7" s="27"/>
      <c r="W7" s="24"/>
    </row>
    <row r="8" spans="1:23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 t="s">
        <v>9106</v>
      </c>
      <c r="F8" s="23"/>
      <c r="G8" s="29">
        <v>2</v>
      </c>
      <c r="H8" s="26"/>
      <c r="I8" s="23"/>
      <c r="J8" s="27"/>
      <c r="K8" s="26">
        <v>50</v>
      </c>
      <c r="L8" s="23"/>
      <c r="M8" s="29">
        <v>2</v>
      </c>
      <c r="N8" s="26"/>
      <c r="O8" s="23"/>
      <c r="P8" s="27"/>
      <c r="Q8" s="26" t="s">
        <v>5</v>
      </c>
      <c r="R8" s="23" t="s">
        <v>9098</v>
      </c>
      <c r="S8" s="27">
        <v>2</v>
      </c>
      <c r="T8" s="26"/>
      <c r="U8" s="23"/>
      <c r="V8" s="27"/>
      <c r="W8" s="24"/>
    </row>
    <row r="9" spans="1:23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 t="s">
        <v>9107</v>
      </c>
      <c r="F9" s="23"/>
      <c r="G9" s="29">
        <v>2</v>
      </c>
      <c r="H9" s="26"/>
      <c r="I9" s="23"/>
      <c r="J9" s="27"/>
      <c r="K9" s="26"/>
      <c r="L9" s="23"/>
      <c r="M9" s="27"/>
      <c r="N9" s="26">
        <v>60</v>
      </c>
      <c r="O9" s="23"/>
      <c r="P9" s="29">
        <v>2</v>
      </c>
      <c r="Q9" s="26"/>
      <c r="R9" s="23"/>
      <c r="S9" s="27"/>
      <c r="T9" s="26" t="s">
        <v>14</v>
      </c>
      <c r="U9" s="23"/>
      <c r="V9" s="27">
        <v>2</v>
      </c>
      <c r="W9" s="24"/>
    </row>
    <row r="10" spans="1:23" x14ac:dyDescent="0.25">
      <c r="A10" s="12" t="s">
        <v>10</v>
      </c>
      <c r="B10" s="13">
        <f>COUNTA(B5:B9)</f>
        <v>5</v>
      </c>
      <c r="G10" s="13"/>
      <c r="J10" s="13"/>
      <c r="M10" s="13"/>
      <c r="P10" s="13"/>
      <c r="S10" s="13"/>
    </row>
    <row r="15" spans="1:23" x14ac:dyDescent="0.25">
      <c r="K15" s="28"/>
    </row>
    <row r="16" spans="1:23" x14ac:dyDescent="0.25">
      <c r="S16" s="28"/>
    </row>
  </sheetData>
  <mergeCells count="13">
    <mergeCell ref="K3:M3"/>
    <mergeCell ref="T3:V3"/>
    <mergeCell ref="T2:V2"/>
    <mergeCell ref="A1:B1"/>
    <mergeCell ref="Q2:S2"/>
    <mergeCell ref="Q3:S3"/>
    <mergeCell ref="N2:P2"/>
    <mergeCell ref="N3:P3"/>
    <mergeCell ref="K2:M2"/>
    <mergeCell ref="H3:J3"/>
    <mergeCell ref="H2:J2"/>
    <mergeCell ref="E2:G2"/>
    <mergeCell ref="E3:G3"/>
  </mergeCells>
  <conditionalFormatting sqref="T2:T3 B4:V9">
    <cfRule type="cellIs" priority="4696" stopIfTrue="1" operator="equal">
      <formula>"="</formula>
    </cfRule>
    <cfRule type="cellIs" priority="4697" stopIfTrue="1" operator="equal">
      <formula>"="</formula>
    </cfRule>
  </conditionalFormatting>
  <conditionalFormatting sqref="A5:V9">
    <cfRule type="cellIs" priority="4698" stopIfTrue="1" operator="equal">
      <formula>"="</formula>
    </cfRule>
    <cfRule type="cellIs" priority="4704" stopIfTrue="1" operator="equal">
      <formula>"="</formula>
    </cfRule>
    <cfRule type="cellIs" priority="4712" stopIfTrue="1" operator="equal">
      <formula>"="</formula>
    </cfRule>
    <cfRule type="cellIs" priority="4717" stopIfTrue="1" operator="equal">
      <formula>"&lt;&gt;"""</formula>
    </cfRule>
    <cfRule type="cellIs" priority="4721" stopIfTrue="1" operator="equal">
      <formula>"&lt;&gt;"""</formula>
    </cfRule>
    <cfRule type="cellIs" priority="4723" stopIfTrue="1" operator="notEqual">
      <formula>"="</formula>
    </cfRule>
    <cfRule type="cellIs" priority="4727" stopIfTrue="1" operator="notEqual">
      <formula>"="</formula>
    </cfRule>
  </conditionalFormatting>
  <conditionalFormatting sqref="A5:V9">
    <cfRule type="cellIs" priority="4699" stopIfTrue="1" operator="equal">
      <formula>"="</formula>
    </cfRule>
    <cfRule type="cellIs" priority="4703" stopIfTrue="1" operator="equal">
      <formula>"="</formula>
    </cfRule>
    <cfRule type="cellIs" priority="4711" stopIfTrue="1" operator="equal">
      <formula>"="</formula>
    </cfRule>
    <cfRule type="cellIs" priority="4713" stopIfTrue="1" operator="equal">
      <formula>"="</formula>
    </cfRule>
    <cfRule type="cellIs" priority="4718" stopIfTrue="1" operator="equal">
      <formula>"&lt;&gt;"""</formula>
    </cfRule>
    <cfRule type="cellIs" priority="4720" stopIfTrue="1" operator="equal">
      <formula>"&lt;&gt;"""</formula>
    </cfRule>
    <cfRule type="cellIs" priority="4728" stopIfTrue="1" operator="notEqual">
      <formula>7</formula>
    </cfRule>
  </conditionalFormatting>
  <conditionalFormatting sqref="A5:V9">
    <cfRule type="cellIs" priority="4700" stopIfTrue="1" operator="equal">
      <formula>"="</formula>
    </cfRule>
    <cfRule type="cellIs" priority="4702" stopIfTrue="1" operator="equal">
      <formula>"="</formula>
    </cfRule>
    <cfRule type="cellIs" priority="4710" stopIfTrue="1" operator="equal">
      <formula>"="</formula>
    </cfRule>
    <cfRule type="cellIs" priority="4714" stopIfTrue="1" operator="equal">
      <formula>"="</formula>
    </cfRule>
  </conditionalFormatting>
  <conditionalFormatting sqref="A5:V9">
    <cfRule type="cellIs" priority="4701" stopIfTrue="1" operator="equal">
      <formula>"="</formula>
    </cfRule>
    <cfRule type="cellIs" priority="4709" stopIfTrue="1" operator="equal">
      <formula>"="</formula>
    </cfRule>
    <cfRule type="cellIs" priority="4715" stopIfTrue="1" operator="equal">
      <formula>"="</formula>
    </cfRule>
  </conditionalFormatting>
  <conditionalFormatting sqref="A5:V9">
    <cfRule type="cellIs" priority="4705" stopIfTrue="1" operator="equal">
      <formula>"="</formula>
    </cfRule>
    <cfRule type="cellIs" priority="4706" stopIfTrue="1" operator="equal">
      <formula>"="</formula>
    </cfRule>
    <cfRule type="cellIs" priority="4707" stopIfTrue="1" operator="equal">
      <formula>"="</formula>
    </cfRule>
    <cfRule type="cellIs" priority="4708" stopIfTrue="1" operator="equal">
      <formula>"="</formula>
    </cfRule>
    <cfRule type="cellIs" priority="4716" stopIfTrue="1" operator="equal">
      <formula>"="</formula>
    </cfRule>
  </conditionalFormatting>
  <conditionalFormatting sqref="A5:V9">
    <cfRule type="cellIs" priority="4719" stopIfTrue="1" operator="equal">
      <formula>"&lt;&gt;"""</formula>
    </cfRule>
  </conditionalFormatting>
  <conditionalFormatting sqref="A5:V9">
    <cfRule type="cellIs" priority="4722" stopIfTrue="1" operator="equal">
      <formula>"&lt;&gt;"""</formula>
    </cfRule>
    <cfRule type="cellIs" priority="4724" stopIfTrue="1" operator="notEqual">
      <formula>"="</formula>
    </cfRule>
    <cfRule type="cellIs" priority="4726" stopIfTrue="1" operator="notEqual">
      <formula>"="</formula>
    </cfRule>
    <cfRule type="cellIs" priority="4729" stopIfTrue="1" operator="notEqual">
      <formula>7</formula>
    </cfRule>
  </conditionalFormatting>
  <conditionalFormatting sqref="A5:V9">
    <cfRule type="cellIs" priority="4725" stopIfTrue="1" operator="notEqual">
      <formula>"="</formula>
    </cfRule>
    <cfRule type="cellIs" priority="4730" stopIfTrue="1" operator="notEqual">
      <formula>7</formula>
    </cfRule>
  </conditionalFormatting>
  <conditionalFormatting sqref="A4:A9">
    <cfRule type="cellIs" priority="4731" stopIfTrue="1" operator="notEqual">
      <formula>7</formula>
    </cfRule>
  </conditionalFormatting>
  <conditionalFormatting sqref="N2:N3 Q2:Q3">
    <cfRule type="cellIs" priority="1888" stopIfTrue="1" operator="equal">
      <formula>"="</formula>
    </cfRule>
    <cfRule type="cellIs" priority="1889" stopIfTrue="1" operator="equal">
      <formula>"="</formula>
    </cfRule>
  </conditionalFormatting>
  <conditionalFormatting sqref="K2:K3">
    <cfRule type="cellIs" priority="963" stopIfTrue="1" operator="equal">
      <formula>"="</formula>
    </cfRule>
    <cfRule type="cellIs" priority="964" stopIfTrue="1" operator="equal">
      <formula>"="</formula>
    </cfRule>
  </conditionalFormatting>
  <conditionalFormatting sqref="H2:H3">
    <cfRule type="cellIs" priority="889" stopIfTrue="1" operator="equal">
      <formula>"="</formula>
    </cfRule>
    <cfRule type="cellIs" priority="890" stopIfTrue="1" operator="equal">
      <formula>"="</formula>
    </cfRule>
  </conditionalFormatting>
  <conditionalFormatting sqref="E2:E3">
    <cfRule type="cellIs" priority="223" stopIfTrue="1" operator="equal">
      <formula>"="</formula>
    </cfRule>
    <cfRule type="cellIs" priority="224" stopIfTrue="1" operator="equal">
      <formula>"="</formula>
    </cfRule>
  </conditionalFormatting>
  <dataValidations count="3">
    <dataValidation type="list" allowBlank="1" showInputMessage="1" showErrorMessage="1" sqref="U5:U9 F5:F9 I5:I9 L5:L9 O5:O9 R5:R9">
      <formula1>Color</formula1>
    </dataValidation>
    <dataValidation type="list" allowBlank="1" showInputMessage="1" showErrorMessage="1" sqref="T5:T9 E5:E9 H5:H9 K5:K9 N5:N9 Q5:Q9">
      <formula1>Talle</formula1>
    </dataValidation>
    <dataValidation type="list" allowBlank="1" showInputMessage="1" showErrorMessage="1" sqref="E2:V2">
      <formula1>Codigos</formula1>
    </dataValidation>
  </dataValidation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2"/>
  <sheetViews>
    <sheetView workbookViewId="0">
      <selection activeCell="A48" sqref="A48:E52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42" t="s">
        <v>9132</v>
      </c>
      <c r="B1" s="42"/>
      <c r="C1" s="43"/>
      <c r="D1" s="42"/>
      <c r="E1" s="33">
        <v>8703400</v>
      </c>
    </row>
    <row r="2" spans="1:5" ht="18.75" x14ac:dyDescent="0.3">
      <c r="A2" s="44" t="s">
        <v>7647</v>
      </c>
      <c r="B2" s="45"/>
      <c r="C2" s="45"/>
      <c r="D2" s="45"/>
      <c r="E2" s="45"/>
    </row>
    <row r="3" spans="1:5" x14ac:dyDescent="0.25">
      <c r="A3" s="34" t="s">
        <v>8982</v>
      </c>
      <c r="B3" s="34" t="s">
        <v>8983</v>
      </c>
      <c r="C3" s="34" t="s">
        <v>9133</v>
      </c>
      <c r="D3" s="34" t="s">
        <v>9134</v>
      </c>
      <c r="E3" s="34" t="s">
        <v>9135</v>
      </c>
    </row>
    <row r="4" spans="1:5" x14ac:dyDescent="0.25">
      <c r="A4" s="32" t="s">
        <v>9106</v>
      </c>
      <c r="B4" s="32"/>
      <c r="C4" s="32">
        <v>4</v>
      </c>
      <c r="D4" s="32">
        <v>4</v>
      </c>
      <c r="E4" s="32"/>
    </row>
    <row r="5" spans="1:5" x14ac:dyDescent="0.25">
      <c r="A5" s="32" t="s">
        <v>9107</v>
      </c>
      <c r="B5" s="32"/>
      <c r="C5" s="32">
        <v>5</v>
      </c>
      <c r="D5" s="32">
        <v>5</v>
      </c>
      <c r="E5" s="32"/>
    </row>
    <row r="6" spans="1:5" x14ac:dyDescent="0.25">
      <c r="A6" s="32" t="s">
        <v>9108</v>
      </c>
      <c r="B6" s="32"/>
      <c r="C6" s="32">
        <v>3</v>
      </c>
      <c r="D6" s="32"/>
      <c r="E6" s="32">
        <v>3</v>
      </c>
    </row>
    <row r="7" spans="1:5" x14ac:dyDescent="0.25">
      <c r="A7" s="32"/>
      <c r="B7" s="34" t="s">
        <v>9136</v>
      </c>
      <c r="C7" s="34">
        <f>SUM(C4:C6)</f>
        <v>12</v>
      </c>
      <c r="D7" s="34">
        <f>SUM(D4:D6)</f>
        <v>9</v>
      </c>
      <c r="E7" s="34">
        <f>SUM(E4:E6)</f>
        <v>3</v>
      </c>
    </row>
    <row r="11" spans="1:5" x14ac:dyDescent="0.25">
      <c r="A11" s="42" t="s">
        <v>9132</v>
      </c>
      <c r="B11" s="42"/>
      <c r="C11" s="43"/>
      <c r="D11" s="42"/>
      <c r="E11" s="33">
        <v>1120858</v>
      </c>
    </row>
    <row r="12" spans="1:5" ht="18.75" x14ac:dyDescent="0.3">
      <c r="A12" s="44" t="s">
        <v>1005</v>
      </c>
      <c r="B12" s="45"/>
      <c r="C12" s="45"/>
      <c r="D12" s="45"/>
      <c r="E12" s="45"/>
    </row>
    <row r="13" spans="1:5" x14ac:dyDescent="0.25">
      <c r="A13" s="34" t="s">
        <v>8982</v>
      </c>
      <c r="B13" s="34" t="s">
        <v>8983</v>
      </c>
      <c r="C13" s="34" t="s">
        <v>9133</v>
      </c>
      <c r="D13" s="34" t="s">
        <v>9134</v>
      </c>
      <c r="E13" s="34" t="s">
        <v>9135</v>
      </c>
    </row>
    <row r="14" spans="1:5" x14ac:dyDescent="0.25">
      <c r="A14" s="32">
        <v>44</v>
      </c>
      <c r="B14" s="32"/>
      <c r="C14" s="32">
        <v>2</v>
      </c>
      <c r="D14" s="32">
        <v>2</v>
      </c>
      <c r="E14" s="32"/>
    </row>
    <row r="15" spans="1:5" x14ac:dyDescent="0.25">
      <c r="A15" s="32">
        <v>46</v>
      </c>
      <c r="B15" s="32"/>
      <c r="C15" s="32">
        <v>2</v>
      </c>
      <c r="D15" s="32">
        <v>2</v>
      </c>
      <c r="E15" s="32"/>
    </row>
    <row r="16" spans="1:5" x14ac:dyDescent="0.25">
      <c r="A16" s="32">
        <v>48</v>
      </c>
      <c r="B16" s="32"/>
      <c r="C16" s="32">
        <v>2</v>
      </c>
      <c r="D16" s="32">
        <v>2</v>
      </c>
      <c r="E16" s="32"/>
    </row>
    <row r="17" spans="1:5" x14ac:dyDescent="0.25">
      <c r="A17" s="32"/>
      <c r="B17" s="34" t="s">
        <v>9136</v>
      </c>
      <c r="C17" s="34">
        <f>SUM(C14:C16)</f>
        <v>6</v>
      </c>
      <c r="D17" s="34">
        <f>SUM(D14:D16)</f>
        <v>6</v>
      </c>
      <c r="E17" s="34">
        <f>SUM(E14:E16)</f>
        <v>0</v>
      </c>
    </row>
    <row r="21" spans="1:5" x14ac:dyDescent="0.25">
      <c r="A21" s="42" t="s">
        <v>9132</v>
      </c>
      <c r="B21" s="42"/>
      <c r="C21" s="43"/>
      <c r="D21" s="42"/>
      <c r="E21" s="33">
        <v>1120859</v>
      </c>
    </row>
    <row r="22" spans="1:5" ht="18.75" x14ac:dyDescent="0.3">
      <c r="A22" s="44" t="s">
        <v>1007</v>
      </c>
      <c r="B22" s="45"/>
      <c r="C22" s="45"/>
      <c r="D22" s="45"/>
      <c r="E22" s="45"/>
    </row>
    <row r="23" spans="1:5" x14ac:dyDescent="0.25">
      <c r="A23" s="34" t="s">
        <v>8982</v>
      </c>
      <c r="B23" s="34" t="s">
        <v>8983</v>
      </c>
      <c r="C23" s="34" t="s">
        <v>9133</v>
      </c>
      <c r="D23" s="34" t="s">
        <v>9134</v>
      </c>
      <c r="E23" s="34" t="s">
        <v>9135</v>
      </c>
    </row>
    <row r="24" spans="1:5" x14ac:dyDescent="0.25">
      <c r="A24" s="32">
        <v>50</v>
      </c>
      <c r="B24" s="32"/>
      <c r="C24" s="32">
        <v>2</v>
      </c>
      <c r="D24" s="32">
        <v>2</v>
      </c>
      <c r="E24" s="32"/>
    </row>
    <row r="25" spans="1:5" x14ac:dyDescent="0.25">
      <c r="A25" s="32"/>
      <c r="B25" s="34" t="s">
        <v>9136</v>
      </c>
      <c r="C25" s="34">
        <f>SUM(C24:C24)</f>
        <v>2</v>
      </c>
      <c r="D25" s="34">
        <f>SUM(D24:D24)</f>
        <v>2</v>
      </c>
      <c r="E25" s="34">
        <f>SUM(E24:E24)</f>
        <v>0</v>
      </c>
    </row>
    <row r="29" spans="1:5" x14ac:dyDescent="0.25">
      <c r="A29" s="42" t="s">
        <v>9132</v>
      </c>
      <c r="B29" s="42"/>
      <c r="C29" s="43"/>
      <c r="D29" s="42"/>
      <c r="E29" s="33">
        <v>1120862</v>
      </c>
    </row>
    <row r="30" spans="1:5" ht="18.75" x14ac:dyDescent="0.3">
      <c r="A30" s="44" t="s">
        <v>1013</v>
      </c>
      <c r="B30" s="45"/>
      <c r="C30" s="45"/>
      <c r="D30" s="45"/>
      <c r="E30" s="45"/>
    </row>
    <row r="31" spans="1:5" x14ac:dyDescent="0.25">
      <c r="A31" s="34" t="s">
        <v>8982</v>
      </c>
      <c r="B31" s="34" t="s">
        <v>8983</v>
      </c>
      <c r="C31" s="34" t="s">
        <v>9133</v>
      </c>
      <c r="D31" s="34" t="s">
        <v>9134</v>
      </c>
      <c r="E31" s="34" t="s">
        <v>9135</v>
      </c>
    </row>
    <row r="32" spans="1:5" x14ac:dyDescent="0.25">
      <c r="A32" s="32">
        <v>60</v>
      </c>
      <c r="B32" s="32"/>
      <c r="C32" s="32">
        <v>2</v>
      </c>
      <c r="D32" s="32">
        <v>2</v>
      </c>
      <c r="E32" s="32"/>
    </row>
    <row r="33" spans="1:5" x14ac:dyDescent="0.25">
      <c r="A33" s="32"/>
      <c r="B33" s="34" t="s">
        <v>9136</v>
      </c>
      <c r="C33" s="34">
        <f>SUM(C32:C32)</f>
        <v>2</v>
      </c>
      <c r="D33" s="34">
        <f>SUM(D32:D32)</f>
        <v>2</v>
      </c>
      <c r="E33" s="34">
        <f>SUM(E32:E32)</f>
        <v>0</v>
      </c>
    </row>
    <row r="37" spans="1:5" x14ac:dyDescent="0.25">
      <c r="A37" s="42" t="s">
        <v>9132</v>
      </c>
      <c r="B37" s="42"/>
      <c r="C37" s="43"/>
      <c r="D37" s="42"/>
      <c r="E37" s="33">
        <v>2101495</v>
      </c>
    </row>
    <row r="38" spans="1:5" ht="18.75" x14ac:dyDescent="0.3">
      <c r="A38" s="44" t="s">
        <v>1676</v>
      </c>
      <c r="B38" s="45"/>
      <c r="C38" s="45"/>
      <c r="D38" s="45"/>
      <c r="E38" s="45"/>
    </row>
    <row r="39" spans="1:5" x14ac:dyDescent="0.25">
      <c r="A39" s="34" t="s">
        <v>8982</v>
      </c>
      <c r="B39" s="34" t="s">
        <v>8983</v>
      </c>
      <c r="C39" s="34" t="s">
        <v>9133</v>
      </c>
      <c r="D39" s="34" t="s">
        <v>9134</v>
      </c>
      <c r="E39" s="34" t="s">
        <v>9135</v>
      </c>
    </row>
    <row r="40" spans="1:5" x14ac:dyDescent="0.25">
      <c r="A40" s="32" t="s">
        <v>1</v>
      </c>
      <c r="B40" s="32"/>
      <c r="C40" s="32">
        <v>2</v>
      </c>
      <c r="D40" s="32">
        <v>2</v>
      </c>
      <c r="E40" s="32"/>
    </row>
    <row r="41" spans="1:5" x14ac:dyDescent="0.25">
      <c r="A41" s="32" t="s">
        <v>0</v>
      </c>
      <c r="B41" s="32" t="s">
        <v>9098</v>
      </c>
      <c r="C41" s="32">
        <v>3</v>
      </c>
      <c r="D41" s="32">
        <v>3</v>
      </c>
      <c r="E41" s="32"/>
    </row>
    <row r="42" spans="1:5" x14ac:dyDescent="0.25">
      <c r="A42" s="32" t="s">
        <v>2</v>
      </c>
      <c r="B42" s="32"/>
      <c r="C42" s="32">
        <v>2</v>
      </c>
      <c r="D42" s="32">
        <v>2</v>
      </c>
      <c r="E42" s="32"/>
    </row>
    <row r="43" spans="1:5" x14ac:dyDescent="0.25">
      <c r="A43" s="32" t="s">
        <v>5</v>
      </c>
      <c r="B43" s="32" t="s">
        <v>9098</v>
      </c>
      <c r="C43" s="32">
        <v>2</v>
      </c>
      <c r="D43" s="32"/>
      <c r="E43" s="32">
        <v>2</v>
      </c>
    </row>
    <row r="44" spans="1:5" x14ac:dyDescent="0.25">
      <c r="A44" s="32"/>
      <c r="B44" s="34" t="s">
        <v>9136</v>
      </c>
      <c r="C44" s="34">
        <f>SUM(C40:C43)</f>
        <v>9</v>
      </c>
      <c r="D44" s="34">
        <f>SUM(D40:D43)</f>
        <v>7</v>
      </c>
      <c r="E44" s="34">
        <f>SUM(E40:E43)</f>
        <v>2</v>
      </c>
    </row>
    <row r="48" spans="1:5" x14ac:dyDescent="0.25">
      <c r="A48" s="42" t="s">
        <v>9132</v>
      </c>
      <c r="B48" s="42"/>
      <c r="C48" s="43"/>
      <c r="D48" s="42"/>
      <c r="E48" s="33">
        <v>2101499</v>
      </c>
    </row>
    <row r="49" spans="1:5" ht="18.75" x14ac:dyDescent="0.3">
      <c r="A49" s="44" t="s">
        <v>1684</v>
      </c>
      <c r="B49" s="45"/>
      <c r="C49" s="45"/>
      <c r="D49" s="45"/>
      <c r="E49" s="45"/>
    </row>
    <row r="50" spans="1:5" x14ac:dyDescent="0.25">
      <c r="A50" s="34" t="s">
        <v>8982</v>
      </c>
      <c r="B50" s="34" t="s">
        <v>8983</v>
      </c>
      <c r="C50" s="34" t="s">
        <v>9133</v>
      </c>
      <c r="D50" s="34" t="s">
        <v>9134</v>
      </c>
      <c r="E50" s="34" t="s">
        <v>9135</v>
      </c>
    </row>
    <row r="51" spans="1:5" x14ac:dyDescent="0.25">
      <c r="A51" s="32" t="s">
        <v>14</v>
      </c>
      <c r="B51" s="32"/>
      <c r="C51" s="32">
        <v>2</v>
      </c>
      <c r="D51" s="32"/>
      <c r="E51" s="32">
        <v>2</v>
      </c>
    </row>
    <row r="52" spans="1:5" x14ac:dyDescent="0.25">
      <c r="A52" s="32"/>
      <c r="B52" s="34" t="s">
        <v>9136</v>
      </c>
      <c r="C52" s="34">
        <f>SUM(C51:C51)</f>
        <v>2</v>
      </c>
      <c r="D52" s="34">
        <f>SUM(D51:D51)</f>
        <v>0</v>
      </c>
      <c r="E52" s="34">
        <f>SUM(E51:E51)</f>
        <v>2</v>
      </c>
    </row>
  </sheetData>
  <mergeCells count="12">
    <mergeCell ref="A29:D29"/>
    <mergeCell ref="A30:E30"/>
    <mergeCell ref="A37:D37"/>
    <mergeCell ref="A38:E38"/>
    <mergeCell ref="A48:D48"/>
    <mergeCell ref="A49:E49"/>
    <mergeCell ref="A1:D1"/>
    <mergeCell ref="A2:E2"/>
    <mergeCell ref="A11:D11"/>
    <mergeCell ref="A12:E12"/>
    <mergeCell ref="A21:D21"/>
    <mergeCell ref="A22:E22"/>
  </mergeCells>
  <hyperlinks>
    <hyperlink ref="E1" location="LISTADO!E2" display="LISTADO!E2"/>
    <hyperlink ref="E11" location="LISTADO!H2" display="LISTADO!H2"/>
    <hyperlink ref="E21" location="LISTADO!K2" display="LISTADO!K2"/>
    <hyperlink ref="E29" location="LISTADO!N2" display="LISTADO!N2"/>
    <hyperlink ref="E37" location="LISTADO!Q2" display="LISTADO!Q2"/>
    <hyperlink ref="E48" location="LISTADO!T2" display="LISTADO!T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8703400</v>
      </c>
    </row>
    <row r="3" spans="1:5" ht="18.75" x14ac:dyDescent="0.3">
      <c r="A3" s="44" t="s">
        <v>7647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 t="s">
        <v>9106</v>
      </c>
      <c r="B5" s="32"/>
      <c r="C5" s="32">
        <v>4</v>
      </c>
      <c r="D5" s="32">
        <v>4</v>
      </c>
      <c r="E5" s="32"/>
    </row>
    <row r="6" spans="1:5" x14ac:dyDescent="0.25">
      <c r="A6" s="32" t="s">
        <v>9107</v>
      </c>
      <c r="B6" s="32"/>
      <c r="C6" s="32">
        <v>5</v>
      </c>
      <c r="D6" s="32">
        <v>5</v>
      </c>
      <c r="E6" s="32"/>
    </row>
    <row r="7" spans="1:5" x14ac:dyDescent="0.25">
      <c r="A7" s="32" t="s">
        <v>9108</v>
      </c>
      <c r="B7" s="32"/>
      <c r="C7" s="32">
        <v>3</v>
      </c>
      <c r="D7" s="32"/>
      <c r="E7" s="32">
        <v>3</v>
      </c>
    </row>
    <row r="8" spans="1:5" x14ac:dyDescent="0.25">
      <c r="A8" s="32"/>
      <c r="B8" s="34" t="s">
        <v>9136</v>
      </c>
      <c r="C8" s="34">
        <f>SUM(C5:C7)</f>
        <v>12</v>
      </c>
      <c r="D8" s="34">
        <f>SUM(D5:D7)</f>
        <v>9</v>
      </c>
      <c r="E8" s="34">
        <f>SUM(E5:E7)</f>
        <v>3</v>
      </c>
    </row>
  </sheetData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1120858</v>
      </c>
    </row>
    <row r="3" spans="1:5" ht="18.75" x14ac:dyDescent="0.3">
      <c r="A3" s="44" t="s">
        <v>1005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>
        <v>44</v>
      </c>
      <c r="B5" s="32"/>
      <c r="C5" s="32">
        <v>2</v>
      </c>
      <c r="D5" s="32">
        <v>2</v>
      </c>
      <c r="E5" s="32"/>
    </row>
    <row r="6" spans="1:5" x14ac:dyDescent="0.25">
      <c r="A6" s="32">
        <v>46</v>
      </c>
      <c r="B6" s="32"/>
      <c r="C6" s="32">
        <v>2</v>
      </c>
      <c r="D6" s="32">
        <v>2</v>
      </c>
      <c r="E6" s="32"/>
    </row>
    <row r="7" spans="1:5" x14ac:dyDescent="0.25">
      <c r="A7" s="32">
        <v>48</v>
      </c>
      <c r="B7" s="32"/>
      <c r="C7" s="32">
        <v>2</v>
      </c>
      <c r="D7" s="32">
        <v>2</v>
      </c>
      <c r="E7" s="32"/>
    </row>
    <row r="8" spans="1:5" x14ac:dyDescent="0.25">
      <c r="A8" s="32"/>
      <c r="B8" s="34" t="s">
        <v>9136</v>
      </c>
      <c r="C8" s="34">
        <f>SUM(C5:C7)</f>
        <v>6</v>
      </c>
      <c r="D8" s="34">
        <f>SUM(D5:D7)</f>
        <v>6</v>
      </c>
      <c r="E8" s="34">
        <f>SUM(E5:E7)</f>
        <v>0</v>
      </c>
    </row>
  </sheetData>
  <mergeCells count="2">
    <mergeCell ref="A2:D2"/>
    <mergeCell ref="A3:E3"/>
  </mergeCells>
  <hyperlinks>
    <hyperlink ref="E2" location="LISTADO!H2" display="LISTADO!H2"/>
    <hyperlink ref="A1" location="FALTANTES!E11" display="&lt;&lt;-  Ir al Resume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1120859</v>
      </c>
    </row>
    <row r="3" spans="1:5" ht="18.75" x14ac:dyDescent="0.3">
      <c r="A3" s="44" t="s">
        <v>1007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>
        <v>50</v>
      </c>
      <c r="B5" s="32"/>
      <c r="C5" s="32">
        <v>2</v>
      </c>
      <c r="D5" s="32">
        <v>2</v>
      </c>
      <c r="E5" s="32"/>
    </row>
    <row r="6" spans="1:5" x14ac:dyDescent="0.25">
      <c r="A6" s="32"/>
      <c r="B6" s="34" t="s">
        <v>9136</v>
      </c>
      <c r="C6" s="34">
        <f>SUM(C5:C5)</f>
        <v>2</v>
      </c>
      <c r="D6" s="34">
        <f>SUM(D5:D5)</f>
        <v>2</v>
      </c>
      <c r="E6" s="34">
        <f>SUM(E5:E5)</f>
        <v>0</v>
      </c>
    </row>
  </sheetData>
  <mergeCells count="2">
    <mergeCell ref="A2:D2"/>
    <mergeCell ref="A3:E3"/>
  </mergeCells>
  <hyperlinks>
    <hyperlink ref="E2" location="LISTADO!K2" display="LISTADO!K2"/>
    <hyperlink ref="A1" location="FALTANTES!E21" display="&lt;&lt;-  Ir al Resume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1120862</v>
      </c>
    </row>
    <row r="3" spans="1:5" ht="18.75" x14ac:dyDescent="0.3">
      <c r="A3" s="44" t="s">
        <v>1013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>
        <v>60</v>
      </c>
      <c r="B5" s="32"/>
      <c r="C5" s="32">
        <v>2</v>
      </c>
      <c r="D5" s="32">
        <v>2</v>
      </c>
      <c r="E5" s="32"/>
    </row>
    <row r="6" spans="1:5" x14ac:dyDescent="0.25">
      <c r="A6" s="32"/>
      <c r="B6" s="34" t="s">
        <v>9136</v>
      </c>
      <c r="C6" s="34">
        <f>SUM(C5:C5)</f>
        <v>2</v>
      </c>
      <c r="D6" s="34">
        <f>SUM(D5:D5)</f>
        <v>2</v>
      </c>
      <c r="E6" s="34">
        <f>SUM(E5:E5)</f>
        <v>0</v>
      </c>
    </row>
  </sheetData>
  <mergeCells count="2">
    <mergeCell ref="A2:D2"/>
    <mergeCell ref="A3:E3"/>
  </mergeCells>
  <hyperlinks>
    <hyperlink ref="E2" location="LISTADO!N2" display="LISTADO!N2"/>
    <hyperlink ref="A1" location="FALTANTES!E29" display="&lt;&lt;-  Ir al Resume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A2" sqref="A2:E9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2101495</v>
      </c>
    </row>
    <row r="3" spans="1:5" ht="18.75" x14ac:dyDescent="0.3">
      <c r="A3" s="44" t="s">
        <v>1676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 t="s">
        <v>1</v>
      </c>
      <c r="B5" s="32"/>
      <c r="C5" s="32">
        <v>2</v>
      </c>
      <c r="D5" s="32">
        <v>2</v>
      </c>
      <c r="E5" s="32"/>
    </row>
    <row r="6" spans="1:5" x14ac:dyDescent="0.25">
      <c r="A6" s="32" t="s">
        <v>0</v>
      </c>
      <c r="B6" s="32" t="s">
        <v>9098</v>
      </c>
      <c r="C6" s="32">
        <v>3</v>
      </c>
      <c r="D6" s="32">
        <v>3</v>
      </c>
      <c r="E6" s="32"/>
    </row>
    <row r="7" spans="1:5" x14ac:dyDescent="0.25">
      <c r="A7" s="32" t="s">
        <v>2</v>
      </c>
      <c r="B7" s="32"/>
      <c r="C7" s="32">
        <v>2</v>
      </c>
      <c r="D7" s="32">
        <v>2</v>
      </c>
      <c r="E7" s="32"/>
    </row>
    <row r="8" spans="1:5" x14ac:dyDescent="0.25">
      <c r="A8" s="32" t="s">
        <v>5</v>
      </c>
      <c r="B8" s="32" t="s">
        <v>9098</v>
      </c>
      <c r="C8" s="32">
        <v>2</v>
      </c>
      <c r="D8" s="32"/>
      <c r="E8" s="32">
        <v>2</v>
      </c>
    </row>
    <row r="9" spans="1:5" x14ac:dyDescent="0.25">
      <c r="A9" s="32"/>
      <c r="B9" s="34" t="s">
        <v>9136</v>
      </c>
      <c r="C9" s="34">
        <f>SUM(C5:C8)</f>
        <v>9</v>
      </c>
      <c r="D9" s="34">
        <f>SUM(D5:D8)</f>
        <v>7</v>
      </c>
      <c r="E9" s="34">
        <f>SUM(E5:E8)</f>
        <v>2</v>
      </c>
    </row>
  </sheetData>
  <mergeCells count="2">
    <mergeCell ref="A2:D2"/>
    <mergeCell ref="A3:E3"/>
  </mergeCells>
  <hyperlinks>
    <hyperlink ref="E2" location="LISTADO!Q2" display="LISTADO!Q2"/>
    <hyperlink ref="A1" location="FALTANTES!E37" display="&lt;&lt;-  Ir al Resumen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2101499</v>
      </c>
    </row>
    <row r="3" spans="1:5" ht="18.75" x14ac:dyDescent="0.3">
      <c r="A3" s="44" t="s">
        <v>1684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 t="s">
        <v>14</v>
      </c>
      <c r="B5" s="32"/>
      <c r="C5" s="32">
        <v>2</v>
      </c>
      <c r="D5" s="32"/>
      <c r="E5" s="32">
        <v>2</v>
      </c>
    </row>
    <row r="6" spans="1:5" x14ac:dyDescent="0.25">
      <c r="A6" s="32"/>
      <c r="B6" s="34" t="s">
        <v>9136</v>
      </c>
      <c r="C6" s="34">
        <f>SUM(C5:C5)</f>
        <v>2</v>
      </c>
      <c r="D6" s="34">
        <f>SUM(D5:D5)</f>
        <v>0</v>
      </c>
      <c r="E6" s="34">
        <f>SUM(E5:E5)</f>
        <v>2</v>
      </c>
    </row>
  </sheetData>
  <mergeCells count="2">
    <mergeCell ref="A2:D2"/>
    <mergeCell ref="A3:E3"/>
  </mergeCells>
  <hyperlinks>
    <hyperlink ref="E2" location="LISTADO!T2" display="LISTADO!T2"/>
    <hyperlink ref="A1" location="FALTANTES!E48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LISTADO</vt:lpstr>
      <vt:lpstr>CODIGOS</vt:lpstr>
      <vt:lpstr>VARIANTES</vt:lpstr>
      <vt:lpstr>FALTANTES</vt:lpstr>
      <vt:lpstr>8703400</vt:lpstr>
      <vt:lpstr>1120858</vt:lpstr>
      <vt:lpstr>1120859</vt:lpstr>
      <vt:lpstr>1120862</vt:lpstr>
      <vt:lpstr>2101495</vt:lpstr>
      <vt:lpstr>2101499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2025-07-01T16:56:54Z</dcterms:modified>
</cp:coreProperties>
</file>