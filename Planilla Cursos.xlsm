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</sheets>
  <functionGroups builtInGroupCount="18"/>
  <definedNames>
    <definedName name="_xlnm._FilterDatabase" localSheetId="0" hidden="1">LISTADO!$A$1:$S$9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<sst xmlns="http://schemas.openxmlformats.org/spreadsheetml/2006/main" count="11912" uniqueCount="9132">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</sst>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5"/>
  <sheetViews>
    <sheetView tabSelected="1"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A23" sqref="A23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36" t="s">
        <v>17</v>
      </c>
      <c r="B1" s="36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3" s="8" customFormat="1" ht="33" customHeight="1" x14ac:dyDescent="0.35">
      <c r="A2" s="15"/>
      <c r="B2" s="15"/>
      <c r="C2" s="18"/>
      <c r="D2" s="6" t="s">
        <v>21</v>
      </c>
      <c r="E2" s="33" t="s">
        <v>7646</v>
      </c>
      <c r="F2" s="34"/>
      <c r="G2" s="35"/>
      <c r="H2" s="33" t="s">
        <v>1004</v>
      </c>
      <c r="I2" s="34"/>
      <c r="J2" s="35"/>
      <c r="K2" s="33" t="s">
        <v>1006</v>
      </c>
      <c r="L2" s="34"/>
      <c r="M2" s="35"/>
      <c r="N2" s="33" t="s">
        <v>1012</v>
      </c>
      <c r="O2" s="34"/>
      <c r="P2" s="35"/>
      <c r="Q2" s="33" t="s">
        <v>1675</v>
      </c>
      <c r="R2" s="34"/>
      <c r="S2" s="35"/>
      <c r="T2" s="33" t="s">
        <v>1683</v>
      </c>
      <c r="U2" s="34"/>
      <c r="V2" s="35"/>
      <c r="W2" s="24"/>
    </row>
    <row r="3" spans="1:23" s="8" customFormat="1" ht="42" customHeight="1" x14ac:dyDescent="0.35">
      <c r="A3" s="15"/>
      <c r="B3" s="15"/>
      <c r="C3" s="19"/>
      <c r="D3" s="5" t="s">
        <v>19</v>
      </c>
      <c r="E3" s="30" t="str">
        <f>IF(E2="","",VLOOKUP(E2,CODIGOS!$A$2:$C$5003,2,FALSE))</f>
        <v>PIST. EXTERNA KYDEX BERETTA/TAU9MM KY40E</v>
      </c>
      <c r="F3" s="31"/>
      <c r="G3" s="32"/>
      <c r="H3" s="30" t="str">
        <f>IF(H2="","",VLOOKUP(H2,CODIGOS!$A$2:$C$5003,2,FALSE))</f>
        <v>BOMB AMER RIP NEGRA 34/48 RER</v>
      </c>
      <c r="I3" s="31"/>
      <c r="J3" s="32"/>
      <c r="K3" s="30" t="str">
        <f>IF(K2="","",VLOOKUP(K2,CODIGOS!$A$2:$C$5003,2,FALSE))</f>
        <v>BOMB AMER RIP NEGRA 50/54 RER</v>
      </c>
      <c r="L3" s="31"/>
      <c r="M3" s="32"/>
      <c r="N3" s="30" t="str">
        <f>IF(N2="","",VLOOKUP(N2,CODIGOS!$A$2:$C$5003,2,FALSE))</f>
        <v>BOMB AMER RIP NEGRA 56/60 RER</v>
      </c>
      <c r="O3" s="31"/>
      <c r="P3" s="32"/>
      <c r="Q3" s="30" t="str">
        <f>IF(Q2="","",VLOOKUP(Q2,CODIGOS!$A$2:$C$5003,2,FALSE))</f>
        <v>CHOMBA MC CIERRE AZ 3XS/2XL RER</v>
      </c>
      <c r="R3" s="31"/>
      <c r="S3" s="32"/>
      <c r="T3" s="30" t="str">
        <f>IF(T2="","",VLOOKUP(T2,CODIGOS!$A$2:$C$5003,2,FALSE))</f>
        <v>CHOMBA MC CIERRE AZ 3XL/5XL RER</v>
      </c>
      <c r="U3" s="31"/>
      <c r="V3" s="32"/>
      <c r="W3" s="24"/>
    </row>
    <row r="4" spans="1:23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9" t="s">
        <v>8982</v>
      </c>
      <c r="U4" s="9" t="s">
        <v>8983</v>
      </c>
      <c r="V4" s="10" t="s">
        <v>8984</v>
      </c>
      <c r="W4" s="24"/>
    </row>
    <row r="5" spans="1:23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/>
      <c r="F5" s="23"/>
      <c r="G5" s="29">
        <v>2</v>
      </c>
      <c r="H5" s="26">
        <v>46</v>
      </c>
      <c r="I5" s="23"/>
      <c r="J5" s="29">
        <v>1</v>
      </c>
      <c r="K5" s="26"/>
      <c r="L5" s="23"/>
      <c r="M5" s="27"/>
      <c r="N5" s="26"/>
      <c r="O5" s="23"/>
      <c r="P5" s="27"/>
      <c r="Q5" s="26" t="s">
        <v>11</v>
      </c>
      <c r="R5" s="23"/>
      <c r="S5" s="27">
        <v>5</v>
      </c>
      <c r="T5" s="26" t="s">
        <v>12</v>
      </c>
      <c r="U5" s="23"/>
      <c r="V5" s="27">
        <v>1</v>
      </c>
      <c r="W5" s="24"/>
    </row>
    <row r="6" spans="1:23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/>
      <c r="F6" s="23"/>
      <c r="G6" s="29">
        <v>2</v>
      </c>
      <c r="H6" s="26">
        <v>48</v>
      </c>
      <c r="I6" s="23"/>
      <c r="J6" s="29">
        <v>2</v>
      </c>
      <c r="K6" s="26"/>
      <c r="L6" s="23"/>
      <c r="M6" s="27"/>
      <c r="N6" s="26"/>
      <c r="O6" s="23"/>
      <c r="P6" s="27"/>
      <c r="Q6" s="26" t="s">
        <v>9105</v>
      </c>
      <c r="R6" s="23" t="s">
        <v>9098</v>
      </c>
      <c r="S6" s="29">
        <v>2</v>
      </c>
      <c r="T6" s="26" t="s">
        <v>12</v>
      </c>
      <c r="U6" s="23"/>
      <c r="V6" s="27">
        <v>2</v>
      </c>
      <c r="W6" s="24"/>
    </row>
    <row r="7" spans="1:23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 t="s">
        <v>9105</v>
      </c>
      <c r="F7" s="23"/>
      <c r="G7" s="29">
        <v>1</v>
      </c>
      <c r="H7" s="26">
        <v>34</v>
      </c>
      <c r="I7" s="23"/>
      <c r="J7" s="29">
        <v>3</v>
      </c>
      <c r="K7" s="26">
        <v>54</v>
      </c>
      <c r="L7" s="23"/>
      <c r="M7" s="27">
        <v>3</v>
      </c>
      <c r="N7" s="26"/>
      <c r="O7" s="23"/>
      <c r="P7" s="27"/>
      <c r="Q7" s="26" t="s">
        <v>4</v>
      </c>
      <c r="R7" s="23"/>
      <c r="S7" s="27">
        <v>3</v>
      </c>
      <c r="T7" s="26" t="s">
        <v>13</v>
      </c>
      <c r="U7" s="23"/>
      <c r="V7" s="29">
        <v>3</v>
      </c>
      <c r="W7" s="24"/>
    </row>
    <row r="8" spans="1:23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 t="s">
        <v>9107</v>
      </c>
      <c r="F8" s="23"/>
      <c r="G8" s="27">
        <v>2</v>
      </c>
      <c r="H8" s="26"/>
      <c r="I8" s="23"/>
      <c r="J8" s="27"/>
      <c r="K8" s="26">
        <v>52</v>
      </c>
      <c r="L8" s="23"/>
      <c r="M8" s="29">
        <v>4</v>
      </c>
      <c r="N8" s="26"/>
      <c r="O8" s="23"/>
      <c r="P8" s="27"/>
      <c r="Q8" s="26" t="s">
        <v>9102</v>
      </c>
      <c r="R8" s="23" t="s">
        <v>9098</v>
      </c>
      <c r="S8" s="29">
        <v>2</v>
      </c>
      <c r="T8" s="26" t="s">
        <v>13</v>
      </c>
      <c r="U8" s="23"/>
      <c r="V8" s="29">
        <v>4</v>
      </c>
      <c r="W8" s="24"/>
    </row>
    <row r="9" spans="1:23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 t="s">
        <v>9108</v>
      </c>
      <c r="F9" s="23"/>
      <c r="G9" s="27">
        <v>3</v>
      </c>
      <c r="H9" s="26"/>
      <c r="I9" s="23"/>
      <c r="J9" s="27"/>
      <c r="K9" s="26"/>
      <c r="L9" s="23"/>
      <c r="M9" s="27"/>
      <c r="N9" s="26">
        <v>60</v>
      </c>
      <c r="O9" s="23"/>
      <c r="P9" s="27">
        <v>5</v>
      </c>
      <c r="Q9" s="26" t="s">
        <v>9108</v>
      </c>
      <c r="R9" s="23" t="s">
        <v>9099</v>
      </c>
      <c r="S9" s="29">
        <v>4</v>
      </c>
      <c r="T9" s="26" t="s">
        <v>14</v>
      </c>
      <c r="U9" s="23"/>
      <c r="V9" s="27">
        <v>5</v>
      </c>
      <c r="W9" s="24"/>
    </row>
    <row r="10" spans="1:23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  <row r="15" spans="1:23" x14ac:dyDescent="0.25">
      <c r="K15" s="28"/>
    </row>
  </sheetData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V9">
    <cfRule type="cellIs" priority="4696" stopIfTrue="1" operator="equal">
      <formula>"="</formula>
    </cfRule>
    <cfRule type="cellIs" priority="4697" stopIfTrue="1" operator="equal">
      <formula>"="</formula>
    </cfRule>
  </conditionalFormatting>
  <conditionalFormatting sqref="A5:V9">
    <cfRule type="cellIs" priority="4698" stopIfTrue="1" operator="equal">
      <formula>"="</formula>
    </cfRule>
    <cfRule type="cellIs" priority="4704" stopIfTrue="1" operator="equal">
      <formula>"="</formula>
    </cfRule>
    <cfRule type="cellIs" priority="4712" stopIfTrue="1" operator="equal">
      <formula>"="</formula>
    </cfRule>
    <cfRule type="cellIs" priority="4717" stopIfTrue="1" operator="equal">
      <formula>"&lt;&gt;"""</formula>
    </cfRule>
    <cfRule type="cellIs" priority="4721" stopIfTrue="1" operator="equal">
      <formula>"&lt;&gt;"""</formula>
    </cfRule>
    <cfRule type="cellIs" priority="4723" stopIfTrue="1" operator="notEqual">
      <formula>"="</formula>
    </cfRule>
    <cfRule type="cellIs" priority="4727" stopIfTrue="1" operator="notEqual">
      <formula>"="</formula>
    </cfRule>
  </conditionalFormatting>
  <conditionalFormatting sqref="A5:V9">
    <cfRule type="cellIs" priority="4699" stopIfTrue="1" operator="equal">
      <formula>"="</formula>
    </cfRule>
    <cfRule type="cellIs" priority="4703" stopIfTrue="1" operator="equal">
      <formula>"="</formula>
    </cfRule>
    <cfRule type="cellIs" priority="4711" stopIfTrue="1" operator="equal">
      <formula>"="</formula>
    </cfRule>
    <cfRule type="cellIs" priority="4713" stopIfTrue="1" operator="equal">
      <formula>"="</formula>
    </cfRule>
    <cfRule type="cellIs" priority="4718" stopIfTrue="1" operator="equal">
      <formula>"&lt;&gt;"""</formula>
    </cfRule>
    <cfRule type="cellIs" priority="4720" stopIfTrue="1" operator="equal">
      <formula>"&lt;&gt;"""</formula>
    </cfRule>
    <cfRule type="cellIs" priority="4728" stopIfTrue="1" operator="notEqual">
      <formula>7</formula>
    </cfRule>
  </conditionalFormatting>
  <conditionalFormatting sqref="A5:V9">
    <cfRule type="cellIs" priority="4700" stopIfTrue="1" operator="equal">
      <formula>"="</formula>
    </cfRule>
    <cfRule type="cellIs" priority="4702" stopIfTrue="1" operator="equal">
      <formula>"="</formula>
    </cfRule>
    <cfRule type="cellIs" priority="4710" stopIfTrue="1" operator="equal">
      <formula>"="</formula>
    </cfRule>
    <cfRule type="cellIs" priority="4714" stopIfTrue="1" operator="equal">
      <formula>"="</formula>
    </cfRule>
  </conditionalFormatting>
  <conditionalFormatting sqref="A5:V9">
    <cfRule type="cellIs" priority="4701" stopIfTrue="1" operator="equal">
      <formula>"="</formula>
    </cfRule>
    <cfRule type="cellIs" priority="4709" stopIfTrue="1" operator="equal">
      <formula>"="</formula>
    </cfRule>
    <cfRule type="cellIs" priority="4715" stopIfTrue="1" operator="equal">
      <formula>"="</formula>
    </cfRule>
  </conditionalFormatting>
  <conditionalFormatting sqref="A5:V9">
    <cfRule type="cellIs" priority="4705" stopIfTrue="1" operator="equal">
      <formula>"="</formula>
    </cfRule>
    <cfRule type="cellIs" priority="4706" stopIfTrue="1" operator="equal">
      <formula>"="</formula>
    </cfRule>
    <cfRule type="cellIs" priority="4707" stopIfTrue="1" operator="equal">
      <formula>"="</formula>
    </cfRule>
    <cfRule type="cellIs" priority="4708" stopIfTrue="1" operator="equal">
      <formula>"="</formula>
    </cfRule>
    <cfRule type="cellIs" priority="4716" stopIfTrue="1" operator="equal">
      <formula>"="</formula>
    </cfRule>
  </conditionalFormatting>
  <conditionalFormatting sqref="A5:V9">
    <cfRule type="cellIs" priority="4719" stopIfTrue="1" operator="equal">
      <formula>"&lt;&gt;"""</formula>
    </cfRule>
  </conditionalFormatting>
  <conditionalFormatting sqref="A5:V9">
    <cfRule type="cellIs" priority="4722" stopIfTrue="1" operator="equal">
      <formula>"&lt;&gt;"""</formula>
    </cfRule>
    <cfRule type="cellIs" priority="4724" stopIfTrue="1" operator="notEqual">
      <formula>"="</formula>
    </cfRule>
    <cfRule type="cellIs" priority="4726" stopIfTrue="1" operator="notEqual">
      <formula>"="</formula>
    </cfRule>
    <cfRule type="cellIs" priority="4729" stopIfTrue="1" operator="notEqual">
      <formula>7</formula>
    </cfRule>
  </conditionalFormatting>
  <conditionalFormatting sqref="A5:V9">
    <cfRule type="cellIs" priority="4725" stopIfTrue="1" operator="notEqual">
      <formula>"="</formula>
    </cfRule>
    <cfRule type="cellIs" priority="4730" stopIfTrue="1" operator="notEqual">
      <formula>7</formula>
    </cfRule>
  </conditionalFormatting>
  <conditionalFormatting sqref="A4:A9">
    <cfRule type="cellIs" priority="4731" stopIfTrue="1" operator="notEqual">
      <formula>7</formula>
    </cfRule>
  </conditionalFormatting>
  <conditionalFormatting sqref="N2:N3 Q2:Q3">
    <cfRule type="cellIs" priority="1888" stopIfTrue="1" operator="equal">
      <formula>"="</formula>
    </cfRule>
    <cfRule type="cellIs" priority="1889" stopIfTrue="1" operator="equal">
      <formula>"="</formula>
    </cfRule>
  </conditionalFormatting>
  <conditionalFormatting sqref="K2:K3">
    <cfRule type="cellIs" priority="963" stopIfTrue="1" operator="equal">
      <formula>"="</formula>
    </cfRule>
    <cfRule type="cellIs" priority="964" stopIfTrue="1" operator="equal">
      <formula>"="</formula>
    </cfRule>
  </conditionalFormatting>
  <conditionalFormatting sqref="H2:H3">
    <cfRule type="cellIs" priority="889" stopIfTrue="1" operator="equal">
      <formula>"="</formula>
    </cfRule>
    <cfRule type="cellIs" priority="890" stopIfTrue="1" operator="equal">
      <formula>"="</formula>
    </cfRule>
  </conditionalFormatting>
  <conditionalFormatting sqref="E2:E3">
    <cfRule type="cellIs" priority="223" stopIfTrue="1" operator="equal">
      <formula>"="</formula>
    </cfRule>
    <cfRule type="cellIs" priority="224" stopIfTrue="1" operator="equal">
      <formula>"="</formula>
    </cfRule>
  </conditionalFormatting>
  <dataValidations count="3">
    <dataValidation type="list" allowBlank="1" showInputMessage="1" showErrorMessage="1" sqref="U5:U9 F5:F9 I5:I9 L5:L9 O5:O9 R5:R9">
      <formula1>Color</formula1>
    </dataValidation>
    <dataValidation type="list" allowBlank="1" showInputMessage="1" showErrorMessage="1" sqref="T5:T9 E5:E9 H5:H9 K5:K9 N5:N9 Q5:Q9">
      <formula1>Talle</formula1>
    </dataValidation>
    <dataValidation type="list" allowBlank="1" showInputMessage="1" showErrorMessage="1" sqref="E2:V2">
      <formula1>Codigos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LISTADO</vt:lpstr>
      <vt:lpstr>CODIGOS</vt:lpstr>
      <vt:lpstr>VARIANTES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2025-06-11T20:50:59Z</dcterms:modified>
</cp:coreProperties>
</file>