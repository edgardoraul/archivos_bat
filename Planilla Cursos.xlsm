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05" r:id="rId4"/>
    <sheet name="2101551" sheetId="406" r:id="rId5"/>
    <sheet name="2101550" sheetId="407" r:id="rId6"/>
  </sheets>
  <functionGroups builtInGroupCount="18"/>
  <definedNames>
    <definedName name="_xlnm._FilterDatabase" localSheetId="0" hidden="1">LISTADO!$A$4:$N$4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1" l="1"/>
  <c r="K9" i="11"/>
  <c r="L8" i="11"/>
  <c r="K8" i="11"/>
  <c r="L7" i="11"/>
  <c r="K7" i="11"/>
  <c r="L5" i="11"/>
  <c r="K5" i="11"/>
  <c r="M5" i="11" s="1"/>
  <c r="E14" i="405"/>
  <c r="D14" i="405"/>
  <c r="C14" i="405"/>
  <c r="E7" i="407"/>
  <c r="D7" i="407"/>
  <c r="C7" i="407"/>
  <c r="E6" i="405"/>
  <c r="D6" i="405"/>
  <c r="C6" i="405"/>
  <c r="E7" i="406"/>
  <c r="D7" i="406"/>
  <c r="C7" i="406"/>
  <c r="E3" i="11"/>
  <c r="L6" i="11"/>
  <c r="K6" i="11"/>
  <c r="M9" i="11" l="1"/>
  <c r="M8" i="11"/>
  <c r="M7" i="11"/>
  <c r="M6" i="11"/>
  <c r="B13" i="11"/>
  <c r="B12" i="11"/>
  <c r="B11" i="11"/>
  <c r="B4617" i="92" l="1"/>
  <c r="H3" i="11" l="1"/>
</calcChain>
</file>

<file path=xl/sharedStrings.xml><?xml version="1.0" encoding="utf-8"?>
<sst xmlns="http://schemas.openxmlformats.org/spreadsheetml/2006/main" count="11953" uniqueCount="9152">
  <si>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</si>
  <si>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</si>
  <si>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</si>
  <si>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</si>
  <si>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</si>
  <si>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</si>
  <si>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</si>
  <si>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</si>
  <si>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</si>
  <si>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</si>
  <si>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</si>
  <si>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</si>
  <si>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</si>
  <si>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</si>
  <si>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</si>
  <si>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</si>
  <si>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</si>
  <si>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</si>
  <si>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</si>
  <si>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</si>
  <si>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</si>
  <si>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</si>
  <si>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</si>
  <si>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</si>
  <si>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</si>
  <si>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</si>
  <si>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</si>
  <si>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</si>
  <si>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</si>
  <si>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</si>
  <si>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</si>
  <si>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</si>
  <si>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</si>
  <si>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</si>
  <si>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</si>
  <si>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</si>
  <si>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</si>
  <si>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</si>
  <si>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</si>
  <si>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</si>
  <si>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</si>
  <si>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</si>
  <si>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</si>
  <si>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</si>
  <si>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</si>
  <si>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</si>
  <si>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</si>
  <si>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</si>
  <si>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</si>
  <si>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</si>
  <si>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</si>
  <si>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</si>
  <si>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</si>
  <si>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</si>
  <si>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</si>
  <si>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</si>
  <si>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</si>
  <si>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</si>
  <si>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</si>
  <si>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</si>
  <si>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</si>
  <si>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</si>
  <si>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</si>
  <si>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</si>
  <si>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</si>
  <si>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</si>
  <si>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</si>
  <si>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</si>
  <si>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</si>
  <si>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</si>
  <si>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</si>
  <si>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</si>
  <si>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</si>
  <si>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</si>
  <si>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</si>
  <si>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</si>
  <si>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</si>
  <si>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</si>
  <si>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</si>
  <si>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</si>
  <si>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</si>
  <si>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</si>
  <si>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</si>
  <si>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</si>
  <si>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</si>
  <si>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</si>
  <si>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</si>
  <si>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</si>
  <si>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</si>
  <si>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</si>
  <si>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</si>
  <si>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</si>
  <si>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</si>
  <si>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</si>
  <si>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</si>
  <si>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</si>
  <si>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</si>
  <si>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</si>
  <si>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</si>
  <si>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</si>
  <si>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</si>
  <si>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</si>
  <si>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</si>
  <si>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</si>
  <si>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</si>
  <si>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</si>
  <si>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</si>
  <si>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</si>
  <si>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</si>
  <si>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</si>
  <si>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</si>
  <si>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</si>
  <si>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</si>
  <si>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</si>
  <si>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</si>
  <si>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</si>
  <si>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</si>
  <si>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</si>
  <si>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</si>
  <si>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</si>
  <si>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</si>
  <si>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</si>
  <si>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</si>
  <si>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</si>
  <si>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</si>
  <si>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</si>
  <si>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</si>
  <si>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</si>
  <si>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</si>
  <si>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</si>
  <si>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</si>
  <si>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</si>
  <si>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</si>
  <si>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</si>
  <si>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</si>
  <si>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</si>
  <si>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</si>
  <si>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</si>
  <si>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</si>
  <si>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</si>
  <si>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</si>
  <si>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</si>
  <si>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</si>
  <si>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</si>
  <si>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</si>
  <si>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</si>
  <si>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</si>
  <si>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</si>
  <si>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</si>
  <si>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</si>
  <si>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</si>
  <si>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</si>
  <si>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</si>
  <si>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</si>
  <si>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</si>
  <si>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</si>
  <si>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</si>
  <si>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</si>
  <si>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</si>
  <si>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</si>
  <si>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</si>
  <si>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</si>
  <si>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</si>
  <si>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</si>
  <si>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</si>
  <si>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</si>
  <si>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</si>
  <si>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</si>
  <si>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</si>
  <si>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</si>
  <si>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</si>
  <si>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</si>
  <si>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</si>
  <si>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</si>
  <si>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</si>
  <si>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</si>
  <si>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</si>
  <si>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</si>
  <si>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</si>
  <si>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</si>
  <si>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</si>
  <si>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</si>
  <si>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</si>
  <si>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</si>
  <si>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</si>
  <si>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</si>
  <si>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</si>
  <si>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</si>
  <si>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</si>
  <si>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</si>
  <si>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</si>
  <si>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</si>
  <si>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</si>
  <si>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</si>
  <si>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</si>
  <si>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</si>
  <si>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</si>
  <si>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</si>
  <si>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</si>
  <si>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</si>
  <si>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</si>
  <si>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</si>
  <si>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</si>
  <si>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</si>
  <si>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</si>
  <si>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</si>
  <si>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</si>
  <si>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</si>
  <si>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</si>
  <si>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</si>
  <si>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</si>
  <si>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</si>
  <si>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</si>
  <si>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</si>
  <si>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</si>
  <si>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</si>
  <si>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</si>
  <si>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</si>
  <si>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</si>
  <si>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</si>
  <si>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</si>
  <si>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</si>
  <si>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</si>
  <si>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</si>
  <si>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</si>
  <si>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</si>
  <si>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</si>
  <si>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</si>
  <si>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</si>
  <si>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</si>
  <si>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</si>
  <si>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</si>
  <si>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</si>
  <si>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</si>
  <si>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</si>
  <si>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</si>
  <si>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</si>
  <si>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</si>
  <si>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</si>
  <si>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</si>
  <si>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</si>
  <si>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</si>
  <si>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</si>
  <si>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</si>
  <si>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</si>
  <si>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</si>
  <si>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</si>
  <si>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</si>
  <si>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</si>
  <si>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</si>
  <si>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</si>
  <si>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</si>
  <si>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</si>
  <si>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</si>
  <si>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</si>
  <si>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</si>
  <si>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</si>
  <si>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</si>
  <si>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</si>
  <si>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</si>
  <si>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</si>
  <si>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</si>
  <si>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</si>
  <si>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</si>
  <si>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</si>
  <si>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</si>
  <si>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</si>
  <si>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</si>
  <si>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</si>
  <si>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</si>
  <si>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</si>
  <si>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</si>
  <si>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</si>
  <si>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</si>
  <si>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</si>
  <si>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</si>
  <si>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</si>
  <si>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</si>
  <si>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</si>
  <si>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</si>
  <si>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</si>
  <si>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</si>
  <si>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</si>
  <si>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</si>
  <si>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</si>
  <si>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</si>
  <si>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</si>
  <si>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</si>
  <si>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</si>
  <si>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</si>
  <si>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</si>
  <si>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</si>
  <si>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</si>
  <si>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</si>
  <si>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</si>
  <si>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</si>
  <si>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</si>
  <si>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</si>
  <si>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</si>
  <si>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</si>
  <si>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</si>
  <si>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</si>
  <si>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</si>
  <si>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</si>
  <si>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</si>
  <si>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</si>
  <si>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</si>
  <si>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</si>
  <si>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</si>
  <si>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</si>
  <si>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</si>
  <si>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</si>
  <si>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</si>
  <si>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</si>
  <si>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</si>
  <si>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</si>
  <si>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</si>
  <si>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</si>
  <si>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</si>
  <si>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</si>
  <si>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</si>
  <si>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</si>
  <si>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</si>
  <si>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</si>
  <si>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</si>
  <si>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</si>
  <si>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</si>
  <si>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</si>
  <si>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</si>
  <si>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</si>
  <si>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</si>
  <si>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</si>
  <si>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</si>
  <si>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</si>
  <si>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</si>
  <si>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</si>
  <si>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</si>
  <si>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</si>
  <si>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</si>
  <si>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</si>
  <si>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</si>
  <si>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</si>
  <si>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</si>
  <si>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</si>
  <si>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</si>
  <si>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</si>
  <si>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</si>
  <si>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</si>
  <si>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</si>
  <si>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</si>
  <si>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</si>
  <si>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</si>
  <si>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</si>
  <si>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</si>
  <si>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</si>
  <si>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</si>
  <si>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</si>
  <si>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</si>
  <si>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</si>
  <si>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</si>
  <si>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</si>
  <si>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</si>
  <si>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</si>
  <si>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</si>
  <si>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</si>
  <si>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</si>
  <si>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</si>
  <si>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</si>
  <si>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</si>
  <si>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</si>
  <si>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</si>
  <si>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</si>
  <si>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</si>
  <si>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</si>
  <si>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</si>
  <si>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</si>
  <si>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</si>
  <si>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</si>
  <si>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</si>
  <si>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</si>
  <si>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</si>
  <si>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</si>
  <si>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</si>
  <si>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</si>
  <si>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</si>
  <si>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</si>
  <si>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</si>
  <si>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</si>
  <si>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</si>
  <si>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</si>
  <si>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</si>
  <si>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</si>
  <si>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</si>
  <si>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</si>
  <si>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</si>
  <si>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</si>
  <si>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</si>
  <si>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</si>
  <si>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</si>
  <si>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</si>
  <si>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</si>
  <si>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</si>
  <si>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</si>
  <si>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</si>
  <si>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</si>
  <si>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</si>
  <si>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</si>
  <si>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</si>
  <si>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</si>
  <si>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</si>
  <si>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</si>
  <si>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</si>
  <si>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</si>
  <si>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</si>
  <si>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</si>
  <si>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</si>
  <si>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</si>
  <si>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</si>
  <si>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</si>
  <si>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</si>
  <si>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</si>
  <si>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</si>
  <si>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</si>
  <si>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</si>
  <si>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</si>
  <si>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</si>
  <si>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</si>
  <si>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</si>
  <si>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</si>
  <si>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</si>
  <si>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</si>
  <si>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</si>
  <si>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</si>
  <si>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</si>
  <si>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</si>
  <si>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</si>
  <si>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</si>
  <si>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</si>
  <si>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</si>
  <si>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</si>
  <si>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</si>
  <si>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</si>
  <si>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</si>
  <si>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</si>
  <si>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</si>
  <si>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</si>
  <si>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</si>
  <si>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</si>
  <si>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</si>
  <si>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</si>
  <si>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</si>
  <si>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</si>
  <si>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</si>
  <si>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</si>
  <si>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</si>
  <si>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</si>
  <si>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</si>
  <si>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</si>
  <si>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</si>
  <si>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</si>
  <si>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</si>
  <si>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</si>
  <si>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</si>
  <si>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</si>
  <si>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</si>
  <si>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</si>
  <si>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</si>
  <si>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</si>
  <si>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</si>
  <si>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</si>
  <si>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</si>
  <si>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</si>
  <si>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</si>
  <si>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</si>
  <si>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</si>
  <si>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</si>
  <si>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</si>
  <si>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</si>
  <si>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</si>
  <si>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</si>
  <si>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</si>
  <si>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</si>
  <si>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</si>
  <si>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</si>
  <si>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</si>
  <si>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</si>
  <si>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</si>
  <si>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</si>
  <si>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</si>
  <si>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</si>
  <si>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</si>
  <si>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</si>
  <si>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</si>
  <si>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</si>
  <si>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</si>
  <si>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</si>
  <si>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</si>
  <si>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</si>
  <si>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</si>
  <si>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</si>
  <si>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</si>
  <si>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</si>
  <si>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</si>
  <si>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</si>
  <si>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</si>
  <si>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</si>
  <si>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</si>
  <si>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</si>
  <si>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</si>
  <si>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</si>
  <si>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</si>
  <si>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</si>
  <si>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</si>
  <si>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</si>
  <si>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</si>
  <si>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</si>
  <si>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</si>
  <si>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</si>
  <si>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</si>
  <si>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</si>
  <si>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</si>
  <si>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</si>
  <si>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</si>
  <si>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</si>
  <si>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</si>
  <si>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</si>
  <si>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</si>
  <si>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</si>
  <si>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</si>
  <si>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</si>
  <si>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</si>
  <si>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</si>
  <si>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</si>
  <si>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</si>
  <si>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</si>
  <si>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</si>
  <si>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</si>
  <si>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</si>
  <si>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</si>
  <si>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</si>
  <si>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</si>
  <si>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</si>
  <si>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</si>
  <si>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</si>
  <si>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</si>
  <si>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</si>
  <si>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</si>
  <si>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</si>
  <si>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</si>
  <si>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</si>
  <si>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</si>
  <si>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</si>
  <si>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</si>
  <si>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</si>
  <si>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</si>
  <si>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</si>
  <si>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</si>
  <si>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</si>
  <si>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</si>
  <si>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</si>
  <si>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</si>
  <si>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</si>
  <si>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</si>
  <si>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</si>
  <si>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</si>
  <si>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</si>
  <si>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</si>
  <si>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</si>
  <si>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</si>
  <si>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</si>
  <si>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</si>
  <si>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</si>
  <si>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</si>
  <si>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</si>
  <si>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</si>
  <si>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</si>
  <si>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</si>
  <si>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</si>
  <si>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</si>
  <si>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</si>
  <si>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</si>
  <si>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</si>
  <si>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</si>
  <si>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</si>
  <si>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</si>
  <si>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</si>
  <si>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</si>
  <si>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</si>
  <si>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</si>
  <si>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</si>
  <si>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</si>
  <si>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</si>
  <si>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</si>
  <si>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</si>
  <si>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</si>
  <si>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</si>
  <si>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</si>
  <si>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</si>
  <si>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</si>
  <si>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</si>
  <si>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</si>
  <si>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</si>
  <si>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</si>
  <si>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</si>
  <si>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</si>
  <si>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</si>
  <si>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</si>
  <si>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</si>
  <si>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</si>
  <si>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</si>
  <si>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</si>
  <si>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</si>
  <si>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</si>
  <si>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</si>
  <si>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</si>
  <si>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</si>
  <si>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</si>
  <si>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</si>
  <si>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</si>
  <si>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</si>
  <si>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</si>
  <si>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</si>
  <si>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</si>
  <si>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</si>
  <si>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</si>
  <si>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</si>
  <si>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</si>
  <si>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</si>
  <si>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</si>
  <si>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</si>
  <si>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</si>
  <si>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</si>
  <si>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</si>
  <si>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</si>
  <si>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</si>
  <si>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</si>
  <si>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</si>
  <si>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</si>
  <si>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</si>
  <si>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</si>
  <si>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</si>
  <si>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</si>
  <si>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</si>
  <si>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</si>
  <si>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</si>
  <si>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</si>
  <si>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</si>
  <si>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</si>
  <si>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</si>
  <si>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</si>
  <si>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</si>
  <si>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</si>
  <si>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</si>
  <si>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</si>
  <si>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</si>
  <si>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</si>
  <si>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</si>
  <si>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</si>
  <si>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</si>
  <si>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</si>
  <si>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</si>
  <si>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</si>
  <si>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</si>
  <si>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</si>
  <si>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</si>
  <si>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</si>
  <si>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</si>
  <si>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</si>
  <si>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</si>
  <si>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</si>
  <si>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</si>
  <si>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</si>
  <si>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</si>
  <si>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</si>
  <si>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</si>
  <si>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</si>
  <si>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</si>
  <si>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</si>
  <si>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</si>
  <si>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</si>
  <si>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</si>
  <si>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</si>
  <si>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</si>
  <si>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</si>
  <si>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</si>
  <si>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</si>
  <si>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</si>
  <si>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</si>
  <si>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</si>
  <si>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</si>
  <si>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</si>
  <si>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</si>
  <si>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</si>
  <si>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</si>
  <si>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</si>
  <si>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</si>
  <si>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</si>
  <si>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</si>
  <si>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</si>
  <si>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</si>
  <si>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</si>
  <si>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</si>
  <si>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</si>
  <si>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</si>
  <si>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</si>
  <si>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</si>
  <si>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</si>
  <si>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</si>
  <si>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</si>
  <si>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</si>
  <si>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</si>
  <si>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</si>
  <si>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</si>
  <si>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</si>
  <si>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</si>
  <si>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</si>
  <si>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</si>
  <si>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</si>
  <si>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</si>
  <si>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</si>
  <si>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</si>
  <si>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</si>
  <si>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</si>
  <si>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</si>
  <si>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</si>
  <si>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</si>
  <si>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</si>
  <si>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</si>
  <si>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</si>
  <si>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</si>
  <si>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</si>
  <si>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</si>
  <si>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</si>
  <si>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</si>
  <si>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</si>
  <si>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</si>
  <si>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</si>
  <si>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</si>
  <si>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</si>
  <si>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</si>
  <si>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</si>
  <si>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</si>
  <si>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</si>
  <si>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</si>
  <si>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</si>
  <si>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</si>
  <si>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</si>
  <si>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</si>
  <si>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</si>
  <si>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</si>
  <si>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</si>
  <si>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</si>
  <si>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</si>
  <si>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</si>
  <si>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</si>
  <si>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</si>
  <si>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</si>
  <si>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</si>
  <si>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</si>
  <si>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</si>
  <si>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</si>
  <si>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</si>
  <si>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</si>
  <si>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</si>
  <si>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</si>
  <si>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</si>
  <si>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</si>
  <si>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</si>
  <si>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</si>
  <si>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</si>
  <si>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</si>
  <si>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</si>
  <si>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</si>
  <si>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</si>
  <si>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</si>
  <si>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</si>
  <si>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</si>
  <si>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</si>
  <si>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</si>
  <si>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</si>
  <si>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</si>
  <si>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</si>
  <si>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</si>
  <si>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</si>
  <si>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</si>
  <si>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</si>
  <si>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</si>
  <si>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</si>
  <si>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</si>
  <si>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</si>
  <si>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</si>
  <si>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</si>
  <si>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</si>
  <si>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</si>
  <si>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</si>
  <si>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</si>
  <si>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</si>
  <si>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</si>
  <si>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</si>
  <si>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</si>
  <si>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</si>
  <si>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</si>
  <si>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</si>
  <si>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</si>
  <si>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</si>
  <si>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</si>
  <si>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</si>
  <si>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</si>
  <si>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</si>
  <si>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</si>
  <si>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</si>
  <si>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</si>
  <si>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</si>
  <si>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</si>
  <si>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</si>
  <si>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</si>
  <si>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</si>
  <si>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</si>
  <si>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</si>
  <si>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</si>
  <si>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</si>
  <si>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</si>
  <si>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</si>
  <si>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</si>
  <si>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</si>
  <si>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</si>
  <si>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</si>
  <si>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</si>
  <si>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</si>
  <si>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</si>
  <si>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</si>
  <si>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</si>
  <si>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</si>
  <si>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</si>
  <si>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</si>
  <si>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</si>
  <si>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</si>
  <si>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</si>
  <si>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</si>
  <si>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</si>
  <si>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</si>
  <si>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</si>
  <si>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</si>
  <si>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</si>
  <si>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</si>
  <si>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</si>
  <si>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</si>
  <si>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</si>
  <si>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</si>
  <si>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</si>
  <si>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</si>
  <si>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</si>
  <si>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</si>
  <si>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</si>
  <si>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</si>
  <si>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</si>
  <si>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</si>
  <si>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</si>
  <si>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</si>
  <si>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</si>
  <si>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</si>
  <si>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</si>
  <si>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</si>
  <si>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</si>
  <si>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</si>
  <si>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</si>
  <si>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</si>
  <si>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</si>
  <si>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</si>
  <si>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</si>
  <si>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</si>
  <si>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</si>
  <si>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</si>
  <si>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</si>
  <si>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</si>
  <si>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</si>
  <si>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</si>
  <si>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</si>
  <si>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</si>
  <si>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</si>
  <si>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</si>
  <si>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</si>
  <si>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</si>
  <si>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</si>
  <si>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</si>
  <si>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</si>
  <si>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</si>
  <si>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</si>
  <si>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</si>
  <si>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</si>
  <si>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</si>
  <si>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</si>
  <si>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</si>
  <si>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</si>
  <si>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</si>
  <si>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</si>
  <si>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</si>
  <si>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</si>
  <si>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</si>
  <si>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</si>
  <si>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</si>
  <si>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</si>
  <si>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</si>
  <si>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</si>
  <si>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</si>
  <si>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</si>
  <si>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</si>
  <si>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</si>
  <si>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</si>
  <si>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</si>
  <si>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</si>
  <si>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</si>
  <si>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</si>
  <si>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</si>
  <si>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</si>
  <si>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</si>
  <si>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</si>
  <si>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</si>
  <si>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</si>
  <si>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</si>
  <si>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</si>
  <si>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</si>
  <si>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</si>
  <si>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</si>
  <si>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</si>
  <si>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</si>
  <si>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</si>
  <si>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</si>
  <si>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</si>
  <si>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</si>
  <si>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</si>
  <si>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</si>
  <si>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</si>
  <si>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</si>
  <si>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</si>
  <si>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</si>
  <si>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</si>
  <si>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</si>
  <si>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</si>
  <si>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</si>
  <si>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</si>
  <si>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</si>
  <si>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</si>
  <si>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</si>
  <si>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</si>
  <si>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</si>
  <si>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</si>
  <si>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</si>
  <si>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</si>
  <si>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</si>
  <si>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</si>
  <si>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</si>
  <si>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</si>
  <si>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</si>
  <si>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</si>
  <si>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</si>
  <si>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</si>
  <si>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</si>
  <si>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</si>
  <si>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</si>
  <si>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</si>
  <si>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</si>
  <si>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</si>
  <si>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</si>
  <si>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</si>
  <si>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</si>
  <si>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</si>
  <si>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</si>
  <si>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</si>
  <si>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</si>
  <si>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</si>
  <si>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</si>
  <si>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</si>
  <si>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</si>
  <si>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</si>
  <si>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</si>
  <si>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</si>
  <si>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</si>
  <si>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</si>
  <si>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</si>
  <si>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</si>
  <si>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</si>
  <si>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</si>
  <si>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</si>
  <si>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</si>
  <si>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</si>
  <si>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</si>
  <si>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</si>
  <si>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</si>
  <si>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</si>
  <si>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</si>
  <si>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</si>
  <si>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</si>
  <si>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</si>
  <si>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</si>
  <si>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</si>
  <si>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</si>
  <si>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</si>
  <si>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</si>
  <si>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</si>
  <si>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</si>
  <si>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</si>
  <si>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</si>
  <si>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</si>
  <si>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</si>
  <si>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</si>
  <si>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</si>
  <si>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</si>
  <si>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</si>
  <si>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</si>
  <si>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</si>
  <si>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</si>
  <si>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</si>
  <si>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</si>
  <si>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</si>
  <si>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</si>
  <si>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</si>
  <si>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</si>
  <si>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</si>
  <si>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</si>
  <si>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</si>
  <si>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</si>
  <si>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</si>
  <si>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</si>
  <si>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</si>
  <si>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</si>
  <si>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</si>
  <si>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</si>
  <si>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</si>
  <si>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</si>
  <si>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</si>
  <si>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</si>
  <si>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</si>
  <si>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</si>
  <si>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</si>
  <si>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</si>
  <si>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</si>
  <si>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</si>
  <si>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</si>
  <si>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</si>
  <si>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</si>
  <si>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</si>
  <si>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</si>
  <si>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</si>
  <si>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</si>
  <si>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</si>
  <si>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</si>
  <si>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</si>
  <si>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</si>
  <si>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</si>
  <si>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</si>
  <si>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</si>
  <si>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</si>
  <si>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</si>
  <si>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</si>
  <si>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</si>
  <si>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</si>
  <si>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</si>
  <si>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</si>
  <si>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</si>
  <si>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</si>
  <si>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</si>
  <si>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</si>
  <si>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</si>
  <si>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</si>
  <si>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</si>
  <si>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</si>
  <si>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</si>
  <si>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</si>
  <si>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</si>
  <si>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</si>
  <si>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</si>
  <si>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</si>
  <si>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</si>
  <si>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</si>
  <si>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</si>
  <si>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</si>
  <si>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</si>
  <si>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</si>
  <si>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</si>
  <si>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</si>
  <si>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</si>
  <si>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</si>
  <si>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</si>
  <si>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</si>
  <si>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</si>
  <si>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</si>
  <si>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</si>
  <si>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</si>
  <si>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</si>
  <si>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</si>
  <si>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</si>
  <si>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</si>
  <si>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</si>
  <si>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</si>
  <si>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</si>
  <si>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</si>
  <si>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</si>
  <si>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</si>
  <si>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</si>
  <si>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</si>
  <si>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</si>
  <si>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</si>
  <si>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</si>
  <si>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</si>
  <si>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</si>
  <si>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</si>
  <si>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</si>
  <si>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</si>
  <si>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</si>
  <si>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</si>
  <si>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</si>
  <si>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</si>
  <si>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</si>
  <si>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</si>
  <si>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</si>
  <si>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</si>
  <si>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</si>
  <si>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</si>
  <si>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</si>
  <si>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</si>
  <si>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</si>
  <si>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</si>
  <si>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</si>
  <si>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</si>
  <si>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</si>
  <si>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</si>
  <si>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</si>
  <si>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</si>
  <si>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</si>
  <si>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</si>
  <si>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</si>
  <si>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</si>
  <si>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</si>
  <si>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</si>
  <si>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</si>
  <si>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</si>
  <si>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</si>
  <si>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</si>
  <si>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</si>
  <si>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</si>
  <si>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</si>
  <si>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</si>
  <si>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</si>
  <si>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</si>
  <si>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</si>
  <si>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</si>
  <si>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</si>
  <si>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</si>
  <si>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</si>
  <si>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</si>
  <si>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</si>
  <si>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</si>
  <si>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</si>
  <si>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</si>
  <si>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</si>
  <si>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</si>
  <si>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</si>
  <si>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</si>
  <si>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</si>
  <si>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</si>
  <si>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</si>
  <si>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</si>
  <si>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</si>
  <si>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</si>
  <si>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</si>
  <si>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</si>
  <si>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</si>
  <si>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</si>
  <si>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</si>
  <si>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</si>
  <si>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</si>
  <si>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</si>
  <si>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</si>
  <si>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</si>
  <si>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</si>
  <si>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</si>
  <si>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</si>
  <si>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</si>
  <si>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</si>
  <si>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</si>
  <si>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</si>
  <si>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</si>
  <si>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</si>
  <si>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</si>
  <si>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</si>
  <si>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</si>
  <si>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</si>
  <si>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</si>
  <si>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</si>
  <si>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</si>
  <si>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</si>
  <si>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</si>
  <si>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</si>
  <si>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</si>
  <si>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</si>
  <si>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</si>
  <si>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</si>
  <si>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</si>
  <si>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</si>
  <si>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</si>
  <si>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</si>
  <si>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</si>
  <si>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</si>
  <si>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</si>
  <si>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</si>
  <si>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</si>
  <si>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</si>
  <si>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</si>
  <si>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</si>
  <si>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</si>
  <si>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</si>
  <si>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</si>
  <si>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</si>
  <si>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</si>
  <si>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</si>
  <si>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</si>
  <si>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</si>
  <si>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</si>
  <si>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</si>
  <si>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</si>
  <si>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</si>
  <si>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</si>
  <si>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</si>
  <si>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</si>
  <si>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</si>
  <si>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</si>
  <si>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</si>
  <si>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</si>
  <si>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</si>
  <si>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</si>
  <si>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</si>
  <si>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</si>
  <si>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</si>
  <si>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</si>
  <si>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</si>
  <si>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</si>
  <si>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</si>
  <si>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</si>
  <si>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</si>
  <si>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</si>
  <si>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</si>
  <si>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</si>
  <si>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</si>
  <si>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</si>
  <si>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</si>
  <si>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</si>
  <si>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</si>
  <si>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</si>
  <si>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</si>
  <si>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</si>
  <si>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</si>
  <si>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</si>
  <si>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</si>
  <si>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</si>
  <si>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</si>
  <si>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</si>
  <si>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</si>
  <si>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</si>
  <si>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</si>
  <si>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</si>
  <si>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</si>
  <si>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</si>
  <si>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</si>
  <si>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</si>
  <si>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</si>
  <si>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</si>
  <si>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</si>
  <si>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</si>
  <si>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</si>
  <si>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</si>
  <si>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</si>
  <si>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</si>
  <si>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</si>
  <si>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</si>
  <si>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</si>
  <si>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</si>
  <si>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</si>
  <si>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</si>
  <si>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</si>
  <si>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</si>
  <si>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</si>
  <si>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</si>
  <si>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</si>
  <si>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</si>
  <si>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</si>
  <si>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</si>
  <si>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</si>
  <si>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</si>
  <si>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</si>
  <si>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</si>
  <si>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</si>
  <si>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</si>
  <si>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</si>
  <si>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</si>
  <si>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</si>
  <si>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</si>
  <si>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</si>
  <si>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</si>
  <si>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</si>
  <si>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</si>
  <si>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</si>
  <si>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</si>
  <si>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</si>
  <si>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</si>
  <si>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</si>
  <si>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</si>
  <si>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</si>
  <si>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</si>
  <si>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</si>
  <si>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</si>
  <si>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</si>
  <si>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</si>
  <si>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</si>
  <si>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</si>
  <si>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</si>
  <si>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</si>
  <si>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</si>
  <si>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</si>
  <si>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</si>
  <si>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</si>
  <si>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</si>
  <si>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</si>
  <si>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</si>
  <si>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</si>
  <si>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</si>
  <si>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</si>
  <si>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</si>
  <si>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</si>
  <si>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</si>
  <si>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</si>
  <si>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</si>
  <si>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</si>
  <si>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</si>
  <si>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</si>
  <si>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</si>
  <si>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</si>
  <si>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</si>
  <si>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</si>
  <si>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</si>
  <si>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</si>
  <si>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</si>
  <si>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</si>
  <si>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</si>
  <si>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</si>
  <si>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</si>
  <si>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</si>
  <si>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</si>
  <si>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</si>
  <si>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</si>
  <si>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</si>
  <si>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</si>
  <si>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</si>
  <si>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</si>
  <si>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</si>
  <si>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</si>
  <si>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</si>
  <si>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</si>
  <si>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</si>
  <si>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</si>
  <si>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</si>
  <si>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</si>
  <si>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</si>
  <si>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</si>
  <si>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</si>
  <si>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</si>
  <si>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</si>
  <si>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</si>
  <si>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</si>
  <si>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</si>
  <si>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</si>
  <si>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</si>
  <si>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</si>
  <si>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</si>
  <si>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</si>
  <si>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</si>
  <si>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</si>
  <si>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</si>
  <si>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</si>
  <si>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</si>
  <si>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</si>
  <si>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</si>
  <si>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</si>
  <si>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</si>
  <si>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</si>
  <si>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</si>
  <si>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</si>
  <si>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</si>
  <si>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</si>
  <si>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</si>
  <si>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</si>
  <si>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</si>
  <si>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</si>
  <si>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</si>
  <si>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</si>
  <si>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</si>
  <si>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</si>
  <si>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</si>
  <si>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</si>
  <si>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</si>
  <si>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</si>
  <si>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</si>
  <si>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</si>
  <si>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</si>
  <si>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</si>
  <si>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</si>
  <si>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</si>
  <si>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</si>
  <si>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</si>
  <si>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</si>
  <si>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</si>
  <si>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</si>
  <si>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</si>
  <si>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</si>
  <si>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</si>
  <si>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</si>
  <si>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</si>
  <si>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</si>
  <si>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</si>
  <si>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</si>
  <si>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</si>
  <si>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</si>
  <si>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</si>
  <si>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</si>
  <si>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</si>
  <si>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</si>
  <si>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</si>
  <si>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</si>
  <si>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</si>
  <si>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</si>
  <si>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</si>
  <si>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</si>
  <si>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</si>
  <si>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</si>
  <si>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</si>
  <si>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</si>
  <si>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</si>
  <si>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</si>
  <si>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</si>
  <si>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</si>
  <si>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</si>
  <si>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</si>
  <si>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</si>
  <si>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</si>
  <si>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</si>
  <si>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</si>
  <si>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</si>
  <si>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</si>
  <si>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</si>
  <si>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</si>
  <si>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</si>
  <si>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</si>
  <si>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</si>
  <si>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</si>
  <si>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</si>
  <si>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</si>
  <si>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</si>
  <si>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</si>
  <si>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</si>
  <si>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</si>
  <si>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</si>
  <si>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</si>
  <si>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</si>
  <si>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</si>
  <si>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</si>
  <si>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</si>
  <si>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</si>
  <si>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</si>
  <si>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</si>
  <si>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</si>
  <si>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</si>
  <si>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</si>
  <si>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</si>
  <si>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</si>
  <si>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</si>
  <si>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</si>
  <si>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</si>
  <si>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</si>
  <si>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</si>
  <si>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</si>
  <si>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</si>
  <si>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</si>
  <si>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</si>
  <si>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</si>
  <si>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</si>
  <si>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</si>
  <si>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</si>
  <si>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</si>
  <si>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</si>
  <si>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</si>
  <si>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</si>
  <si>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</si>
  <si>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</si>
  <si>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</si>
  <si>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</si>
  <si>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</si>
  <si>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</si>
  <si>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</si>
  <si>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</si>
  <si>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</si>
  <si>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</si>
  <si>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</si>
  <si>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</si>
  <si>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</si>
  <si>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</si>
  <si>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</si>
  <si>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</si>
  <si>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</si>
  <si>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</si>
  <si>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</si>
  <si>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</si>
  <si>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</si>
  <si>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</si>
  <si>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</si>
  <si>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</si>
  <si>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</si>
  <si>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</si>
  <si>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</si>
  <si>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</si>
  <si>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</si>
  <si>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</si>
  <si>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</si>
  <si>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</si>
  <si>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</si>
  <si>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</si>
  <si>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</si>
  <si>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</si>
  <si>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</si>
  <si>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</si>
  <si>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</si>
  <si>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</si>
  <si>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</si>
  <si>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</si>
  <si>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</si>
  <si>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</si>
  <si>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</si>
  <si>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</si>
  <si>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</si>
  <si>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</si>
  <si>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</si>
  <si>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</si>
  <si>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</si>
  <si>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</si>
  <si>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</si>
  <si>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</si>
  <si>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</si>
  <si>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</si>
  <si>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</si>
  <si>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</si>
  <si>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</si>
  <si>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</si>
  <si>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</si>
  <si>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</si>
  <si>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</si>
  <si>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</si>
  <si>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</si>
  <si>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</si>
  <si>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</si>
  <si>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</si>
  <si>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</si>
  <si>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</si>
  <si>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</si>
  <si>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</si>
  <si>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</si>
  <si>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</si>
  <si>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</si>
  <si>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</si>
  <si>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</si>
  <si>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</si>
  <si>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</si>
  <si>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</si>
  <si>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</si>
  <si>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</si>
  <si>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</si>
  <si>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</si>
  <si>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</si>
  <si>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</si>
  <si>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</si>
  <si>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</si>
  <si>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</si>
  <si>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</si>
  <si>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</si>
  <si>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</si>
  <si>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</si>
  <si>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</si>
  <si>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</si>
  <si>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</si>
  <si>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</si>
  <si>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</si>
  <si>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</si>
  <si>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</si>
  <si>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</si>
  <si>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</si>
  <si>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</si>
  <si>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</si>
  <si>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</si>
  <si>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</si>
  <si>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</si>
  <si>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</si>
  <si>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</si>
  <si>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</si>
  <si>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</si>
  <si>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</si>
  <si>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</si>
  <si>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</si>
  <si>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</si>
  <si>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</si>
  <si>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</si>
  <si>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</si>
  <si>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</si>
  <si>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</si>
  <si>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</si>
  <si>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</si>
  <si>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</si>
  <si>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</si>
  <si>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</si>
  <si>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</si>
  <si>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</si>
  <si>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</si>
  <si>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</si>
  <si>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</si>
  <si>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</si>
  <si>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</si>
  <si>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</si>
  <si>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</si>
  <si>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</si>
  <si>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</si>
  <si>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</si>
  <si>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</si>
  <si>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</si>
  <si>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</si>
  <si>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</si>
  <si>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</si>
  <si>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</si>
  <si>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</si>
  <si>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</si>
  <si>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</si>
  <si>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</si>
  <si>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</si>
  <si>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</si>
  <si>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</si>
  <si>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</si>
  <si>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</si>
  <si>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</si>
  <si>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</si>
  <si>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</si>
  <si>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</si>
  <si>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</si>
  <si>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</si>
  <si>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</si>
  <si>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</si>
  <si>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</si>
  <si>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</si>
  <si>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</si>
  <si>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</si>
  <si>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</si>
  <si>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</si>
  <si>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</si>
  <si>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</si>
  <si>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</si>
  <si>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</si>
  <si>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</si>
  <si>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</si>
  <si>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</si>
  <si>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</si>
  <si>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</si>
  <si>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</si>
  <si>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</si>
  <si>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</si>
  <si>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</si>
  <si>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</si>
  <si>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</si>
  <si>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</si>
  <si>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</si>
  <si>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</si>
  <si>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</si>
  <si>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</si>
  <si>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</si>
  <si>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</si>
  <si>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</si>
  <si>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</si>
  <si>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</si>
  <si>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</si>
  <si>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</si>
  <si>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</si>
  <si>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</si>
  <si>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</si>
  <si>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</si>
  <si>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</si>
  <si>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</si>
  <si>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</si>
  <si>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</si>
  <si>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</si>
  <si>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</si>
  <si>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</si>
  <si>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</si>
  <si>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</si>
  <si>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</si>
  <si>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</si>
  <si>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</si>
  <si>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</si>
  <si>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</si>
  <si>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</si>
  <si>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</si>
  <si>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</si>
  <si>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</si>
  <si>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</si>
  <si>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</si>
  <si>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</si>
  <si>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</si>
  <si>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</si>
  <si>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</si>
  <si>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</si>
  <si>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</si>
  <si>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</si>
  <si>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</si>
  <si>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</si>
  <si>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</si>
  <si>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</si>
  <si>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</si>
  <si>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</si>
  <si>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</si>
  <si>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</si>
  <si>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</si>
  <si>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</si>
  <si>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</si>
  <si>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</si>
  <si>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</si>
  <si>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</si>
  <si>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</si>
  <si>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</si>
  <si>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</si>
  <si>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</si>
  <si>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</si>
  <si>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</si>
  <si>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</si>
  <si>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</si>
  <si>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</si>
  <si>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</si>
  <si>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</si>
  <si>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</si>
  <si>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</si>
  <si>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</si>
  <si>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</si>
  <si>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</si>
  <si>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</si>
  <si>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</si>
  <si>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</si>
  <si>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</si>
  <si>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</si>
  <si>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</si>
  <si>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</si>
  <si>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</si>
  <si>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</si>
  <si>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</si>
  <si>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</si>
  <si>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</si>
  <si>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</si>
  <si>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</si>
  <si>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</si>
  <si>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</si>
  <si>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</si>
  <si>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</si>
  <si>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</si>
  <si>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</si>
  <si>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</si>
  <si>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</si>
  <si>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</si>
  <si>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</si>
  <si>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</si>
  <si>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</si>
  <si>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</si>
  <si>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</si>
  <si>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</si>
  <si>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</si>
  <si>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</si>
  <si>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</si>
  <si>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</si>
  <si>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</si>
  <si>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</si>
  <si>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</si>
  <si>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</si>
  <si>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</si>
  <si>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</si>
  <si>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</si>
  <si>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</si>
  <si>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</si>
  <si>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</si>
  <si>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</si>
  <si>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</si>
  <si>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</si>
  <si>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</si>
  <si>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</si>
  <si>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</si>
  <si>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</si>
  <si>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</si>
  <si>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</si>
  <si>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</si>
  <si>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</si>
  <si>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</si>
  <si>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</si>
  <si>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</si>
  <si>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</si>
  <si>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</si>
  <si>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</si>
  <si>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</si>
  <si>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</si>
  <si>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</si>
  <si>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</si>
  <si>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</si>
  <si>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</si>
  <si>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</si>
  <si>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</si>
  <si>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</si>
  <si>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</si>
  <si>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</si>
  <si>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</si>
  <si>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</si>
  <si>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</si>
  <si>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</si>
  <si>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</si>
  <si>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</si>
  <si>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</si>
  <si>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</si>
  <si>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</si>
  <si>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</si>
  <si>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</si>
  <si>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</si>
  <si>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</si>
  <si>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</si>
  <si>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</si>
  <si>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</si>
  <si>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</si>
  <si>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</si>
  <si>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</si>
  <si>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</si>
  <si>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</si>
  <si>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</si>
  <si>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</si>
  <si>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</si>
  <si>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</si>
  <si>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</si>
  <si>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</si>
  <si>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</si>
  <si>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</si>
  <si>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</si>
  <si>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</si>
  <si>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</si>
  <si>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</si>
  <si>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</si>
  <si>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</si>
  <si>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</si>
  <si>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</si>
  <si>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</si>
  <si>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</si>
  <si>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</si>
  <si>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</si>
  <si>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</si>
  <si>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</si>
  <si>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</si>
  <si>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</si>
  <si>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</si>
  <si>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</si>
  <si>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</si>
  <si>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</si>
  <si>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</si>
  <si>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</si>
  <si>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</si>
  <si>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</si>
  <si>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</si>
  <si>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</si>
  <si>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</si>
  <si>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</si>
  <si>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</si>
  <si>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</si>
  <si>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</si>
  <si>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</si>
  <si>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</si>
  <si>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</si>
  <si>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</si>
  <si>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</si>
  <si>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</si>
  <si>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</si>
  <si>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</si>
  <si>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</si>
  <si>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</si>
  <si>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</si>
  <si>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</si>
  <si>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</si>
  <si>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</si>
  <si>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</si>
  <si>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</si>
  <si>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</si>
  <si>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</si>
  <si>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</si>
  <si>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</si>
  <si>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</si>
  <si>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</si>
  <si>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</si>
  <si>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</si>
  <si>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</si>
  <si>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</si>
  <si>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</si>
  <si>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</si>
  <si>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</si>
  <si>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</si>
  <si>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</si>
  <si>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</si>
  <si>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</si>
  <si>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</si>
  <si>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</si>
  <si>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</si>
  <si>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</si>
  <si>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</si>
  <si>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</si>
  <si>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</si>
  <si>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</si>
  <si>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</si>
  <si>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</si>
  <si>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</si>
  <si>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</si>
  <si>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</si>
  <si>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</si>
  <si>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</si>
  <si>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</si>
  <si>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</si>
  <si>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</si>
  <si>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</si>
  <si>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</si>
  <si>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</si>
  <si>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</si>
  <si>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</si>
  <si>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</si>
  <si>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</si>
  <si>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</si>
  <si>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</si>
  <si>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</si>
  <si>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</si>
  <si>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</si>
  <si>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</si>
  <si>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</si>
  <si>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</si>
  <si>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</si>
  <si>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</si>
  <si>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</si>
  <si>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</si>
  <si>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</si>
  <si>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</si>
  <si>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</si>
  <si>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</si>
  <si>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</si>
  <si>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</si>
  <si>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</si>
  <si>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</si>
  <si>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</si>
  <si>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</si>
  <si>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</si>
  <si>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</si>
  <si>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</si>
  <si>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</si>
  <si>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</si>
  <si>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</si>
  <si>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</si>
  <si>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</si>
  <si>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</si>
  <si>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</si>
  <si>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</si>
  <si>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</si>
  <si>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</si>
  <si>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</si>
  <si>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</si>
  <si>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</si>
  <si>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</si>
  <si>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</si>
  <si>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</si>
  <si>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</si>
  <si>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</si>
  <si>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</si>
  <si>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</si>
  <si>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</si>
  <si>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</si>
  <si>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</si>
  <si>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</si>
  <si>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</si>
  <si>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</si>
  <si>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</si>
  <si>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</si>
  <si>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</si>
  <si>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</si>
  <si>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</si>
  <si>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</si>
  <si>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</si>
  <si>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</si>
  <si>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</si>
  <si>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</si>
  <si>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</si>
  <si>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</si>
  <si>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</si>
  <si>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</si>
  <si>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</si>
  <si>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</si>
  <si>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</si>
  <si>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</si>
  <si>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</si>
  <si>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</si>
  <si>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</si>
  <si>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</si>
  <si>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</si>
  <si>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</si>
  <si>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</si>
  <si>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</si>
  <si>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</si>
  <si>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</si>
  <si>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</si>
  <si>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</si>
  <si>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</si>
  <si>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</si>
  <si>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</si>
  <si>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</si>
  <si>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</si>
  <si>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</si>
  <si>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</si>
  <si>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</si>
  <si>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</si>
  <si>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</si>
  <si>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</si>
  <si>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</si>
  <si>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</si>
  <si>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</si>
  <si>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</si>
  <si>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</si>
  <si>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</si>
  <si>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</si>
  <si>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</si>
  <si>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</si>
  <si>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</si>
  <si>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</si>
  <si>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</si>
  <si>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</si>
  <si>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</si>
  <si>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</si>
  <si>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</si>
  <si>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</si>
  <si>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</si>
  <si>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</si>
  <si>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</si>
  <si>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</si>
  <si>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</si>
  <si>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</si>
  <si>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</si>
  <si>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</si>
  <si>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</si>
  <si>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</si>
  <si>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</si>
  <si>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</si>
  <si>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</si>
  <si>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</si>
  <si>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</si>
  <si>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</si>
  <si>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</si>
  <si>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</si>
  <si>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</si>
  <si>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</si>
  <si>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</si>
  <si>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</si>
  <si>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</si>
  <si>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</si>
  <si>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</si>
  <si>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</si>
  <si>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</si>
  <si>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</si>
  <si>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</si>
  <si>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</si>
  <si>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</si>
  <si>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</si>
  <si>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</si>
  <si>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</si>
  <si>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</si>
  <si>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</si>
  <si>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</si>
  <si>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</si>
  <si>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</si>
  <si>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</si>
  <si>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</si>
  <si>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</si>
  <si>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</si>
  <si>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</si>
  <si>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</si>
  <si>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</si>
  <si>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</si>
  <si>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</si>
  <si>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</si>
  <si>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</si>
  <si>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</si>
  <si>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</si>
  <si>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</si>
  <si>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</si>
  <si>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</si>
  <si>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</si>
  <si>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</si>
  <si>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</si>
  <si>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</si>
  <si>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</si>
  <si>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</si>
  <si>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</si>
  <si>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</si>
  <si>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</si>
  <si>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</si>
  <si>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</si>
  <si>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</si>
  <si>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</si>
  <si>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</si>
  <si>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</si>
  <si>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</si>
  <si>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</si>
  <si>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</si>
  <si>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</si>
  <si>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</si>
  <si>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</si>
  <si>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</si>
  <si>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</si>
  <si>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</si>
  <si>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</si>
  <si>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</si>
  <si>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</si>
  <si>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</si>
  <si>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</si>
  <si>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</si>
  <si>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</si>
  <si>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</si>
  <si>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</si>
  <si>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</si>
  <si>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</si>
  <si>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</si>
  <si>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</si>
  <si>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</si>
  <si>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</si>
  <si>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</si>
  <si>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</si>
  <si>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</si>
  <si>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</si>
  <si>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</si>
  <si>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</si>
  <si>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</si>
  <si>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</si>
  <si>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</si>
  <si>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</si>
  <si>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</si>
  <si>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</si>
  <si>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</si>
  <si>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</si>
  <si>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</si>
  <si>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</si>
  <si>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</si>
  <si>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</si>
  <si>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</si>
  <si>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</si>
  <si>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</si>
  <si>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</si>
  <si>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</si>
  <si>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</si>
  <si>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</si>
  <si>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</si>
  <si>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</si>
  <si>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</si>
  <si>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</si>
  <si>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</si>
  <si>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</si>
  <si>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</si>
  <si>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</si>
  <si>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</si>
  <si>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</si>
  <si>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</si>
  <si>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</si>
  <si>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</si>
  <si>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</si>
  <si>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</si>
  <si>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</si>
  <si>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</si>
  <si>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</si>
  <si>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</si>
  <si>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</si>
  <si>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</si>
  <si>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</si>
  <si>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</si>
  <si>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</si>
  <si>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</si>
  <si>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</si>
  <si>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</si>
  <si>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</si>
  <si>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</si>
  <si>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</si>
  <si>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</si>
  <si>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</si>
  <si>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</si>
  <si>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</si>
  <si>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</si>
  <si>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</si>
  <si>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</si>
  <si>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</si>
  <si>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</si>
  <si>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</si>
  <si>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</si>
  <si>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</si>
  <si>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</si>
  <si>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</si>
  <si>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</si>
  <si>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</si>
  <si>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</si>
  <si>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</si>
  <si>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</si>
  <si>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</si>
  <si>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</si>
  <si>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</si>
  <si>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</si>
  <si>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</si>
  <si>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</si>
  <si>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</si>
  <si>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</si>
  <si>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</si>
  <si>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</si>
  <si>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</si>
  <si>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</si>
  <si>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</si>
  <si>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</si>
  <si>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</si>
  <si>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</si>
  <si>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</si>
  <si>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</si>
  <si>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</si>
  <si>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</si>
  <si>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</si>
  <si>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</si>
  <si>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</si>
  <si>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</si>
  <si>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</si>
  <si>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</si>
  <si>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</si>
  <si>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</si>
  <si>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</si>
  <si>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</si>
  <si>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</si>
  <si>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</si>
  <si>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</si>
  <si>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</si>
  <si>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</si>
  <si>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</si>
  <si>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</si>
  <si>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</si>
  <si>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</si>
  <si>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</si>
  <si>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</si>
  <si>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</si>
  <si>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</si>
  <si>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</si>
  <si>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</si>
  <si>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</si>
  <si>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</si>
  <si>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</si>
  <si>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</si>
  <si>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</si>
  <si>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</si>
  <si>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</si>
  <si>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</si>
  <si>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</si>
  <si>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</si>
  <si>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</si>
  <si>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</si>
  <si>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</si>
  <si>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</si>
  <si>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</si>
  <si>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</si>
  <si>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</si>
  <si>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</si>
  <si>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</si>
  <si>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</si>
  <si>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</si>
  <si>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</si>
  <si>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</si>
  <si>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</si>
  <si>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</si>
  <si>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</si>
  <si>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</si>
  <si>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</si>
  <si>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</si>
  <si>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</si>
  <si>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</si>
  <si>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</si>
  <si>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</si>
  <si>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</si>
  <si>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</si>
  <si>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</si>
  <si>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</si>
  <si>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</si>
  <si>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</si>
  <si>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</si>
  <si>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</si>
  <si>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</si>
  <si>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</si>
  <si>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</si>
  <si>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</si>
  <si>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</si>
  <si>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</si>
  <si>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</si>
  <si>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</si>
  <si>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</si>
  <si>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</si>
  <si>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</si>
  <si>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</si>
  <si>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</si>
  <si>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</si>
  <si>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</si>
  <si>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</si>
  <si>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</si>
  <si>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</si>
  <si>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</si>
  <si>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</si>
  <si>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</si>
  <si>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</si>
  <si>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</si>
  <si>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</si>
  <si>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</si>
  <si>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</si>
  <si>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</si>
  <si>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</si>
  <si>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</si>
  <si>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</si>
  <si>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</si>
  <si>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</si>
  <si>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</si>
  <si>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</si>
  <si>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</si>
  <si>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</si>
  <si>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</si>
  <si>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</si>
  <si>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</si>
  <si>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</si>
  <si>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</si>
  <si>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</si>
  <si>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</si>
  <si>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</si>
  <si>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</si>
  <si>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</si>
  <si>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</si>
  <si>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</si>
  <si>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</si>
  <si>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</si>
  <si>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</si>
  <si>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</si>
  <si>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</si>
  <si>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</si>
  <si>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</si>
  <si>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</si>
  <si>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</si>
  <si>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</si>
  <si>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</si>
  <si>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</si>
  <si>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</si>
  <si>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</si>
  <si>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</si>
  <si>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</si>
  <si>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</si>
  <si>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</si>
  <si>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</si>
  <si>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</si>
  <si>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</si>
  <si>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</si>
  <si>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</si>
  <si>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</si>
  <si>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</si>
  <si>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</si>
  <si>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</si>
  <si>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</si>
  <si>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</si>
  <si>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</si>
  <si>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</si>
  <si>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</si>
  <si>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</si>
  <si>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</si>
  <si>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</si>
  <si>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</si>
  <si>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</si>
  <si>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</si>
  <si>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</si>
  <si>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</si>
  <si>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</si>
  <si>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</si>
  <si>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</si>
  <si>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</si>
  <si>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</si>
  <si>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</si>
  <si>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</si>
  <si>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</si>
  <si>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</si>
  <si>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</si>
  <si>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</si>
  <si>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</si>
  <si>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</si>
  <si>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</si>
  <si>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</si>
  <si>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</si>
  <si>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</si>
  <si>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</si>
  <si>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</si>
  <si>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</si>
  <si>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</si>
  <si>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</si>
  <si>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</si>
  <si>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</si>
  <si>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</si>
  <si>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</si>
  <si>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</si>
  <si>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</si>
  <si>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</si>
  <si>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</si>
  <si>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</si>
  <si>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</si>
  <si>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</si>
  <si>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</si>
  <si>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</si>
  <si>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</si>
  <si>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</si>
  <si>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</si>
  <si>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</si>
  <si>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</si>
  <si>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</si>
  <si>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</si>
  <si>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</si>
  <si>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</si>
  <si>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</si>
  <si>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</si>
  <si>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</si>
  <si>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</si>
  <si>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</si>
  <si>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</si>
  <si>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</si>
  <si>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</si>
  <si>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</si>
  <si>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</si>
  <si>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</si>
  <si>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</si>
  <si>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</si>
  <si>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</si>
  <si>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</si>
  <si>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</si>
  <si>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</si>
  <si>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</si>
  <si>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</si>
  <si>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</si>
  <si>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</si>
  <si>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</si>
  <si>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</si>
  <si>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</si>
  <si>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</si>
  <si>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</si>
  <si>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</si>
  <si>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</si>
  <si>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</si>
  <si>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</si>
  <si>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</si>
  <si>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</si>
  <si>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</si>
  <si>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</si>
  <si>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</si>
  <si>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</si>
  <si>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</si>
  <si>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</si>
  <si>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</si>
  <si>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</si>
  <si>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</si>
  <si>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</si>
  <si>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</si>
  <si>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</si>
  <si>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</si>
  <si>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</si>
  <si>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</si>
  <si>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</si>
  <si>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</si>
  <si>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</si>
  <si>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</si>
  <si>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</si>
  <si>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</si>
  <si>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</si>
  <si>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</si>
  <si>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</si>
  <si>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</si>
  <si>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</si>
  <si>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</si>
  <si>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</si>
  <si>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</si>
  <si>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</si>
  <si>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</si>
  <si>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</si>
  <si>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</si>
  <si>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</si>
  <si>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</si>
  <si>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</si>
  <si>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</si>
  <si>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</si>
  <si>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</si>
  <si>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</si>
  <si>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</si>
  <si>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</si>
  <si>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</si>
  <si>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</si>
  <si>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</si>
  <si>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</si>
  <si>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</si>
  <si>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</si>
  <si>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</si>
  <si>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</si>
  <si>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</si>
  <si>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</si>
  <si>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</si>
  <si>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</si>
  <si>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</si>
  <si>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</si>
  <si>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</si>
  <si>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</si>
  <si>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</si>
  <si>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</si>
  <si>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</si>
  <si>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</si>
  <si>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</si>
  <si>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</si>
  <si>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</si>
  <si>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</si>
  <si>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</si>
  <si>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</si>
  <si>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</si>
  <si>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</si>
  <si>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</si>
  <si>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</si>
  <si>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</si>
  <si>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</si>
  <si>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</si>
  <si>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</si>
  <si>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</si>
  <si>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</si>
  <si>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</si>
  <si>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</si>
  <si>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</si>
  <si>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</si>
  <si>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</si>
  <si>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</si>
  <si>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</si>
  <si>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</si>
  <si>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</si>
  <si>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</si>
  <si>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</si>
  <si>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</si>
  <si>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</si>
  <si>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</si>
  <si>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</si>
  <si>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</si>
  <si>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</si>
  <si>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</si>
  <si>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</si>
  <si>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</si>
  <si>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</si>
  <si>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</si>
  <si>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</si>
  <si>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</si>
  <si>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</si>
  <si>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</si>
  <si>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</si>
  <si>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</si>
  <si>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</si>
  <si>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</si>
  <si>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</si>
  <si>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</si>
  <si>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</si>
  <si>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</si>
  <si>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</si>
  <si>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</si>
  <si>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</si>
  <si>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</si>
  <si>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</si>
  <si>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</si>
  <si>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</si>
  <si>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</si>
  <si>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</si>
  <si>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</si>
  <si>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</si>
  <si>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</si>
  <si>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</si>
  <si>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</si>
  <si>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</si>
  <si>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</si>
  <si>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</si>
  <si>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</si>
  <si>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</si>
  <si>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</si>
  <si>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</si>
  <si>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</si>
  <si>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</si>
  <si>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</si>
  <si>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</si>
  <si>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</si>
  <si>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</si>
  <si>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</si>
  <si>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</si>
  <si>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</si>
  <si>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</si>
  <si>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</si>
  <si>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</si>
  <si>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</si>
  <si>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</si>
  <si>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</si>
  <si>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</si>
  <si>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</si>
  <si>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</si>
  <si>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</si>
  <si>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</si>
  <si>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</si>
  <si>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</si>
  <si>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</si>
  <si>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</si>
  <si>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</si>
  <si>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</si>
  <si>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</si>
  <si>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</si>
  <si>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</si>
  <si>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</si>
  <si>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</si>
  <si>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</si>
  <si>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</si>
  <si>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</si>
  <si>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</si>
  <si>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</si>
  <si>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</si>
  <si>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</si>
  <si>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</si>
  <si>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</si>
  <si>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</si>
  <si>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</si>
  <si>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</si>
  <si>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</si>
  <si>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</si>
  <si>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</si>
  <si>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</si>
  <si>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</si>
  <si>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</si>
  <si>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</si>
  <si>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</si>
  <si>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</si>
  <si>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</si>
  <si>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</si>
  <si>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</si>
  <si>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</si>
  <si>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</si>
  <si>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</si>
  <si>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</si>
  <si>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</si>
  <si>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</si>
  <si>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</si>
  <si>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</si>
  <si>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</si>
  <si>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</si>
  <si>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</si>
  <si>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</si>
  <si>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</si>
  <si>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</si>
  <si>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</si>
  <si>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</si>
  <si>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</si>
  <si>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</si>
  <si>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</si>
  <si>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</si>
  <si>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</si>
  <si>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</si>
  <si>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</si>
  <si>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</si>
  <si>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</si>
  <si>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</si>
  <si>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</si>
  <si>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</si>
  <si>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</si>
  <si>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</si>
  <si>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</si>
  <si>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</si>
  <si>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</si>
  <si>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</si>
  <si>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</si>
  <si>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</si>
  <si>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</si>
  <si>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</si>
  <si>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</si>
  <si>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</si>
  <si>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</si>
  <si>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</si>
  <si>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</si>
  <si>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</si>
  <si>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</si>
  <si>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</si>
  <si>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</si>
  <si>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</si>
  <si>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</si>
  <si>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</si>
  <si>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</si>
  <si>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</si>
  <si>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</si>
  <si>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</si>
  <si>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</si>
  <si>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</si>
  <si>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</si>
  <si>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</si>
  <si>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</si>
  <si>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</si>
  <si>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</si>
  <si>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</si>
  <si>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</si>
  <si>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</si>
  <si>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</si>
  <si>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</si>
  <si>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</si>
  <si>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</si>
  <si>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</si>
  <si>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</si>
  <si>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</si>
  <si>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</si>
  <si>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</si>
  <si>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</si>
  <si>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</si>
  <si>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</si>
  <si>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</si>
  <si>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</si>
  <si>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</si>
  <si>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</si>
  <si>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</si>
  <si>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</si>
  <si>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</si>
  <si>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</si>
  <si>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</si>
  <si>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</si>
  <si>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</si>
  <si>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</si>
  <si>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</si>
  <si>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</si>
  <si>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</si>
  <si>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</si>
  <si>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</si>
  <si>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</si>
  <si>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</si>
  <si>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</si>
  <si>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</si>
  <si>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</si>
  <si>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</si>
  <si>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</si>
  <si>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</si>
  <si>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</si>
  <si>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</si>
  <si>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</si>
  <si>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</si>
  <si>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</si>
  <si>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</si>
  <si>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</si>
  <si>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</si>
  <si>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</si>
  <si>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</si>
  <si>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</si>
  <si>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</si>
  <si>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</si>
  <si>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</si>
  <si>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</si>
  <si>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</si>
  <si>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</si>
  <si>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</si>
  <si>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</si>
  <si>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</si>
  <si>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</si>
  <si>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</si>
  <si>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</si>
  <si>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</si>
  <si>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</si>
  <si>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</si>
  <si>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</si>
  <si>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</si>
  <si>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</si>
  <si>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</si>
  <si>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</si>
  <si>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</si>
  <si>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</si>
  <si>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</si>
  <si>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</si>
  <si>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</si>
  <si>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</si>
  <si>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</si>
  <si>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</si>
  <si>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</si>
  <si>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</si>
  <si>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</si>
  <si>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</si>
  <si>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</si>
  <si>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</si>
  <si>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</si>
  <si>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</si>
  <si>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</si>
  <si>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</si>
  <si>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</si>
  <si>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</si>
  <si>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</si>
  <si>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</si>
  <si>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</si>
  <si>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</si>
  <si>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</si>
  <si>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</si>
  <si>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</si>
  <si>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</si>
  <si>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</si>
  <si>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</si>
  <si>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</si>
  <si>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</si>
  <si>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</si>
  <si>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</si>
  <si>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</si>
  <si>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</si>
  <si>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</si>
  <si>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</si>
  <si>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</si>
  <si>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</si>
  <si>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</si>
  <si>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</si>
  <si>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</si>
  <si>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</si>
  <si>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</si>
  <si>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</si>
  <si>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</si>
  <si>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</si>
  <si>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</si>
  <si>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</si>
  <si>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</si>
  <si>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</si>
  <si>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</si>
  <si>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</si>
  <si>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</si>
  <si>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</si>
  <si>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</si>
  <si>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</si>
  <si>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</si>
  <si>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</si>
  <si>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</si>
  <si>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</si>
  <si>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</si>
  <si>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</si>
  <si>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</si>
  <si>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</si>
  <si>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</si>
  <si>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</si>
  <si>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</si>
  <si>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</si>
  <si>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</si>
  <si>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</si>
  <si>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</si>
  <si>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</si>
  <si>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</si>
  <si>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</si>
  <si>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</si>
  <si>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</si>
  <si>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</si>
  <si>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</si>
  <si>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</si>
  <si>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</si>
  <si>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</si>
  <si>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</si>
  <si>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</si>
  <si>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</si>
  <si>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</si>
  <si>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</si>
  <si>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</si>
  <si>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</si>
  <si>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</si>
  <si>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</si>
  <si>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</si>
  <si>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</si>
  <si>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</si>
  <si>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</si>
  <si>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</si>
  <si>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</si>
  <si>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</si>
  <si>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</si>
  <si>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</si>
  <si>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</si>
  <si>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</si>
  <si>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</si>
  <si>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</si>
  <si>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</si>
  <si>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</si>
  <si>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</si>
  <si>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</si>
  <si>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</si>
  <si>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</si>
  <si>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</si>
  <si>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</si>
  <si>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</si>
  <si>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</si>
  <si>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</si>
  <si>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</si>
  <si>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</si>
  <si>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</si>
  <si>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</si>
  <si>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</si>
  <si>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</si>
  <si>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</si>
  <si>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</si>
  <si>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</si>
  <si>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</si>
  <si>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</si>
  <si>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</si>
  <si>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</si>
  <si>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</si>
  <si>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</si>
  <si>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</si>
  <si>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</si>
  <si>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</si>
  <si>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</si>
  <si>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</si>
  <si>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</si>
  <si>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</si>
  <si>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</si>
  <si>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</si>
  <si>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</si>
  <si>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</si>
  <si>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</si>
  <si>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</si>
  <si>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</si>
  <si>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</si>
  <si>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</si>
  <si>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</si>
  <si>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</si>
  <si>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</si>
  <si>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</si>
  <si>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</si>
  <si>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</si>
  <si>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</si>
  <si>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</si>
  <si>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</si>
  <si>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</si>
  <si>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</si>
  <si>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</si>
  <si>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</si>
  <si>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</si>
  <si>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</si>
  <si>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</si>
  <si>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</si>
  <si>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</si>
  <si>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</si>
  <si>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</si>
  <si>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</si>
  <si>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</si>
  <si>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</si>
  <si>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</si>
  <si>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</si>
  <si>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</si>
  <si>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</si>
  <si>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</si>
  <si>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</si>
  <si>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</si>
  <si>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</si>
  <si>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</si>
  <si>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</si>
  <si>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</si>
  <si>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</si>
  <si>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</si>
  <si>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</si>
  <si>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</si>
  <si>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</si>
  <si>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</si>
  <si>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</si>
  <si>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</si>
  <si>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</si>
  <si>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</si>
  <si>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</si>
  <si>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</si>
  <si>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</si>
  <si>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</si>
  <si>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</si>
  <si>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</si>
  <si>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</si>
  <si>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</si>
  <si>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</si>
  <si>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</si>
  <si>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</si>
  <si>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</si>
  <si>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</si>
  <si>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</si>
  <si>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</si>
  <si>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</si>
  <si>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</si>
  <si>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</si>
  <si>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</si>
  <si>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</si>
  <si>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</si>
  <si>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</si>
  <si>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</si>
  <si>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</si>
  <si>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</si>
  <si>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</si>
  <si>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</si>
  <si>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</si>
  <si>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</si>
  <si>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</si>
  <si>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</si>
  <si>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</si>
  <si>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</si>
  <si>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</si>
  <si>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</si>
  <si>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</si>
  <si>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</si>
  <si>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</si>
  <si>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</si>
  <si>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</si>
  <si>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</si>
  <si>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</si>
  <si>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</si>
  <si>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</si>
  <si>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</si>
  <si>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</si>
  <si>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</si>
  <si>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</si>
  <si>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</si>
  <si>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</si>
  <si>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</si>
  <si>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</si>
  <si>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</si>
  <si>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</si>
  <si>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</si>
  <si>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</si>
  <si>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</si>
  <si>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</si>
  <si>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</si>
  <si>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</si>
  <si>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</si>
  <si>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</si>
  <si>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</si>
  <si>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</si>
  <si>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</si>
  <si>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</si>
  <si>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</si>
  <si>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</si>
  <si>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</si>
  <si>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</si>
  <si>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</si>
  <si>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</si>
  <si>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</si>
  <si>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</si>
  <si>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</si>
  <si>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</si>
  <si>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</si>
  <si>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</si>
  <si>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</si>
  <si>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</si>
  <si>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</si>
  <si>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</si>
  <si>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</si>
  <si>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</si>
  <si>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</si>
  <si>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</si>
  <si>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</si>
  <si>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</si>
  <si>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</si>
  <si>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</si>
  <si>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</si>
  <si>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</si>
  <si>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</si>
  <si>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</si>
  <si>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</si>
  <si>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</si>
  <si>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</si>
  <si>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</si>
  <si>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</si>
  <si>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</si>
  <si>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</si>
  <si>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</si>
  <si>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</si>
  <si>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</si>
  <si>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</si>
  <si>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</si>
  <si>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</si>
  <si>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</si>
  <si>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</si>
  <si>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</si>
  <si>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</si>
  <si>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</si>
  <si>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</si>
  <si>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</si>
  <si>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</si>
  <si>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</si>
  <si>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</si>
  <si>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</si>
  <si>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</si>
  <si>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</si>
  <si>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</si>
  <si>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</si>
  <si>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</si>
  <si>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</si>
  <si>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</si>
  <si>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</si>
  <si>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</si>
  <si>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</si>
  <si>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</si>
  <si>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</si>
  <si>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</si>
  <si>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</si>
  <si>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</si>
  <si>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</si>
  <si>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</si>
  <si>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</si>
  <si>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</si>
  <si>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</si>
  <si>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</si>
  <si>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</si>
  <si>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</si>
  <si>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</si>
  <si>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</si>
  <si>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</si>
  <si>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</si>
  <si>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</si>
  <si>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</si>
  <si>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</si>
  <si>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</si>
  <si>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</si>
  <si>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</si>
  <si>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</si>
  <si>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</si>
  <si>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</si>
  <si>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</si>
  <si>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</si>
  <si>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</si>
  <si>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</si>
  <si>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</si>
  <si>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</si>
  <si>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</si>
  <si>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</si>
  <si>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</si>
  <si>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</si>
  <si>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</si>
  <si>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</si>
  <si>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</si>
  <si>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</si>
  <si>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</si>
  <si>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</si>
  <si>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</si>
  <si>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</si>
  <si>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</si>
  <si>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</si>
  <si>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</si>
  <si>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</si>
  <si>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</si>
  <si>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</si>
  <si>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</si>
  <si>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</si>
  <si>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</si>
  <si>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</si>
  <si>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</si>
  <si>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</si>
  <si>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</si>
  <si>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</si>
  <si>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</si>
  <si>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</si>
  <si>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</si>
  <si>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</si>
  <si>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</si>
  <si>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</si>
  <si>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</si>
  <si>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</si>
  <si>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</si>
  <si>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</si>
  <si>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</si>
  <si>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</si>
  <si>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</si>
  <si>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</si>
  <si>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</si>
  <si>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</si>
  <si>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</si>
  <si>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</si>
  <si>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</si>
  <si>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</si>
  <si>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</si>
  <si>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</si>
  <si>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</si>
  <si>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</si>
  <si>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</si>
  <si>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</si>
  <si>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</si>
  <si>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</si>
  <si>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</si>
  <si>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</si>
  <si>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</si>
  <si>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</si>
  <si>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</si>
  <si>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</si>
  <si>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</si>
  <si>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</si>
  <si>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</si>
  <si>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</si>
  <si>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</si>
  <si>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</si>
  <si>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</si>
  <si>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</si>
  <si>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</si>
  <si>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</si>
  <si>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</si>
  <si>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</si>
  <si>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</si>
  <si>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</si>
  <si>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</si>
  <si>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</si>
  <si>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</si>
  <si>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</si>
  <si>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</si>
  <si>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</si>
  <si>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</si>
  <si>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</si>
  <si>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</si>
  <si>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</si>
  <si>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</si>
  <si>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</si>
  <si>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</si>
  <si>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</si>
  <si>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</si>
  <si>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</si>
  <si>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</si>
  <si>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</si>
  <si>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</si>
  <si>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</si>
  <si>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</si>
  <si>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</si>
  <si>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</si>
  <si>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</si>
  <si>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</si>
  <si>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</si>
  <si>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</si>
  <si>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</si>
  <si>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</si>
  <si>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</si>
  <si>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</si>
  <si>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</si>
  <si>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</si>
  <si>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</si>
  <si>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</si>
  <si>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</si>
  <si>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</si>
  <si>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</si>
  <si>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</si>
  <si>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</si>
  <si>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</si>
  <si>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</si>
  <si>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</si>
  <si>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</si>
  <si>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</si>
  <si>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</si>
  <si>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</si>
  <si>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</si>
  <si>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</si>
  <si>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</si>
  <si>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</si>
  <si>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</si>
  <si>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</si>
  <si>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</si>
  <si>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</si>
  <si>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</si>
  <si>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</si>
  <si>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</si>
  <si>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</si>
  <si>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</si>
  <si>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</si>
  <si>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</si>
  <si>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</si>
  <si>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</si>
  <si>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</si>
  <si>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</si>
  <si>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</si>
  <si>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</si>
  <si>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</si>
  <si>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</si>
  <si>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</si>
  <si>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</si>
  <si>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</si>
  <si>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</si>
  <si>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</si>
  <si>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</si>
  <si>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</si>
  <si>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</si>
  <si>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</si>
  <si>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</si>
  <si>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</si>
  <si>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</si>
  <si>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</si>
  <si>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</si>
  <si>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</si>
  <si>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</si>
  <si>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</si>
  <si>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</si>
  <si>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</si>
  <si>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</si>
  <si>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</si>
  <si>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</si>
  <si>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</si>
  <si>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</si>
  <si>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</si>
  <si>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</si>
  <si>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</si>
  <si>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</si>
  <si>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</si>
  <si>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</si>
  <si>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</si>
  <si>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</si>
  <si>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</si>
  <si>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</si>
  <si>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</si>
  <si>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</si>
  <si>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</si>
  <si>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</si>
  <si>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</si>
  <si>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</si>
  <si>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</si>
  <si>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</si>
  <si>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</si>
  <si>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</si>
  <si>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</si>
  <si>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</si>
  <si>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</si>
  <si>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</si>
  <si>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</si>
  <si>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</si>
  <si>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</si>
  <si>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</si>
  <si>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</si>
  <si>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</si>
  <si>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</si>
  <si>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</si>
  <si>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</si>
  <si>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</si>
  <si>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</si>
  <si>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</si>
  <si>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</si>
  <si>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</si>
  <si>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</si>
  <si>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</si>
  <si>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</si>
  <si>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</si>
  <si>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</si>
  <si>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</si>
  <si>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</si>
  <si>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</si>
  <si>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</si>
  <si>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</si>
  <si>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</si>
  <si>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</si>
  <si>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</si>
  <si>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</si>
  <si>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</si>
  <si>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</si>
  <si>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</si>
  <si>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</si>
  <si>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</si>
  <si>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</si>
  <si>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</si>
  <si>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</si>
  <si>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</si>
  <si>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</si>
  <si>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</si>
  <si>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</si>
  <si>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</si>
  <si>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</si>
  <si>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</si>
  <si>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</si>
  <si>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</si>
  <si>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</si>
  <si>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</si>
  <si>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</si>
  <si>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</si>
  <si>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</si>
  <si>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</si>
  <si>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</si>
  <si>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</si>
  <si>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</si>
  <si>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</si>
  <si>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</si>
  <si>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</si>
  <si>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</si>
  <si>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</si>
  <si>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</si>
  <si>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</si>
  <si>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</si>
  <si>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</si>
  <si>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</si>
  <si>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</si>
  <si>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</si>
  <si>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</si>
  <si>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</si>
  <si>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</si>
  <si>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</si>
  <si>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</si>
  <si>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</si>
  <si>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</si>
  <si>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</si>
  <si>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</si>
  <si>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</si>
  <si>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</si>
  <si>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</si>
  <si>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</si>
  <si>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</si>
  <si>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</si>
  <si>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</si>
  <si>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</si>
  <si>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</si>
  <si>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</si>
  <si>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</si>
  <si>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</si>
  <si>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</si>
  <si>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</si>
  <si>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</si>
  <si>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</si>
  <si>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</si>
  <si>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</si>
  <si>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</si>
  <si>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</si>
  <si>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</si>
  <si>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</si>
  <si>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</si>
  <si>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</si>
  <si>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</si>
  <si>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</si>
  <si>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</si>
  <si>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</si>
  <si>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</si>
  <si>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</si>
  <si>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</si>
  <si>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</si>
  <si>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</si>
  <si>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</si>
  <si>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</si>
  <si>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</si>
  <si>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</si>
  <si>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</si>
  <si>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</si>
  <si>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</si>
  <si>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</si>
  <si>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</si>
  <si>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</si>
  <si>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</si>
  <si>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</si>
  <si>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</si>
  <si>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</si>
  <si>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</si>
  <si>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</si>
  <si>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</si>
  <si>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</si>
  <si>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</si>
  <si>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</si>
  <si>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</si>
  <si>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</si>
  <si>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</si>
  <si>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</si>
  <si>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</si>
  <si>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</si>
  <si>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</si>
  <si>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</si>
  <si>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</si>
  <si>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</si>
  <si>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</si>
  <si>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</si>
  <si>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</si>
  <si>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</si>
  <si>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</si>
  <si>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</si>
  <si>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</si>
  <si>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</si>
  <si>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</si>
  <si>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</si>
  <si>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</si>
  <si>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</si>
  <si>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</si>
  <si>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</si>
  <si>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</si>
  <si>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</si>
  <si>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</si>
  <si>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</si>
  <si>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</si>
  <si>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</si>
  <si>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</si>
  <si>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</si>
  <si>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</si>
  <si>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</si>
  <si>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</si>
  <si>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</si>
  <si>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</si>
  <si>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</si>
  <si>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</si>
  <si>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</si>
  <si>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</si>
  <si>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</si>
  <si>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</si>
  <si>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</si>
  <si>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</si>
  <si>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</si>
  <si>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</si>
  <si>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</si>
  <si>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</si>
  <si>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</si>
  <si>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</si>
  <si>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</si>
  <si>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</si>
  <si>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</si>
  <si>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</si>
  <si>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</si>
  <si>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</si>
  <si>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</si>
  <si>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</si>
  <si>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</si>
  <si>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</si>
  <si>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</si>
  <si>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</si>
  <si>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</si>
  <si>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</si>
  <si>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</si>
  <si>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</si>
  <si>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</si>
  <si>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</si>
  <si>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</si>
  <si>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</si>
  <si>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</si>
  <si>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</si>
  <si>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</si>
  <si>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</si>
  <si>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</si>
  <si>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</si>
  <si>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</si>
  <si>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</si>
  <si>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</si>
  <si>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</si>
  <si>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</si>
  <si>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</si>
  <si>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</si>
  <si>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</si>
  <si>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</si>
  <si>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</si>
  <si>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</si>
  <si>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</si>
  <si>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</si>
  <si>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</si>
  <si>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</si>
  <si>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</si>
  <si>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</si>
  <si>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</si>
  <si>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</si>
  <si>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</si>
  <si>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</si>
  <si>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</si>
  <si>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</si>
  <si>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</si>
  <si>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</si>
  <si>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</si>
  <si>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</si>
  <si>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</si>
  <si>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</si>
  <si>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</si>
  <si>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</si>
  <si>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</si>
  <si>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</si>
  <si>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</si>
  <si>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</si>
  <si>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</si>
  <si>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</si>
  <si>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</si>
  <si>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</si>
  <si>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</si>
  <si>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</si>
  <si>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</si>
  <si>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</si>
  <si>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</si>
  <si>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</si>
  <si>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</si>
  <si>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</si>
  <si>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</si>
  <si>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</si>
  <si>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</si>
  <si>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</si>
  <si>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</si>
  <si>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</si>
  <si>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</si>
  <si>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</si>
  <si>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</si>
  <si>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</si>
  <si>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</si>
  <si>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</si>
  <si>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</si>
  <si>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</si>
  <si>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</si>
  <si>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</si>
  <si>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</si>
  <si>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</si>
  <si>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</si>
  <si>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</si>
  <si>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</si>
  <si>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</si>
  <si>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</si>
  <si>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</si>
  <si>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</si>
  <si>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</si>
  <si>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</si>
  <si>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</si>
  <si>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</si>
  <si>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</si>
  <si>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</si>
  <si>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</si>
  <si>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</si>
  <si>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</si>
  <si>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</si>
  <si>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</si>
  <si>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</si>
  <si>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</si>
  <si>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</si>
  <si>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</si>
  <si>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</si>
  <si>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</si>
  <si>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</si>
  <si>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</si>
  <si>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</si>
  <si>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</si>
  <si>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</si>
  <si>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</si>
  <si>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</si>
  <si>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</si>
  <si>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</si>
  <si>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</si>
  <si>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</si>
  <si>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</si>
  <si>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</si>
  <si>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</si>
  <si>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</si>
  <si>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</si>
  <si>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</si>
  <si>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</si>
  <si>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</si>
  <si>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</si>
  <si>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</si>
  <si>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</si>
  <si>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</si>
  <si>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</si>
  <si>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</si>
  <si>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</si>
  <si>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</si>
  <si>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</si>
  <si>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</si>
  <si>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</si>
  <si>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</si>
  <si>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</si>
  <si>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</si>
  <si>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</si>
  <si>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</si>
  <si>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</si>
  <si>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</si>
  <si>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</si>
  <si>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</si>
  <si>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</si>
  <si>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</si>
  <si>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</si>
  <si>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</si>
  <si>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</si>
  <si>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</si>
  <si>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</si>
  <si>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</si>
  <si>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</si>
  <si>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</si>
  <si>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</si>
  <si>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</si>
  <si>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</si>
  <si>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</si>
  <si>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</si>
  <si>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</si>
  <si>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</si>
  <si>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</si>
  <si>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</si>
  <si>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</si>
  <si>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</si>
  <si>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</si>
  <si>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</si>
  <si>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</si>
  <si>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</si>
  <si>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</si>
  <si>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</si>
  <si>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</si>
  <si>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</si>
  <si>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</si>
  <si>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</si>
  <si>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</si>
  <si>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</si>
  <si>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</si>
  <si>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</si>
  <si>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</si>
  <si>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</si>
  <si>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</si>
  <si>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</si>
  <si>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</si>
  <si>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</si>
  <si>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</si>
  <si>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</si>
  <si>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</si>
  <si>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</si>
  <si>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</si>
  <si>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</si>
  <si>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</si>
  <si>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</si>
  <si>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</si>
  <si>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</si>
  <si>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</si>
  <si>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</si>
  <si>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</si>
  <si>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</si>
  <si>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</si>
  <si>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</si>
  <si>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</si>
  <si>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</si>
  <si>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</si>
  <si>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</si>
  <si>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</si>
  <si>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</si>
  <si>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</si>
  <si>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</si>
  <si>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</si>
  <si>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</si>
  <si>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</si>
  <si>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</si>
  <si>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</si>
  <si>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</si>
  <si>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</si>
  <si>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</si>
  <si>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</si>
  <si>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</si>
  <si>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</si>
  <si>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</si>
  <si>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</si>
  <si>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</si>
  <si>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</si>
  <si>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</si>
  <si>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</si>
  <si>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</si>
  <si>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</si>
  <si>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</si>
  <si>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</si>
  <si>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</si>
  <si>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</si>
  <si>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</si>
  <si>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</si>
  <si>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</si>
  <si>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</si>
  <si>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</si>
  <si>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</si>
  <si>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</si>
  <si>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</si>
  <si>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</si>
  <si>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</si>
  <si>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</si>
  <si>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</si>
  <si>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</si>
  <si>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</si>
  <si>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</si>
  <si>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</si>
  <si>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</si>
  <si>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</si>
  <si>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</si>
  <si>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</si>
  <si>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</si>
  <si>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</si>
  <si>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</si>
  <si>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</si>
  <si>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</si>
  <si>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</si>
  <si>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</si>
  <si>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</si>
  <si>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</si>
  <si>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</si>
  <si>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</si>
  <si>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</si>
  <si>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</si>
  <si>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</si>
  <si>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</si>
  <si>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</si>
  <si>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</si>
  <si>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</si>
  <si>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</si>
  <si>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</si>
  <si>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</si>
  <si>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</si>
  <si>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</si>
  <si>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</si>
  <si>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</si>
  <si>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</si>
  <si>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</si>
  <si>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</si>
  <si>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</si>
  <si>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</si>
  <si>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</si>
  <si>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</si>
  <si>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</si>
  <si>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</si>
  <si>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</si>
  <si>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</si>
  <si>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</si>
  <si>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</si>
  <si>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</si>
  <si>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</si>
  <si>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</si>
  <si>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</si>
  <si>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</si>
  <si>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</si>
  <si>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</si>
  <si>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</si>
  <si>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</si>
  <si>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</si>
  <si>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</si>
  <si>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</si>
  <si>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</si>
  <si>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</si>
  <si>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</si>
  <si>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</si>
  <si>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</si>
  <si>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</si>
  <si>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</si>
  <si>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</si>
  <si>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</si>
  <si>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</si>
  <si>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</si>
  <si>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</si>
  <si>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</si>
  <si>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</si>
  <si>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</si>
  <si>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</si>
  <si>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</si>
  <si>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</si>
  <si>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</si>
  <si>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</si>
  <si>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</si>
  <si>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</si>
  <si>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</si>
  <si>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</si>
  <si>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</si>
  <si>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</si>
  <si>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</si>
  <si>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</si>
  <si>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</si>
  <si>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</si>
  <si>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</si>
  <si>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</si>
  <si>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</si>
  <si>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</si>
  <si>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</si>
  <si>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</si>
  <si>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</si>
  <si>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</si>
  <si>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</si>
  <si>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</si>
  <si>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</si>
  <si>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</si>
  <si>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</si>
  <si>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</si>
  <si>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</si>
  <si>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</si>
  <si>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</si>
  <si>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</si>
  <si>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</si>
  <si>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</si>
  <si>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</si>
  <si>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</si>
  <si>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</si>
  <si>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</si>
  <si>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</si>
  <si>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</si>
  <si>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</si>
  <si>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</si>
  <si>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</si>
  <si>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</si>
  <si>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</si>
  <si>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</si>
  <si>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</si>
  <si>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</si>
  <si>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</si>
  <si>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</si>
  <si>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</si>
  <si>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</si>
  <si>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</si>
  <si>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</si>
  <si>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</si>
  <si>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</si>
  <si>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</si>
  <si>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</si>
  <si>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</si>
  <si>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</si>
  <si>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</si>
  <si>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</si>
  <si>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</si>
  <si>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</si>
  <si>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</si>
  <si>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</si>
  <si>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</si>
  <si>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</si>
  <si>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</si>
  <si>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</si>
  <si>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</si>
  <si>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</si>
  <si>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</si>
  <si>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</si>
  <si>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</si>
  <si>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</si>
  <si>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</si>
  <si>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</si>
  <si>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</si>
  <si>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</si>
  <si>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</si>
  <si>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</si>
  <si>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</si>
  <si>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</si>
  <si>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</si>
  <si>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</si>
  <si>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</si>
  <si>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</si>
  <si>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</si>
  <si>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</si>
  <si>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</si>
  <si>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</si>
  <si>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</si>
  <si>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</si>
  <si>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</si>
  <si>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</si>
  <si>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</si>
  <si>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</si>
  <si>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</si>
  <si>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</si>
  <si>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</si>
  <si>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</si>
  <si>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</si>
  <si>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</si>
  <si>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</si>
  <si>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</si>
  <si>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</si>
  <si>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</si>
  <si>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</si>
  <si>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</si>
  <si>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</si>
  <si>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</si>
  <si>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</si>
  <si>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</si>
  <si>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</si>
  <si>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</si>
  <si>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</si>
  <si>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</si>
  <si>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</si>
  <si>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</si>
  <si>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</si>
  <si>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</si>
  <si>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</si>
  <si>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</si>
  <si>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</si>
  <si>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</si>
  <si>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</si>
  <si>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</si>
  <si>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</si>
  <si>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</si>
  <si>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</si>
  <si>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</si>
  <si>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</si>
  <si>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</si>
  <si>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</si>
  <si>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</si>
  <si>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</si>
  <si>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</si>
  <si>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</si>
  <si>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</si>
  <si>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</si>
  <si>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</si>
  <si>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</si>
  <si>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</si>
  <si>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</si>
  <si>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</si>
  <si>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</si>
  <si>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</si>
  <si>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</si>
  <si>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</si>
  <si>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</si>
  <si>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</si>
  <si>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</si>
  <si>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</si>
  <si>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</si>
  <si>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</si>
  <si>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</si>
  <si>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</si>
  <si>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</si>
  <si>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</si>
  <si>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</si>
  <si>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</si>
  <si>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</si>
  <si>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</si>
  <si>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</si>
  <si>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</si>
  <si>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</si>
  <si>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</si>
  <si>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</si>
  <si>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</si>
  <si>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</si>
  <si>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</si>
  <si>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</si>
  <si>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</si>
  <si>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</si>
  <si>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</si>
  <si>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</si>
  <si>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</si>
  <si>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</si>
  <si>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</si>
  <si>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</si>
  <si>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</si>
  <si>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</si>
  <si>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</si>
  <si>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</si>
  <si>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</si>
  <si>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</si>
  <si>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</si>
  <si>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</si>
  <si>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</si>
  <si>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</si>
  <si>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</si>
  <si>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</si>
  <si>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</si>
  <si>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</si>
  <si>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</si>
  <si>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</si>
  <si>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</si>
  <si>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</si>
  <si>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</si>
  <si>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</si>
  <si>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</si>
  <si>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</si>
  <si>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</si>
  <si>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</si>
  <si>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</si>
  <si>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</si>
  <si>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</si>
  <si>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</si>
  <si>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</si>
  <si>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</si>
  <si>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</si>
  <si>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</si>
  <si>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</si>
  <si>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</si>
  <si>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</si>
  <si>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</si>
  <si>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</si>
  <si>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</si>
  <si>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</si>
  <si>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</si>
  <si>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</si>
  <si>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</si>
  <si>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</si>
  <si>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</si>
  <si>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</si>
  <si>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</si>
  <si>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</si>
  <si>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</si>
  <si>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</si>
  <si>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</si>
  <si>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</si>
  <si>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</si>
  <si>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</si>
  <si>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</si>
  <si>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</si>
  <si>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</si>
  <si>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</si>
  <si>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</si>
  <si>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</si>
  <si>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</si>
  <si>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</si>
  <si>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</si>
  <si>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</si>
  <si>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</si>
  <si>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</si>
  <si>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</si>
  <si>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</si>
  <si>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</si>
  <si>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</si>
  <si>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</si>
  <si>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</si>
  <si>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</si>
  <si>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</si>
  <si>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</si>
  <si>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</si>
  <si>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</si>
  <si>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</si>
  <si>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</si>
  <si>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</si>
  <si>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</si>
  <si>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</si>
  <si>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</si>
  <si>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</si>
  <si>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</si>
  <si>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</si>
  <si>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</si>
  <si>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</si>
  <si>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</si>
  <si>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</si>
  <si>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</si>
  <si>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</si>
  <si>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</si>
  <si>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</si>
  <si>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</si>
  <si>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</si>
  <si>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</si>
  <si>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</si>
  <si>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</si>
  <si>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</si>
  <si>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</si>
  <si>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</si>
  <si>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</si>
  <si>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</si>
  <si>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</si>
  <si>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</si>
  <si>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</si>
  <si>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</si>
  <si>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</si>
  <si>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</si>
  <si>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</si>
  <si>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</si>
  <si>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</si>
  <si>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</si>
  <si>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</si>
  <si>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</si>
  <si>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</si>
  <si>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</si>
  <si>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</si>
  <si>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</si>
  <si>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</si>
  <si>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</si>
  <si>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</si>
  <si>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</si>
  <si>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</si>
  <si>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</si>
  <si>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</si>
  <si>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</si>
  <si>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</si>
  <si>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</si>
  <si>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</si>
  <si>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</si>
  <si>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</si>
  <si>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</si>
  <si>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</si>
  <si>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</si>
  <si>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</si>
  <si>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</si>
  <si>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</si>
  <si>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</si>
  <si>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</si>
  <si>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</si>
  <si>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</si>
  <si>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</si>
  <si>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</si>
  <si>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</si>
  <si>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</si>
  <si>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</si>
  <si>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</si>
  <si>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</si>
  <si>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</si>
  <si>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</si>
  <si>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</si>
  <si>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</si>
  <si>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</si>
  <si>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</si>
  <si>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</si>
  <si>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</si>
  <si>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</si>
  <si>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</si>
  <si>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</si>
  <si>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</si>
  <si>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</si>
  <si>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</si>
  <si>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</si>
  <si>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</si>
  <si>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</si>
  <si>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</si>
  <si>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</si>
  <si>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</si>
  <si>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</si>
  <si>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</si>
  <si>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</si>
  <si>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</si>
  <si>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</si>
  <si>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</si>
  <si>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</si>
  <si>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</si>
  <si>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</si>
  <si>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</si>
  <si>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</si>
  <si>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</si>
  <si>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</si>
  <si>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</si>
  <si>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</si>
  <si>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</si>
  <si>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</si>
  <si>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</si>
  <si>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</si>
  <si>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</si>
  <si>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</si>
  <si>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</si>
  <si>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</si>
  <si>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</si>
  <si>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</si>
  <si>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</si>
  <si>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</si>
  <si>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</si>
  <si>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</si>
  <si>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</si>
  <si>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</si>
  <si>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</si>
  <si>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</si>
  <si>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</si>
  <si>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</si>
  <si>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</si>
  <si>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</si>
  <si>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</si>
  <si>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</si>
  <si>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</si>
  <si>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</si>
  <si>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</si>
  <si>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</si>
  <si>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</si>
  <si>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</si>
  <si>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</si>
  <si>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</si>
  <si>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</si>
  <si>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</si>
  <si>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</si>
  <si>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</si>
  <si>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</si>
  <si>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</si>
  <si>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</si>
  <si>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</si>
  <si>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</si>
  <si>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</si>
  <si>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</si>
  <si>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</si>
  <si>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</si>
  <si>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</si>
  <si>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</si>
  <si>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</si>
  <si>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</si>
  <si>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</si>
  <si>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</si>
  <si>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</si>
  <si>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</si>
  <si>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</si>
  <si>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</si>
  <si>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</si>
  <si>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</si>
  <si>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</si>
  <si>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</si>
  <si>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</si>
  <si>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</si>
  <si>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</si>
  <si>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</si>
  <si>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</si>
  <si>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</si>
  <si>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</si>
  <si>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</si>
  <si>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</si>
  <si>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</si>
  <si>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</si>
  <si>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</si>
  <si>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</si>
  <si>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</si>
  <si>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</si>
  <si>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</si>
  <si>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</si>
  <si>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</si>
  <si>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</si>
  <si>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</si>
  <si>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</si>
  <si>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</si>
  <si>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</si>
  <si>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</si>
  <si>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</si>
  <si>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</si>
  <si>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</si>
  <si>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</si>
  <si>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</si>
  <si>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</si>
  <si>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</si>
  <si>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</si>
  <si>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</si>
  <si>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</si>
  <si>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</si>
  <si>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</si>
  <si>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</si>
  <si>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</si>
  <si>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</si>
  <si>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</si>
  <si>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</si>
  <si>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</si>
  <si>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</si>
  <si>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</si>
  <si>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</si>
  <si>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</si>
  <si>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</si>
  <si>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</si>
  <si>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</si>
  <si>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</si>
  <si>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</si>
  <si>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</si>
  <si>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</si>
  <si>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</si>
  <si>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</si>
  <si>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</si>
  <si>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</si>
  <si>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</si>
  <si>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</si>
  <si>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</si>
  <si>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</si>
  <si>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</si>
  <si>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</si>
  <si>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</si>
  <si>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</si>
  <si>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</si>
  <si>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</si>
  <si>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</si>
  <si>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</si>
  <si>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</si>
  <si>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</si>
  <si>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</si>
  <si>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</si>
  <si>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</si>
  <si>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</si>
  <si>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</si>
  <si>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</si>
  <si>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</si>
  <si>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</si>
  <si>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</si>
  <si>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</si>
  <si>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</si>
  <si>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</si>
  <si>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</si>
  <si>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</si>
  <si>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</si>
  <si>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</si>
  <si>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</si>
  <si>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</si>
  <si>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</si>
  <si>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</si>
  <si>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</si>
  <si>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</si>
  <si>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</si>
  <si>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</si>
  <si>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</si>
  <si>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</si>
  <si>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</si>
  <si>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</si>
  <si>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</si>
  <si>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</si>
  <si>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</si>
  <si>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</si>
  <si>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</si>
  <si>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</si>
  <si>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</si>
  <si>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</si>
  <si>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</si>
  <si>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</si>
  <si>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</si>
  <si>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</si>
  <si>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</si>
  <si>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</si>
  <si>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</si>
  <si>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</si>
  <si>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</si>
  <si>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</si>
  <si>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</si>
  <si>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</si>
  <si>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</si>
  <si>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</si>
  <si>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</si>
  <si>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</si>
  <si>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</si>
  <si>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</si>
  <si>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</si>
  <si>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</si>
  <si>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</si>
  <si>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</si>
  <si>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</si>
  <si>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</si>
  <si>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</si>
  <si>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</si>
  <si>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</si>
  <si>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</si>
  <si>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</si>
  <si>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</si>
  <si>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</si>
  <si>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</si>
  <si>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</si>
  <si>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</si>
  <si>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</si>
  <si>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</si>
  <si>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</si>
  <si>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</si>
  <si>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</si>
  <si>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</si>
  <si>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</si>
  <si>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</si>
  <si>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</si>
  <si>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</si>
  <si>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</si>
  <si>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</si>
  <si>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</si>
  <si>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</si>
  <si>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</si>
  <si>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</si>
  <si>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</si>
  <si>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</si>
  <si>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</si>
  <si>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</si>
  <si>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</si>
  <si>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</si>
  <si>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</si>
  <si>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</si>
  <si>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</si>
  <si>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</si>
  <si>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</si>
  <si>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</si>
  <si>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</si>
  <si>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</si>
  <si>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</si>
  <si>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</si>
  <si>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</si>
  <si>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</si>
  <si>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</si>
  <si>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</si>
  <si>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</si>
  <si>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</si>
  <si>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</si>
  <si>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</si>
  <si>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</si>
  <si>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</si>
  <si>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</si>
  <si>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</si>
  <si>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</si>
  <si>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</si>
  <si>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</si>
  <si>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</si>
  <si>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</si>
  <si>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</si>
  <si>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</si>
  <si>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</si>
  <si>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</si>
  <si>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</si>
  <si>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</si>
  <si>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</si>
  <si>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</si>
  <si>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</si>
  <si>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</si>
  <si>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</si>
  <si>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</si>
  <si>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</si>
  <si>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</si>
  <si>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</si>
  <si>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</si>
  <si>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</si>
  <si>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</si>
  <si>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</si>
  <si>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</si>
  <si>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</si>
  <si>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</si>
  <si>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</si>
  <si>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</si>
  <si>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</si>
  <si>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</si>
  <si>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</si>
  <si>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</si>
  <si>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</si>
  <si>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</si>
  <si>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</si>
  <si>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</si>
  <si>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</si>
  <si>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</si>
  <si>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</si>
  <si>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</si>
  <si>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</si>
  <si>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</si>
  <si>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</si>
  <si>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</si>
  <si>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</si>
  <si>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</si>
  <si>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</si>
  <si>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</si>
  <si>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</si>
  <si>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</si>
  <si>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</si>
  <si>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</si>
  <si>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</si>
  <si>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</si>
  <si>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</si>
  <si>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</si>
  <si>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</si>
  <si>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</si>
  <si>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</si>
  <si>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</si>
  <si>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</si>
  <si>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</si>
  <si>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</si>
  <si>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</si>
  <si>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</si>
  <si>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</si>
  <si>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</si>
  <si>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</si>
  <si>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</si>
  <si>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</si>
  <si>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</si>
  <si>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</si>
  <si>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</si>
  <si>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</si>
  <si>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</si>
  <si>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</si>
  <si>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</si>
  <si>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</si>
  <si>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</si>
  <si>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</si>
  <si>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</si>
  <si>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</si>
  <si>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</si>
  <si>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</si>
  <si>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</si>
  <si>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</si>
  <si>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</si>
  <si>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</si>
  <si>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</si>
  <si>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</si>
  <si>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</si>
  <si>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</si>
  <si>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</si>
  <si>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</si>
  <si>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</si>
  <si>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</si>
  <si>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</si>
  <si>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</si>
  <si>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</si>
  <si>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</si>
  <si>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</si>
  <si>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</si>
  <si>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</si>
  <si>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</si>
  <si>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</si>
  <si>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</si>
  <si>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</si>
  <si>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</si>
  <si>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</si>
  <si>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</si>
  <si>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</si>
  <si>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</si>
  <si>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</si>
  <si>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</si>
  <si>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</si>
  <si>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</si>
  <si>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</si>
  <si>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</si>
  <si>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</si>
  <si>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</si>
  <si>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</si>
  <si>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</si>
  <si>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</si>
  <si>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</si>
  <si>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</si>
  <si>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</si>
  <si>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</si>
  <si>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</si>
  <si>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</si>
  <si>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</si>
  <si>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</si>
  <si>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</si>
  <si>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</si>
  <si>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</si>
  <si>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</si>
  <si>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</si>
  <si>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</si>
  <si>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</si>
  <si>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</si>
  <si>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</si>
  <si>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</si>
  <si>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</si>
  <si>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</si>
  <si>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</si>
  <si>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</si>
  <si>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</si>
  <si>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</si>
  <si>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</si>
  <si>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</si>
  <si>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</si>
  <si>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</si>
  <si>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</si>
  <si>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</si>
  <si>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</si>
  <si>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</si>
  <si>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</si>
  <si>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</si>
  <si>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</si>
  <si>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</si>
  <si>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</si>
  <si>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</si>
  <si>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</si>
  <si>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</si>
  <si>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</si>
  <si>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</si>
  <si>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</si>
  <si>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</si>
  <si>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</si>
  <si>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</si>
  <si>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</si>
  <si>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</si>
  <si>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</si>
  <si>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</si>
  <si>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</si>
  <si>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</si>
  <si>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</si>
  <si>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</si>
  <si>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</si>
  <si>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</si>
  <si>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</si>
  <si>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</si>
  <si>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</si>
  <si>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</si>
  <si>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</si>
  <si>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</si>
  <si>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</si>
  <si>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</si>
  <si>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</si>
  <si>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</si>
  <si>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</si>
  <si>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</si>
  <si>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</si>
  <si>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</si>
  <si>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</si>
  <si>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</si>
  <si>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</si>
  <si>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</si>
  <si>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</si>
  <si>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</si>
  <si>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</si>
  <si>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</si>
  <si>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</si>
  <si>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</si>
  <si>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</si>
  <si>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</si>
  <si>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</si>
  <si>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</si>
  <si>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</si>
  <si>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</si>
  <si>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</si>
  <si>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</si>
  <si>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</si>
  <si>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</si>
  <si>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</si>
  <si>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</si>
  <si>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</si>
  <si>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</si>
  <si>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</si>
  <si>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</si>
  <si>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</si>
  <si>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</si>
  <si>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</si>
  <si>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</si>
  <si>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</si>
  <si>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</si>
  <si>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</si>
  <si>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</si>
  <si>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</si>
  <si>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</si>
  <si>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</si>
  <si>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</si>
  <si>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</si>
  <si>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</si>
  <si>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</si>
  <si>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</si>
  <si>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</si>
  <si>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</si>
  <si>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</si>
  <si>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</si>
  <si>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</si>
  <si>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</si>
  <si>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</si>
  <si>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</si>
  <si>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</si>
  <si>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</si>
  <si>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</si>
  <si>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</si>
  <si>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</si>
  <si>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</si>
  <si>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</si>
  <si>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</si>
  <si>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</si>
  <si>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</si>
  <si>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</si>
  <si>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</si>
  <si>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</si>
  <si>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</si>
  <si>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</si>
  <si>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</si>
  <si>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</si>
  <si>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</si>
  <si>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</si>
  <si>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</si>
  <si>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</si>
  <si>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</si>
  <si>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</si>
  <si>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</si>
  <si>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</si>
  <si>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</si>
  <si>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</si>
  <si>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</si>
  <si>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</si>
  <si>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</si>
  <si>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</si>
  <si>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</si>
  <si>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</si>
  <si>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</si>
  <si>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</si>
  <si>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</si>
  <si>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</si>
  <si>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</si>
  <si>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</si>
  <si>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</si>
  <si>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</si>
  <si>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</si>
  <si>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</si>
  <si>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</si>
  <si>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</si>
  <si>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</si>
  <si>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</si>
  <si>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</si>
  <si>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</si>
  <si>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</si>
  <si>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</si>
  <si>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</si>
  <si>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</si>
  <si>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</si>
  <si>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</si>
  <si>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</si>
  <si>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</si>
  <si>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</si>
  <si>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</si>
  <si>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</si>
  <si>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</si>
  <si>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</si>
  <si>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</si>
  <si>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</si>
  <si>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</si>
  <si>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</si>
  <si>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</si>
  <si>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</si>
  <si>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</si>
  <si>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</si>
  <si>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</si>
  <si>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</si>
  <si>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</si>
  <si>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</si>
  <si>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</si>
  <si>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</si>
  <si>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</si>
  <si>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</si>
  <si>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</si>
  <si>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</si>
  <si>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</si>
  <si>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</si>
  <si>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</si>
  <si>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</si>
  <si>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</si>
  <si>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</si>
  <si>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</si>
  <si>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</si>
  <si>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</si>
  <si>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</si>
  <si>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</si>
  <si>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</si>
  <si>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</si>
  <si>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</si>
  <si>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</si>
  <si>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</si>
  <si>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</si>
  <si>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</si>
  <si>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</si>
  <si>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</si>
  <si>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</si>
  <si>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</si>
  <si>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</si>
  <si>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</si>
  <si>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</si>
  <si>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</si>
  <si>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</si>
  <si>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</si>
  <si>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</si>
  <si>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</si>
  <si>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</si>
  <si>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</si>
  <si>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</si>
  <si>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</si>
  <si>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</si>
  <si>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</si>
  <si>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</si>
  <si>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</si>
  <si>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</si>
  <si>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</si>
  <si>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</si>
  <si>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</si>
  <si>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</si>
  <si>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</si>
  <si>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</si>
  <si>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</si>
  <si>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</si>
  <si>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</si>
  <si>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</si>
  <si>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</si>
  <si>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</si>
  <si>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</si>
  <si>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</si>
  <si>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</si>
  <si>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</si>
  <si>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</si>
  <si>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</si>
  <si>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</si>
  <si>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</si>
  <si>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</si>
  <si>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</si>
  <si>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</si>
  <si>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</si>
  <si>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</si>
  <si>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</si>
  <si>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</si>
  <si>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</si>
  <si>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</si>
  <si>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</si>
  <si>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</si>
  <si>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</si>
  <si>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</si>
  <si>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</si>
  <si>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</si>
  <si>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</si>
  <si>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</si>
  <si>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</si>
  <si>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</si>
  <si>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</si>
  <si>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</si>
  <si>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</si>
  <si>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</si>
  <si>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</si>
  <si>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</si>
  <si>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</si>
  <si>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</si>
  <si>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</si>
  <si>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</si>
  <si>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</si>
  <si>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</si>
  <si>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</si>
  <si>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</si>
  <si>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</si>
  <si>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</si>
  <si>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</si>
  <si>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</si>
  <si>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</si>
  <si>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</si>
  <si>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</si>
  <si>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</si>
  <si>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</si>
  <si>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</si>
  <si>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</si>
  <si>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</si>
  <si>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</si>
  <si>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</si>
  <si>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</si>
  <si>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</si>
  <si>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</si>
  <si>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</si>
  <si>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</si>
  <si>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</si>
  <si>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</si>
  <si>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</si>
  <si>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</si>
  <si>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</si>
  <si>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</si>
  <si>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</si>
  <si>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</si>
  <si>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</si>
  <si>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</si>
  <si>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</si>
  <si>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</si>
  <si>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</si>
  <si>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</si>
  <si>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</si>
  <si>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</si>
  <si>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</si>
  <si>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</si>
  <si>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</si>
  <si>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</si>
  <si>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</si>
  <si>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</si>
  <si>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</si>
  <si>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</si>
  <si>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</si>
  <si>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</si>
  <si>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</si>
  <si>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</si>
  <si>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</si>
  <si>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</si>
  <si>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</si>
  <si>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</si>
  <si>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</si>
  <si>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</si>
  <si>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</si>
  <si>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</si>
  <si>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</si>
  <si>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</si>
  <si>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</si>
  <si>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</si>
  <si>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</si>
  <si>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</si>
  <si>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</si>
  <si>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</si>
  <si>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</si>
  <si>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</si>
  <si>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</si>
  <si>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</si>
  <si>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</si>
  <si>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</si>
  <si>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</si>
  <si>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</si>
  <si>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</si>
  <si>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</si>
  <si>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</si>
  <si>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</si>
  <si>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</si>
  <si>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</si>
  <si>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</si>
  <si>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</si>
  <si>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</si>
  <si>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</si>
  <si>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</si>
  <si>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</si>
  <si>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</si>
  <si>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</si>
  <si>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</si>
  <si>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</si>
  <si>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</si>
  <si>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</si>
  <si>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</si>
  <si>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</si>
  <si>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</si>
  <si>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</si>
  <si>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</si>
  <si>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</si>
  <si>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</si>
  <si>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</si>
  <si>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</si>
  <si>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</si>
  <si>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</si>
  <si>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</si>
  <si>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</si>
  <si>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</si>
  <si>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</si>
  <si>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</si>
  <si>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</si>
  <si>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</si>
  <si>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</si>
  <si>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</si>
  <si>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</si>
  <si>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</si>
  <si>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</si>
  <si>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</si>
  <si>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</si>
  <si>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</si>
  <si>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</si>
  <si>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</si>
  <si>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</si>
  <si>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</si>
  <si>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</si>
  <si>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</si>
  <si>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</si>
  <si>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</si>
  <si>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</si>
  <si>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</si>
  <si>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</si>
  <si>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</si>
  <si>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</si>
  <si>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</si>
  <si>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</si>
  <si>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</si>
  <si>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</si>
  <si>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</si>
  <si>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</si>
  <si>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</si>
  <si>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</si>
  <si>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</si>
  <si>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</si>
  <si>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</si>
  <si>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</si>
  <si>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</si>
  <si>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</si>
  <si>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</si>
  <si>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</si>
  <si>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</si>
  <si>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</si>
  <si>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</si>
  <si>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</si>
  <si>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</si>
  <si>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</si>
  <si>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</si>
  <si>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</si>
  <si>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</si>
  <si>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</si>
  <si>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</si>
  <si>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</si>
  <si>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</si>
  <si>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</si>
  <si>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</si>
  <si>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</si>
  <si>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</si>
  <si>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</si>
  <si>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</si>
  <si>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</si>
  <si>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</si>
  <si>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</si>
  <si>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</si>
  <si>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</si>
  <si>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</si>
  <si>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</si>
  <si>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</si>
  <si>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</si>
  <si>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</si>
  <si>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</si>
  <si>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</si>
  <si>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</si>
  <si>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</si>
  <si>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</si>
  <si>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</si>
  <si>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</si>
  <si>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</si>
  <si>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</si>
  <si>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</si>
  <si>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</si>
  <si>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</si>
  <si>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</si>
  <si>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</si>
  <si>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</si>
  <si>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</si>
  <si>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</si>
  <si>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</si>
  <si>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</si>
  <si>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</si>
  <si>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</si>
  <si>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</si>
  <si>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</si>
  <si>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</si>
  <si>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</si>
  <si>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</si>
  <si>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</si>
  <si>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</si>
  <si>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</si>
  <si>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</si>
  <si>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</si>
  <si>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</si>
  <si>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</si>
  <si>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</si>
  <si>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</si>
  <si>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</si>
  <si>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</si>
  <si>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</si>
  <si>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</si>
  <si>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</si>
  <si>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</si>
  <si>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</si>
  <si>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</si>
  <si>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</si>
  <si>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</si>
  <si>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</si>
  <si>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</si>
  <si>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</si>
  <si>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</si>
  <si>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</si>
  <si>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</si>
  <si>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</si>
  <si>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</si>
  <si>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</si>
  <si>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</si>
  <si>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</si>
  <si>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</si>
  <si>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</si>
  <si>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</si>
  <si>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</si>
  <si>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</si>
  <si>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</si>
  <si>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</si>
  <si>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</si>
  <si>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</si>
  <si>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</si>
  <si>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</si>
  <si>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</si>
  <si>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</si>
  <si>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</si>
  <si>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</si>
  <si>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</si>
  <si>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</si>
  <si>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</si>
  <si>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</si>
  <si>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</si>
  <si>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</si>
  <si>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</si>
  <si>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</si>
  <si>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</si>
  <si>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</si>
  <si>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</si>
  <si>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</si>
  <si>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</si>
  <si>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</si>
  <si>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</si>
  <si>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</si>
  <si>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</si>
  <si>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</si>
  <si>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</si>
  <si>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</si>
  <si>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</si>
  <si>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</si>
  <si>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</si>
  <si>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</si>
  <si>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</si>
  <si>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</si>
  <si>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</si>
  <si>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</si>
  <si>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</si>
  <si>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</si>
  <si>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</si>
  <si>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</si>
  <si>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</si>
  <si>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</si>
  <si>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</si>
  <si>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</si>
  <si>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</si>
  <si>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</si>
  <si>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</si>
  <si>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</si>
  <si>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</si>
  <si>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</si>
  <si>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</si>
  <si>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</si>
  <si>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</si>
  <si>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</si>
  <si>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</si>
  <si>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</si>
  <si>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</si>
  <si>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</si>
  <si>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</si>
  <si>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</si>
  <si>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</si>
  <si>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</si>
  <si>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</si>
  <si>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</si>
  <si>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</si>
  <si>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</si>
  <si>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</si>
  <si>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</si>
  <si>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</si>
  <si>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</si>
  <si>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</si>
  <si>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</si>
  <si>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</si>
  <si>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</si>
  <si>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</si>
  <si>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</si>
  <si>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</si>
  <si>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</si>
  <si>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</si>
  <si>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</si>
  <si>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</si>
  <si>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</si>
  <si>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</si>
  <si>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</si>
  <si>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</si>
  <si>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</si>
  <si>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</si>
  <si>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</si>
  <si>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</si>
  <si>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</si>
  <si>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</si>
  <si>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</si>
  <si>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</si>
  <si>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</si>
  <si>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</si>
  <si>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</si>
  <si>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</si>
  <si>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</si>
  <si>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</si>
  <si>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</si>
  <si>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</si>
  <si>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</si>
  <si>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</si>
  <si>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</si>
  <si>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</si>
  <si>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</si>
  <si>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</si>
  <si>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</si>
  <si>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</si>
  <si>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</si>
  <si>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</si>
  <si>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</si>
  <si>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</si>
  <si>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</si>
  <si>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</si>
  <si>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</si>
  <si>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</si>
  <si>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</si>
  <si>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</si>
  <si>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</si>
  <si>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</si>
  <si>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</si>
  <si>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</si>
  <si>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</si>
  <si>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</si>
  <si>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</si>
  <si>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</si>
  <si>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</si>
  <si>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</si>
  <si>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</si>
  <si>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</si>
  <si>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</si>
  <si>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</si>
  <si>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</si>
  <si>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</si>
  <si>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</si>
  <si>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</si>
  <si>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</si>
  <si>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</si>
  <si>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</si>
  <si>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</si>
  <si>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</si>
  <si>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</si>
  <si>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</si>
  <si>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</si>
  <si>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</si>
  <si>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</si>
  <si>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</si>
  <si>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</si>
  <si>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</si>
  <si>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</si>
  <si>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</si>
  <si>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</si>
  <si>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</si>
  <si>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</si>
  <si>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</si>
  <si>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</si>
  <si>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</si>
  <si>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</si>
  <si>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</si>
  <si>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</si>
  <si>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</si>
  <si>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</si>
  <si>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</si>
  <si>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</si>
  <si>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</si>
  <si>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</si>
  <si>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</si>
  <si>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</si>
  <si>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</si>
  <si>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</si>
  <si>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</si>
  <si>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</si>
  <si>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</si>
  <si>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</si>
  <si>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</si>
  <si>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</si>
  <si>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</si>
  <si>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</si>
  <si>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</si>
  <si>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</si>
  <si>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</si>
  <si>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</si>
  <si>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</si>
  <si>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</si>
  <si>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</si>
  <si>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</si>
  <si>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</si>
  <si>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</si>
  <si>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</si>
  <si>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</si>
  <si>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</si>
  <si>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</si>
  <si>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</si>
  <si>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</si>
  <si>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</si>
  <si>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</si>
  <si>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</si>
  <si>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</si>
  <si>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</si>
  <si>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</si>
  <si>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</si>
  <si>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</si>
  <si>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</si>
  <si>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</si>
  <si>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</si>
  <si>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</si>
  <si>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</si>
  <si>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</si>
  <si>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</si>
  <si>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</si>
  <si>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</si>
  <si>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</si>
  <si>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</si>
  <si>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</si>
  <si>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</si>
  <si>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</si>
  <si>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</si>
  <si>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</si>
  <si>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</si>
  <si>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</si>
  <si>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</si>
  <si>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</si>
  <si>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</si>
  <si>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</si>
  <si>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</si>
  <si>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</si>
  <si>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</si>
  <si>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</si>
  <si>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</si>
  <si>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</si>
  <si>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</si>
  <si>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</si>
  <si>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</si>
  <si>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</si>
  <si>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</si>
  <si>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</si>
  <si>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</si>
  <si>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</si>
  <si>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</si>
  <si>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</si>
  <si>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</si>
  <si>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</si>
  <si>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</si>
  <si>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</si>
  <si>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</si>
  <si>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</si>
  <si>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</si>
  <si>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</si>
  <si>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</si>
  <si>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</si>
  <si>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</si>
  <si>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</si>
  <si>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</si>
  <si>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</si>
  <si>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</si>
  <si>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</si>
  <si>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</si>
  <si>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</si>
  <si>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</si>
  <si>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</si>
  <si>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</si>
  <si>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</si>
  <si>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</si>
  <si>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</si>
  <si>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</si>
  <si>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</si>
  <si>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</si>
  <si>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</si>
  <si>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</si>
  <si>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</si>
  <si>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</si>
  <si>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</si>
  <si>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</si>
  <si>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</si>
  <si>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</si>
  <si>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</si>
  <si>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</si>
  <si>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</si>
  <si>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</si>
  <si>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</si>
  <si>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</si>
  <si>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</si>
  <si>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</si>
  <si>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</si>
  <si>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</si>
  <si>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</si>
  <si>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</si>
  <si>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</si>
  <si>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</si>
  <si>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</si>
  <si>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</si>
  <si>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</si>
  <si>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</si>
  <si>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</si>
  <si>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</si>
  <si>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</si>
  <si>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</si>
  <si>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</si>
  <si>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</si>
  <si>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</si>
  <si>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</si>
  <si>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</si>
  <si>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</si>
  <si>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</si>
  <si>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</si>
  <si>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</si>
  <si>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</si>
  <si>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</si>
  <si>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</si>
  <si>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</si>
  <si>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</si>
  <si>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</si>
  <si>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</si>
  <si>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</si>
  <si>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</si>
  <si>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</si>
  <si>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</si>
  <si>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</si>
  <si>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</si>
  <si>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</si>
  <si>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</si>
  <si>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</si>
  <si>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</si>
  <si>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</si>
  <si>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</si>
  <si>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</si>
  <si>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</si>
  <si>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</si>
  <si>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</si>
  <si>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</si>
  <si>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</si>
  <si>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</si>
  <si>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</si>
  <si>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</si>
  <si>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</si>
  <si>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</si>
  <si>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</si>
  <si>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</si>
  <si>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</si>
  <si>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</si>
  <si>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</si>
  <si>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</si>
  <si>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</si>
  <si>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</si>
  <si>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</si>
  <si>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</si>
  <si>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</si>
  <si>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</si>
  <si>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</si>
  <si>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</si>
  <si>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</si>
  <si>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</si>
  <si>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</si>
  <si>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</si>
  <si>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</si>
  <si>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</si>
  <si>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</si>
  <si>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</si>
  <si>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</si>
  <si>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</si>
  <si>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</si>
  <si>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</si>
  <si>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</si>
  <si>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</si>
  <si>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</si>
  <si>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</si>
  <si>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</si>
  <si>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</si>
  <si>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</si>
  <si>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</si>
  <si>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</si>
  <si>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</si>
  <si>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</si>
  <si>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</si>
  <si>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</si>
  <si>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</si>
  <si>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</si>
  <si>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</si>
  <si>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</si>
  <si>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</si>
  <si>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</si>
  <si>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</si>
  <si>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</si>
  <si>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</si>
  <si>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</si>
  <si>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</si>
  <si>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</si>
  <si>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</si>
  <si>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</si>
  <si>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</si>
  <si>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</si>
  <si>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</si>
  <si>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</si>
  <si>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</si>
  <si>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</si>
  <si>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</si>
  <si>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</si>
  <si>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</si>
  <si>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</si>
  <si>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</si>
  <si>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</si>
  <si>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</si>
  <si>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</si>
  <si>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</si>
  <si>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</si>
  <si>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</si>
  <si>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</si>
  <si>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</si>
  <si>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</si>
  <si>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</si>
  <si>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</si>
  <si>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</si>
  <si>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</si>
  <si>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</si>
  <si>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</si>
  <si>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</si>
  <si>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</si>
  <si>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</si>
  <si>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</si>
  <si>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</si>
  <si>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</si>
  <si>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</si>
  <si>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</si>
  <si>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</si>
  <si>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</si>
  <si>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</si>
  <si>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</si>
  <si>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</si>
  <si>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</si>
  <si>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</si>
  <si>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</si>
  <si>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</si>
  <si>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</si>
  <si>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</si>
  <si>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</si>
  <si>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</si>
  <si>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</si>
  <si>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</si>
  <si>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</si>
  <si>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</si>
  <si>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</si>
  <si>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</si>
  <si>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</si>
  <si>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</si>
  <si>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</si>
  <si>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</si>
  <si>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</si>
  <si>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</si>
  <si>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</si>
  <si>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</si>
  <si>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</si>
  <si>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</si>
  <si>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</si>
  <si>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</si>
  <si>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</si>
  <si>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</si>
  <si>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</si>
  <si>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</si>
  <si>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</si>
  <si>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</si>
  <si>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</si>
  <si>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</si>
  <si>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</si>
  <si>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</si>
  <si>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</si>
  <si>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</si>
  <si>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</si>
  <si>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</si>
  <si>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</si>
  <si>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</si>
  <si>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</si>
  <si>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</si>
  <si>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</si>
  <si>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</si>
  <si>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</si>
  <si>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</si>
  <si>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</si>
  <si>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</si>
  <si>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</si>
  <si>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</si>
  <si>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</si>
  <si>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</si>
  <si>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</si>
  <si>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</si>
  <si>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</si>
  <si>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</si>
  <si>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</si>
  <si>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</si>
  <si>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</si>
  <si>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</si>
  <si>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</si>
  <si>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</si>
  <si>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</si>
  <si>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</si>
  <si>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</si>
  <si>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</si>
  <si>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</si>
  <si>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</si>
  <si>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</si>
  <si>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</si>
  <si>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</si>
  <si>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</si>
  <si>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</si>
  <si>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</si>
  <si>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</si>
  <si>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</si>
  <si>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</si>
  <si>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</si>
  <si>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</si>
  <si>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</si>
  <si>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</si>
  <si>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</si>
  <si>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</si>
  <si>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</si>
  <si>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</si>
  <si>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</si>
  <si>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</si>
  <si>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</si>
  <si>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</si>
  <si>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</si>
  <si>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</si>
  <si>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</si>
  <si>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</si>
  <si>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</si>
  <si>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</si>
  <si>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</si>
  <si>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</si>
  <si>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</si>
  <si>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</si>
  <si>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</si>
  <si>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</si>
  <si>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</si>
  <si>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</si>
  <si>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</si>
  <si>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</si>
  <si>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</si>
  <si>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</si>
  <si>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</si>
  <si>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</si>
  <si>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</si>
  <si>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</si>
  <si>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</si>
  <si>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</si>
  <si>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</si>
  <si>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</si>
  <si>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</si>
  <si>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</si>
  <si>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</si>
  <si>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</si>
  <si>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</si>
  <si>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</si>
  <si>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</si>
  <si>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</si>
  <si>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</si>
  <si>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</si>
  <si>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</si>
  <si>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</si>
  <si>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</si>
  <si>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</si>
  <si>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</si>
  <si>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</si>
  <si>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</si>
  <si>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</si>
  <si>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</si>
  <si>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</si>
  <si>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</si>
  <si>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</si>
  <si>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</si>
  <si>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</si>
  <si>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</si>
  <si>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</si>
  <si>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</si>
  <si>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</si>
  <si>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</si>
  <si>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</si>
  <si>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</si>
  <si>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</si>
  <si>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</si>
  <si>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</si>
  <si>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</si>
  <si>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</si>
  <si>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</si>
  <si>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</si>
  <si>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</si>
  <si>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</si>
  <si>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</si>
  <si>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</si>
  <si>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</si>
  <si>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</si>
  <si>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</si>
  <si>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</si>
  <si>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</si>
  <si>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</si>
  <si>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</si>
  <si>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</si>
  <si>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</si>
  <si>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</si>
  <si>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</si>
  <si>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</si>
  <si>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</si>
  <si>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</si>
  <si>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</si>
  <si>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</si>
  <si>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</si>
  <si>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</si>
  <si>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</si>
  <si>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</si>
  <si>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</si>
  <si>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</si>
  <si>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</si>
  <si>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</si>
  <si>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</si>
  <si>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</si>
  <si>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</si>
  <si>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</si>
  <si>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</si>
  <si>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</si>
  <si>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</si>
  <si>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</si>
  <si>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</si>
  <si>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</si>
  <si>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</si>
  <si>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</si>
  <si>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</si>
  <si>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</si>
  <si>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</si>
  <si>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</si>
  <si>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</si>
  <si>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</si>
  <si>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</si>
  <si>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</si>
  <si>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</si>
  <si>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</si>
  <si>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</si>
  <si>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</si>
  <si>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</si>
  <si>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</si>
  <si>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</si>
  <si>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</si>
  <si>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</si>
  <si>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</si>
  <si>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</si>
  <si>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</si>
  <si>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</si>
  <si>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</si>
  <si>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</si>
  <si>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</si>
  <si>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</si>
  <si>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</si>
  <si>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</si>
  <si>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</si>
  <si>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</si>
  <si>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</si>
  <si>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</si>
  <si>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</si>
  <si>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</si>
  <si>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</si>
  <si>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</si>
  <si>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</si>
  <si>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</si>
  <si>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</si>
  <si>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</si>
  <si>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</si>
  <si>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</si>
  <si>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</si>
  <si>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</si>
  <si>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</si>
  <si>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</si>
  <si>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</si>
  <si>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</si>
  <si>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</si>
  <si>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</si>
  <si>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</si>
  <si>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</si>
  <si>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</si>
  <si>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</si>
  <si>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</si>
  <si>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</si>
  <si>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</si>
  <si>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</si>
  <si>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</si>
  <si>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</si>
  <si>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</si>
  <si>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</si>
  <si>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</si>
  <si>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</si>
  <si>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</si>
  <si>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</si>
  <si>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</si>
  <si>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</si>
  <si>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</si>
  <si>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</si>
  <si>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</si>
  <si>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</si>
  <si>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</si>
  <si>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</si>
  <si>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</si>
  <si>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</si>
  <si>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</si>
  <si>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</si>
  <si>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</si>
  <si>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</si>
  <si>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</si>
  <si>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</si>
  <si>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</si>
  <si>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</si>
  <si>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</si>
  <si>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</si>
  <si>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</si>
  <si>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</si>
  <si>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</si>
  <si>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</si>
  <si>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</si>
  <si>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</si>
  <si>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</si>
  <si>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</si>
  <si>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</si>
  <si>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</si>
  <si>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</si>
  <si>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</si>
  <si>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</si>
  <si>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</si>
  <si>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</si>
  <si>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</si>
  <si>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</si>
  <si>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</si>
  <si>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</si>
  <si>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</si>
  <si>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</si>
  <si>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</si>
  <si>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</si>
  <si>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</si>
  <si>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</si>
  <si>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</si>
  <si>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</si>
  <si>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</si>
  <si>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</si>
  <si>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</si>
  <si>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</si>
  <si>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</si>
  <si>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</si>
  <si>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</si>
  <si>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</si>
  <si>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</si>
  <si>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</si>
  <si>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</si>
  <si>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</si>
  <si>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</si>
  <si>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</si>
  <si>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</si>
  <si>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</si>
  <si>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</si>
  <si>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</si>
  <si>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</si>
  <si>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</si>
  <si>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</si>
  <si>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</si>
  <si>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</si>
  <si>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</si>
  <si>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</si>
  <si>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</si>
  <si>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</si>
  <si>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</si>
  <si>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</si>
  <si>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</si>
  <si>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</si>
  <si>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</si>
  <si>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</si>
  <si>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</si>
  <si>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</si>
  <si>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</si>
  <si>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</si>
  <si>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</si>
  <si>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</si>
  <si>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</si>
  <si>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</si>
  <si>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</si>
  <si>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</si>
  <si>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</si>
  <si>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</si>
  <si>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</si>
  <si>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</si>
  <si>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</si>
  <si>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</si>
  <si>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</si>
  <si>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</si>
  <si>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</si>
  <si>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</si>
  <si>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</si>
  <si>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</si>
  <si>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</si>
  <si>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</si>
  <si>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</si>
  <si>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</si>
  <si>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</si>
  <si>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</si>
  <si>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</si>
  <si>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</si>
  <si>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</si>
  <si>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</si>
  <si>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</si>
  <si>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</si>
  <si>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</si>
  <si>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</si>
  <si>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</si>
  <si>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</si>
  <si>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</si>
  <si>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</si>
  <si>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</si>
  <si>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</si>
  <si>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</si>
  <si>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</si>
  <si>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</si>
  <si>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</si>
  <si>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</si>
  <si>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</si>
  <si>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</si>
  <si>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</si>
  <si>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</si>
  <si>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</si>
  <si>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</si>
  <si>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</si>
  <si>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</si>
  <si>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</si>
  <si>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</si>
  <si>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</si>
  <si>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</si>
  <si>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</si>
  <si>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</si>
  <si>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</si>
  <si>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</si>
  <si>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</si>
  <si>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</si>
  <si>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</si>
  <si>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</si>
  <si>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</si>
  <si>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</si>
  <si>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</si>
  <si>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</si>
  <si>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</si>
  <si>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</si>
  <si>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</si>
  <si>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</si>
  <si>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</si>
  <si>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</si>
  <si>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</si>
  <si>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</si>
  <si>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</si>
  <si>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</si>
  <si>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</si>
  <si>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</si>
  <si>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</si>
  <si>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</si>
  <si>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</si>
  <si>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</si>
  <si>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</si>
  <si>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</si>
  <si>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</si>
  <si>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</si>
  <si>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</si>
  <si>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</si>
  <si>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</si>
  <si>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</si>
  <si>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</si>
  <si>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</si>
  <si>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</si>
  <si>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</si>
  <si>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</si>
  <si>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</si>
  <si>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</si>
  <si>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</si>
  <si>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</si>
  <si>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</si>
  <si>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</si>
  <si>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</si>
  <si>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</si>
  <si>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</si>
  <si>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</si>
  <si>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</si>
  <si>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</si>
  <si>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</si>
  <si>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</si>
  <si>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</si>
  <si>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</si>
  <si>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</si>
  <si>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</si>
  <si>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</si>
  <si>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</si>
  <si>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</si>
  <si>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</si>
  <si>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</si>
  <si>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</si>
  <si>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</si>
  <si>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</si>
  <si>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</si>
  <si>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</si>
  <si>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</si>
  <si>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</si>
  <si>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</si>
  <si>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</si>
  <si>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</si>
  <si>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</si>
  <si>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</si>
  <si>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</si>
  <si>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</si>
  <si>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</si>
  <si>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</si>
  <si>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</si>
  <si>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</si>
  <si>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</si>
  <si>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</si>
  <si>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</si>
  <si>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</si>
  <si>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</si>
  <si>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</si>
  <si>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</si>
  <si>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</si>
  <si>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</si>
  <si>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</si>
  <si>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</si>
  <si>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</si>
  <si>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</si>
  <si>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</si>
  <si>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</si>
  <si>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</si>
  <si>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</si>
  <si>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</si>
  <si>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</si>
  <si>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</si>
  <si>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</si>
  <si>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</si>
  <si>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</si>
  <si>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</si>
  <si>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</si>
  <si>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</si>
  <si>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</si>
  <si>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</si>
  <si>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</si>
  <si>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</si>
  <si>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</si>
  <si>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</si>
  <si>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</si>
  <si>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</si>
  <si>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</si>
  <si>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</si>
  <si>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</si>
  <si>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</si>
  <si>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</si>
  <si>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</si>
  <si>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</si>
  <si>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</si>
  <si>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</si>
  <si>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</si>
  <si>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</si>
  <si>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</si>
  <si>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</si>
  <si>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</si>
  <si>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</si>
  <si>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</si>
  <si>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</si>
  <si>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</si>
  <si>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</si>
  <si>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</si>
  <si>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</si>
  <si>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</si>
  <si>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</si>
  <si>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</si>
  <si>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</si>
  <si>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</si>
  <si>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</si>
  <si>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</si>
  <si>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</si>
  <si>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</si>
  <si>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</si>
  <si>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</si>
  <si>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</si>
  <si>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</si>
  <si>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</si>
  <si>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</si>
  <si>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</si>
  <si>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</si>
  <si>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</si>
  <si>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</si>
  <si>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</si>
  <si>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</si>
  <si>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</si>
  <si>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</si>
  <si>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</si>
  <si>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</si>
  <si>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</si>
  <si>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</si>
  <si>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</si>
  <si>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</si>
  <si>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</si>
  <si>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</si>
  <si>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</si>
  <si>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</si>
  <si>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</si>
  <si>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</si>
  <si>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</si>
  <si>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</si>
  <si>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</si>
  <si>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</si>
  <si>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</si>
  <si>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</si>
  <si>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</si>
  <si>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</si>
  <si>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</si>
  <si>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</si>
  <si>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</si>
  <si>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</si>
  <si>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</si>
  <si>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</si>
  <si>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</si>
  <si>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</si>
  <si>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</si>
  <si>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</si>
  <si>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</si>
  <si>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</si>
  <si>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</si>
  <si>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</si>
  <si>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</si>
  <si>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</si>
  <si>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</si>
  <si>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</si>
  <si>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</si>
  <si>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</si>
  <si>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</si>
  <si>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</si>
  <si>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</si>
  <si>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</si>
  <si>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</si>
  <si>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</si>
  <si>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</si>
  <si>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</si>
  <si>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</si>
  <si>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</si>
  <si>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</si>
  <si>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</si>
  <si>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</si>
  <si>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</si>
  <si>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</si>
  <si>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</si>
  <si>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</si>
  <si>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</si>
  <si>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</si>
  <si>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</si>
  <si>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</si>
  <si>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</si>
  <si>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</si>
  <si>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</si>
  <si>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</si>
  <si>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</si>
  <si>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</si>
  <si>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</si>
  <si>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</si>
  <si>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</si>
  <si>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</si>
  <si>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</si>
  <si>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</si>
  <si>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</si>
  <si>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</si>
  <si>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</si>
  <si>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</si>
  <si>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</si>
  <si>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</si>
  <si>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</si>
  <si>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</si>
  <si>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</si>
  <si>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</si>
  <si>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</si>
  <si>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</si>
  <si>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</si>
  <si>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</si>
  <si>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</si>
  <si>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</si>
  <si>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</si>
  <si>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</si>
  <si>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</si>
  <si>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</si>
  <si>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</si>
  <si>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</si>
  <si>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</si>
  <si>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</si>
  <si>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</si>
  <si>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</si>
  <si>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</si>
  <si>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</si>
  <si>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</si>
  <si>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</si>
  <si>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</si>
  <si>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</si>
  <si>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</si>
  <si>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</si>
  <si>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</si>
  <si>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</si>
  <si>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</si>
  <si>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</si>
  <si>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</si>
  <si>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</si>
  <si>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</si>
  <si>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</si>
  <si>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</si>
  <si>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</si>
  <si>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</si>
  <si>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</si>
  <si>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</si>
  <si>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</si>
  <si>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</si>
  <si>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</si>
  <si>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</si>
  <si>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</si>
  <si>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</si>
  <si>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</si>
  <si>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</si>
  <si>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</si>
  <si>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</si>
  <si>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</si>
  <si>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</si>
  <si>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</si>
  <si>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</si>
  <si>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</si>
  <si>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</si>
  <si>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</si>
  <si>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</si>
  <si>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</si>
  <si>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</si>
  <si>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</si>
  <si>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</si>
  <si>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</si>
  <si>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</si>
  <si>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</si>
  <si>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</si>
  <si>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</si>
  <si>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</si>
  <si>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</si>
  <si>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</si>
  <si>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</si>
  <si>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</si>
  <si>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</si>
  <si>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</si>
  <si>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</si>
  <si>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</si>
  <si>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</si>
  <si>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</si>
  <si>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</si>
  <si>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</si>
  <si>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</si>
  <si>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</si>
  <si>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</si>
  <si>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</si>
  <si>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</si>
  <si>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</si>
  <si>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</si>
  <si>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</si>
  <si>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</si>
  <si>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</si>
  <si>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</si>
  <si>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</si>
  <si>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</si>
  <si>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</si>
  <si>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</si>
  <si>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</si>
  <si>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</si>
  <si>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</si>
  <si>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</si>
  <si>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</si>
  <si>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</si>
  <si>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</si>
  <si>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</si>
  <si>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</si>
  <si>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</si>
  <si>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</si>
  <si>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</si>
  <si>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</si>
  <si>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</si>
  <si>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</si>
  <si>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</si>
  <si>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</si>
  <si>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</si>
  <si>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</si>
  <si>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</si>
  <si>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</si>
  <si>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</si>
  <si>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</si>
  <si>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</si>
  <si>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</si>
  <si>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</si>
  <si>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</si>
  <si>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</si>
  <si>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</si>
  <si>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</si>
  <si>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</si>
  <si>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</si>
  <si>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</si>
  <si>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</si>
  <si>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</si>
  <si>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</si>
  <si>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</si>
  <si>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</si>
  <si>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</si>
  <si>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</si>
  <si>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</si>
  <si>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</si>
  <si>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</si>
  <si>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</si>
  <si>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</si>
  <si>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</si>
  <si>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</si>
  <si>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</si>
  <si>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</si>
  <si>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</si>
  <si>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</si>
  <si>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</si>
  <si>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</si>
  <si>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</si>
  <si>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</si>
  <si>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</si>
  <si>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</si>
  <si>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</si>
  <si>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</si>
  <si>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</si>
  <si>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</si>
  <si>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</si>
  <si>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</si>
  <si>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</si>
  <si>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</si>
  <si>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</si>
  <si>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</si>
  <si>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</si>
  <si>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</si>
  <si>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</si>
  <si>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</si>
  <si>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</si>
  <si>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</si>
  <si>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</si>
  <si>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</si>
  <si>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</si>
  <si>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</si>
  <si>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</si>
  <si>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</si>
  <si>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</si>
  <si>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</si>
  <si>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</si>
  <si>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</si>
  <si>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</si>
  <si>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</si>
  <si>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</si>
  <si>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</si>
  <si>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</si>
  <si>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</si>
  <si>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</si>
  <si>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</si>
  <si>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</si>
  <si>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</si>
  <si>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</si>
  <si>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</si>
  <si>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</si>
  <si>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</si>
  <si>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</si>
  <si>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</si>
  <si>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</si>
  <si>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</si>
  <si>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</si>
  <si>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</si>
  <si>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</si>
  <si>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</si>
  <si>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</si>
  <si>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</si>
  <si>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</si>
  <si>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</si>
  <si>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</si>
  <si>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</si>
  <si>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</si>
  <si>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</si>
  <si>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</si>
  <si>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</si>
  <si>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</si>
  <si>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</si>
  <si>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</si>
  <si>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</si>
  <si>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</si>
  <si>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</si>
  <si>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</si>
  <si>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</si>
  <si>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</si>
  <si>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</si>
  <si>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</si>
  <si>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</si>
  <si>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</si>
  <si>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</si>
  <si>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</si>
  <si>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</si>
  <si>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</si>
  <si>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</si>
  <si>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</si>
  <si>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</si>
  <si>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</si>
  <si>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</si>
  <si>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</si>
  <si>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</si>
  <si>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</si>
  <si>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</si>
  <si>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</si>
  <si>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</si>
  <si>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</si>
  <si>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</si>
  <si>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</si>
  <si>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</si>
  <si>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</si>
  <si>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</si>
  <si>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</si>
  <si>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</si>
  <si>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</si>
  <si>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</si>
  <si>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</si>
  <si>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</si>
  <si>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</si>
  <si>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</si>
  <si>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</si>
  <si>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</si>
  <si>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</si>
  <si>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</si>
  <si>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</si>
  <si>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</si>
  <si>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</si>
  <si>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</si>
  <si>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</si>
  <si>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</si>
  <si>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</si>
  <si>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</si>
  <si>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</si>
  <si>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</si>
  <si>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</si>
  <si>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</si>
  <si>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</si>
  <si>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</si>
  <si>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</si>
  <si>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</si>
  <si>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</si>
  <si>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</si>
  <si>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</si>
  <si>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</si>
  <si>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</si>
  <si>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</si>
  <si>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</si>
  <si>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</si>
  <si>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</si>
  <si>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</si>
  <si>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</si>
  <si>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</si>
  <si>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</si>
  <si>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</si>
  <si>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</si>
  <si>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</si>
  <si>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</si>
  <si>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</si>
  <si>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</si>
  <si>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</si>
  <si>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</si>
  <si>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</si>
  <si>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</si>
  <si>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</si>
  <si>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</si>
  <si>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</si>
  <si>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</si>
  <si>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</si>
  <si>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</si>
  <si>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</si>
  <si>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</si>
  <si>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</si>
  <si>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</si>
  <si>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</si>
  <si>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</si>
  <si>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</si>
  <si>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</si>
  <si>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</si>
  <si>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</si>
  <si>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</si>
  <si>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</si>
  <si>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</si>
  <si>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</si>
  <si>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</si>
  <si>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</si>
  <si>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</si>
  <si>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</si>
  <si>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</si>
  <si>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</si>
  <si>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</si>
  <si>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</si>
  <si>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</si>
  <si>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</si>
  <si>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</si>
  <si>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</si>
  <si>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</si>
  <si>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</si>
  <si>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</si>
  <si>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</si>
  <si>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</si>
  <si>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</si>
  <si>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</si>
  <si>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</si>
  <si>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</si>
  <si>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</si>
  <si>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</si>
  <si>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</si>
  <si>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</si>
  <si>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</si>
  <si>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</si>
  <si>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</si>
  <si>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</si>
  <si>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</si>
  <si>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</si>
  <si>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</si>
  <si>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</si>
  <si>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</si>
  <si>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</si>
  <si>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</si>
  <si>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</si>
  <si>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</si>
  <si>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</si>
  <si>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</si>
  <si>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</si>
  <si>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</si>
  <si>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</si>
  <si>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</si>
  <si>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</si>
  <si>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</si>
  <si>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</si>
  <si>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</si>
  <si>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</si>
  <si>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</si>
  <si>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</si>
  <si>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</si>
  <si>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</si>
  <si>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</si>
  <si>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</si>
  <si>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</si>
  <si>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</si>
  <si>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</si>
  <si>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</si>
  <si>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</si>
  <si>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</si>
  <si>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</si>
  <si>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</si>
  <si>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</si>
  <si>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</si>
  <si>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</si>
  <si>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</si>
  <si>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</si>
  <si>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</si>
  <si>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</si>
  <si>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</si>
  <si>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</si>
  <si>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</si>
  <si>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</si>
  <si>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</si>
  <si>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</si>
  <si>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</si>
  <si>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</si>
  <si>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</si>
  <si>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</si>
  <si>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</si>
  <si>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</si>
  <si>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</si>
  <si>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</si>
  <si>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</si>
  <si>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</si>
  <si>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</si>
  <si>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</si>
  <si>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</si>
  <si>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</si>
  <si>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</si>
  <si>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</si>
  <si>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</si>
  <si>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</si>
  <si>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</si>
  <si>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</si>
  <si>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</si>
  <si>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</si>
  <si>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</si>
  <si>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</si>
  <si>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</si>
  <si>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</si>
  <si>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</si>
  <si>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</si>
  <si>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</si>
  <si>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</si>
  <si>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</si>
  <si>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</si>
  <si>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</si>
  <si>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</si>
  <si>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</si>
  <si>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</si>
  <si>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</si>
  <si>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</si>
  <si>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</si>
  <si>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</si>
  <si>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</si>
  <si>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</si>
  <si>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</si>
  <si>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</si>
  <si>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</si>
  <si>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</si>
  <si>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</si>
  <si>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</si>
  <si>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</si>
  <si>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</si>
  <si>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</si>
  <si>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</si>
  <si>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</si>
  <si>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</si>
  <si>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</si>
  <si>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</si>
  <si>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</si>
  <si>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</si>
  <si>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</si>
  <si>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</si>
  <si>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</si>
  <si>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</si>
  <si>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</si>
  <si>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</si>
  <si>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</si>
  <si>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</si>
  <si>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</si>
  <si>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</si>
  <si>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</si>
  <si>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</si>
  <si>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</si>
  <si>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</si>
  <si>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</si>
  <si>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</si>
  <si>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</si>
  <si>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</si>
  <si>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</si>
  <si>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</si>
  <si>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</si>
  <si>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</si>
  <si>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</si>
  <si>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</si>
  <si>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</si>
  <si>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</si>
  <si>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</si>
  <si>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</si>
  <si>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</si>
  <si>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</si>
  <si>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</si>
  <si>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</si>
  <si>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</si>
  <si>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</si>
  <si>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</si>
  <si>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</si>
  <si>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</si>
  <si>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</si>
  <si>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</si>
  <si>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</si>
  <si>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</si>
  <si>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</si>
  <si>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</si>
  <si>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</si>
  <si>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</si>
  <si>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</si>
  <si>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</si>
  <si>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</si>
  <si>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</si>
  <si>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</si>
  <si>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</si>
  <si>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</si>
  <si>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</si>
  <si>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</si>
  <si>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</si>
  <si>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</si>
  <si>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</si>
  <si>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</si>
  <si>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</si>
  <si>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</si>
  <si>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</si>
  <si>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</si>
  <si>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</si>
  <si>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</si>
  <si>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</si>
  <si>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</si>
  <si>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</si>
  <si>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</si>
  <si>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</si>
  <si>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</si>
  <si>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</si>
  <si>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</si>
  <si>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</si>
  <si>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</si>
  <si>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</si>
  <si>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</si>
  <si>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</si>
  <si>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</si>
  <si>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</si>
  <si>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</si>
  <si>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</si>
  <si>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</si>
  <si>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</si>
  <si>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</si>
  <si>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</si>
  <si>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</si>
  <si>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</si>
  <si>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</si>
  <si>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</si>
  <si>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</si>
  <si>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</si>
  <si>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</si>
  <si>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</si>
  <si>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</si>
  <si>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</si>
  <si>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</si>
  <si>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</si>
  <si>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</si>
  <si>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</si>
  <si>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</si>
  <si>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</si>
  <si>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</si>
  <si>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</si>
  <si>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</si>
  <si>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</si>
  <si>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</si>
  <si>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</si>
  <si>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</si>
  <si>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</si>
  <si>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</si>
  <si>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</si>
  <si>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</si>
  <si>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</si>
  <si>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</si>
  <si>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</si>
  <si>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</si>
  <si>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</si>
  <si>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</si>
  <si>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</si>
  <si>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</si>
  <si>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</si>
  <si>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</si>
  <si>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</si>
  <si>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</si>
  <si>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</si>
  <si>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</si>
  <si>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</si>
  <si>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</si>
  <si>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</si>
  <si>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</si>
  <si>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</si>
  <si>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</si>
  <si>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</si>
  <si>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</si>
  <si>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</si>
  <si>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</si>
  <si>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</si>
  <si>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</si>
  <si>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</si>
  <si>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</si>
  <si>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</si>
  <si>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</si>
  <si>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</si>
  <si>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</si>
  <si>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</si>
  <si>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</si>
  <si>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</si>
  <si>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</si>
  <si>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</si>
  <si>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</si>
  <si>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</si>
  <si>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</si>
  <si>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</si>
  <si>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</si>
  <si>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</si>
  <si>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</si>
  <si>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</si>
  <si>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</si>
  <si>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</si>
  <si>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</si>
  <si>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</si>
  <si>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</si>
  <si>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</si>
  <si>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</si>
  <si>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</si>
  <si>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</si>
  <si>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</si>
  <si>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</si>
  <si>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</si>
  <si>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</si>
  <si>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</si>
  <si>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</si>
  <si>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</si>
  <si>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</si>
  <si>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</si>
  <si>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</si>
  <si>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</si>
  <si>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</si>
  <si>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</si>
  <si>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</si>
  <si>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</si>
  <si>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</si>
  <si>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</si>
  <si>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</si>
  <si>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</si>
  <si>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</si>
  <si>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</si>
  <si>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</si>
  <si>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</si>
  <si>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</si>
  <si>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</si>
  <si>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</si>
  <si>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</si>
  <si>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</si>
  <si>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</si>
  <si>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</si>
  <si>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</si>
  <si>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</si>
  <si>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</si>
  <si>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</si>
  <si>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</si>
  <si>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</si>
  <si>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</si>
  <si>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</si>
  <si>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</si>
  <si>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</si>
  <si>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</si>
  <si>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</si>
  <si>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</si>
  <si>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</si>
  <si>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</si>
  <si>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</si>
  <si>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</si>
  <si>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</si>
  <si>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</si>
  <si>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</si>
  <si>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</si>
  <si>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</si>
  <si>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</si>
  <si>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</si>
  <si>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</si>
  <si>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</si>
  <si>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</si>
  <si>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</si>
  <si>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</si>
  <si>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</si>
  <si>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</si>
  <si>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</si>
  <si>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</si>
  <si>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</si>
  <si>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</si>
  <si>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</si>
  <si>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</si>
  <si>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</si>
  <si>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</si>
  <si>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</si>
  <si>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</si>
  <si>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</si>
  <si>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</si>
  <si>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</si>
  <si>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</si>
  <si>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</si>
  <si>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</si>
  <si>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</si>
  <si>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</si>
  <si>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</si>
  <si>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</si>
  <si>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</si>
  <si>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</si>
  <si>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</si>
  <si>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</si>
  <si>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</si>
  <si>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</si>
  <si>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</si>
  <si>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</si>
  <si>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</si>
  <si>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</si>
  <si>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</si>
  <si>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</si>
  <si>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</si>
  <si>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</si>
  <si>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</si>
  <si>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</si>
  <si>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</si>
  <si>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</si>
  <si>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</si>
  <si>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</si>
  <si>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</si>
  <si>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</si>
  <si>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</si>
  <si>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</si>
  <si>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</si>
  <si>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</si>
  <si>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</si>
  <si>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</si>
  <si>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</si>
  <si>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</si>
  <si>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</si>
  <si>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</si>
  <si>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</si>
  <si>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</si>
  <si>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</si>
  <si>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</si>
  <si>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</si>
  <si>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</si>
  <si>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</si>
  <si>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</si>
  <si>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</si>
  <si>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</si>
  <si>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</si>
  <si>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</si>
  <si>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</si>
  <si>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</si>
  <si>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</si>
  <si>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</si>
  <si>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</si>
  <si>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</si>
  <si>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</si>
  <si>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</si>
  <si>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</si>
  <si>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</si>
  <si>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</si>
  <si>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</si>
  <si>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</si>
  <si>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</si>
  <si>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</si>
  <si>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</si>
  <si>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</si>
  <si>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</si>
  <si>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</si>
  <si>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</si>
  <si>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</si>
  <si>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</si>
  <si>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</si>
  <si>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</si>
  <si>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</si>
  <si>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</si>
  <si>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</si>
  <si>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</si>
  <si>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</si>
  <si>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</si>
  <si>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</si>
  <si>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</si>
  <si>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</si>
  <si>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</si>
  <si>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</si>
  <si>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</si>
  <si>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</si>
  <si>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</si>
  <si>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</si>
  <si>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</si>
  <si>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</si>
  <si>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</si>
  <si>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</si>
  <si>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</si>
  <si>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</si>
  <si>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</si>
  <si>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</si>
  <si>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</si>
  <si>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</si>
  <si>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</si>
  <si>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</si>
  <si>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</si>
  <si>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</si>
  <si>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</si>
  <si>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</si>
  <si>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</si>
  <si>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</si>
  <si>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</si>
  <si>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</si>
  <si>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</si>
  <si>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</si>
  <si>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</si>
  <si>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</si>
  <si>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</si>
  <si>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</si>
  <si>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</si>
  <si>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</si>
  <si>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</si>
  <si>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</si>
  <si>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</si>
  <si>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</si>
  <si>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</si>
  <si>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</si>
  <si>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</si>
  <si>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</si>
  <si>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</si>
  <si>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</si>
  <si>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</si>
  <si>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</si>
  <si>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</si>
  <si>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</si>
  <si>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</si>
  <si>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</si>
  <si>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</si>
  <si>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</si>
  <si>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</si>
  <si>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</si>
  <si>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</si>
  <si>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</si>
  <si>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</si>
  <si>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</si>
  <si>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</si>
  <si>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</si>
  <si>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</si>
  <si>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</si>
  <si>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</si>
  <si>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</si>
  <si>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</si>
  <si>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</si>
  <si>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</si>
  <si>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</si>
  <si>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</si>
  <si>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</si>
  <si>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</si>
  <si>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</si>
  <si>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</si>
  <si>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</si>
  <si>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</si>
  <si>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</si>
  <si>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</si>
  <si>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</si>
  <si>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</si>
  <si>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</si>
  <si>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</si>
  <si>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</si>
  <si>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</si>
  <si>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</si>
  <si>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</si>
  <si>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</si>
  <si>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</si>
  <si>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</si>
  <si>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</si>
  <si>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</si>
  <si>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</si>
  <si>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</si>
  <si>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</si>
  <si>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</si>
  <si>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</si>
  <si>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</si>
  <si>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</si>
  <si>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</si>
  <si>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</si>
  <si>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</si>
  <si>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</si>
  <si>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</si>
  <si>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</si>
  <si>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</si>
  <si>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</si>
  <si>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</si>
  <si>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</si>
  <si>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</si>
  <si>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</si>
  <si>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</si>
  <si>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</si>
  <si>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</si>
  <si>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</si>
  <si>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</si>
  <si>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</si>
  <si>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</si>
  <si>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</si>
  <si>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</si>
  <si>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</si>
  <si>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</si>
  <si>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</si>
  <si>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</si>
  <si>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</si>
  <si>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</si>
  <si>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</si>
  <si>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</si>
  <si>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</si>
  <si>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</si>
  <si>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</si>
  <si>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</si>
  <si>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</si>
  <si>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</si>
  <si>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</si>
  <si>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</si>
  <si>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</si>
  <si>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</si>
  <si>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</si>
  <si>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</si>
  <si>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</si>
  <si>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</si>
  <si>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</si>
  <si>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</si>
  <si>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</si>
  <si>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</si>
  <si>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</si>
  <si>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</si>
  <si>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</si>
  <si>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</si>
  <si>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</si>
  <si>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</si>
  <si>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</si>
  <si>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</si>
  <si>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</si>
  <si>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</si>
  <si>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</si>
  <si>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</si>
  <si>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</si>
  <si>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</si>
  <si>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</si>
  <si>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</si>
  <si>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</si>
  <si>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</si>
  <si>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</si>
  <si>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</si>
  <si>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</si>
  <si>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</si>
  <si>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</si>
  <si>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</si>
  <si>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</si>
  <si>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</si>
  <si>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</si>
  <si>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</si>
  <si>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</si>
  <si>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</si>
  <si>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</si>
  <si>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</si>
  <si>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</si>
  <si>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</si>
  <si>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</si>
  <si>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</si>
  <si>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</si>
  <si>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</si>
  <si>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</si>
  <si>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</si>
  <si>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</si>
  <si>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</si>
  <si>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</si>
  <si>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</si>
  <si>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</si>
  <si>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</si>
  <si>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</si>
  <si>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</si>
  <si>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</si>
  <si>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</si>
  <si>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</si>
  <si>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</si>
  <si>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</si>
  <si>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</si>
  <si>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</si>
  <si>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</si>
  <si>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</si>
  <si>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</si>
  <si>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</si>
  <si>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</si>
  <si>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</si>
  <si>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</si>
  <si>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</si>
  <si>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</si>
  <si>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</si>
  <si>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</si>
  <si>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</si>
  <si>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</si>
  <si>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</si>
  <si>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</si>
  <si>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</si>
  <si>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</si>
  <si>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</si>
  <si>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</si>
  <si>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</si>
  <si>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</si>
  <si>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</si>
  <si>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</si>
  <si>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</si>
  <si>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</si>
  <si>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</si>
  <si>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</si>
  <si>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</si>
  <si>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</si>
  <si>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</si>
  <si>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</si>
  <si>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</si>
  <si>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</si>
  <si>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</si>
  <si>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</si>
  <si>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</si>
  <si>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</si>
  <si>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</si>
  <si>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</si>
  <si>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</si>
  <si>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</si>
  <si>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</si>
  <si>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</si>
  <si>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</si>
  <si>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</si>
  <si>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</si>
  <si>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</si>
  <si>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</si>
  <si>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</si>
  <si>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</si>
  <si>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</si>
  <si>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</si>
  <si>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</si>
  <si>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</si>
  <si>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</si>
  <si>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</si>
  <si>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</si>
  <si>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</si>
  <si>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</si>
  <si>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</si>
  <si>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</si>
  <si>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</si>
  <si>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</si>
  <si>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</si>
  <si>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</si>
  <si>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</si>
  <si>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</si>
  <si>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</si>
  <si>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</si>
  <si>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</si>
  <si>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</si>
  <si>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</si>
  <si>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</si>
  <si>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</si>
  <si>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</si>
  <si>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</si>
  <si>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</si>
  <si>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</si>
  <si>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</si>
  <si>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</si>
  <si>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</si>
  <si>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</si>
  <si>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</si>
  <si>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</si>
  <si>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</si>
  <si>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</si>
  <si>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</si>
  <si>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</si>
  <si>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</si>
  <si>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</si>
  <si>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</si>
  <si>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</si>
  <si>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</si>
  <si>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</si>
  <si>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</si>
  <si>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</si>
  <si>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</si>
  <si>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</si>
  <si>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</si>
  <si>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</si>
  <si>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</si>
  <si>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</si>
  <si>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</si>
  <si>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</si>
  <si>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</si>
  <si>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</si>
  <si>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</si>
  <si>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</si>
  <si>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</si>
  <si>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</si>
  <si>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</si>
  <si>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</si>
  <si>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</si>
  <si>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</si>
  <si>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</si>
  <si>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</si>
  <si>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</si>
  <si>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</si>
  <si>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</si>
  <si>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</si>
  <si>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</si>
  <si>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</si>
  <si>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</si>
  <si>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</si>
  <si>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</si>
  <si>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</si>
  <si>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</si>
  <si>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</si>
  <si>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</si>
  <si>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</si>
  <si>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</si>
  <si>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</si>
  <si>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</si>
  <si>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</si>
  <si>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</si>
  <si>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</si>
  <si>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</si>
  <si>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</si>
  <si>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</si>
  <si>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</si>
  <si>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</si>
  <si>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</si>
  <si>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</si>
  <si>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</si>
  <si>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</si>
  <si>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</si>
  <si>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</si>
  <si>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</si>
  <si>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</si>
  <si>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</si>
  <si>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</si>
  <si>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</si>
  <si>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</si>
  <si>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</si>
  <si>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</si>
  <si>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</si>
  <si>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</si>
  <si>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</si>
  <si>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</si>
  <si>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</si>
  <si>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</si>
  <si>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</si>
  <si>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</si>
  <si>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</si>
  <si>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</si>
  <si>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</si>
  <si>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</si>
  <si>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</si>
  <si>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</si>
  <si>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</si>
  <si>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</si>
  <si>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</si>
  <si>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</si>
  <si>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</si>
  <si>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</si>
  <si>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</si>
  <si>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</si>
  <si>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</si>
  <si>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</si>
  <si>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</si>
  <si>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</si>
  <si>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</si>
  <si>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</si>
  <si>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</si>
  <si>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</si>
  <si>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</si>
  <si>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</si>
  <si>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</si>
  <si>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</si>
  <si>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</si>
  <si>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</si>
  <si>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</si>
  <si>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</si>
  <si>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</si>
  <si>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</si>
  <si>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</si>
  <si>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</si>
  <si>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</si>
  <si>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</si>
  <si>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</si>
  <si>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</si>
  <si>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</si>
  <si>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</si>
  <si>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</si>
  <si>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</si>
  <si>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</si>
  <si>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</si>
  <si>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</si>
  <si>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</si>
  <si>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</si>
  <si>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</si>
  <si>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</si>
  <si>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</si>
  <si>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</si>
  <si>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</si>
  <si>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</si>
  <si>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</si>
  <si>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</si>
  <si>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</si>
  <si>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</si>
  <si>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</si>
  <si>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</si>
  <si>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</si>
  <si>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</si>
  <si>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</si>
  <si>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</si>
  <si>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</si>
  <si>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</si>
  <si>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</si>
  <si>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</si>
  <si>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</si>
  <si>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</si>
  <si>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</si>
  <si>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</si>
  <si>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</si>
  <si>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</si>
  <si>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</si>
  <si>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</si>
  <si>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</si>
  <si>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</si>
  <si>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</si>
  <si>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</si>
  <si>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</si>
  <si>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</si>
  <si>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</si>
  <si>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</si>
  <si>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</si>
  <si>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</si>
  <si>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</si>
  <si>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</si>
  <si>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</si>
  <si>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</si>
  <si>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</si>
  <si>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</si>
  <si>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</si>
  <si>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</si>
  <si>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</si>
  <si>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</si>
  <si>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</si>
  <si>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</si>
  <si>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</si>
  <si>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</si>
  <si>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</si>
  <si>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</si>
  <si>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</si>
  <si>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</si>
  <si>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</si>
  <si>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</si>
  <si>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</si>
  <si>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</si>
  <si>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</si>
  <si>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</si>
  <si>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</si>
  <si>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</si>
  <si>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</si>
  <si>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</si>
  <si>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</si>
  <si>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</si>
  <si>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</si>
  <si>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</si>
  <si>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</si>
  <si>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</si>
  <si>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</si>
  <si>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</si>
  <si>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</si>
  <si>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</si>
  <si>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</si>
  <si>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</si>
  <si>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</si>
  <si>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</si>
  <si>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</si>
  <si>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</si>
  <si>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</si>
  <si>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</si>
  <si>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</si>
  <si>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</si>
  <si>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</si>
  <si>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</si>
  <si>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</si>
  <si>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</si>
  <si>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</si>
  <si>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</si>
  <si>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</si>
  <si>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</si>
  <si>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</si>
  <si>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</si>
  <si>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</si>
  <si>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</si>
  <si>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</si>
  <si>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</si>
  <si>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</si>
  <si>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</si>
  <si>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</si>
  <si>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</si>
  <si>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</si>
  <si>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</si>
  <si>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</si>
  <si>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</si>
  <si>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</si>
  <si>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</si>
  <si>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</si>
  <si>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</si>
  <si>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</si>
  <si>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</si>
  <si>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</si>
  <si>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</si>
  <si>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</si>
  <si>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</si>
  <si>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</si>
  <si>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</si>
  <si>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</si>
  <si>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</si>
  <si>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</si>
  <si>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</si>
  <si>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</si>
  <si>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</si>
  <si>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</si>
  <si>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</si>
  <si>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</si>
  <si>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</si>
  <si>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</si>
  <si>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</si>
  <si>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</si>
  <si>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</si>
  <si>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</si>
  <si>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</si>
  <si>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</si>
  <si>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</si>
  <si>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</si>
  <si>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</si>
  <si>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</si>
  <si>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</si>
  <si>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</si>
  <si>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</si>
  <si>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</si>
  <si>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</si>
  <si>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</si>
  <si>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</si>
  <si>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</si>
  <si>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</si>
  <si>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</si>
  <si>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</si>
  <si>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</si>
  <si>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</si>
  <si>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</si>
  <si>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</si>
  <si>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</si>
  <si>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</si>
  <si>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</si>
  <si>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</si>
  <si>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</si>
  <si>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</si>
  <si>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</si>
  <si>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</si>
  <si>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</si>
  <si>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</si>
  <si>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</si>
  <si>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</si>
  <si>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</si>
  <si>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</si>
  <si>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</si>
  <si>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</si>
  <si>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</si>
  <si>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</si>
  <si>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</si>
  <si>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</si>
  <si>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</si>
  <si>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</si>
  <si>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</si>
  <si>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</si>
  <si>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</si>
  <si>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</si>
  <si>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</si>
  <si>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</si>
  <si>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</si>
  <si>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</si>
  <si>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</si>
  <si>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</si>
  <si>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</si>
  <si>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</si>
  <si>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</si>
  <si>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</si>
  <si>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</si>
  <si>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</si>
  <si>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</si>
  <si>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</si>
  <si>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</si>
  <si>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</si>
  <si>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</si>
  <si>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</si>
  <si>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</si>
  <si>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</si>
  <si>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</si>
  <si>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</si>
  <si>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</si>
  <si>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</si>
  <si>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</si>
  <si>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</si>
  <si>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</si>
  <si>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</si>
  <si>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</si>
  <si>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</si>
  <si>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</si>
  <si>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</si>
  <si>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</si>
  <si>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</si>
  <si>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</si>
  <si>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</si>
  <si>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</si>
  <si>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</si>
  <si>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</si>
  <si>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</si>
  <si>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</si>
  <si>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</si>
  <si>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</si>
  <si>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</si>
  <si>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</si>
  <si>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</si>
  <si>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</si>
  <si>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</si>
  <si>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</si>
  <si>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</si>
  <si>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</si>
  <si>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</si>
  <si>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</si>
  <si>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</si>
  <si>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</si>
  <si>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</si>
  <si>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</si>
  <si>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</si>
  <si>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</si>
  <si>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</si>
  <si>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</si>
  <si>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</si>
  <si>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</si>
  <si>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</si>
  <si>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</si>
  <si>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</si>
  <si>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</si>
  <si>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</si>
  <si>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</si>
  <si>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</si>
  <si>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</si>
  <si>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</si>
  <si>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</si>
  <si>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</si>
  <si>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</si>
  <si>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</si>
  <si>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</si>
  <si>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</si>
  <si>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</si>
  <si>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</si>
  <si>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</si>
  <si>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</si>
  <si>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</si>
  <si>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</si>
  <si>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</si>
  <si>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</si>
  <si>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</si>
  <si>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</si>
  <si>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</si>
  <si>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</si>
  <si>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</si>
  <si>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</si>
  <si>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</si>
  <si>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</si>
  <si>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</si>
  <si>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</si>
  <si>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</si>
  <si>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</si>
  <si>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</si>
  <si>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</si>
  <si>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</si>
  <si>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</si>
  <si>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</si>
  <si>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</si>
  <si>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</si>
  <si>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</si>
  <si>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</si>
  <si>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</si>
  <si>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</si>
  <si>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</si>
  <si>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</si>
  <si>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</si>
  <si>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</si>
  <si>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</si>
  <si>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</si>
  <si>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</si>
  <si>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</si>
  <si>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</si>
  <si>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</si>
  <si>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</si>
  <si>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</si>
  <si>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</si>
  <si>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</si>
  <si>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</si>
  <si>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</si>
  <si>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</si>
  <si>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</si>
  <si>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</si>
  <si>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</si>
  <si>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</si>
  <si>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</si>
  <si>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</si>
  <si>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</si>
  <si>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</si>
  <si>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</si>
  <si>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</si>
  <si>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</si>
  <si>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</si>
  <si>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</si>
  <si>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</si>
  <si>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</si>
  <si>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</si>
  <si>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</si>
  <si>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</si>
  <si>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</si>
  <si>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</si>
  <si>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</si>
  <si>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</si>
  <si>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</si>
  <si>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</si>
  <si>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</si>
  <si>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</si>
  <si>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</si>
  <si>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</si>
  <si>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</si>
  <si>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</si>
  <si>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</si>
  <si>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</si>
  <si>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</si>
  <si>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</si>
  <si>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</si>
  <si>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</si>
  <si>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</si>
  <si>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</si>
  <si>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</si>
  <si>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</si>
  <si>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</si>
  <si>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</si>
  <si>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</si>
  <si>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</si>
  <si>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</si>
  <si>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</si>
  <si>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</si>
  <si>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</si>
  <si>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</si>
  <si>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</si>
  <si>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</si>
  <si>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</si>
  <si>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</si>
  <si>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</si>
  <si>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</si>
  <si>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</si>
  <si>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</si>
  <si>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</si>
  <si>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</si>
  <si>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</si>
  <si>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</si>
  <si>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</si>
  <si>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</si>
  <si>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</si>
  <si>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</si>
  <si>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</si>
  <si>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</si>
  <si>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</si>
  <si>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</si>
  <si>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</si>
  <si>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</si>
  <si>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</si>
  <si>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</si>
  <si>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</si>
  <si>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</si>
  <si>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</si>
  <si>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</si>
  <si>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</si>
  <si>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</si>
  <si>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</si>
  <si>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</si>
  <si>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</si>
  <si>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</si>
  <si>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</si>
  <si>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</si>
  <si>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</si>
  <si>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</si>
  <si>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</si>
  <si>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</si>
  <si>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</si>
  <si>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</si>
  <si>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</si>
  <si>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</si>
  <si>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</si>
  <si>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</si>
  <si>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</si>
  <si>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</si>
  <si>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</si>
  <si>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</si>
  <si>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</si>
  <si>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</si>
  <si>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</si>
  <si>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</si>
  <si>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</si>
  <si>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</si>
  <si>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</si>
  <si>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</si>
  <si>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</si>
  <si>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</si>
  <si>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</si>
  <si>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</si>
  <si>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</si>
  <si>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</si>
  <si>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</si>
  <si>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</si>
  <si>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</si>
  <si>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</si>
  <si>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</si>
  <si>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</si>
  <si>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</si>
  <si>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</si>
  <si>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</si>
  <si>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</si>
  <si>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</si>
  <si>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</si>
  <si>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</si>
  <si>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</si>
  <si>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</si>
  <si>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</si>
  <si>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</si>
  <si>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</si>
  <si>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</si>
  <si>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</si>
  <si>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</si>
  <si>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</si>
  <si>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</si>
  <si>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</si>
  <si>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</si>
  <si>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</si>
  <si>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</si>
  <si>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</si>
  <si>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</si>
  <si>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</si>
  <si>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</si>
  <si>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</si>
  <si>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</si>
  <si>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</si>
  <si>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</si>
  <si>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</si>
  <si>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</si>
  <si>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</si>
  <si>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</si>
  <si>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</si>
  <si>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</si>
  <si>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</si>
  <si>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</si>
  <si>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</si>
  <si>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</si>
  <si>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</si>
  <si>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</si>
  <si>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</si>
  <si>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</si>
  <si>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</si>
  <si>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</si>
  <si>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</si>
  <si>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</si>
  <si>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</si>
  <si>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</si>
  <si>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</si>
  <si>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</si>
  <si>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</si>
  <si>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</si>
  <si>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</si>
  <si>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</si>
  <si>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</si>
  <si>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</si>
  <si>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</si>
  <si>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</si>
  <si>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</si>
  <si>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</si>
  <si>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</si>
  <si>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</si>
  <si>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</si>
  <si>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</si>
  <si>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</si>
  <si>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</si>
  <si>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</si>
  <si>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</si>
  <si>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</si>
  <si>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</si>
  <si>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</si>
  <si>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</si>
  <si>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</si>
  <si>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</si>
  <si>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</si>
  <si>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</si>
  <si>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</si>
  <si>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</si>
  <si>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</si>
  <si>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</si>
  <si>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</si>
  <si>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</si>
  <si>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</si>
  <si>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</si>
  <si>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</si>
  <si>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</si>
  <si>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</si>
  <si>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</si>
  <si>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</si>
  <si>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</si>
  <si>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</si>
  <si>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</si>
  <si>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</si>
  <si>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</si>
  <si>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</si>
  <si>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</si>
  <si>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</si>
  <si>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</si>
  <si>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</si>
  <si>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</si>
  <si>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</si>
  <si>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</si>
  <si>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</si>
  <si>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</si>
  <si>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</si>
  <si>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</si>
  <si>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</si>
  <si>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</si>
  <si>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</si>
  <si>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</si>
  <si>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</si>
  <si>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</si>
  <si>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</si>
  <si>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</si>
  <si>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</si>
  <si>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</si>
  <si>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</si>
  <si>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</si>
  <si>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</si>
  <si>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</si>
  <si>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</si>
  <si>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</si>
  <si>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</si>
  <si>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</si>
  <si>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</si>
  <si>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</si>
  <si>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</si>
  <si>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</si>
  <si>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</si>
  <si>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</si>
  <si>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</si>
  <si>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</si>
  <si>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</si>
  <si>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</si>
  <si>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</si>
  <si>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</si>
  <si>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</si>
  <si>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</si>
  <si>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</si>
  <si>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</si>
  <si>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</si>
  <si>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</si>
  <si>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</si>
  <si>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</si>
  <si>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</si>
  <si>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</si>
  <si>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</si>
  <si>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</si>
  <si>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</si>
  <si>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</si>
  <si>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</si>
  <si>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</si>
  <si>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</si>
  <si>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</si>
  <si>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</si>
  <si>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</si>
  <si>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</si>
  <si>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</si>
  <si>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</si>
  <si>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</si>
  <si>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</si>
  <si>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</si>
  <si>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</si>
  <si>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</si>
  <si>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</si>
  <si>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</si>
  <si>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</si>
  <si>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</si>
  <si>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</si>
  <si>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</si>
  <si>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</si>
  <si>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</si>
  <si>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</si>
  <si>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</si>
  <si>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</si>
  <si>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</si>
  <si>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</si>
  <si>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</si>
  <si>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</si>
  <si>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</si>
  <si>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</si>
  <si>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</si>
  <si>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</si>
  <si>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</si>
  <si>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</si>
  <si>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</si>
  <si>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</si>
  <si>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</si>
  <si>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</si>
  <si>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</si>
  <si>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</si>
  <si>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</si>
  <si>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</si>
  <si>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</si>
  <si>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</si>
  <si>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</si>
  <si>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</si>
  <si>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</si>
  <si>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</si>
  <si>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</si>
  <si>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</si>
  <si>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</si>
  <si>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</si>
  <si>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</si>
  <si>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</si>
  <si>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</si>
  <si>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</si>
  <si>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</si>
  <si>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</si>
  <si>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</si>
  <si>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</si>
  <si>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</si>
  <si>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</si>
  <si>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</si>
  <si>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</si>
  <si>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</si>
  <si>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</si>
  <si>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</si>
  <si>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</si>
  <si>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</si>
  <si>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</si>
  <si>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</si>
  <si>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</si>
  <si>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</si>
  <si>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</si>
  <si>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</si>
  <si>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</si>
  <si>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</si>
  <si>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</si>
  <si>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</si>
  <si>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</si>
  <si>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</si>
  <si>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</si>
  <si>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</si>
  <si>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</si>
  <si>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</si>
  <si>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</si>
  <si>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</si>
  <si>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</si>
  <si>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</si>
  <si>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</si>
  <si>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</si>
  <si>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</si>
  <si>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</si>
  <si>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</si>
  <si>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</si>
  <si>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</si>
  <si>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</si>
  <si>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</si>
  <si>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</si>
  <si>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</si>
  <si>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</si>
  <si>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</si>
  <si>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</si>
  <si>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</si>
  <si>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</si>
  <si>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</si>
  <si>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</si>
  <si>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</si>
  <si>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</si>
  <si>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</si>
  <si>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</si>
  <si>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</si>
  <si>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</si>
  <si>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</si>
  <si>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</si>
  <si>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</si>
  <si>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</si>
  <si>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</si>
  <si>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</si>
  <si>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</si>
  <si>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</si>
  <si>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</si>
  <si>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</si>
  <si>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</si>
  <si>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</si>
  <si>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</si>
  <si>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</si>
  <si>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</si>
  <si>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</si>
  <si>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</si>
  <si>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</si>
  <si>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</si>
  <si>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</si>
  <si>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</si>
  <si>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</si>
  <si>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</si>
  <si>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</si>
  <si>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</si>
  <si>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</si>
  <si>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</si>
  <si>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</si>
  <si>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</si>
  <si>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</si>
  <si>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</si>
  <si>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</si>
  <si>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</si>
  <si>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</si>
  <si>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</si>
  <si>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</si>
  <si>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</si>
  <si>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</si>
  <si>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</si>
  <si>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</si>
  <si>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</si>
  <si>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</si>
  <si>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</si>
  <si>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</si>
  <si>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</si>
  <si>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</si>
  <si>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</si>
  <si>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</si>
  <si>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</si>
  <si>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</si>
  <si>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</si>
  <si>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</si>
  <si>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</si>
  <si>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</si>
  <si>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</si>
  <si>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</si>
  <si>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</si>
  <si>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</si>
  <si>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</si>
  <si>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</si>
  <si>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</si>
  <si>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</si>
  <si>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</si>
  <si>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</si>
  <si>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</si>
  <si>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</si>
  <si>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</si>
  <si>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</si>
  <si>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</si>
  <si>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</si>
  <si>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</si>
  <si>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</si>
  <si>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</si>
  <si>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</si>
  <si>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</si>
  <si>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</si>
  <si>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</si>
  <si>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</si>
  <si>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</si>
  <si>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</si>
  <si>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</si>
  <si>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</si>
  <si>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</si>
  <si>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</si>
  <si>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</si>
  <si>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</si>
  <si>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</si>
  <si>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</si>
  <si>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</si>
  <si>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</si>
  <si>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</si>
  <si>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</si>
  <si>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</si>
  <si>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</si>
  <si>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</si>
  <si>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</si>
  <si>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</si>
  <si>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</si>
  <si>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</si>
  <si>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</si>
  <si>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</si>
  <si>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</si>
  <si>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</si>
  <si>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</si>
  <si>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</si>
  <si>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</si>
  <si>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</si>
  <si>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</si>
  <si>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</si>
  <si>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</si>
  <si>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</si>
  <si>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</si>
  <si>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</si>
  <si>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</si>
  <si>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</si>
  <si>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</si>
  <si>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</si>
  <si>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</si>
  <si>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</si>
  <si>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</si>
  <si>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</si>
  <si>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</si>
  <si>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</si>
  <si>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</si>
  <si>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</si>
  <si>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</si>
  <si>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</si>
  <si>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</si>
  <si>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</si>
  <si>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</si>
  <si>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</si>
  <si>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</si>
  <si>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</si>
  <si>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</si>
  <si>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</si>
  <si>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</si>
  <si>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</si>
  <si>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</si>
  <si>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</si>
  <si>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</si>
  <si>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</si>
  <si>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</si>
  <si>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</si>
  <si>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</si>
  <si>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</si>
  <si>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</si>
  <si>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</si>
  <si>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</si>
  <si>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</si>
  <si>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</si>
  <si>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</si>
  <si>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</si>
  <si>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</si>
  <si>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</si>
  <si>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</si>
  <si>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</si>
  <si>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</si>
  <si>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</si>
  <si>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</si>
  <si>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</si>
  <si>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</si>
  <si>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</si>
  <si>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</si>
  <si>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</si>
  <si>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</si>
  <si>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</si>
  <si>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</si>
  <si>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</si>
  <si>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</si>
  <si>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</si>
  <si>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</si>
  <si>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</si>
  <si>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</si>
  <si>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</si>
  <si>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</si>
  <si>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</si>
  <si>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</si>
  <si>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</si>
  <si>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</si>
  <si>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</si>
  <si>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</si>
  <si>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</si>
  <si>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</si>
  <si>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</si>
  <si>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</si>
  <si>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</si>
  <si>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</si>
  <si>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</si>
  <si>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</si>
  <si>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</si>
  <si>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</si>
  <si>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</si>
  <si>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</si>
  <si>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</si>
  <si>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</si>
  <si>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</si>
  <si>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</si>
  <si>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</si>
  <si>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</si>
  <si>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</si>
  <si>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</si>
  <si>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</si>
  <si>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</si>
  <si>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</si>
  <si>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</si>
  <si>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</si>
  <si>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</si>
  <si>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</si>
  <si>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</si>
  <si>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</si>
  <si>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</si>
  <si>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</si>
  <si>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</si>
  <si>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</si>
  <si>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</si>
  <si>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</si>
  <si>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</si>
  <si>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</si>
  <si>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</si>
  <si>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</si>
  <si>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</si>
  <si>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</si>
  <si>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</si>
  <si>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</si>
  <si>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</si>
  <si>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</si>
  <si>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</si>
  <si>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</si>
  <si>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</si>
  <si>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</si>
  <si>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</si>
  <si>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</si>
  <si>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</si>
  <si>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</si>
  <si>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</si>
  <si>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</si>
  <si>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</si>
  <si>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</si>
  <si>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</si>
  <si>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</si>
  <si>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</si>
  <si>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</si>
  <si>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</si>
  <si>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</si>
  <si>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</si>
  <si>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</si>
  <si>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</si>
  <si>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</si>
  <si>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</si>
  <si>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</si>
  <si>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</si>
  <si>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</si>
  <si>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</si>
  <si>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</si>
  <si>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</si>
  <si>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</si>
  <si>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</si>
  <si>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</si>
  <si>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</si>
  <si>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</si>
  <si>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</si>
  <si>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</si>
  <si>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</si>
  <si>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</si>
  <si>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</si>
  <si>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</si>
  <si>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</si>
  <si>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</si>
  <si>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</si>
  <si>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</si>
  <si>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</si>
  <si>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</si>
  <si>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</si>
  <si>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</si>
  <si>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</si>
  <si>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</si>
  <si>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</si>
  <si>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</si>
  <si>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</si>
  <si>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</si>
  <si>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</si>
  <si>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</si>
  <si>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</si>
  <si>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</si>
  <si>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</si>
  <si>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</si>
  <si>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</si>
  <si>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</si>
  <si>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</si>
  <si>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</si>
  <si>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</si>
  <si>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</si>
  <si>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</si>
  <si>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</si>
  <si>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</si>
  <si>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</si>
  <si>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</si>
  <si>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</si>
  <si>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</si>
  <si>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</si>
  <si>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</si>
  <si>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</si>
  <si>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</si>
  <si>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</si>
  <si>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</si>
  <si>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</si>
  <si>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</si>
  <si>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</si>
  <si>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</si>
  <si>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</si>
  <si>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</si>
  <si>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</si>
  <si>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</si>
  <si>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</si>
  <si>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</si>
  <si>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</si>
  <si>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</si>
  <si>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</si>
  <si>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</si>
  <si>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</si>
  <si>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</si>
  <si>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</si>
  <si>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</si>
  <si>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</si>
  <si>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</si>
  <si>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</si>
  <si>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</si>
  <si>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</si>
  <si>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</si>
  <si>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</si>
  <si>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</si>
  <si>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</si>
  <si>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</si>
  <si>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</si>
  <si>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</si>
  <si>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</si>
  <si>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</si>
  <si>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</si>
  <si>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</si>
  <si>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</si>
  <si>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</si>
  <si>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</si>
  <si>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</si>
  <si>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</si>
  <si>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</si>
  <si>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</si>
  <si>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</si>
  <si>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</si>
  <si>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</si>
  <si>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</si>
  <si>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</si>
  <si>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</si>
  <si>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</si>
  <si>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</si>
  <si>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</si>
  <si>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</si>
  <si>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</si>
  <si>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</si>
  <si>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</si>
  <si>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</si>
  <si>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</si>
  <si>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</si>
  <si>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</si>
  <si>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</si>
  <si>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</si>
  <si>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</si>
  <si>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</si>
  <si>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</si>
  <si>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</si>
  <si>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</si>
  <si>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</si>
  <si>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</si>
  <si>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</si>
  <si>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</si>
  <si>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</si>
  <si>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</si>
  <si>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</si>
  <si>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</si>
  <si>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</si>
  <si>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</si>
  <si>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</si>
  <si>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</si>
  <si>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</si>
  <si>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</si>
  <si>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</si>
  <si>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</si>
  <si>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</si>
  <si>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</si>
  <si>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</si>
  <si>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</si>
  <si>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</si>
  <si>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</si>
  <si>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</si>
  <si>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</si>
  <si>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</si>
  <si>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</si>
  <si>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</si>
  <si>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</si>
  <si>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</si>
  <si>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</si>
  <si>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</si>
  <si>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</si>
  <si>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</si>
  <si>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</si>
  <si>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</si>
  <si>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</si>
  <si>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</si>
  <si>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</si>
  <si>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</si>
  <si>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</si>
  <si>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</si>
  <si>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</si>
  <si>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</si>
  <si>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</si>
  <si>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</si>
  <si>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</si>
  <si>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</si>
  <si>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</si>
  <si>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</si>
  <si>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</si>
  <si>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</si>
  <si>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</si>
  <si>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</si>
  <si>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</si>
  <si>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</si>
  <si>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</si>
  <si>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</si>
  <si>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</si>
  <si>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</si>
  <si>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</si>
  <si>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</si>
  <si>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</si>
  <si>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</si>
  <si>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</si>
  <si>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</si>
  <si>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</si>
  <si>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</si>
  <si>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</si>
  <si>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</si>
  <si>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</si>
  <si>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</si>
  <si>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</si>
  <si>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</si>
  <si>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</si>
  <si>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</si>
  <si>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</si>
  <si>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</si>
  <si>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</si>
  <si>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</si>
  <si>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</si>
  <si>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</si>
  <si>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</si>
  <si>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</si>
  <si>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</si>
  <si>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</si>
  <si>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</si>
  <si>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</si>
  <si>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</si>
  <si>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</si>
  <si>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</si>
  <si>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</si>
  <si>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</si>
  <si>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</si>
  <si>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</si>
  <si>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</si>
  <si>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</si>
  <si>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</si>
  <si>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</si>
  <si>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</si>
  <si>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</si>
  <si>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</si>
  <si>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</si>
  <si>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</si>
  <si>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</si>
  <si>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</si>
  <si>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</si>
  <si>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</si>
  <si>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</si>
  <si>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</si>
  <si>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</si>
  <si>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</si>
  <si>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</si>
  <si>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</si>
  <si>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</si>
  <si>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</si>
  <si>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</si>
  <si>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</si>
  <si>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</si>
  <si>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</si>
  <si>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</si>
  <si>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</si>
  <si>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</si>
  <si>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</si>
  <si>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</si>
  <si>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</si>
  <si>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</si>
  <si>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</si>
  <si>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</si>
  <si>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</si>
  <si>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</si>
  <si>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</si>
  <si>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</si>
  <si>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</si>
  <si>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</si>
  <si>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</si>
  <si>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</si>
  <si>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</si>
  <si>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</si>
  <si>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</si>
  <si>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</si>
  <si>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</si>
  <si>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</si>
  <si>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</si>
  <si>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</si>
  <si>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</si>
  <si>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</si>
  <si>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</si>
  <si>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</si>
  <si>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</si>
  <si>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</si>
  <si>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</si>
  <si>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</si>
  <si>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</si>
  <si>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</si>
  <si>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</si>
  <si>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</si>
  <si>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</si>
  <si>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</si>
  <si>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</si>
  <si>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</si>
  <si>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</si>
  <si>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</si>
  <si>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</si>
  <si>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</si>
  <si>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</si>
  <si>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</si>
  <si>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</si>
  <si>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</si>
  <si>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</si>
  <si>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</si>
  <si>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</si>
  <si>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</si>
  <si>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</si>
  <si>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</si>
  <si>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</si>
  <si>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</si>
  <si>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</si>
  <si>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</si>
  <si>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</si>
  <si>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</si>
  <si>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</si>
  <si>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</si>
  <si>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</si>
  <si>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</si>
  <si>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</si>
  <si>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</si>
  <si>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</si>
  <si>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</si>
  <si>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</si>
  <si>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</si>
  <si>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</si>
  <si>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</si>
  <si>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</si>
  <si>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</si>
  <si>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</si>
  <si>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</si>
  <si>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</si>
  <si>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</si>
  <si>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</si>
  <si>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</si>
  <si>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</si>
  <si>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</si>
  <si>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</si>
  <si>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</si>
  <si>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</si>
  <si>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</si>
  <si>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</si>
  <si>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</si>
  <si>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</si>
  <si>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</si>
  <si>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</si>
  <si>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</si>
  <si>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</si>
  <si>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</si>
  <si>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</si>
  <si>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</si>
  <si>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</si>
  <si>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</si>
  <si>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</si>
  <si>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</si>
  <si>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</si>
  <si>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</si>
  <si>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</si>
  <si>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</si>
  <si>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</si>
  <si>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</si>
  <si>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</si>
  <si>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</si>
  <si>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</si>
  <si>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</si>
  <si>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</si>
  <si>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</si>
  <si>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</si>
  <si>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</si>
  <si>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</si>
  <si>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</si>
  <si>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</si>
  <si>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</si>
  <si>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</si>
  <si>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</si>
  <si>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</si>
  <si>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</si>
  <si>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</si>
  <si>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</si>
  <si>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</si>
  <si>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</si>
  <si>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</si>
  <si>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</si>
  <si>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</si>
  <si>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</si>
  <si>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</si>
  <si>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</si>
  <si>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</si>
  <si>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</si>
  <si>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</si>
  <si>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</si>
  <si>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</si>
  <si>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</si>
  <si>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</si>
  <si>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</si>
  <si>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</si>
  <si>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</si>
  <si>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</si>
  <si>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</si>
  <si>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</si>
  <si>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</si>
  <si>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</si>
  <si>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</si>
  <si>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</si>
  <si>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</si>
  <si>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</si>
  <si>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</si>
  <si>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</si>
  <si>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</si>
  <si>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</si>
  <si>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</si>
  <si>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</si>
  <si>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</si>
  <si>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</si>
  <si>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</si>
  <si>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</si>
  <si>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</si>
  <si>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</si>
  <si>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</si>
  <si>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</si>
  <si>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</si>
  <si>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</si>
  <si>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</si>
  <si>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</si>
  <si>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</si>
  <si>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</si>
  <si>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</si>
  <si>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</si>
  <si>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</si>
  <si>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</si>
  <si>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</si>
  <si>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</si>
  <si>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</si>
  <si>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</si>
  <si>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</si>
  <si>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</si>
  <si>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</si>
  <si>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</si>
  <si>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</si>
  <si>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</si>
  <si>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</si>
  <si>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</si>
  <si>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</si>
  <si>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</si>
  <si>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</si>
  <si>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</si>
  <si>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</si>
  <si>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</si>
  <si>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</si>
  <si>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</si>
  <si>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</si>
  <si>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</si>
  <si>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</si>
  <si>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</si>
  <si>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</si>
  <si>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</si>
  <si>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</si>
  <si>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</si>
  <si>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</si>
  <si>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</si>
  <si>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</si>
  <si>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</si>
  <si>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</si>
  <si>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</si>
  <si>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</si>
  <si>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</si>
  <si>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</si>
  <si>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</si>
  <si>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</si>
  <si>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</si>
  <si>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</si>
  <si>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</si>
  <si>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</si>
  <si>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</si>
  <si>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</si>
  <si>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</si>
  <si>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</si>
  <si>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</si>
  <si>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</si>
  <si>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</si>
  <si>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</si>
  <si>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</si>
  <si>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</si>
  <si>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</si>
  <si>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</si>
  <si>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</si>
  <si>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</si>
  <si>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</si>
  <si>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</si>
  <si>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</si>
  <si>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</si>
  <si>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</si>
  <si>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</si>
  <si>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</si>
  <si>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</si>
  <si>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</si>
  <si>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</si>
  <si>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</si>
  <si>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</si>
  <si>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</si>
  <si>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</si>
  <si>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</si>
  <si>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</si>
  <si>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</si>
  <si>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</si>
  <si>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</si>
  <si>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</si>
  <si>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</si>
  <si>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</si>
  <si>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</si>
  <si>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</si>
  <si>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</si>
  <si>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</si>
  <si>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</si>
  <si>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</si>
  <si>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</si>
  <si>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</si>
  <si>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</si>
  <si>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</si>
  <si>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</si>
  <si>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</si>
  <si>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</si>
  <si>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</si>
  <si>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</si>
  <si>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</si>
  <si>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</si>
  <si>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</si>
  <si>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</si>
  <si>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</si>
  <si>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</si>
  <si>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</si>
  <si>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</si>
  <si>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</si>
  <si>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</si>
  <si>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</si>
  <si>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</si>
  <si>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</si>
  <si>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</si>
  <si>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</si>
  <si>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</si>
  <si>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</si>
  <si>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</si>
  <si>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</si>
  <si>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</si>
  <si>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</si>
  <si>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</si>
  <si>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</si>
  <si>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</si>
  <si>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</si>
  <si>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</si>
  <si>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</si>
  <si>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</si>
  <si>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</si>
  <si>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</si>
  <si>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</si>
  <si>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</si>
  <si>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</si>
  <si>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</si>
  <si>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</si>
  <si>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</si>
  <si>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</si>
  <si>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</si>
  <si>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</si>
  <si>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</si>
  <si>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</si>
  <si>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</si>
  <si>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</si>
  <si>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</si>
  <si>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</si>
  <si>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</si>
  <si>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</si>
  <si>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</si>
  <si>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</si>
  <si>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</si>
  <si>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</si>
  <si>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</si>
  <si>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</si>
  <si>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</si>
  <si>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</si>
  <si>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</si>
  <si>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</si>
  <si>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</si>
  <si>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</si>
  <si>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</si>
  <si>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</si>
  <si>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</si>
  <si>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</si>
  <si>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</si>
  <si>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</si>
  <si>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</si>
  <si>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</si>
  <si>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</si>
  <si>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</si>
  <si>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</si>
  <si>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</si>
  <si>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</si>
  <si>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</si>
  <si>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</si>
  <si>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</si>
  <si>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</si>
  <si>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</si>
  <si>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</si>
  <si>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</si>
  <si>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</si>
  <si>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</si>
  <si>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</si>
  <si>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</si>
  <si>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</si>
  <si>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</si>
  <si>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</si>
  <si>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</si>
  <si>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</si>
  <si>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</si>
  <si>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</si>
  <si>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</si>
  <si>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</si>
  <si>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</si>
  <si>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</si>
  <si>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</si>
  <si>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</si>
  <si>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</si>
  <si>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</si>
  <si>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</si>
  <si>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</si>
  <si>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</si>
  <si>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</si>
  <si>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</si>
  <si>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</si>
  <si>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</si>
  <si>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</si>
  <si>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</si>
  <si>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</si>
  <si>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</si>
  <si>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</si>
  <si>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</si>
  <si>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</si>
  <si>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</si>
  <si>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</si>
  <si>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</si>
  <si>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</si>
  <si>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</si>
  <si>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</si>
  <si>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</si>
  <si>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</si>
  <si>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</si>
  <si>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</si>
  <si>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</si>
  <si>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</si>
  <si>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</si>
  <si>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</si>
  <si>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</si>
  <si>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</si>
  <si>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</si>
  <si>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</si>
  <si>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</si>
  <si>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</si>
  <si>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</si>
  <si>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</si>
  <si>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</si>
  <si>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</si>
  <si>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</si>
  <si>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</si>
  <si>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</si>
  <si>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</si>
  <si>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</si>
  <si>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</si>
  <si>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</si>
  <si>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</si>
  <si>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</si>
  <si>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</si>
  <si>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</si>
  <si>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</si>
  <si>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</si>
  <si>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</si>
  <si>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</si>
  <si>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</si>
  <si>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</si>
  <si>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</si>
  <si>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</si>
  <si>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</si>
  <si>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</si>
  <si>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</si>
  <si>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</si>
  <si>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</si>
  <si>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</si>
  <si>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</si>
  <si>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</si>
  <si>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</si>
  <si>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</si>
  <si>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</si>
  <si>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</si>
  <si>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</si>
  <si>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</si>
  <si>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</si>
  <si>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</si>
  <si>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</si>
  <si>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</si>
  <si>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</si>
  <si>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</si>
  <si>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</si>
  <si>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</si>
  <si>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</si>
  <si>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</si>
  <si>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</si>
  <si>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</si>
  <si>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</si>
  <si>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</si>
  <si>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</si>
  <si>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</si>
  <si>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</si>
  <si>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</si>
  <si>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</si>
  <si>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</si>
  <si>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</si>
  <si>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</si>
  <si>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</si>
  <si>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</si>
  <si>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</si>
  <si>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</si>
  <si>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</si>
  <si>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</si>
  <si>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</si>
  <si>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</si>
  <si>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</si>
  <si>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</si>
  <si>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</si>
  <si>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</si>
  <si>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</si>
  <si>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</si>
  <si>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</si>
  <si>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</si>
  <si>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</si>
  <si>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</si>
  <si>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</si>
  <si>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</si>
  <si>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</si>
  <si>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</si>
  <si>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</si>
  <si>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</si>
  <si>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</si>
  <si>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</si>
  <si>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</si>
  <si>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</si>
  <si>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</si>
  <si>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</si>
  <si>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</si>
  <si>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</si>
  <si>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</si>
  <si>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</si>
  <si>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</si>
  <si>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</si>
  <si>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</si>
  <si>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</si>
  <si>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</si>
  <si>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</si>
  <si>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</si>
  <si>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</si>
  <si>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</si>
  <si>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</si>
  <si>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</si>
  <si>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</si>
  <si>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</si>
  <si>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</si>
  <si>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</si>
  <si>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</si>
  <si>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</si>
  <si>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</si>
  <si>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</si>
  <si>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</si>
  <si>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</si>
  <si>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</si>
  <si>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</si>
  <si>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</si>
  <si>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</si>
  <si>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</si>
  <si>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</si>
  <si>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</si>
  <si>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</si>
  <si>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</si>
  <si>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</si>
  <si>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</si>
  <si>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</si>
  <si>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</si>
  <si>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</si>
  <si>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</si>
  <si>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</si>
  <si>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</si>
  <si>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</si>
  <si>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</si>
  <si>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</si>
  <si>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</si>
  <si>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</si>
  <si>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</si>
  <si>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</si>
  <si>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</si>
  <si>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</si>
  <si>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</si>
  <si>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</si>
  <si>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</si>
  <si>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</si>
  <si>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</si>
  <si>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</si>
  <si>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</si>
  <si>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</si>
  <si>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</si>
  <si>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</si>
  <si>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</si>
  <si>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</si>
  <si>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</si>
  <si>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</si>
  <si>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</si>
  <si>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</si>
  <si>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</si>
  <si>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</si>
  <si>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</si>
  <si>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</si>
  <si>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</si>
  <si>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</si>
  <si>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</si>
  <si>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</si>
  <si>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</si>
  <si>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</si>
  <si>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</si>
  <si>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</si>
  <si>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</si>
  <si>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</si>
  <si>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</si>
  <si>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</si>
  <si>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</si>
  <si>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</si>
  <si>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</si>
  <si>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</si>
  <si>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</si>
  <si>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</si>
  <si>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</si>
  <si>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</si>
  <si>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</si>
  <si>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</si>
  <si>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</si>
  <si>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</si>
  <si>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</si>
  <si>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</si>
  <si>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</si>
  <si>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</si>
  <si>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</si>
  <si>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</si>
  <si>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</si>
  <si>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</si>
  <si>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</si>
  <si>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</si>
  <si>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</si>
  <si>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</si>
  <si>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</si>
  <si>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</si>
  <si>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</si>
  <si>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</si>
  <si>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</si>
  <si>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</si>
  <si>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</si>
  <si>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</si>
  <si>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</si>
  <si>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</si>
  <si>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</si>
  <si>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</si>
  <si>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</si>
  <si>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</si>
  <si>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</si>
  <si>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</si>
  <si>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</si>
  <si>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</si>
  <si>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</si>
  <si>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</si>
  <si>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</si>
  <si>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Arrugó como frenada'e gusano.</t>
  </si>
  <si>
    <t>Abandonó, tiró la toalla, hasta acá llegó.</t>
  </si>
  <si>
    <t>31/02/2011</t>
  </si>
  <si>
    <t>CREDITO ENTREGADO</t>
  </si>
  <si>
    <t>CREDITO FALTANTE</t>
  </si>
  <si>
    <t>QUE TE</t>
  </si>
  <si>
    <t>IMPORTA</t>
  </si>
  <si>
    <t>Demasiado flaca.</t>
  </si>
  <si>
    <t>Demasiado gordo.</t>
  </si>
  <si>
    <t>Demasiado linda, tiene que ser modelo, no Muqui.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</si>
</sst>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  <font>
      <b/>
      <u/>
      <sz val="2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5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1" fillId="4" borderId="2" xfId="1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19" fillId="0" borderId="2" xfId="2" applyFont="1" applyBorder="1"/>
    <xf numFmtId="0" fontId="1" fillId="0" borderId="2" xfId="0" applyFont="1" applyBorder="1"/>
    <xf numFmtId="0" fontId="9" fillId="0" borderId="2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left"/>
    </xf>
    <xf numFmtId="0" fontId="3" fillId="0" borderId="7" xfId="1" applyFont="1" applyFill="1" applyBorder="1" applyAlignment="1" applyProtection="1">
      <alignment horizontal="center"/>
    </xf>
    <xf numFmtId="14" fontId="3" fillId="0" borderId="0" xfId="1" applyNumberFormat="1" applyFont="1" applyFill="1" applyBorder="1" applyAlignment="1" applyProtection="1">
      <alignment horizontal="right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I11" sqref="I1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39"/>
    <col min="6" max="6" width="13.140625" style="39" bestFit="1" customWidth="1"/>
    <col min="7" max="7" width="11.42578125" style="39"/>
    <col min="8" max="8" width="11.42578125" style="8"/>
    <col min="9" max="9" width="13.140625" style="8" bestFit="1" customWidth="1"/>
    <col min="10" max="10" width="11.42578125" style="8"/>
    <col min="11" max="11" width="19.42578125" style="8" customWidth="1"/>
    <col min="12" max="12" width="20.140625" style="8" customWidth="1"/>
    <col min="13" max="13" width="18" style="8" customWidth="1"/>
    <col min="14" max="14" width="69.140625" style="8" customWidth="1"/>
    <col min="15" max="16384" width="11.42578125" style="8"/>
  </cols>
  <sheetData>
    <row r="1" spans="1:14" s="7" customFormat="1" ht="53.25" customHeight="1" x14ac:dyDescent="0.5">
      <c r="A1" s="74" t="s">
        <v>9132</v>
      </c>
      <c r="B1" s="74"/>
      <c r="C1" s="14" t="s">
        <v>15</v>
      </c>
      <c r="D1" s="14"/>
      <c r="E1" s="67">
        <v>44542</v>
      </c>
      <c r="F1" s="49">
        <v>23500</v>
      </c>
      <c r="G1" s="50"/>
      <c r="H1" s="45" t="s">
        <v>9144</v>
      </c>
      <c r="I1" s="46">
        <v>70000</v>
      </c>
      <c r="J1" s="44"/>
    </row>
    <row r="2" spans="1:14" s="7" customFormat="1" ht="33" customHeight="1" x14ac:dyDescent="0.35">
      <c r="A2" s="11"/>
      <c r="B2" s="11"/>
      <c r="C2" s="12"/>
      <c r="D2" s="5" t="s">
        <v>18</v>
      </c>
      <c r="E2" s="75" t="s">
        <v>1706</v>
      </c>
      <c r="F2" s="76"/>
      <c r="G2" s="77"/>
      <c r="H2" s="71" t="s">
        <v>1704</v>
      </c>
      <c r="I2" s="72"/>
      <c r="J2" s="73"/>
      <c r="K2" s="34"/>
      <c r="L2" s="47"/>
      <c r="M2" s="47"/>
    </row>
    <row r="3" spans="1:14" s="7" customFormat="1" ht="42" customHeight="1" x14ac:dyDescent="0.35">
      <c r="A3" s="11"/>
      <c r="B3" s="11"/>
      <c r="C3" s="13"/>
      <c r="D3" s="4" t="s">
        <v>16</v>
      </c>
      <c r="E3" s="78" t="str">
        <f>IF(E2="","",VLOOKUP(E2,CODIGOS!$A$2:$C$5003,2,FALSE))</f>
        <v>REMERA MC SIN CIERRE AZUL 3XL/5XL RER</v>
      </c>
      <c r="F3" s="79"/>
      <c r="G3" s="80"/>
      <c r="H3" s="68" t="str">
        <f>IF(H2="","",VLOOKUP(H2,CODIGOS!$A$2:$C$5003,2,FALSE))</f>
        <v>REMERA MC SIN CIERRE AZUL 3XS/2XL RER</v>
      </c>
      <c r="I3" s="69"/>
      <c r="J3" s="70"/>
      <c r="K3" s="35"/>
      <c r="L3" s="48"/>
      <c r="M3" s="48"/>
    </row>
    <row r="4" spans="1:14" x14ac:dyDescent="0.25">
      <c r="A4" s="40" t="s">
        <v>9139</v>
      </c>
      <c r="B4" s="40" t="s">
        <v>9</v>
      </c>
      <c r="C4" s="40" t="s">
        <v>9116</v>
      </c>
      <c r="D4" s="40" t="s">
        <v>9117</v>
      </c>
      <c r="E4" s="62" t="s">
        <v>8979</v>
      </c>
      <c r="F4" s="62" t="s">
        <v>8980</v>
      </c>
      <c r="G4" s="63" t="s">
        <v>8981</v>
      </c>
      <c r="H4" s="41" t="s">
        <v>8979</v>
      </c>
      <c r="I4" s="41" t="s">
        <v>8980</v>
      </c>
      <c r="J4" s="42" t="s">
        <v>8981</v>
      </c>
      <c r="K4" s="42" t="s">
        <v>9141</v>
      </c>
      <c r="L4" s="42" t="s">
        <v>9145</v>
      </c>
      <c r="M4" s="42" t="s">
        <v>9146</v>
      </c>
      <c r="N4" s="42" t="s">
        <v>9140</v>
      </c>
    </row>
    <row r="5" spans="1:14" s="39" customFormat="1" x14ac:dyDescent="0.25">
      <c r="A5" s="24" t="s">
        <v>9138</v>
      </c>
      <c r="B5" s="25">
        <v>45796216</v>
      </c>
      <c r="C5" s="26" t="s">
        <v>9121</v>
      </c>
      <c r="D5" s="27" t="s">
        <v>9122</v>
      </c>
      <c r="E5" s="24"/>
      <c r="F5" s="28"/>
      <c r="G5" s="43"/>
      <c r="H5" s="24" t="s">
        <v>3</v>
      </c>
      <c r="I5" s="28"/>
      <c r="J5" s="43">
        <v>1</v>
      </c>
      <c r="K5" s="36">
        <f>$G$5*$F$1+$J$5*$I$1</f>
        <v>70000</v>
      </c>
      <c r="L5" s="36">
        <f>0*$F$1+0*$I$1</f>
        <v>0</v>
      </c>
      <c r="M5" s="36">
        <f>$K$5-$L$5</f>
        <v>70000</v>
      </c>
      <c r="N5" s="29" t="s">
        <v>9149</v>
      </c>
    </row>
    <row r="6" spans="1:14" s="15" customFormat="1" x14ac:dyDescent="0.25">
      <c r="A6" s="51" t="s">
        <v>9136</v>
      </c>
      <c r="B6" s="52">
        <v>12345678</v>
      </c>
      <c r="C6" s="53" t="s">
        <v>9147</v>
      </c>
      <c r="D6" s="54" t="s">
        <v>9148</v>
      </c>
      <c r="E6" s="64"/>
      <c r="F6" s="65"/>
      <c r="G6" s="66"/>
      <c r="H6" s="55" t="s">
        <v>13</v>
      </c>
      <c r="I6" s="56"/>
      <c r="J6" s="57">
        <v>3</v>
      </c>
      <c r="K6" s="58">
        <f>$J$6*$I$1</f>
        <v>210000</v>
      </c>
      <c r="L6" s="58">
        <f>$J$6*$I$1</f>
        <v>210000</v>
      </c>
      <c r="M6" s="58">
        <f>$K$6-$L$6</f>
        <v>0</v>
      </c>
      <c r="N6" s="59" t="s">
        <v>9151</v>
      </c>
    </row>
    <row r="7" spans="1:14" s="15" customFormat="1" x14ac:dyDescent="0.25">
      <c r="A7" s="24" t="s">
        <v>9138</v>
      </c>
      <c r="B7" s="25">
        <v>70561456</v>
      </c>
      <c r="C7" s="26" t="s">
        <v>9124</v>
      </c>
      <c r="D7" s="27" t="s">
        <v>9125</v>
      </c>
      <c r="E7" s="24"/>
      <c r="F7" s="28"/>
      <c r="G7" s="43"/>
      <c r="H7" s="24" t="s">
        <v>1</v>
      </c>
      <c r="I7" s="28"/>
      <c r="J7" s="43">
        <v>1</v>
      </c>
      <c r="K7" s="36">
        <f>$G$7*$F$1+$J$7*$I$1</f>
        <v>70000</v>
      </c>
      <c r="L7" s="36">
        <f>0*$F$1+0*$I$1</f>
        <v>0</v>
      </c>
      <c r="M7" s="36">
        <f>$K$7-$L$7</f>
        <v>70000</v>
      </c>
      <c r="N7" s="29" t="s">
        <v>9143</v>
      </c>
    </row>
    <row r="8" spans="1:14" s="15" customFormat="1" x14ac:dyDescent="0.25">
      <c r="A8" s="24" t="s">
        <v>9138</v>
      </c>
      <c r="B8" s="25">
        <v>37137843</v>
      </c>
      <c r="C8" s="26" t="s">
        <v>9118</v>
      </c>
      <c r="D8" s="27" t="s">
        <v>9119</v>
      </c>
      <c r="E8" s="24" t="s">
        <v>11</v>
      </c>
      <c r="F8" s="28" t="s">
        <v>9095</v>
      </c>
      <c r="G8" s="30">
        <v>1</v>
      </c>
      <c r="H8" s="24"/>
      <c r="I8" s="28"/>
      <c r="J8" s="43"/>
      <c r="K8" s="36">
        <f>$G$8*$F$1+$J$8*$I$1</f>
        <v>23500</v>
      </c>
      <c r="L8" s="36">
        <f>$G$8*$F$1+0*$I$1</f>
        <v>23500</v>
      </c>
      <c r="M8" s="36">
        <f>$K$8-$L$8</f>
        <v>0</v>
      </c>
      <c r="N8" s="29" t="s">
        <v>9142</v>
      </c>
    </row>
    <row r="9" spans="1:14" x14ac:dyDescent="0.25">
      <c r="A9" s="37" t="s">
        <v>9138</v>
      </c>
      <c r="B9" s="31">
        <v>45766296</v>
      </c>
      <c r="C9" s="32" t="s">
        <v>9120</v>
      </c>
      <c r="D9" s="33" t="s">
        <v>9123</v>
      </c>
      <c r="E9" s="24" t="s">
        <v>12</v>
      </c>
      <c r="F9" s="28" t="s">
        <v>9095</v>
      </c>
      <c r="G9" s="30">
        <v>1</v>
      </c>
      <c r="H9" s="24"/>
      <c r="I9" s="28"/>
      <c r="J9" s="43"/>
      <c r="K9" s="36">
        <f>$G$9*$F$1+$J$9*$I$1</f>
        <v>23500</v>
      </c>
      <c r="L9" s="36">
        <f>$G$9*$F$1+0*$I$1</f>
        <v>23500</v>
      </c>
      <c r="M9" s="36">
        <f>$K$9-$L$9</f>
        <v>0</v>
      </c>
      <c r="N9" s="29" t="s">
        <v>9150</v>
      </c>
    </row>
    <row r="10" spans="1:14" x14ac:dyDescent="0.25">
      <c r="C10" s="20"/>
      <c r="D10" s="7"/>
      <c r="E10" s="38"/>
      <c r="F10" s="38"/>
      <c r="G10" s="38"/>
      <c r="H10" s="7"/>
      <c r="I10" s="7"/>
      <c r="J10" s="7"/>
      <c r="K10" s="7"/>
      <c r="L10" s="7"/>
      <c r="M10" s="7"/>
    </row>
    <row r="11" spans="1:14" x14ac:dyDescent="0.25">
      <c r="A11" s="19" t="s">
        <v>9133</v>
      </c>
      <c r="B11" s="23">
        <f>COUNTIF(A5:A9,"=Activo")</f>
        <v>4</v>
      </c>
    </row>
    <row r="12" spans="1:14" x14ac:dyDescent="0.25">
      <c r="A12" s="21" t="s">
        <v>9134</v>
      </c>
      <c r="B12" s="22">
        <f>COUNTIF(A5:A9,"=Inactivo")</f>
        <v>1</v>
      </c>
    </row>
    <row r="13" spans="1:14" x14ac:dyDescent="0.25">
      <c r="A13" s="21" t="s">
        <v>9135</v>
      </c>
      <c r="B13" s="22">
        <f>COUNTA(B5:B9)</f>
        <v>5</v>
      </c>
    </row>
  </sheetData>
  <mergeCells count="5">
    <mergeCell ref="H3:J3"/>
    <mergeCell ref="H2:J2"/>
    <mergeCell ref="A1:B1"/>
    <mergeCell ref="E2:G2"/>
    <mergeCell ref="E3:G3"/>
  </mergeCells>
  <conditionalFormatting sqref="H2:H3 B4:D9 H4:N9">
    <cfRule type="cellIs" priority="6019" stopIfTrue="1" operator="equal">
      <formula>"="</formula>
    </cfRule>
    <cfRule type="cellIs" priority="6020" stopIfTrue="1" operator="equal">
      <formula>"="</formula>
    </cfRule>
  </conditionalFormatting>
  <conditionalFormatting sqref="A5:D9 H5:N9">
    <cfRule type="cellIs" priority="6021" stopIfTrue="1" operator="equal">
      <formula>"="</formula>
    </cfRule>
    <cfRule type="cellIs" priority="6027" stopIfTrue="1" operator="equal">
      <formula>"="</formula>
    </cfRule>
    <cfRule type="cellIs" priority="6035" stopIfTrue="1" operator="equal">
      <formula>"="</formula>
    </cfRule>
    <cfRule type="cellIs" priority="6040" stopIfTrue="1" operator="equal">
      <formula>"&lt;&gt;"""</formula>
    </cfRule>
    <cfRule type="cellIs" priority="6044" stopIfTrue="1" operator="equal">
      <formula>"&lt;&gt;"""</formula>
    </cfRule>
    <cfRule type="cellIs" priority="6046" stopIfTrue="1" operator="notEqual">
      <formula>"="</formula>
    </cfRule>
    <cfRule type="cellIs" priority="6050" stopIfTrue="1" operator="notEqual">
      <formula>"="</formula>
    </cfRule>
  </conditionalFormatting>
  <conditionalFormatting sqref="A5:D9 H5:N9">
    <cfRule type="cellIs" priority="6022" stopIfTrue="1" operator="equal">
      <formula>"="</formula>
    </cfRule>
    <cfRule type="cellIs" priority="6026" stopIfTrue="1" operator="equal">
      <formula>"="</formula>
    </cfRule>
    <cfRule type="cellIs" priority="6034" stopIfTrue="1" operator="equal">
      <formula>"="</formula>
    </cfRule>
    <cfRule type="cellIs" priority="6036" stopIfTrue="1" operator="equal">
      <formula>"="</formula>
    </cfRule>
    <cfRule type="cellIs" priority="6041" stopIfTrue="1" operator="equal">
      <formula>"&lt;&gt;"""</formula>
    </cfRule>
    <cfRule type="cellIs" priority="6043" stopIfTrue="1" operator="equal">
      <formula>"&lt;&gt;"""</formula>
    </cfRule>
    <cfRule type="cellIs" priority="6051" stopIfTrue="1" operator="notEqual">
      <formula>7</formula>
    </cfRule>
  </conditionalFormatting>
  <conditionalFormatting sqref="A5:D9 H5:N9">
    <cfRule type="cellIs" priority="6023" stopIfTrue="1" operator="equal">
      <formula>"="</formula>
    </cfRule>
    <cfRule type="cellIs" priority="6025" stopIfTrue="1" operator="equal">
      <formula>"="</formula>
    </cfRule>
    <cfRule type="cellIs" priority="6033" stopIfTrue="1" operator="equal">
      <formula>"="</formula>
    </cfRule>
    <cfRule type="cellIs" priority="6037" stopIfTrue="1" operator="equal">
      <formula>"="</formula>
    </cfRule>
  </conditionalFormatting>
  <conditionalFormatting sqref="A5:D9 H5:N9">
    <cfRule type="cellIs" priority="6024" stopIfTrue="1" operator="equal">
      <formula>"="</formula>
    </cfRule>
    <cfRule type="cellIs" priority="6032" stopIfTrue="1" operator="equal">
      <formula>"="</formula>
    </cfRule>
    <cfRule type="cellIs" priority="6038" stopIfTrue="1" operator="equal">
      <formula>"="</formula>
    </cfRule>
  </conditionalFormatting>
  <conditionalFormatting sqref="A5:D9 H5:N9">
    <cfRule type="cellIs" priority="6028" stopIfTrue="1" operator="equal">
      <formula>"="</formula>
    </cfRule>
    <cfRule type="cellIs" priority="6029" stopIfTrue="1" operator="equal">
      <formula>"="</formula>
    </cfRule>
    <cfRule type="cellIs" priority="6030" stopIfTrue="1" operator="equal">
      <formula>"="</formula>
    </cfRule>
    <cfRule type="cellIs" priority="6031" stopIfTrue="1" operator="equal">
      <formula>"="</formula>
    </cfRule>
    <cfRule type="cellIs" priority="6039" stopIfTrue="1" operator="equal">
      <formula>"="</formula>
    </cfRule>
  </conditionalFormatting>
  <conditionalFormatting sqref="A5:D9 H5:N9">
    <cfRule type="cellIs" priority="6042" stopIfTrue="1" operator="equal">
      <formula>"&lt;&gt;"""</formula>
    </cfRule>
  </conditionalFormatting>
  <conditionalFormatting sqref="A5:D9 H5:N9">
    <cfRule type="cellIs" priority="6045" stopIfTrue="1" operator="equal">
      <formula>"&lt;&gt;"""</formula>
    </cfRule>
    <cfRule type="cellIs" priority="6047" stopIfTrue="1" operator="notEqual">
      <formula>"="</formula>
    </cfRule>
    <cfRule type="cellIs" priority="6049" stopIfTrue="1" operator="notEqual">
      <formula>"="</formula>
    </cfRule>
    <cfRule type="cellIs" priority="6052" stopIfTrue="1" operator="notEqual">
      <formula>7</formula>
    </cfRule>
  </conditionalFormatting>
  <conditionalFormatting sqref="A5:D9 H5:N9">
    <cfRule type="cellIs" priority="6048" stopIfTrue="1" operator="notEqual">
      <formula>"="</formula>
    </cfRule>
    <cfRule type="cellIs" priority="6053" stopIfTrue="1" operator="notEqual">
      <formula>7</formula>
    </cfRule>
  </conditionalFormatting>
  <conditionalFormatting sqref="A4:A9">
    <cfRule type="cellIs" priority="6054" stopIfTrue="1" operator="notEqual">
      <formula>7</formula>
    </cfRule>
  </conditionalFormatting>
  <conditionalFormatting sqref="E2:E3 E4:G9">
    <cfRule type="cellIs" priority="141" stopIfTrue="1" operator="equal">
      <formula>"="</formula>
    </cfRule>
    <cfRule type="cellIs" priority="142" stopIfTrue="1" operator="equal">
      <formula>"="</formula>
    </cfRule>
  </conditionalFormatting>
  <conditionalFormatting sqref="E5:G9">
    <cfRule type="cellIs" priority="143" stopIfTrue="1" operator="equal">
      <formula>"="</formula>
    </cfRule>
    <cfRule type="cellIs" priority="149" stopIfTrue="1" operator="equal">
      <formula>"="</formula>
    </cfRule>
    <cfRule type="cellIs" priority="157" stopIfTrue="1" operator="equal">
      <formula>"="</formula>
    </cfRule>
    <cfRule type="cellIs" priority="162" stopIfTrue="1" operator="equal">
      <formula>"&lt;&gt;"""</formula>
    </cfRule>
    <cfRule type="cellIs" priority="166" stopIfTrue="1" operator="equal">
      <formula>"&lt;&gt;"""</formula>
    </cfRule>
    <cfRule type="cellIs" priority="168" stopIfTrue="1" operator="notEqual">
      <formula>"="</formula>
    </cfRule>
    <cfRule type="cellIs" priority="172" stopIfTrue="1" operator="notEqual">
      <formula>"="</formula>
    </cfRule>
  </conditionalFormatting>
  <conditionalFormatting sqref="E5:G9">
    <cfRule type="cellIs" priority="144" stopIfTrue="1" operator="equal">
      <formula>"="</formula>
    </cfRule>
    <cfRule type="cellIs" priority="148" stopIfTrue="1" operator="equal">
      <formula>"="</formula>
    </cfRule>
    <cfRule type="cellIs" priority="156" stopIfTrue="1" operator="equal">
      <formula>"="</formula>
    </cfRule>
    <cfRule type="cellIs" priority="158" stopIfTrue="1" operator="equal">
      <formula>"="</formula>
    </cfRule>
    <cfRule type="cellIs" priority="163" stopIfTrue="1" operator="equal">
      <formula>"&lt;&gt;"""</formula>
    </cfRule>
    <cfRule type="cellIs" priority="165" stopIfTrue="1" operator="equal">
      <formula>"&lt;&gt;"""</formula>
    </cfRule>
    <cfRule type="cellIs" priority="173" stopIfTrue="1" operator="notEqual">
      <formula>7</formula>
    </cfRule>
  </conditionalFormatting>
  <conditionalFormatting sqref="E5:G9">
    <cfRule type="cellIs" priority="145" stopIfTrue="1" operator="equal">
      <formula>"="</formula>
    </cfRule>
    <cfRule type="cellIs" priority="147" stopIfTrue="1" operator="equal">
      <formula>"="</formula>
    </cfRule>
    <cfRule type="cellIs" priority="155" stopIfTrue="1" operator="equal">
      <formula>"="</formula>
    </cfRule>
    <cfRule type="cellIs" priority="159" stopIfTrue="1" operator="equal">
      <formula>"="</formula>
    </cfRule>
  </conditionalFormatting>
  <conditionalFormatting sqref="E5:G9">
    <cfRule type="cellIs" priority="146" stopIfTrue="1" operator="equal">
      <formula>"="</formula>
    </cfRule>
    <cfRule type="cellIs" priority="154" stopIfTrue="1" operator="equal">
      <formula>"="</formula>
    </cfRule>
    <cfRule type="cellIs" priority="160" stopIfTrue="1" operator="equal">
      <formula>"="</formula>
    </cfRule>
  </conditionalFormatting>
  <conditionalFormatting sqref="E5:G9">
    <cfRule type="cellIs" priority="150" stopIfTrue="1" operator="equal">
      <formula>"="</formula>
    </cfRule>
    <cfRule type="cellIs" priority="151" stopIfTrue="1" operator="equal">
      <formula>"="</formula>
    </cfRule>
    <cfRule type="cellIs" priority="152" stopIfTrue="1" operator="equal">
      <formula>"="</formula>
    </cfRule>
    <cfRule type="cellIs" priority="153" stopIfTrue="1" operator="equal">
      <formula>"="</formula>
    </cfRule>
    <cfRule type="cellIs" priority="161" stopIfTrue="1" operator="equal">
      <formula>"="</formula>
    </cfRule>
  </conditionalFormatting>
  <conditionalFormatting sqref="E5:G9">
    <cfRule type="cellIs" priority="164" stopIfTrue="1" operator="equal">
      <formula>"&lt;&gt;"""</formula>
    </cfRule>
  </conditionalFormatting>
  <conditionalFormatting sqref="E5:G9">
    <cfRule type="cellIs" priority="167" stopIfTrue="1" operator="equal">
      <formula>"&lt;&gt;"""</formula>
    </cfRule>
    <cfRule type="cellIs" priority="169" stopIfTrue="1" operator="notEqual">
      <formula>"="</formula>
    </cfRule>
    <cfRule type="cellIs" priority="171" stopIfTrue="1" operator="notEqual">
      <formula>"="</formula>
    </cfRule>
    <cfRule type="cellIs" priority="174" stopIfTrue="1" operator="notEqual">
      <formula>7</formula>
    </cfRule>
  </conditionalFormatting>
  <conditionalFormatting sqref="E5:G9">
    <cfRule type="cellIs" priority="170" stopIfTrue="1" operator="notEqual">
      <formula>"="</formula>
    </cfRule>
    <cfRule type="cellIs" priority="175" stopIfTrue="1" operator="notEqual">
      <formula>7</formula>
    </cfRule>
  </conditionalFormatting>
  <dataValidations count="4">
    <dataValidation type="list" allowBlank="1" showInputMessage="1" showErrorMessage="1" sqref="H5:H9 E5:E9">
      <formula1>Talle</formula1>
    </dataValidation>
    <dataValidation type="list" allowBlank="1" showInputMessage="1" showErrorMessage="1" sqref="I5:I9 F5:F9">
      <formula1>Color</formula1>
    </dataValidation>
    <dataValidation type="list" allowBlank="1" showInputMessage="1" showErrorMessage="1" sqref="A5:A9">
      <formula1>Estado</formula1>
    </dataValidation>
    <dataValidation type="list" allowBlank="1" showInputMessage="1" showErrorMessage="1" sqref="E2:J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E14"/>
  <sheetViews>
    <sheetView workbookViewId="0">
      <selection activeCell="A9" sqref="A9:E14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ht="31.5" x14ac:dyDescent="0.5">
      <c r="A1" s="81" t="s">
        <v>9127</v>
      </c>
      <c r="B1" s="81"/>
      <c r="C1" s="82"/>
      <c r="D1" s="81"/>
      <c r="E1" s="60">
        <v>2101551</v>
      </c>
    </row>
    <row r="2" spans="1:5" ht="18.75" x14ac:dyDescent="0.3">
      <c r="A2" s="83" t="s">
        <v>1707</v>
      </c>
      <c r="B2" s="84"/>
      <c r="C2" s="84"/>
      <c r="D2" s="84"/>
      <c r="E2" s="84"/>
    </row>
    <row r="3" spans="1:5" x14ac:dyDescent="0.25">
      <c r="A3" s="61" t="s">
        <v>8979</v>
      </c>
      <c r="B3" s="61" t="s">
        <v>8980</v>
      </c>
      <c r="C3" s="61" t="s">
        <v>9128</v>
      </c>
      <c r="D3" s="61" t="s">
        <v>9129</v>
      </c>
      <c r="E3" s="61" t="s">
        <v>9130</v>
      </c>
    </row>
    <row r="4" spans="1:5" x14ac:dyDescent="0.25">
      <c r="A4" s="18" t="s">
        <v>11</v>
      </c>
      <c r="B4" s="18" t="s">
        <v>9095</v>
      </c>
      <c r="C4" s="18">
        <v>1</v>
      </c>
      <c r="D4" s="18">
        <v>1</v>
      </c>
      <c r="E4" s="18"/>
    </row>
    <row r="5" spans="1:5" x14ac:dyDescent="0.25">
      <c r="A5" s="18" t="s">
        <v>12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/>
      <c r="B6" s="61" t="s">
        <v>9131</v>
      </c>
      <c r="C6" s="61">
        <f>SUM(C4:C5)</f>
        <v>2</v>
      </c>
      <c r="D6" s="61">
        <f>SUM(D4:D5)</f>
        <v>2</v>
      </c>
      <c r="E6" s="61">
        <f>SUM(E4:E5)</f>
        <v>0</v>
      </c>
    </row>
    <row r="9" spans="1:5" ht="31.5" x14ac:dyDescent="0.5">
      <c r="A9" s="81" t="s">
        <v>9127</v>
      </c>
      <c r="B9" s="81"/>
      <c r="C9" s="82"/>
      <c r="D9" s="81"/>
      <c r="E9" s="60">
        <v>2101550</v>
      </c>
    </row>
    <row r="10" spans="1:5" ht="18.75" x14ac:dyDescent="0.3">
      <c r="A10" s="83" t="s">
        <v>1705</v>
      </c>
      <c r="B10" s="84"/>
      <c r="C10" s="84"/>
      <c r="D10" s="84"/>
      <c r="E10" s="84"/>
    </row>
    <row r="11" spans="1:5" x14ac:dyDescent="0.25">
      <c r="A11" s="61" t="s">
        <v>8979</v>
      </c>
      <c r="B11" s="61" t="s">
        <v>8980</v>
      </c>
      <c r="C11" s="61" t="s">
        <v>9128</v>
      </c>
      <c r="D11" s="61" t="s">
        <v>9129</v>
      </c>
      <c r="E11" s="61" t="s">
        <v>9130</v>
      </c>
    </row>
    <row r="12" spans="1:5" x14ac:dyDescent="0.25">
      <c r="A12" s="18" t="s">
        <v>3</v>
      </c>
      <c r="B12" s="18"/>
      <c r="C12" s="18">
        <v>1</v>
      </c>
      <c r="D12" s="18"/>
      <c r="E12" s="18">
        <v>1</v>
      </c>
    </row>
    <row r="13" spans="1:5" x14ac:dyDescent="0.25">
      <c r="A13" s="18" t="s">
        <v>1</v>
      </c>
      <c r="B13" s="18"/>
      <c r="C13" s="18">
        <v>1</v>
      </c>
      <c r="D13" s="18"/>
      <c r="E13" s="18">
        <v>1</v>
      </c>
    </row>
    <row r="14" spans="1:5" x14ac:dyDescent="0.25">
      <c r="A14" s="18"/>
      <c r="B14" s="61" t="s">
        <v>9131</v>
      </c>
      <c r="C14" s="61">
        <f>SUM(C12:C13)</f>
        <v>2</v>
      </c>
      <c r="D14" s="61">
        <f>SUM(D12:D13)</f>
        <v>0</v>
      </c>
      <c r="E14" s="61">
        <f>SUM(E12:E13)</f>
        <v>2</v>
      </c>
    </row>
  </sheetData>
  <sheetProtection sort="0" autoFilter="0"/>
  <mergeCells count="4">
    <mergeCell ref="A1:D1"/>
    <mergeCell ref="A2:E2"/>
    <mergeCell ref="A9:D9"/>
    <mergeCell ref="A10:E10"/>
  </mergeCells>
  <hyperlinks>
    <hyperlink ref="E1" location="LISTADO!E2" display="LISTADO!E2"/>
    <hyperlink ref="E9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81" t="s">
        <v>9127</v>
      </c>
      <c r="B2" s="81"/>
      <c r="C2" s="82"/>
      <c r="D2" s="81"/>
      <c r="E2" s="60">
        <v>2101551</v>
      </c>
    </row>
    <row r="3" spans="1:5" ht="18.75" x14ac:dyDescent="0.3">
      <c r="A3" s="83" t="s">
        <v>1707</v>
      </c>
      <c r="B3" s="84"/>
      <c r="C3" s="84"/>
      <c r="D3" s="84"/>
      <c r="E3" s="84"/>
    </row>
    <row r="4" spans="1:5" x14ac:dyDescent="0.25">
      <c r="A4" s="61" t="s">
        <v>8979</v>
      </c>
      <c r="B4" s="61" t="s">
        <v>8980</v>
      </c>
      <c r="C4" s="61" t="s">
        <v>9128</v>
      </c>
      <c r="D4" s="61" t="s">
        <v>9129</v>
      </c>
      <c r="E4" s="61" t="s">
        <v>9130</v>
      </c>
    </row>
    <row r="5" spans="1:5" x14ac:dyDescent="0.25">
      <c r="A5" s="18" t="s">
        <v>11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 t="s">
        <v>12</v>
      </c>
      <c r="B6" s="18" t="s">
        <v>9095</v>
      </c>
      <c r="C6" s="18">
        <v>1</v>
      </c>
      <c r="D6" s="18">
        <v>1</v>
      </c>
      <c r="E6" s="18"/>
    </row>
    <row r="7" spans="1:5" x14ac:dyDescent="0.25">
      <c r="A7" s="18"/>
      <c r="B7" s="61" t="s">
        <v>9131</v>
      </c>
      <c r="C7" s="61">
        <f>SUM(C5:C6)</f>
        <v>2</v>
      </c>
      <c r="D7" s="61">
        <f>SUM(D5:D6)</f>
        <v>2</v>
      </c>
      <c r="E7" s="61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81" t="s">
        <v>9127</v>
      </c>
      <c r="B2" s="81"/>
      <c r="C2" s="82"/>
      <c r="D2" s="81"/>
      <c r="E2" s="60">
        <v>2101550</v>
      </c>
    </row>
    <row r="3" spans="1:5" ht="18.75" x14ac:dyDescent="0.3">
      <c r="A3" s="83" t="s">
        <v>1705</v>
      </c>
      <c r="B3" s="84"/>
      <c r="C3" s="84"/>
      <c r="D3" s="84"/>
      <c r="E3" s="84"/>
    </row>
    <row r="4" spans="1:5" x14ac:dyDescent="0.25">
      <c r="A4" s="61" t="s">
        <v>8979</v>
      </c>
      <c r="B4" s="61" t="s">
        <v>8980</v>
      </c>
      <c r="C4" s="61" t="s">
        <v>9128</v>
      </c>
      <c r="D4" s="61" t="s">
        <v>9129</v>
      </c>
      <c r="E4" s="61" t="s">
        <v>9130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/>
      <c r="C6" s="18">
        <v>1</v>
      </c>
      <c r="D6" s="18"/>
      <c r="E6" s="18">
        <v>1</v>
      </c>
    </row>
    <row r="7" spans="1:5" x14ac:dyDescent="0.25">
      <c r="A7" s="18"/>
      <c r="B7" s="61" t="s">
        <v>9131</v>
      </c>
      <c r="C7" s="61">
        <f>SUM(C5:C6)</f>
        <v>2</v>
      </c>
      <c r="D7" s="61">
        <f>SUM(D5:D6)</f>
        <v>0</v>
      </c>
      <c r="E7" s="61">
        <f>SUM(E5:E6)</f>
        <v>2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9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2101551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2025-08-05T14:54:22Z</dcterms:modified>
</cp:coreProperties>
</file>